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in-cb3ba9bbd1eb810d</t>
        </is>
      </c>
      <c r="B2" t="inlineStr">
        <is>
          <t>Sr. Applied Scientist, AGI Foundations</t>
        </is>
      </c>
      <c r="C2" t="inlineStr">
        <is>
          <t>Amazon.com</t>
        </is>
      </c>
      <c r="D2" t="inlineStr">
        <is>
          <t>indeed</t>
        </is>
      </c>
      <c r="E2" t="inlineStr"/>
      <c r="F2" t="inlineStr"/>
      <c r="G2" t="inlineStr">
        <is>
          <t>Bellevue, WA,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in-4a60edbd0fe27213</t>
        </is>
      </c>
      <c r="B3" t="inlineStr">
        <is>
          <t>Sr. Applied Scientist, AGI Foundations</t>
        </is>
      </c>
      <c r="C3" t="inlineStr">
        <is>
          <t>Amazon.com</t>
        </is>
      </c>
      <c r="D3" t="inlineStr">
        <is>
          <t>indeed</t>
        </is>
      </c>
      <c r="E3" t="inlineStr"/>
      <c r="F3" t="inlineStr"/>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in-cb94992bbad631ca</t>
        </is>
      </c>
      <c r="B4" t="inlineStr">
        <is>
          <t>Sr. Applied Scientist, AGI Foundations</t>
        </is>
      </c>
      <c r="C4" t="inlineStr">
        <is>
          <t>Amazon.com</t>
        </is>
      </c>
      <c r="D4" t="inlineStr">
        <is>
          <t>indeed</t>
        </is>
      </c>
      <c r="E4" t="inlineStr"/>
      <c r="F4" t="inlineStr"/>
      <c r="G4" t="inlineStr">
        <is>
          <t>Boston, MA,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in-658b6a8bd5b6738e</t>
        </is>
      </c>
      <c r="B5" t="inlineStr">
        <is>
          <t>Applied Scientist II, Prime Video - Personalization and Discovery Science, Personalization and Discovery Science</t>
        </is>
      </c>
      <c r="C5" t="inlineStr">
        <is>
          <t>Amazon.com</t>
        </is>
      </c>
      <c r="D5" t="inlineStr">
        <is>
          <t>indeed</t>
        </is>
      </c>
      <c r="E5" t="inlineStr"/>
      <c r="F5" t="inlineStr"/>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in-efe7bf188952d16d</t>
        </is>
      </c>
      <c r="B6" t="inlineStr">
        <is>
          <t>Applied Scientist II, Prime Video - Personalization and Discovery Science, Personalization and Discovery Science</t>
        </is>
      </c>
      <c r="C6" t="inlineStr">
        <is>
          <t>Amazon.com</t>
        </is>
      </c>
      <c r="D6" t="inlineStr">
        <is>
          <t>indeed</t>
        </is>
      </c>
      <c r="E6" t="inlineStr"/>
      <c r="F6" t="inlineStr"/>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in-9e9605eb06f7cd9f</t>
        </is>
      </c>
      <c r="B7" t="inlineStr">
        <is>
          <t>Applied Scientist II, Prime Video - Personalization and Discovery Science, Personalization and Discovery Science</t>
        </is>
      </c>
      <c r="C7" t="inlineStr">
        <is>
          <t>Amazon.com</t>
        </is>
      </c>
      <c r="D7" t="inlineStr">
        <is>
          <t>indeed</t>
        </is>
      </c>
      <c r="E7" t="inlineStr"/>
      <c r="F7" t="inlineStr"/>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in-7008245af0e5f767</t>
        </is>
      </c>
      <c r="B8" t="inlineStr">
        <is>
          <t>Applied Scientist II, Prime Video - Personalization and Discovery Science</t>
        </is>
      </c>
      <c r="C8" t="inlineStr">
        <is>
          <t>Amazon.com</t>
        </is>
      </c>
      <c r="D8" t="inlineStr">
        <is>
          <t>indeed</t>
        </is>
      </c>
      <c r="E8" t="inlineStr"/>
      <c r="F8" t="inlineStr"/>
      <c r="G8" t="inlineStr">
        <is>
          <t>Sunnyvale, CA,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in-df7b703111311dd3</t>
        </is>
      </c>
      <c r="B9" t="inlineStr">
        <is>
          <t>Applied Scientist II, Prime Video - Personalization and Discovery Science</t>
        </is>
      </c>
      <c r="C9" t="inlineStr">
        <is>
          <t>Amazon.com</t>
        </is>
      </c>
      <c r="D9" t="inlineStr">
        <is>
          <t>indeed</t>
        </is>
      </c>
      <c r="E9" t="inlineStr"/>
      <c r="F9" t="inlineStr"/>
      <c r="G9" t="inlineStr">
        <is>
          <t>Seattle, WA,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in-a3265c47ab6f47f2</t>
        </is>
      </c>
      <c r="B10" t="inlineStr">
        <is>
          <t>Applied Scientist II, Prime Video - Personalization and Discovery Science</t>
        </is>
      </c>
      <c r="C10" t="inlineStr">
        <is>
          <t>Amazon.com</t>
        </is>
      </c>
      <c r="D10" t="inlineStr">
        <is>
          <t>indeed</t>
        </is>
      </c>
      <c r="E10" t="inlineStr"/>
      <c r="F10" t="inlineStr"/>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in-bbfd17efdd77437b</t>
        </is>
      </c>
      <c r="B11" t="inlineStr">
        <is>
          <t>Sr. Applied Scientist, Prime Video - Personalization and Discovery Science</t>
        </is>
      </c>
      <c r="C11" t="inlineStr">
        <is>
          <t>Amazon.com</t>
        </is>
      </c>
      <c r="D11" t="inlineStr">
        <is>
          <t>indeed</t>
        </is>
      </c>
      <c r="E11" t="inlineStr"/>
      <c r="F11" t="inlineStr"/>
      <c r="G11" t="inlineStr">
        <is>
          <t>Seattle, WA, US</t>
        </is>
      </c>
      <c r="H11" s="2" t="n">
        <v>45881</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in-4c04be67a042e085</t>
        </is>
      </c>
      <c r="B12" t="inlineStr">
        <is>
          <t>Applied Scientist II, Prime Video - Personalization and Discovery Science</t>
        </is>
      </c>
      <c r="C12" t="inlineStr">
        <is>
          <t>Amazon.com</t>
        </is>
      </c>
      <c r="D12" t="inlineStr">
        <is>
          <t>indeed</t>
        </is>
      </c>
      <c r="E12" t="inlineStr"/>
      <c r="F12" t="inlineStr"/>
      <c r="G12" t="inlineStr">
        <is>
          <t>New York, NY, US</t>
        </is>
      </c>
      <c r="H12" s="2" t="n">
        <v>45881</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in-9b007f56ab7995ec</t>
        </is>
      </c>
      <c r="B13" t="inlineStr">
        <is>
          <t>Sr. Applied Scientist, Prime Video - Personalization and Discovery Science</t>
        </is>
      </c>
      <c r="C13" t="inlineStr">
        <is>
          <t>Amazon.com</t>
        </is>
      </c>
      <c r="D13" t="inlineStr">
        <is>
          <t>indeed</t>
        </is>
      </c>
      <c r="E13" t="inlineStr"/>
      <c r="F13" t="inlineStr"/>
      <c r="G13" t="inlineStr">
        <is>
          <t>Sunnyvale, CA, US</t>
        </is>
      </c>
      <c r="H13" s="2" t="n">
        <v>45881</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in-d63f5c33921b48f5</t>
        </is>
      </c>
      <c r="B14" t="inlineStr">
        <is>
          <t>Applied Scientist II, Prime Video - Personalization and Discovery Science</t>
        </is>
      </c>
      <c r="C14" t="inlineStr">
        <is>
          <t>Amazon.com</t>
        </is>
      </c>
      <c r="D14" t="inlineStr">
        <is>
          <t>indeed</t>
        </is>
      </c>
      <c r="E14" t="inlineStr"/>
      <c r="F14" t="inlineStr"/>
      <c r="G14" t="inlineStr">
        <is>
          <t>Seattle, WA,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in-ef77c4df9dbe71d1</t>
        </is>
      </c>
      <c r="B15" t="inlineStr">
        <is>
          <t>Applied Scientist II, Prime Video - Personalization and Discovery Science</t>
        </is>
      </c>
      <c r="C15" t="inlineStr">
        <is>
          <t>Amazon.com</t>
        </is>
      </c>
      <c r="D15" t="inlineStr">
        <is>
          <t>indeed</t>
        </is>
      </c>
      <c r="E15" t="inlineStr"/>
      <c r="F15" t="inlineStr"/>
      <c r="G15" t="inlineStr">
        <is>
          <t>Sunnyvale, CA,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in-92e83877650d53dc</t>
        </is>
      </c>
      <c r="B16" t="inlineStr">
        <is>
          <t>Sr. Applied Scientist, Prime Video - Personalization and Discovery Science</t>
        </is>
      </c>
      <c r="C16" t="inlineStr">
        <is>
          <t>Amazon.com</t>
        </is>
      </c>
      <c r="D16" t="inlineStr">
        <is>
          <t>indeed</t>
        </is>
      </c>
      <c r="E16" t="inlineStr"/>
      <c r="F16" t="inlineStr"/>
      <c r="G16" t="inlineStr">
        <is>
          <t>New York, NY,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in-76d3933a05f7032e</t>
        </is>
      </c>
      <c r="B17" t="inlineStr">
        <is>
          <t>Applied Scientist, Prime Video - Personalization and Discovery Science</t>
        </is>
      </c>
      <c r="C17" t="inlineStr">
        <is>
          <t>Amazon.com</t>
        </is>
      </c>
      <c r="D17" t="inlineStr">
        <is>
          <t>indeed</t>
        </is>
      </c>
      <c r="E17" t="inlineStr"/>
      <c r="F17" t="inlineStr"/>
      <c r="G17" t="inlineStr">
        <is>
          <t>New York, NY, US</t>
        </is>
      </c>
      <c r="H17" s="2" t="n">
        <v>45845</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in-b72f087a54fc8fe2</t>
        </is>
      </c>
      <c r="B18" t="inlineStr">
        <is>
          <t>Applied Scientist, Prime Video - Personalization and Discovery Science</t>
        </is>
      </c>
      <c r="C18" t="inlineStr">
        <is>
          <t>Amazon.com</t>
        </is>
      </c>
      <c r="D18" t="inlineStr">
        <is>
          <t>indeed</t>
        </is>
      </c>
      <c r="E18" t="inlineStr"/>
      <c r="F18" t="inlineStr"/>
      <c r="G18" t="inlineStr">
        <is>
          <t>Seattle, WA, US</t>
        </is>
      </c>
      <c r="H18" s="2" t="n">
        <v>45845</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in-c7de0bda6cc55f46</t>
        </is>
      </c>
      <c r="B19" t="inlineStr">
        <is>
          <t>Applied Scientist, Prime Video - Personalization and Discovery Science</t>
        </is>
      </c>
      <c r="C19" t="inlineStr">
        <is>
          <t>Amazon.com</t>
        </is>
      </c>
      <c r="D19" t="inlineStr">
        <is>
          <t>indeed</t>
        </is>
      </c>
      <c r="E19" t="inlineStr"/>
      <c r="F19" t="inlineStr"/>
      <c r="G19" t="inlineStr">
        <is>
          <t>Sunnyvale, CA, US</t>
        </is>
      </c>
      <c r="H19" s="2" t="n">
        <v>45845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in-4586f14866168e01</t>
        </is>
      </c>
      <c r="B20" t="inlineStr">
        <is>
          <t>Data Scientist</t>
        </is>
      </c>
      <c r="C20" t="inlineStr">
        <is>
          <t>Hewlett Packard Enterprise | HPE</t>
        </is>
      </c>
      <c r="D20" t="inlineStr">
        <is>
          <t>indeed</t>
        </is>
      </c>
      <c r="E20" t="inlineStr"/>
      <c r="F20" t="inlineStr"/>
      <c r="G20" t="inlineStr">
        <is>
          <t>San Jose, CA, US</t>
        </is>
      </c>
      <c r="H20" s="2" t="n">
        <v>46050</v>
      </c>
      <c r="I20" t="inlineStr">
        <is>
          <t>Data Scientist  
This role has been designed as ‘’Onsite’ with an expectation that you will primarily work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Data Scientist (AI Cloud Developer) builds scalable, data\-driven solutions from the ground up to address mission\-critical business challenges, continuously exploring innovative statistical, machine learning, and AI methodologies to deliver end\-to\-end analytical solutions that drive measurable business impact.
* Applies advanced analytical thinking to deconstruct complex, multi\-dimensional datasets and engineer novel algorithms, models, and methodologies for solving business problems—from initial exploratory data analysis through prototyping, model development, validation, and production deployment of ML/AI solutions.
* Collaborates cross\-functionally with data engineers, MLOps teams, product managers, and business stakeholders to ensure robust model performance, efficient pipeline orchestration, continuous monitoring, and sustainable operationalization of data science solutions at scale.
* Delivers quantifiable business value by developing innovative data products, predictive models, and analytical frameworks that enhance HPE's data science capabilities across diverse domains, platforms, and use cases—translating complex insights into actionable recommendations that drive strategic decision\-making.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Collaborate with cross\-functional teams to design, develop, and implement cloud solutions tailored to meet business needs.
* Work with domain experts to identify and formalize machine learning problems for wireless and wired network diagnostics, root causing, problem remediation, and optimization
	+ Design, implement, and validate machine learning algorithms on big data
	+ Guide and oversee deployment of implemented machine learning solutions and monitor their operation
	+ Use Agentic AI to solve networking problems
* Identify, debug and create solutions for issues with code and integration into application architecture
* Develop and execute comprehensive test plans for features adhering to performance, scale, usability, and security requirements.
* Deploy cloud\-based systems and applications code using continuous integration/deployment pipelines
* Contribute towards innovation and integration of new technologies into projects
* Analyze science, engineering, business, and other data processing problems to develop and implement solutions to complex application problems, system administration issues, or networking
***Education and Experience Required:***
* Master's or PhD degree in computer science, data science, mathematics, physics, statistics, physics, or closely related quantitative discipline.
* Typically, 3\-4 years’ experience working as a Data Scientist building products /features using machine learning, deep learning and generative AI
***Knowledge and Skills:***
* Strong background in statistical and machine learning techniques such as anomaly detection, clustering and ranking of events, time series analysis, hypothesis testing, causal inference, deep learning and reinforcement learning, semi\-supervised learning, or mixed time\-series/event streams
* Experience with GenAI and large language models (LLMs). Agentic AI is a plus
* Familiarity with and understanding of design for software systems
* Proficient Python coder (PySpark, Scikit\-learn), experience with software engineering best practices
* Advanced understanding of Object\-Oriented Programming (OOP)
* Understanding microservice architecture and how they can be built in a containerized, Kubernetes\-managed environment is central to all modern cloud\-native applications.
* Designing and integrating software systems running on multiple platform types into the overall architecture
* Great written and verbal communication skills. Ability to effectively communicate product architectures and design proposals at senior management levels; strong data visualization skills
* Relevant industry experience in data science and machine learning
**Additional Skills:**
Cloud Architectures, Cross Domain Knowledge, Design Thinking, Development Fundamentals, DevOps, Distributed Computing, Microservices Fluency, Full Stack Development, Release Management, Security\-First Mindset, User Experience (UX)**What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\#networking**Job:**
Engineering**Job Level:**
TCP\_04  
"The expected salary/wage range for this position is provided below. Actual offer may vary from this range based upon geographic location, work experience, education/training, and/or skill level.  
– United States of America: Annual Salary USD 155,500 \- 315,000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1">
      <c r="A21" t="inlineStr">
        <is>
          <t>in-9c6b32b00cbccc8e</t>
        </is>
      </c>
      <c r="B21" t="inlineStr">
        <is>
          <t>Data Governance &amp; Metadata Scientist</t>
        </is>
      </c>
      <c r="C21" t="inlineStr">
        <is>
          <t>Quiet Professionals LLC</t>
        </is>
      </c>
      <c r="D21" t="inlineStr">
        <is>
          <t>indeed</t>
        </is>
      </c>
      <c r="E21" t="inlineStr"/>
      <c r="F21" t="inlineStr"/>
      <c r="G21" t="inlineStr">
        <is>
          <t>Tampa, FL, US</t>
        </is>
      </c>
      <c r="H21" s="2" t="n">
        <v>46050</v>
      </c>
      <c r="I21" t="inlineStr">
        <is>
          <t>Position Description: **Position Summary**The Data Governance \&amp; Metadata Scientist supports mission\-critical objectives under the referenced work order by establishing, managing, and enforcing metadata and data governance practices across enterprise and geospatial data environments. This role requires specialized expertise in metadata frameworks, data lineage, and compliance with Department of Defense data and geospatial standards.  
This future opportunity is contingent upon award.  
**Job Description*** The Data Governance \&amp; Metadata Scientist is responsible for designing, implementing, and maintaining metadata governance frameworks for structured and unstructured data in cloud\-based environments. This includes defining metadata standards, ensuring consistency across platforms, and supporting enterprise data discoverability and interoperability.
* The role involves tracking data lineage and maintaining synchronization of metadata across data catalogs, ESRI platforms, Kubernetes\-based data services, and enterprise metadata repositories. The scientist will leverage metadata and lineage tools such as OpenLineage, Apache Atlas, or equivalent technologies to support traceability, auditability, and governance reporting.
* Additional responsibilities include enforcing compliance with DoD metadata policies and National System for Geospatial Intelligence (NSG) tradecraft standards for geospatial datasets. The Data Governance \&amp; Metadata Scientist will collaborate closely with data engineers, geospatial teams, security personnel, and program stakeholders to ensure metadata accuracy, policy adherence, and lifecycle governance across mission systems.
**Required Qualifications and Experience**The contractor shall provide personnel who meet one of the following requirements:
* Bachelors degree in Data Science, Information Management, GIS, or a related discipline; or
* A minimum of five (5\) years of equivalent professional experience in data governance, metadata management, or geospatial data integration.
**Candidates must have demonstrated experience in the following areas:*** Implementing metadata governance frameworks for structured and unstructured data in cloud\-based environments.
* Tracking data lineage and ensuring metadata synchronization across enterprise data catalogs, ESRI platforms, Kubernetes\-based data services, and metadata repositories.
* Utilizing metadata and lineage management tools such as OpenLineage, Apache Atlas, or similar technologies.
* Enforcing compliance with DoD metadata policies and NSG tradecraft standards for geospatial datasets.
**Required Skills and Competencies*** Strong understanding of data governance, metadata standards, and data lifecycle management.
* Experience operating within government or highly regulated environments.
* Knowledge of geospatial data management and integration practices.
* Strong analytical, documentation, and stakeholder coordination skills.
* Ability to translate governance requirements into technical implementations.
**Education*** Bachelors degree in a related field, or an equivalent combination of education and relevant experience.
* Desirable Certifications (Preferred, Not Required)
* Certified Data Management Professional (CDMP)
* DAMA Certified Data Governance Professional (DGSP)
* ESRI Geospatial Data Management Certification
**Clearance Requirement*** An active security clearance at the level specified by the program is required, or the ability to obtain and maintain the required clearance.
Quiet Professionals is located in the Greater Tampa Bay Area. We provide innovative and sustainable solutions that enhance the operational effectiveness of our clients and partners.  
QP is proud to be an equal opportunity, disability, and veteran employer. Our team of Quiet Professionals is highly driven, innovative, and results oriented. We empower our teams creativity, knowledge, and expertise to support client needs by fostering a diverse, inclusive, and supportive workplace. We understand that diversity fuels innovation and drives our success. We offer comprehensive benefits designed to serve the needs of our workforce.</t>
        </is>
      </c>
    </row>
    <row r="22">
      <c r="A22" t="inlineStr">
        <is>
          <t>in-b6aa9a7a61efc940</t>
        </is>
      </c>
      <c r="B22" t="inlineStr">
        <is>
          <t>Data Scientist (Hybrid on-site)</t>
        </is>
      </c>
      <c r="C22" t="inlineStr">
        <is>
          <t>PEAK TECHNOLOGIES</t>
        </is>
      </c>
      <c r="D22" t="inlineStr">
        <is>
          <t>indeed</t>
        </is>
      </c>
      <c r="E22" t="inlineStr"/>
      <c r="F22" t="inlineStr"/>
      <c r="G22" t="inlineStr">
        <is>
          <t>Franklin, MA, US</t>
        </is>
      </c>
      <c r="H22" s="2" t="n">
        <v>46050</v>
      </c>
      <c r="I22" t="inlineStr">
        <is>
          <t>For over 35 years, Peak Technologies has been at the forefront of providing end\-to\-end enterprise mobility, managed services, printing and mobile data capture solutions for performance\-driven organizations focused on the optimization of supply chain and field\-based business processes.
* Job Title: Data Scientist
* Location: Franklin, MA
* Schedule: Mon\-Fri 8\-5/9\-6, hybrid on\-site Tu/Th
JOB SUMMARY \&amp; SCOPE
Peak Technologies is seeking a motivated and analytical Data Scientist to help advance our data\-driven strategy and support the development of intelligent automation, analytics, and AI solutions across the business.
In this role, you will analyze large datasets, build predictive and generative models, and translate data into actionable insights that enhance operational efficiency and customer outcomes. You will also have opportunities to explore emerging technologies such as Large Language Models (LLMs), Large Vision Models (LVMs), and other machine learning and computer vision techniques to bridge the gap between research and business application.
This position requires strong problem\-solving skills, solid technical proficiency, and a genuine passion for using data to drive measurable impact in a fast\-paced, collaborative environment.
KEY ACCOUNTABILITIES
* Collect, clean, and preprocess large datasets from multiple sources while ensuring data accuracy, consistency, and integrity.
* Apply statistical methods, hypothesis testing, and exploratory data analysis to identify trends and opportunities.
* Develop and deploy machine learning and predictive models to support data\-driven decision\-making and product innovation.
* Research, prototype, and evaluate AI and ML models, including LLMs, LVMs, and other cutting\-edge algorithms.
* Collaborate with engineering and data annotation teams to improve data pipelines, tagging accuracy, and supervised learning processes.
* Create clear, impactful visualizations, dashboards, and reports for technical and non\-technical audiences.
* Design and interpret A/B and multivariate tests to measure the impact of business changes or feature deployments.
* Maintain documentation for data sources, transformation logic, and model development processes.
* Participate in code reviews, model evaluations, and team knowledge\-sharing sessions to promote best practices.
* Ensure compliance with data governance, privacy, and security standards across all data projects.
EDUCATION \+ EXPERIENCE \+ KEY TRAITS
* Bachelor’s or Master’s degree in Data Science, Computer Science, Statistics, Artificial Intelligence, or a related field.
* Minimum 1 year of experience in a data science, applied AI, or analytical role (internship or postgraduate research experience may qualify).
* Proficiency in Python, R, and SQL, including experience with frameworks such as scikit\-learn, TensorFlow, or PyTorch.
* Strong understanding of statistical modeling, data visualization, and machine learning evaluation techniques.
* Familiarity with cloud platforms (Google Cloud Platform, AWS, or Azure) and tools such as Vertex AI is preferred.
* Excellent communication skills with the ability to explain complex concepts to diverse audiences.
* Detail\-oriented, proactive, and comfortable working collaboratively across cross\-functional teams.
* Passionate about innovation, continuous learning, and contributing to a data\-driven culture at Peak Technologies.
BONUS EXPERIENCE (Preferred but Not Required)
* Hands\-on experience with Natural Language Processing (NLP) or Computer Vision tasks (e.g., text classification, image tagging, or sentiment analysis).
* Exposure to data warehousing, ETL processes, or data engineering workflows.
* Contributions to open\-source projects or research publications in data science or artificial intelligence.
TYPICAL PERFORMANCE TARGETS
* SERVICE DELIVERY: Sustained, measured excellence in project \&amp; process delivery
* COST TO SERVE: Sustained, measured excellence in delivery efficiency with expected continuous improvement
* INNOVATION: Step changed delivery in safety, quality, and/or cost
LANGUAGE SKILLS
* Primary language used in daily operations is English. Additional primary company languages include Spanish, French, and Dutch.
* Read and interpret documents, procedure manuals and various correspondence from both internal and external.
* Speak effectively, both individually and before groups of both external customers and/or various levels of employees within the organization.
MATHEMATICAL SKILLS
* Ability to apply concepts such as fractions, percentages, ratios, and proportions to practical situations.
REASONING ABILITY
* Ability to define problems, collect data, establish facts, and draw valid conclusions. Ability to interpret an extensive variety of technical instructions in mathematical or diagram form and deal with several abstract and concrete variables.
COMPUTER SKILLS
* To perform this job successfully, an individual should have knowledge of Microsoft Office suite, Excel, and Word specifically. CRM skills required.
SUPERVISION
* Role does not require supervision of direct and indirect reports.
DECISION MAKING \+ REASONING
* Able to take accountability and responsibility for business target delivery and decision making.
* Possess a unique blend of business and technical savvy, a big\-picture vision, and the drive to make that vision a reality.
PHYSICAL REQUIREMENTS
Activity Amount of Time
None Under 1/3 1/3 to 2/3 Over 2/3
Stand X
Walk X
Sit X
Use hands to finger, handle, or feel X
Reach with hands and arms X
Climb or balance X
Stoop, kneel, crouch, or crawl X
Talk or hear X
Lift Up to 25lbs X
Travel X
Peak Technologies, Inc. is an Equal Opportunity Employer who fully and actively supports equal access for all people regardless of Race, Color, Religion, Gender, Age, National Origin, Veteran Status, Disability, Genetic Information or Testing, Family and Medical Leave, Sexual Orientation and Gender Identity or Expression.</t>
        </is>
      </c>
    </row>
    <row r="23">
      <c r="A23" t="inlineStr">
        <is>
          <t>in-37bdb2832638e403</t>
        </is>
      </c>
      <c r="B23" t="inlineStr">
        <is>
          <t>Applied Scientist, Denied Party Screening, AWS Compliance &amp; Security Assurance</t>
        </is>
      </c>
      <c r="C23" t="inlineStr">
        <is>
          <t>Amazon.com</t>
        </is>
      </c>
      <c r="D23" t="inlineStr">
        <is>
          <t>indeed</t>
        </is>
      </c>
      <c r="E23" t="inlineStr"/>
      <c r="F23" t="inlineStr"/>
      <c r="G23" t="inlineStr">
        <is>
          <t>Seattle, WA, US</t>
        </is>
      </c>
      <c r="H23" s="2" t="n">
        <v>46027</v>
      </c>
      <c r="I23"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4">
      <c r="A24" t="inlineStr">
        <is>
          <t>in-436f1ae377e48d28</t>
        </is>
      </c>
      <c r="B24" t="inlineStr">
        <is>
          <t>Applied Scientist, Denied Party Screening, AWS Compliance &amp; Security Assurance</t>
        </is>
      </c>
      <c r="C24" t="inlineStr">
        <is>
          <t>Amazon.com</t>
        </is>
      </c>
      <c r="D24" t="inlineStr">
        <is>
          <t>indeed</t>
        </is>
      </c>
      <c r="E24" t="inlineStr"/>
      <c r="F24" t="inlineStr"/>
      <c r="G24" t="inlineStr">
        <is>
          <t>Dallas, TX, US</t>
        </is>
      </c>
      <c r="H24" s="2" t="n">
        <v>46027</v>
      </c>
      <c r="I24"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5">
      <c r="A25" t="inlineStr">
        <is>
          <t>in-661fead96c0104fe</t>
        </is>
      </c>
      <c r="B25" t="inlineStr">
        <is>
          <t>Applied Scientist, Amazon Special Projects</t>
        </is>
      </c>
      <c r="C25" t="inlineStr">
        <is>
          <t>Amazon.com</t>
        </is>
      </c>
      <c r="D25" t="inlineStr">
        <is>
          <t>indeed</t>
        </is>
      </c>
      <c r="E25" t="inlineStr"/>
      <c r="F25" t="inlineStr"/>
      <c r="G25" t="inlineStr">
        <is>
          <t>Boston, MA, US</t>
        </is>
      </c>
      <c r="H25" s="2" t="n">
        <v>46026</v>
      </c>
      <c r="I2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in-a0f0c7d1dd9d3886</t>
        </is>
      </c>
      <c r="B26" t="inlineStr">
        <is>
          <t>Applied Scientist, Amazon Special Projects</t>
        </is>
      </c>
      <c r="C26" t="inlineStr">
        <is>
          <t>Amazon.com</t>
        </is>
      </c>
      <c r="D26" t="inlineStr">
        <is>
          <t>indeed</t>
        </is>
      </c>
      <c r="E26" t="inlineStr"/>
      <c r="F26" t="inlineStr"/>
      <c r="G26" t="inlineStr">
        <is>
          <t>Seattle, WA, US</t>
        </is>
      </c>
      <c r="H26" s="2" t="n">
        <v>46026</v>
      </c>
      <c r="I2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in-2d5eb4195a2350b5</t>
        </is>
      </c>
      <c r="B27" t="inlineStr">
        <is>
          <t>Applied Scientist, Last Mile Delivery Automation</t>
        </is>
      </c>
      <c r="C27" t="inlineStr">
        <is>
          <t>Amazon.com</t>
        </is>
      </c>
      <c r="D27" t="inlineStr">
        <is>
          <t>indeed</t>
        </is>
      </c>
      <c r="E27" t="inlineStr"/>
      <c r="F27" t="inlineStr"/>
      <c r="G27" t="inlineStr">
        <is>
          <t>Bellevue, WA, US</t>
        </is>
      </c>
      <c r="H27" s="2" t="n">
        <v>46026</v>
      </c>
      <c r="I2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in-3995e7224dbae80e</t>
        </is>
      </c>
      <c r="B28" t="inlineStr">
        <is>
          <t>Applied Scientist, Last Mile Delivery Automation</t>
        </is>
      </c>
      <c r="C28" t="inlineStr">
        <is>
          <t>Amazon.com</t>
        </is>
      </c>
      <c r="D28" t="inlineStr">
        <is>
          <t>indeed</t>
        </is>
      </c>
      <c r="E28" t="inlineStr"/>
      <c r="F28" t="inlineStr"/>
      <c r="G28" t="inlineStr">
        <is>
          <t>Santa Clara, CA, US</t>
        </is>
      </c>
      <c r="H28" s="2" t="n">
        <v>46026</v>
      </c>
      <c r="I2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in-47f6ebbe349bdb2d</t>
        </is>
      </c>
      <c r="B29" t="inlineStr">
        <is>
          <t>Senior Applied Scientist, Distributed SQL</t>
        </is>
      </c>
      <c r="C29" t="inlineStr">
        <is>
          <t>Amazon Web Services</t>
        </is>
      </c>
      <c r="D29" t="inlineStr">
        <is>
          <t>indeed</t>
        </is>
      </c>
      <c r="E29" t="inlineStr"/>
      <c r="F29" t="inlineStr"/>
      <c r="G29" t="inlineStr">
        <is>
          <t>East Palo Alto, CA, US</t>
        </is>
      </c>
      <c r="H29" s="2" t="n">
        <v>46012</v>
      </c>
      <c r="I2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0">
      <c r="A30" t="inlineStr">
        <is>
          <t>in-3f8cf26fe93af7e8</t>
        </is>
      </c>
      <c r="B30" t="inlineStr">
        <is>
          <t>Sr. Applied Scientist, Amazon Ads</t>
        </is>
      </c>
      <c r="C30" t="inlineStr">
        <is>
          <t>Amazon.com</t>
        </is>
      </c>
      <c r="D30" t="inlineStr">
        <is>
          <t>indeed</t>
        </is>
      </c>
      <c r="E30" t="inlineStr"/>
      <c r="F30" t="inlineStr"/>
      <c r="G30" t="inlineStr">
        <is>
          <t>Brooklyn, NY,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in-2bac8099459793bd</t>
        </is>
      </c>
      <c r="B31" t="inlineStr">
        <is>
          <t>Sr. Applied Scientist, Amazon Ads</t>
        </is>
      </c>
      <c r="C31" t="inlineStr">
        <is>
          <t>Amazon.com</t>
        </is>
      </c>
      <c r="D31" t="inlineStr">
        <is>
          <t>indeed</t>
        </is>
      </c>
      <c r="E31" t="inlineStr"/>
      <c r="F31" t="inlineStr"/>
      <c r="G31" t="inlineStr">
        <is>
          <t>Boston, MA,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in-39439bd100f4c0b9</t>
        </is>
      </c>
      <c r="B32" t="inlineStr">
        <is>
          <t>Sr. Applied Scientist, Amazon Ads</t>
        </is>
      </c>
      <c r="C32" t="inlineStr">
        <is>
          <t>Amazon.com</t>
        </is>
      </c>
      <c r="D32" t="inlineStr">
        <is>
          <t>indeed</t>
        </is>
      </c>
      <c r="E32" t="inlineStr"/>
      <c r="F32" t="inlineStr"/>
      <c r="G32" t="inlineStr">
        <is>
          <t>Sunnyvale, CA,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in-715ad69bb86fbc23</t>
        </is>
      </c>
      <c r="B33" t="inlineStr">
        <is>
          <t>Sr. Applied Scientist, Amazon Ads</t>
        </is>
      </c>
      <c r="C33" t="inlineStr">
        <is>
          <t>Amazon.com</t>
        </is>
      </c>
      <c r="D33" t="inlineStr">
        <is>
          <t>indeed</t>
        </is>
      </c>
      <c r="E33" t="inlineStr"/>
      <c r="F33" t="inlineStr"/>
      <c r="G33" t="inlineStr">
        <is>
          <t>Santa Monica, CA,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in-0e05e12c7234c12c</t>
        </is>
      </c>
      <c r="B34" t="inlineStr">
        <is>
          <t>Sr. Applied Scientist, Amazon Ads</t>
        </is>
      </c>
      <c r="C34" t="inlineStr">
        <is>
          <t>Amazon.com</t>
        </is>
      </c>
      <c r="D34" t="inlineStr">
        <is>
          <t>indeed</t>
        </is>
      </c>
      <c r="E34" t="inlineStr"/>
      <c r="F34" t="inlineStr"/>
      <c r="G34" t="inlineStr">
        <is>
          <t>Seattle, WA,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in-04ba51a049c20d65</t>
        </is>
      </c>
      <c r="B35" t="inlineStr">
        <is>
          <t>Sr. Applied Scientist, Amazon Ads</t>
        </is>
      </c>
      <c r="C35" t="inlineStr">
        <is>
          <t>Amazon.com</t>
        </is>
      </c>
      <c r="D35" t="inlineStr">
        <is>
          <t>indeed</t>
        </is>
      </c>
      <c r="E35" t="inlineStr"/>
      <c r="F35" t="inlineStr"/>
      <c r="G35" t="inlineStr">
        <is>
          <t>Tukwila, WA,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in-a44d1974d58a7120</t>
        </is>
      </c>
      <c r="B36" t="inlineStr">
        <is>
          <t>Sr. Applied Scientist, Amazon Ads</t>
        </is>
      </c>
      <c r="C36" t="inlineStr">
        <is>
          <t>Amazon.com</t>
        </is>
      </c>
      <c r="D36" t="inlineStr">
        <is>
          <t>indeed</t>
        </is>
      </c>
      <c r="E36" t="inlineStr"/>
      <c r="F36" t="inlineStr"/>
      <c r="G36" t="inlineStr">
        <is>
          <t>New York, NY,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in-0919a8dc7266dcdf</t>
        </is>
      </c>
      <c r="B37" t="inlineStr">
        <is>
          <t>Sr. Applied Scientist, Amazon Ads</t>
        </is>
      </c>
      <c r="C37" t="inlineStr">
        <is>
          <t>Amazon.com</t>
        </is>
      </c>
      <c r="D37" t="inlineStr">
        <is>
          <t>indeed</t>
        </is>
      </c>
      <c r="E37" t="inlineStr"/>
      <c r="F37" t="inlineStr"/>
      <c r="G37" t="inlineStr">
        <is>
          <t>Palo Alto,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in-40bbea2652cc7859</t>
        </is>
      </c>
      <c r="B38" t="inlineStr">
        <is>
          <t>Sr. Applied Scientist, Amazon Ads</t>
        </is>
      </c>
      <c r="C38" t="inlineStr">
        <is>
          <t>Amazon.com</t>
        </is>
      </c>
      <c r="D38" t="inlineStr">
        <is>
          <t>indeed</t>
        </is>
      </c>
      <c r="E38" t="inlineStr"/>
      <c r="F38" t="inlineStr"/>
      <c r="G38" t="inlineStr">
        <is>
          <t>Boulder, CO,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in-d00d3e2c1aa5a64a</t>
        </is>
      </c>
      <c r="B39" t="inlineStr">
        <is>
          <t>Sr. Applied Scientist, Amazon Ads</t>
        </is>
      </c>
      <c r="C39" t="inlineStr">
        <is>
          <t>Amazon.com</t>
        </is>
      </c>
      <c r="D39" t="inlineStr">
        <is>
          <t>indeed</t>
        </is>
      </c>
      <c r="E39" t="inlineStr"/>
      <c r="F39" t="inlineStr"/>
      <c r="G39" t="inlineStr">
        <is>
          <t>Corvallis, OR,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in-d468fd11639efd13</t>
        </is>
      </c>
      <c r="B40" t="inlineStr">
        <is>
          <t>Applied Scientist, ML Compiler</t>
        </is>
      </c>
      <c r="C40" t="inlineStr">
        <is>
          <t>Amazon Web Services</t>
        </is>
      </c>
      <c r="D40" t="inlineStr">
        <is>
          <t>indeed</t>
        </is>
      </c>
      <c r="E40" t="inlineStr"/>
      <c r="F40" t="inlineStr"/>
      <c r="G40" t="inlineStr">
        <is>
          <t>Cupertino, CA, US</t>
        </is>
      </c>
      <c r="H40" s="2" t="n">
        <v>45993</v>
      </c>
      <c r="I4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in-9ec3c22e61883857</t>
        </is>
      </c>
      <c r="B41" t="inlineStr">
        <is>
          <t>Applied Scientist, ML Compiler</t>
        </is>
      </c>
      <c r="C41" t="inlineStr">
        <is>
          <t>Amazon Web Services</t>
        </is>
      </c>
      <c r="D41" t="inlineStr">
        <is>
          <t>indeed</t>
        </is>
      </c>
      <c r="E41" t="inlineStr"/>
      <c r="F41" t="inlineStr"/>
      <c r="G41" t="inlineStr">
        <is>
          <t>Seattle, WA, US</t>
        </is>
      </c>
      <c r="H41" s="2" t="n">
        <v>45993</v>
      </c>
      <c r="I4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in-84521ddc5ef8844d</t>
        </is>
      </c>
      <c r="B42" t="inlineStr">
        <is>
          <t>Senior Data Scientist, Data and Machine Learning, WWPS US Federal</t>
        </is>
      </c>
      <c r="C42" t="inlineStr">
        <is>
          <t>Amazon Web Services</t>
        </is>
      </c>
      <c r="D42" t="inlineStr">
        <is>
          <t>indeed</t>
        </is>
      </c>
      <c r="E42" t="inlineStr"/>
      <c r="F42" t="inlineStr"/>
      <c r="G42" t="inlineStr">
        <is>
          <t>Jessup, MD, US</t>
        </is>
      </c>
      <c r="H42" s="2" t="n">
        <v>45993</v>
      </c>
      <c r="I4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3">
      <c r="A43" t="inlineStr">
        <is>
          <t>in-8803d8910887d3b3</t>
        </is>
      </c>
      <c r="B43" t="inlineStr">
        <is>
          <t>Data Scientist, Data and Machine Learning, WWPS US Federal</t>
        </is>
      </c>
      <c r="C43" t="inlineStr">
        <is>
          <t>Amazon Web Services</t>
        </is>
      </c>
      <c r="D43" t="inlineStr">
        <is>
          <t>indeed</t>
        </is>
      </c>
      <c r="E43" t="inlineStr"/>
      <c r="F43" t="inlineStr"/>
      <c r="G43" t="inlineStr">
        <is>
          <t>Denver, CO, US</t>
        </is>
      </c>
      <c r="H43" s="2" t="n">
        <v>45993</v>
      </c>
      <c r="I4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4">
      <c r="A44" t="inlineStr">
        <is>
          <t>in-fd9a0ddef5c0d6af</t>
        </is>
      </c>
      <c r="B44" t="inlineStr">
        <is>
          <t>Senior Data Scientist, Data and Machine Learning, WWPS US Federal</t>
        </is>
      </c>
      <c r="C44" t="inlineStr">
        <is>
          <t>Amazon Web Services</t>
        </is>
      </c>
      <c r="D44" t="inlineStr">
        <is>
          <t>indeed</t>
        </is>
      </c>
      <c r="E44" t="inlineStr"/>
      <c r="F44" t="inlineStr"/>
      <c r="G44" t="inlineStr">
        <is>
          <t>St. Louis, MO, US</t>
        </is>
      </c>
      <c r="H44" s="2" t="n">
        <v>45993</v>
      </c>
      <c r="I4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5">
      <c r="A45" t="inlineStr">
        <is>
          <t>in-02fe354a4174c3c6</t>
        </is>
      </c>
      <c r="B45" t="inlineStr">
        <is>
          <t>Data Scientist, Data and Machine Learning, WWPS US Federal</t>
        </is>
      </c>
      <c r="C45" t="inlineStr">
        <is>
          <t>Amazon Web Services</t>
        </is>
      </c>
      <c r="D45" t="inlineStr">
        <is>
          <t>indeed</t>
        </is>
      </c>
      <c r="E45" t="inlineStr"/>
      <c r="F45" t="inlineStr"/>
      <c r="G45" t="inlineStr">
        <is>
          <t>Arlington, VA, US</t>
        </is>
      </c>
      <c r="H45" s="2" t="n">
        <v>45993</v>
      </c>
      <c r="I4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6">
      <c r="A46" t="inlineStr">
        <is>
          <t>in-1dbd64ea617ac639</t>
        </is>
      </c>
      <c r="B46" t="inlineStr">
        <is>
          <t>Senior Data Scientist, Data and Machine Learning, WWPS US Federal</t>
        </is>
      </c>
      <c r="C46" t="inlineStr">
        <is>
          <t>Amazon Web Services</t>
        </is>
      </c>
      <c r="D46" t="inlineStr">
        <is>
          <t>indeed</t>
        </is>
      </c>
      <c r="E46" t="inlineStr"/>
      <c r="F46" t="inlineStr"/>
      <c r="G46" t="inlineStr">
        <is>
          <t>Denver, CO, US</t>
        </is>
      </c>
      <c r="H46" s="2" t="n">
        <v>45993</v>
      </c>
      <c r="I4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7">
      <c r="A47" t="inlineStr">
        <is>
          <t>in-2a01a1e0cbea805a</t>
        </is>
      </c>
      <c r="B47" t="inlineStr">
        <is>
          <t>Data Scientist, Data and Machine Learning, WWPS US Federal</t>
        </is>
      </c>
      <c r="C47" t="inlineStr">
        <is>
          <t>Amazon Web Services</t>
        </is>
      </c>
      <c r="D47" t="inlineStr">
        <is>
          <t>indeed</t>
        </is>
      </c>
      <c r="E47" t="inlineStr"/>
      <c r="F47" t="inlineStr"/>
      <c r="G47" t="inlineStr">
        <is>
          <t>St. Louis, MO, US</t>
        </is>
      </c>
      <c r="H47" s="2" t="n">
        <v>45993</v>
      </c>
      <c r="I4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8">
      <c r="A48" t="inlineStr">
        <is>
          <t>in-59e9b9dd1bafb6f1</t>
        </is>
      </c>
      <c r="B48" t="inlineStr">
        <is>
          <t>Data Scientist, Data and Machine Learning, WWPS US Federal</t>
        </is>
      </c>
      <c r="C48" t="inlineStr">
        <is>
          <t>Amazon Web Services</t>
        </is>
      </c>
      <c r="D48" t="inlineStr">
        <is>
          <t>indeed</t>
        </is>
      </c>
      <c r="E48" t="inlineStr"/>
      <c r="F48" t="inlineStr"/>
      <c r="G48" t="inlineStr">
        <is>
          <t>Herndon, VA, US</t>
        </is>
      </c>
      <c r="H48" s="2" t="n">
        <v>45993</v>
      </c>
      <c r="I4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9">
      <c r="A49" t="inlineStr">
        <is>
          <t>in-fe411b14663f0326</t>
        </is>
      </c>
      <c r="B49" t="inlineStr">
        <is>
          <t>Data Scientist, Data and Machine Learning, WWPS US Federal</t>
        </is>
      </c>
      <c r="C49" t="inlineStr">
        <is>
          <t>Amazon Web Services</t>
        </is>
      </c>
      <c r="D49" t="inlineStr">
        <is>
          <t>indeed</t>
        </is>
      </c>
      <c r="E49" t="inlineStr"/>
      <c r="F49" t="inlineStr"/>
      <c r="G49" t="inlineStr">
        <is>
          <t>Jessup, MD, US</t>
        </is>
      </c>
      <c r="H49" s="2" t="n">
        <v>45993</v>
      </c>
      <c r="I4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0">
      <c r="A50" t="inlineStr">
        <is>
          <t>in-dbba6cfbfe3a75cd</t>
        </is>
      </c>
      <c r="B50" t="inlineStr">
        <is>
          <t>Senior Data Scientist, Data and Machine Learning, WWPS US Federal</t>
        </is>
      </c>
      <c r="C50" t="inlineStr">
        <is>
          <t>Amazon Web Services</t>
        </is>
      </c>
      <c r="D50" t="inlineStr">
        <is>
          <t>indeed</t>
        </is>
      </c>
      <c r="E50" t="inlineStr"/>
      <c r="F50" t="inlineStr"/>
      <c r="G50" t="inlineStr">
        <is>
          <t>Arlington, VA, US</t>
        </is>
      </c>
      <c r="H50" s="2" t="n">
        <v>45993</v>
      </c>
      <c r="I5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1">
      <c r="A51" t="inlineStr">
        <is>
          <t>in-d291bd21ef4d3c63</t>
        </is>
      </c>
      <c r="B51" t="inlineStr">
        <is>
          <t>Senior Data Scientist, Data and Machine Learning, WWPS US Federal</t>
        </is>
      </c>
      <c r="C51" t="inlineStr">
        <is>
          <t>Amazon Web Services</t>
        </is>
      </c>
      <c r="D51" t="inlineStr">
        <is>
          <t>indeed</t>
        </is>
      </c>
      <c r="E51" t="inlineStr"/>
      <c r="F51" t="inlineStr"/>
      <c r="G51" t="inlineStr">
        <is>
          <t>Herndon, VA, US</t>
        </is>
      </c>
      <c r="H51" s="2" t="n">
        <v>45993</v>
      </c>
      <c r="I5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2">
      <c r="A52" t="inlineStr">
        <is>
          <t>in-1f6e13fa58e1eb5d</t>
        </is>
      </c>
      <c r="B52" t="inlineStr">
        <is>
          <t>Senior Applied Scientist, Locomotion, Amazon Industrial Robotics</t>
        </is>
      </c>
      <c r="C52" t="inlineStr">
        <is>
          <t>Amazon.com</t>
        </is>
      </c>
      <c r="D52" t="inlineStr">
        <is>
          <t>indeed</t>
        </is>
      </c>
      <c r="E52" t="inlineStr"/>
      <c r="F52" t="inlineStr"/>
      <c r="G52" t="inlineStr">
        <is>
          <t>Reading, MA, US</t>
        </is>
      </c>
      <c r="H52" s="2" t="n">
        <v>45992</v>
      </c>
      <c r="I5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in-b5001727a08d282d</t>
        </is>
      </c>
      <c r="B53" t="inlineStr">
        <is>
          <t>Senior Applied Scientist, Locomotion, Amazon Industrial Robotics</t>
        </is>
      </c>
      <c r="C53" t="inlineStr">
        <is>
          <t>Amazon.com</t>
        </is>
      </c>
      <c r="D53" t="inlineStr">
        <is>
          <t>indeed</t>
        </is>
      </c>
      <c r="E53" t="inlineStr"/>
      <c r="F53" t="inlineStr"/>
      <c r="G53" t="inlineStr">
        <is>
          <t>Reading, MA, US</t>
        </is>
      </c>
      <c r="H53" s="2" t="n">
        <v>45992</v>
      </c>
      <c r="I5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in-9008459ad3ef1df1</t>
        </is>
      </c>
      <c r="B54" t="inlineStr">
        <is>
          <t>Applied Scientist II, Amazon, Amazon</t>
        </is>
      </c>
      <c r="C54" t="inlineStr">
        <is>
          <t>Amazon.com</t>
        </is>
      </c>
      <c r="D54" t="inlineStr">
        <is>
          <t>indeed</t>
        </is>
      </c>
      <c r="E54" t="inlineStr"/>
      <c r="F54" t="inlineStr"/>
      <c r="G54" t="inlineStr">
        <is>
          <t>Seattle, WA, US</t>
        </is>
      </c>
      <c r="H54" s="2" t="n">
        <v>45985</v>
      </c>
      <c r="I54" t="inlineStr">
        <is>
          <t>**DESCRIPTION**
---------------
We’re working to improve shopping on Amazon using the conversational capabilities of large language models, and are searching for pioneers who are passionate about technology, innovation, and customer experience, and are ready to make a lasting impact on the industry. In this role, you will be developing Multimodal and Agentic LLMs to unlock new shopping experiences. Experience in Vision\-Language Multimodal Modeling and Reinforcement Learning is preferred. You'll be working with talented scientists, engineers, and technical program managers (TPM) to innovate on behalf of our customers. If you're fired up about being part of a dynamic, driven team, then this is your moment to join us on this exciting journey!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in-f42532426ff478b9</t>
        </is>
      </c>
      <c r="B55" t="inlineStr">
        <is>
          <t>Principal Applied Scientist, Amazon Special Projects</t>
        </is>
      </c>
      <c r="C55" t="inlineStr">
        <is>
          <t>Amazon.com</t>
        </is>
      </c>
      <c r="D55" t="inlineStr">
        <is>
          <t>indeed</t>
        </is>
      </c>
      <c r="E55" t="inlineStr"/>
      <c r="F55" t="inlineStr"/>
      <c r="G55" t="inlineStr">
        <is>
          <t>Boston, MA, US</t>
        </is>
      </c>
      <c r="H55" s="2" t="n">
        <v>45982</v>
      </c>
      <c r="I5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in-9b55e62cce5f0391</t>
        </is>
      </c>
      <c r="B56" t="inlineStr">
        <is>
          <t>Principal Applied Scientist, Amazon Special Projects</t>
        </is>
      </c>
      <c r="C56" t="inlineStr">
        <is>
          <t>Amazon.com</t>
        </is>
      </c>
      <c r="D56" t="inlineStr">
        <is>
          <t>indeed</t>
        </is>
      </c>
      <c r="E56" t="inlineStr"/>
      <c r="F56" t="inlineStr"/>
      <c r="G56" t="inlineStr">
        <is>
          <t>Seattle, WA, US</t>
        </is>
      </c>
      <c r="H56" s="2" t="n">
        <v>45982</v>
      </c>
      <c r="I5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in-0a9f614646a60eb5</t>
        </is>
      </c>
      <c r="B57" t="inlineStr">
        <is>
          <t>Senior Applied Scientist, Artificial General Intelligence</t>
        </is>
      </c>
      <c r="C57" t="inlineStr">
        <is>
          <t>Amazon.com</t>
        </is>
      </c>
      <c r="D57" t="inlineStr">
        <is>
          <t>indeed</t>
        </is>
      </c>
      <c r="E57" t="inlineStr"/>
      <c r="F57" t="inlineStr"/>
      <c r="G57" t="inlineStr">
        <is>
          <t>Sunnyvale, CA, US</t>
        </is>
      </c>
      <c r="H57" s="2" t="n">
        <v>45980</v>
      </c>
      <c r="I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in-85356cec0a697899</t>
        </is>
      </c>
      <c r="B58" t="inlineStr">
        <is>
          <t>Senior Applied Scientist, Artificial General Intelligence</t>
        </is>
      </c>
      <c r="C58" t="inlineStr">
        <is>
          <t>Amazon.com</t>
        </is>
      </c>
      <c r="D58" t="inlineStr">
        <is>
          <t>indeed</t>
        </is>
      </c>
      <c r="E58" t="inlineStr"/>
      <c r="F58" t="inlineStr"/>
      <c r="G58" t="inlineStr">
        <is>
          <t>Boston, MA, US</t>
        </is>
      </c>
      <c r="H58" s="2" t="n">
        <v>45980</v>
      </c>
      <c r="I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in-5b44ea6e9a8877fa</t>
        </is>
      </c>
      <c r="B59" t="inlineStr">
        <is>
          <t>Senior Applied Scientist, Artificial General Intelligence</t>
        </is>
      </c>
      <c r="C59" t="inlineStr">
        <is>
          <t>Amazon.com</t>
        </is>
      </c>
      <c r="D59" t="inlineStr">
        <is>
          <t>indeed</t>
        </is>
      </c>
      <c r="E59" t="inlineStr"/>
      <c r="F59" t="inlineStr"/>
      <c r="G59" t="inlineStr">
        <is>
          <t>New York, NY, US</t>
        </is>
      </c>
      <c r="H59" s="2" t="n">
        <v>45980</v>
      </c>
      <c r="I5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in-6e9f4e87a183c533</t>
        </is>
      </c>
      <c r="B60" t="inlineStr">
        <is>
          <t>Senior Applied Scientist, Artificial General Intelligence</t>
        </is>
      </c>
      <c r="C60" t="inlineStr">
        <is>
          <t>Amazon.com</t>
        </is>
      </c>
      <c r="D60" t="inlineStr">
        <is>
          <t>indeed</t>
        </is>
      </c>
      <c r="E60" t="inlineStr"/>
      <c r="F60" t="inlineStr"/>
      <c r="G60" t="inlineStr">
        <is>
          <t>Seattle, WA, US</t>
        </is>
      </c>
      <c r="H60" s="2" t="n">
        <v>45980</v>
      </c>
      <c r="I6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in-ea8d79f881fcdf3e</t>
        </is>
      </c>
      <c r="B61" t="inlineStr">
        <is>
          <t>Applied Scientist II, SPB Advertiser Guidance</t>
        </is>
      </c>
      <c r="C61" t="inlineStr">
        <is>
          <t>Amazon.com</t>
        </is>
      </c>
      <c r="D61" t="inlineStr">
        <is>
          <t>indeed</t>
        </is>
      </c>
      <c r="E61" t="inlineStr"/>
      <c r="F61" t="inlineStr"/>
      <c r="G61" t="inlineStr">
        <is>
          <t>Palo Alto, CA, US</t>
        </is>
      </c>
      <c r="H61" s="2" t="n">
        <v>45980</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in-c621dba217848a62</t>
        </is>
      </c>
      <c r="B62" t="inlineStr">
        <is>
          <t>Applied Scientist II, SPB Advertiser Guidance</t>
        </is>
      </c>
      <c r="C62" t="inlineStr">
        <is>
          <t>Amazon.com</t>
        </is>
      </c>
      <c r="D62" t="inlineStr">
        <is>
          <t>indeed</t>
        </is>
      </c>
      <c r="E62" t="inlineStr"/>
      <c r="F62" t="inlineStr"/>
      <c r="G62" t="inlineStr">
        <is>
          <t>New York, NY, US</t>
        </is>
      </c>
      <c r="H62" s="2" t="n">
        <v>45980</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in-efcb9af622a3d00c</t>
        </is>
      </c>
      <c r="B63" t="inlineStr">
        <is>
          <t>Applied Scientist II, SPB Advertiser Guidance</t>
        </is>
      </c>
      <c r="C63" t="inlineStr">
        <is>
          <t>Amazon.com</t>
        </is>
      </c>
      <c r="D63" t="inlineStr">
        <is>
          <t>indeed</t>
        </is>
      </c>
      <c r="E63" t="inlineStr"/>
      <c r="F63" t="inlineStr"/>
      <c r="G63" t="inlineStr">
        <is>
          <t>Seattle, WA, US</t>
        </is>
      </c>
      <c r="H63" s="2" t="n">
        <v>45980</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in-3ee93bede41e4210</t>
        </is>
      </c>
      <c r="B64" t="inlineStr">
        <is>
          <t>Principal Applied Scientist, Sponsored Products and Brands</t>
        </is>
      </c>
      <c r="C64" t="inlineStr">
        <is>
          <t>Amazon.com</t>
        </is>
      </c>
      <c r="D64" t="inlineStr">
        <is>
          <t>indeed</t>
        </is>
      </c>
      <c r="E64" t="inlineStr"/>
      <c r="F64" t="inlineStr"/>
      <c r="G64" t="inlineStr">
        <is>
          <t>New York, NY, US</t>
        </is>
      </c>
      <c r="H64" s="2" t="n">
        <v>45979</v>
      </c>
      <c r="I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in-961f162e58f8700a</t>
        </is>
      </c>
      <c r="B65" t="inlineStr">
        <is>
          <t>Principal Applied Scientist, Sponsored Products and Brands</t>
        </is>
      </c>
      <c r="C65" t="inlineStr">
        <is>
          <t>Amazon.com</t>
        </is>
      </c>
      <c r="D65" t="inlineStr">
        <is>
          <t>indeed</t>
        </is>
      </c>
      <c r="E65" t="inlineStr"/>
      <c r="F65" t="inlineStr"/>
      <c r="G65" t="inlineStr">
        <is>
          <t>Seattle, WA, US</t>
        </is>
      </c>
      <c r="H65" s="2" t="n">
        <v>45979</v>
      </c>
      <c r="I6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in-b9d86d9c9fc5f977</t>
        </is>
      </c>
      <c r="B66" t="inlineStr">
        <is>
          <t>Sr. Applied Scientist, AGI Foundations</t>
        </is>
      </c>
      <c r="C66" t="inlineStr">
        <is>
          <t>Amazon.com</t>
        </is>
      </c>
      <c r="D66" t="inlineStr">
        <is>
          <t>indeed</t>
        </is>
      </c>
      <c r="E66" t="inlineStr"/>
      <c r="F66" t="inlineStr"/>
      <c r="G66" t="inlineStr">
        <is>
          <t>Boston, MA, US</t>
        </is>
      </c>
      <c r="H66" s="2" t="n">
        <v>45978</v>
      </c>
      <c r="I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in-40777b1561b6ef06</t>
        </is>
      </c>
      <c r="B67" t="inlineStr">
        <is>
          <t>Sr. Applied Scientist, AGI Foundations</t>
        </is>
      </c>
      <c r="C67" t="inlineStr">
        <is>
          <t>Amazon.com</t>
        </is>
      </c>
      <c r="D67" t="inlineStr">
        <is>
          <t>indeed</t>
        </is>
      </c>
      <c r="E67" t="inlineStr"/>
      <c r="F67" t="inlineStr"/>
      <c r="G67" t="inlineStr">
        <is>
          <t>Bellevue, WA, US</t>
        </is>
      </c>
      <c r="H67" s="2" t="n">
        <v>45978</v>
      </c>
      <c r="I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in-a92590d0efa81d1b</t>
        </is>
      </c>
      <c r="B68" t="inlineStr">
        <is>
          <t>Sr. Applied Scientist, AGI Foundations</t>
        </is>
      </c>
      <c r="C68" t="inlineStr">
        <is>
          <t>Amazon.com</t>
        </is>
      </c>
      <c r="D68" t="inlineStr">
        <is>
          <t>indeed</t>
        </is>
      </c>
      <c r="E68" t="inlineStr"/>
      <c r="F68" t="inlineStr"/>
      <c r="G68" t="inlineStr">
        <is>
          <t>Sunnyvale, CA, US</t>
        </is>
      </c>
      <c r="H68" s="2" t="n">
        <v>45978</v>
      </c>
      <c r="I6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in-4170abf1d89d1e8e</t>
        </is>
      </c>
      <c r="B69" t="inlineStr">
        <is>
          <t>Sr. Applied Scientist, AGI Foundations</t>
        </is>
      </c>
      <c r="C69" t="inlineStr">
        <is>
          <t>Amazon.com</t>
        </is>
      </c>
      <c r="D69" t="inlineStr">
        <is>
          <t>indeed</t>
        </is>
      </c>
      <c r="E69" t="inlineStr"/>
      <c r="F69" t="inlineStr"/>
      <c r="G69" t="inlineStr">
        <is>
          <t>New York, NY, US</t>
        </is>
      </c>
      <c r="H69" s="2" t="n">
        <v>45978</v>
      </c>
      <c r="I6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in-97f940f42369f792</t>
        </is>
      </c>
      <c r="B70" t="inlineStr">
        <is>
          <t>Applied Scientist II, Robotics and ML, Amazon Industrial Robotics</t>
        </is>
      </c>
      <c r="C70" t="inlineStr">
        <is>
          <t>Amazon.com</t>
        </is>
      </c>
      <c r="D70" t="inlineStr">
        <is>
          <t>indeed</t>
        </is>
      </c>
      <c r="E70" t="inlineStr"/>
      <c r="F70" t="inlineStr"/>
      <c r="G70" t="inlineStr">
        <is>
          <t>Reading, MA, US</t>
        </is>
      </c>
      <c r="H70" s="2" t="n">
        <v>45975</v>
      </c>
      <c r="I7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in-739cd7e6770e4f5d</t>
        </is>
      </c>
      <c r="B71" t="inlineStr">
        <is>
          <t>Applied Scientist II, Robotics and ML, Amazon Industrial Robotics</t>
        </is>
      </c>
      <c r="C71" t="inlineStr">
        <is>
          <t>Amazon.com</t>
        </is>
      </c>
      <c r="D71" t="inlineStr">
        <is>
          <t>indeed</t>
        </is>
      </c>
      <c r="E71" t="inlineStr"/>
      <c r="F71" t="inlineStr"/>
      <c r="G71" t="inlineStr">
        <is>
          <t>Reading, MA, US</t>
        </is>
      </c>
      <c r="H71" s="2" t="n">
        <v>45975</v>
      </c>
      <c r="I7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in-b583d5c67a3c5910</t>
        </is>
      </c>
      <c r="B72" t="inlineStr">
        <is>
          <t>Sr. Applied Scientist, Amazon Industrial Robotics</t>
        </is>
      </c>
      <c r="C72" t="inlineStr">
        <is>
          <t>Amazon.com</t>
        </is>
      </c>
      <c r="D72" t="inlineStr">
        <is>
          <t>indeed</t>
        </is>
      </c>
      <c r="E72" t="inlineStr"/>
      <c r="F72" t="inlineStr"/>
      <c r="G72" t="inlineStr">
        <is>
          <t>Reading, MA, US</t>
        </is>
      </c>
      <c r="H72" s="2" t="n">
        <v>45973</v>
      </c>
      <c r="I7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in-7a084df8ac7cb8f4</t>
        </is>
      </c>
      <c r="B73" t="inlineStr">
        <is>
          <t>Sr. Applied Scientist, Amazon Industrial Robotics</t>
        </is>
      </c>
      <c r="C73" t="inlineStr">
        <is>
          <t>Amazon.com</t>
        </is>
      </c>
      <c r="D73" t="inlineStr">
        <is>
          <t>indeed</t>
        </is>
      </c>
      <c r="E73" t="inlineStr"/>
      <c r="F73" t="inlineStr"/>
      <c r="G73" t="inlineStr">
        <is>
          <t>Reading, MA, US</t>
        </is>
      </c>
      <c r="H73" s="2" t="n">
        <v>45973</v>
      </c>
      <c r="I7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in-f88bd12a937f0521</t>
        </is>
      </c>
      <c r="B74" t="inlineStr">
        <is>
          <t>Principal Applied Scientist, Amazon AGI</t>
        </is>
      </c>
      <c r="C74" t="inlineStr">
        <is>
          <t>Amazon.com</t>
        </is>
      </c>
      <c r="D74" t="inlineStr">
        <is>
          <t>indeed</t>
        </is>
      </c>
      <c r="E74" t="inlineStr"/>
      <c r="F74" t="inlineStr"/>
      <c r="G74" t="inlineStr">
        <is>
          <t>San Francisco, CA, US</t>
        </is>
      </c>
      <c r="H74" s="2" t="n">
        <v>45964</v>
      </c>
      <c r="I7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in-5ea84987944029b3</t>
        </is>
      </c>
      <c r="B75" t="inlineStr">
        <is>
          <t>Principal Applied Scientist, Amazon AGI</t>
        </is>
      </c>
      <c r="C75" t="inlineStr">
        <is>
          <t>Amazon.com</t>
        </is>
      </c>
      <c r="D75" t="inlineStr">
        <is>
          <t>indeed</t>
        </is>
      </c>
      <c r="E75" t="inlineStr"/>
      <c r="F75" t="inlineStr"/>
      <c r="G75" t="inlineStr">
        <is>
          <t>Boston, MA, US</t>
        </is>
      </c>
      <c r="H75" s="2" t="n">
        <v>45964</v>
      </c>
      <c r="I7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in-874d5a5ceb287aa6</t>
        </is>
      </c>
      <c r="B76" t="inlineStr">
        <is>
          <t>Principal Applied Scientist, AWS Agentic AI Science</t>
        </is>
      </c>
      <c r="C76" t="inlineStr">
        <is>
          <t>Amazon Web Services</t>
        </is>
      </c>
      <c r="D76" t="inlineStr">
        <is>
          <t>indeed</t>
        </is>
      </c>
      <c r="E76" t="inlineStr"/>
      <c r="F76" t="inlineStr"/>
      <c r="G76" t="inlineStr">
        <is>
          <t>Santa Clara, CA, US</t>
        </is>
      </c>
      <c r="H76" s="2" t="n">
        <v>45963</v>
      </c>
      <c r="I7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in-dc3ebc226f438dba</t>
        </is>
      </c>
      <c r="B77" t="inlineStr">
        <is>
          <t>Principal Applied Scientist, AWS Agentic AI Science</t>
        </is>
      </c>
      <c r="C77" t="inlineStr">
        <is>
          <t>Amazon Web Services</t>
        </is>
      </c>
      <c r="D77" t="inlineStr">
        <is>
          <t>indeed</t>
        </is>
      </c>
      <c r="E77" t="inlineStr"/>
      <c r="F77" t="inlineStr"/>
      <c r="G77" t="inlineStr">
        <is>
          <t>New York, NY, US</t>
        </is>
      </c>
      <c r="H77" s="2" t="n">
        <v>45963</v>
      </c>
      <c r="I7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in-ff9ad0ce94a21714</t>
        </is>
      </c>
      <c r="B78" t="inlineStr">
        <is>
          <t>Sr. Applied Scientist, Sponsored Product Off-Search</t>
        </is>
      </c>
      <c r="C78" t="inlineStr">
        <is>
          <t>Amazon.com</t>
        </is>
      </c>
      <c r="D78" t="inlineStr">
        <is>
          <t>indeed</t>
        </is>
      </c>
      <c r="E78" t="inlineStr"/>
      <c r="F78" t="inlineStr"/>
      <c r="G78" t="inlineStr">
        <is>
          <t>Seattle, WA, US</t>
        </is>
      </c>
      <c r="H78" s="2" t="n">
        <v>45963</v>
      </c>
      <c r="I7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in-556b573a867ec5b2</t>
        </is>
      </c>
      <c r="B79" t="inlineStr">
        <is>
          <t>Sr. Applied Scientist, Sponsored Product Off-Search</t>
        </is>
      </c>
      <c r="C79" t="inlineStr">
        <is>
          <t>Amazon.com</t>
        </is>
      </c>
      <c r="D79" t="inlineStr">
        <is>
          <t>indeed</t>
        </is>
      </c>
      <c r="E79" t="inlineStr"/>
      <c r="F79" t="inlineStr"/>
      <c r="G79" t="inlineStr">
        <is>
          <t>New York, NY, US</t>
        </is>
      </c>
      <c r="H79" s="2" t="n">
        <v>45963</v>
      </c>
      <c r="I7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in-a7bb50e63e50b4a1</t>
        </is>
      </c>
      <c r="B80" t="inlineStr">
        <is>
          <t>Applied Scientist, AWS Agentic AI</t>
        </is>
      </c>
      <c r="C80" t="inlineStr">
        <is>
          <t>Amazon Web Services</t>
        </is>
      </c>
      <c r="D80" t="inlineStr">
        <is>
          <t>indeed</t>
        </is>
      </c>
      <c r="E80" t="inlineStr"/>
      <c r="F80" t="inlineStr"/>
      <c r="G80" t="inlineStr">
        <is>
          <t>Santa Clara, CA, US</t>
        </is>
      </c>
      <c r="H80" s="2" t="n">
        <v>45962</v>
      </c>
      <c r="I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in-8037005ab1a8a2cf</t>
        </is>
      </c>
      <c r="B81" t="inlineStr">
        <is>
          <t>Applied Scientist, AWS Agentic AI</t>
        </is>
      </c>
      <c r="C81" t="inlineStr">
        <is>
          <t>Amazon Web Services</t>
        </is>
      </c>
      <c r="D81" t="inlineStr">
        <is>
          <t>indeed</t>
        </is>
      </c>
      <c r="E81" t="inlineStr"/>
      <c r="F81" t="inlineStr"/>
      <c r="G81" t="inlineStr">
        <is>
          <t>New York, NY, US</t>
        </is>
      </c>
      <c r="H81" s="2" t="n">
        <v>45962</v>
      </c>
      <c r="I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in-7cb7b2fd4006433f</t>
        </is>
      </c>
      <c r="B82" t="inlineStr">
        <is>
          <t>Applied Scientist, AWS Agentic AI</t>
        </is>
      </c>
      <c r="C82" t="inlineStr">
        <is>
          <t>Amazon Web Services</t>
        </is>
      </c>
      <c r="D82" t="inlineStr">
        <is>
          <t>indeed</t>
        </is>
      </c>
      <c r="E82" t="inlineStr"/>
      <c r="F82" t="inlineStr"/>
      <c r="G82" t="inlineStr">
        <is>
          <t>Seattle, WA, US</t>
        </is>
      </c>
      <c r="H82" s="2" t="n">
        <v>45962</v>
      </c>
      <c r="I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in-15d7fca352a1c3b7</t>
        </is>
      </c>
      <c r="B83" t="inlineStr">
        <is>
          <t>Applied Scientist, Prime Video - Content Understanding, Localization &amp; Enrichment Team</t>
        </is>
      </c>
      <c r="C83" t="inlineStr">
        <is>
          <t>Amazon.com</t>
        </is>
      </c>
      <c r="D83" t="inlineStr">
        <is>
          <t>indeed</t>
        </is>
      </c>
      <c r="E83" t="inlineStr"/>
      <c r="F83" t="inlineStr"/>
      <c r="G83" t="inlineStr">
        <is>
          <t>San Francisco, CA, US</t>
        </is>
      </c>
      <c r="H83" s="2" t="n">
        <v>45943</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4">
      <c r="A84" t="inlineStr">
        <is>
          <t>in-90920fd2d6162c80</t>
        </is>
      </c>
      <c r="B84" t="inlineStr">
        <is>
          <t>Applied Scientist, Prime Video - Content Understanding, Localization &amp; Enrichment Team</t>
        </is>
      </c>
      <c r="C84" t="inlineStr">
        <is>
          <t>Amazon.com</t>
        </is>
      </c>
      <c r="D84" t="inlineStr">
        <is>
          <t>indeed</t>
        </is>
      </c>
      <c r="E84" t="inlineStr"/>
      <c r="F84" t="inlineStr"/>
      <c r="G84" t="inlineStr">
        <is>
          <t>Seattle, WA, US</t>
        </is>
      </c>
      <c r="H84" s="2"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5">
      <c r="A85" t="inlineStr">
        <is>
          <t>in-cb2ba487aa4abb61</t>
        </is>
      </c>
      <c r="B85" t="inlineStr">
        <is>
          <t>Principal Applied Scientist, Advertiser Growth, Amazon Sponsored Products &amp; Brands</t>
        </is>
      </c>
      <c r="C85" t="inlineStr">
        <is>
          <t>Amazon.com</t>
        </is>
      </c>
      <c r="D85" t="inlineStr">
        <is>
          <t>indeed</t>
        </is>
      </c>
      <c r="E85" t="inlineStr"/>
      <c r="F85" t="inlineStr"/>
      <c r="G85" t="inlineStr">
        <is>
          <t>New York, NY, US</t>
        </is>
      </c>
      <c r="H85" s="2"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in-21fdd3f9501e7102</t>
        </is>
      </c>
      <c r="B86" t="inlineStr">
        <is>
          <t>Principal Applied Scientist, Advertiser Growth, Amazon Sponsored Products &amp; Brands</t>
        </is>
      </c>
      <c r="C86" t="inlineStr">
        <is>
          <t>Amazon.com</t>
        </is>
      </c>
      <c r="D86" t="inlineStr">
        <is>
          <t>indeed</t>
        </is>
      </c>
      <c r="E86" t="inlineStr"/>
      <c r="F86" t="inlineStr"/>
      <c r="G86" t="inlineStr">
        <is>
          <t>Palo Alto, CA, US</t>
        </is>
      </c>
      <c r="H86" s="2"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in-250609aac46f7993</t>
        </is>
      </c>
      <c r="B87" t="inlineStr">
        <is>
          <t>Principal Applied Scientist, Advertiser Growth, Amazon Sponsored Products &amp; Brands</t>
        </is>
      </c>
      <c r="C87" t="inlineStr">
        <is>
          <t>Amazon.com</t>
        </is>
      </c>
      <c r="D87" t="inlineStr">
        <is>
          <t>indeed</t>
        </is>
      </c>
      <c r="E87" t="inlineStr"/>
      <c r="F87" t="inlineStr"/>
      <c r="G87" t="inlineStr">
        <is>
          <t>Seattle, WA, US</t>
        </is>
      </c>
      <c r="H87" s="2"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in-73f5869791eab64c</t>
        </is>
      </c>
      <c r="B88" t="inlineStr">
        <is>
          <t>Applied Scientist</t>
        </is>
      </c>
      <c r="C88" t="inlineStr">
        <is>
          <t>Amazon.com</t>
        </is>
      </c>
      <c r="D88" t="inlineStr">
        <is>
          <t>indeed</t>
        </is>
      </c>
      <c r="E88" t="inlineStr"/>
      <c r="F88" t="inlineStr"/>
      <c r="G88" t="inlineStr">
        <is>
          <t>New York, NY, US</t>
        </is>
      </c>
      <c r="H88" s="2" t="n">
        <v>45939</v>
      </c>
      <c r="I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in-c29a291810313049</t>
        </is>
      </c>
      <c r="B89" t="inlineStr">
        <is>
          <t>Applied Scientist</t>
        </is>
      </c>
      <c r="C89" t="inlineStr">
        <is>
          <t>Amazon.com</t>
        </is>
      </c>
      <c r="D89" t="inlineStr">
        <is>
          <t>indeed</t>
        </is>
      </c>
      <c r="E89" t="inlineStr"/>
      <c r="F89" t="inlineStr"/>
      <c r="G89" t="inlineStr">
        <is>
          <t>Palo Alto, CA, US</t>
        </is>
      </c>
      <c r="H89" s="2"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in-74eccb09a9258aea</t>
        </is>
      </c>
      <c r="B90" t="inlineStr">
        <is>
          <t>Applied Scientist</t>
        </is>
      </c>
      <c r="C90" t="inlineStr">
        <is>
          <t>Amazon.com</t>
        </is>
      </c>
      <c r="D90" t="inlineStr">
        <is>
          <t>indeed</t>
        </is>
      </c>
      <c r="E90" t="inlineStr"/>
      <c r="F90" t="inlineStr"/>
      <c r="G90" t="inlineStr">
        <is>
          <t>Seattle, WA, US</t>
        </is>
      </c>
      <c r="H90" s="2" t="n">
        <v>45939</v>
      </c>
      <c r="I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in-85b4e4b9d6ae778e</t>
        </is>
      </c>
      <c r="B91" t="inlineStr">
        <is>
          <t>Sr. Applied Scientist, SPB Advertiser Guidance</t>
        </is>
      </c>
      <c r="C91" t="inlineStr">
        <is>
          <t>Amazon.com</t>
        </is>
      </c>
      <c r="D91" t="inlineStr">
        <is>
          <t>indeed</t>
        </is>
      </c>
      <c r="E91" t="inlineStr"/>
      <c r="F91" t="inlineStr"/>
      <c r="G91" t="inlineStr">
        <is>
          <t>New York, NY, US</t>
        </is>
      </c>
      <c r="H91" s="2" t="n">
        <v>45939</v>
      </c>
      <c r="I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in-4e78584f6930f11c</t>
        </is>
      </c>
      <c r="B92" t="inlineStr">
        <is>
          <t>Sr. Applied Scientist, SPB Advertiser Guidance</t>
        </is>
      </c>
      <c r="C92" t="inlineStr">
        <is>
          <t>Amazon.com</t>
        </is>
      </c>
      <c r="D92" t="inlineStr">
        <is>
          <t>indeed</t>
        </is>
      </c>
      <c r="E92" t="inlineStr"/>
      <c r="F92" t="inlineStr"/>
      <c r="G92" t="inlineStr">
        <is>
          <t>Palo Alto, CA, US</t>
        </is>
      </c>
      <c r="H92" s="2" t="n">
        <v>45939</v>
      </c>
      <c r="I9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in-30b09182675f58d6</t>
        </is>
      </c>
      <c r="B93" t="inlineStr">
        <is>
          <t>Sr. Applied Scientist, SPB Advertiser Guidance</t>
        </is>
      </c>
      <c r="C93" t="inlineStr">
        <is>
          <t>Amazon.com</t>
        </is>
      </c>
      <c r="D93" t="inlineStr">
        <is>
          <t>indeed</t>
        </is>
      </c>
      <c r="E93" t="inlineStr"/>
      <c r="F93" t="inlineStr"/>
      <c r="G93" t="inlineStr">
        <is>
          <t>Seattle, WA, US</t>
        </is>
      </c>
      <c r="H93" s="2" t="n">
        <v>45939</v>
      </c>
      <c r="I9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in-f3ebcf604b55fb18</t>
        </is>
      </c>
      <c r="B94" t="inlineStr">
        <is>
          <t>Senior Applied Scientist, Sponsored Products and Brands</t>
        </is>
      </c>
      <c r="C94" t="inlineStr">
        <is>
          <t>Amazon.com</t>
        </is>
      </c>
      <c r="D94" t="inlineStr">
        <is>
          <t>indeed</t>
        </is>
      </c>
      <c r="E94" t="inlineStr"/>
      <c r="F94" t="inlineStr"/>
      <c r="G94" t="inlineStr">
        <is>
          <t>New York, NY, US</t>
        </is>
      </c>
      <c r="H94" s="2" t="n">
        <v>45922</v>
      </c>
      <c r="I9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in-6dd89d8abff600c7</t>
        </is>
      </c>
      <c r="B95" t="inlineStr">
        <is>
          <t>Senior Applied Scientist, Sponsored Products and Brands</t>
        </is>
      </c>
      <c r="C95" t="inlineStr">
        <is>
          <t>Amazon.com</t>
        </is>
      </c>
      <c r="D95" t="inlineStr">
        <is>
          <t>indeed</t>
        </is>
      </c>
      <c r="E95" t="inlineStr"/>
      <c r="F95" t="inlineStr"/>
      <c r="G95" t="inlineStr">
        <is>
          <t>Seattle, WA, US</t>
        </is>
      </c>
      <c r="H95" s="2" t="n">
        <v>45922</v>
      </c>
      <c r="I9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in-bbcd1dfa1f27169d</t>
        </is>
      </c>
      <c r="B96" t="inlineStr">
        <is>
          <t>Applied Scientist, Workplace Health &amp; Safety</t>
        </is>
      </c>
      <c r="C96" t="inlineStr">
        <is>
          <t>Amazon.com</t>
        </is>
      </c>
      <c r="D96" t="inlineStr">
        <is>
          <t>indeed</t>
        </is>
      </c>
      <c r="E96" t="inlineStr"/>
      <c r="F96" t="inlineStr"/>
      <c r="G96" t="inlineStr">
        <is>
          <t>Nashville, TN, US</t>
        </is>
      </c>
      <c r="H96" s="2" t="n">
        <v>45917</v>
      </c>
      <c r="I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in-525d419699645ba4</t>
        </is>
      </c>
      <c r="B97" t="inlineStr">
        <is>
          <t>Applied Scientist, Workplace Health &amp; Safety</t>
        </is>
      </c>
      <c r="C97" t="inlineStr">
        <is>
          <t>Amazon.com</t>
        </is>
      </c>
      <c r="D97" t="inlineStr">
        <is>
          <t>indeed</t>
        </is>
      </c>
      <c r="E97" t="inlineStr"/>
      <c r="F97" t="inlineStr"/>
      <c r="G97" t="inlineStr">
        <is>
          <t>Bellevue, WA, US</t>
        </is>
      </c>
      <c r="H97" s="2" t="n">
        <v>45917</v>
      </c>
      <c r="I9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in-129a9ec210b86d1c</t>
        </is>
      </c>
      <c r="B98" t="inlineStr">
        <is>
          <t>Sr. Applied Scientist, Amazon Advertising</t>
        </is>
      </c>
      <c r="C98" t="inlineStr">
        <is>
          <t>Amazon.com</t>
        </is>
      </c>
      <c r="D98" t="inlineStr">
        <is>
          <t>indeed</t>
        </is>
      </c>
      <c r="E98" t="inlineStr"/>
      <c r="F98" t="inlineStr"/>
      <c r="G98" t="inlineStr">
        <is>
          <t>West Hollywood,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in-667240e6f8f4b432</t>
        </is>
      </c>
      <c r="B99" t="inlineStr">
        <is>
          <t>Sr. Applied Scientist, Amazon Advertising</t>
        </is>
      </c>
      <c r="C99" t="inlineStr">
        <is>
          <t>Amazon.com</t>
        </is>
      </c>
      <c r="D99" t="inlineStr">
        <is>
          <t>indeed</t>
        </is>
      </c>
      <c r="E99" t="inlineStr"/>
      <c r="F99" t="inlineStr"/>
      <c r="G99" t="inlineStr">
        <is>
          <t>Seattle, WA,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in-c63bdd1ad77305ed</t>
        </is>
      </c>
      <c r="B100" t="inlineStr">
        <is>
          <t>Sr. Applied Scientist, Amazon Advertising</t>
        </is>
      </c>
      <c r="C100" t="inlineStr">
        <is>
          <t>Amazon.com</t>
        </is>
      </c>
      <c r="D100" t="inlineStr">
        <is>
          <t>indeed</t>
        </is>
      </c>
      <c r="E100" t="inlineStr"/>
      <c r="F100" t="inlineStr"/>
      <c r="G100" t="inlineStr">
        <is>
          <t>Los Angeles, CA,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in-5935bdb66d43dfa8</t>
        </is>
      </c>
      <c r="B101" t="inlineStr">
        <is>
          <t>Sr. Applied Scientist, Amazon Advertising</t>
        </is>
      </c>
      <c r="C101" t="inlineStr">
        <is>
          <t>Amazon.com</t>
        </is>
      </c>
      <c r="D101" t="inlineStr">
        <is>
          <t>indeed</t>
        </is>
      </c>
      <c r="E101" t="inlineStr"/>
      <c r="F101" t="inlineStr"/>
      <c r="G101" t="inlineStr">
        <is>
          <t>New York, NY,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in-0d16a126a28c166e</t>
        </is>
      </c>
      <c r="B102" t="inlineStr">
        <is>
          <t>Sr. Applied Scientist, Amazon Advertising</t>
        </is>
      </c>
      <c r="C102" t="inlineStr">
        <is>
          <t>Amazon.com</t>
        </is>
      </c>
      <c r="D102" t="inlineStr">
        <is>
          <t>indeed</t>
        </is>
      </c>
      <c r="E102" t="inlineStr"/>
      <c r="F102" t="inlineStr"/>
      <c r="G102" t="inlineStr">
        <is>
          <t>Palo Alto, CA,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in-e9b2b64b58cf76f1</t>
        </is>
      </c>
      <c r="B103" t="inlineStr">
        <is>
          <t>Sr. Applied Scientist, Amazon Advertising</t>
        </is>
      </c>
      <c r="C103" t="inlineStr">
        <is>
          <t>Amazon.com</t>
        </is>
      </c>
      <c r="D103" t="inlineStr">
        <is>
          <t>indeed</t>
        </is>
      </c>
      <c r="E103" t="inlineStr"/>
      <c r="F103" t="inlineStr"/>
      <c r="G103" t="inlineStr">
        <is>
          <t>Arlington, VA,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in-e7a3d0d870142ce4</t>
        </is>
      </c>
      <c r="B104" t="inlineStr">
        <is>
          <t>Sr. Applied Scientist, Amazon Advertising</t>
        </is>
      </c>
      <c r="C104" t="inlineStr">
        <is>
          <t>Amazon.com</t>
        </is>
      </c>
      <c r="D104" t="inlineStr">
        <is>
          <t>indeed</t>
        </is>
      </c>
      <c r="E104" t="inlineStr"/>
      <c r="F104" t="inlineStr"/>
      <c r="G104" t="inlineStr">
        <is>
          <t>Austin, TX,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in-6df8eabb2561aa74</t>
        </is>
      </c>
      <c r="B105" t="inlineStr">
        <is>
          <t>Sr. Applied Scientist, Amazon Advertising</t>
        </is>
      </c>
      <c r="C105" t="inlineStr">
        <is>
          <t>Amazon.com</t>
        </is>
      </c>
      <c r="D105" t="inlineStr">
        <is>
          <t>indeed</t>
        </is>
      </c>
      <c r="E105" t="inlineStr"/>
      <c r="F105" t="inlineStr"/>
      <c r="G105" t="inlineStr">
        <is>
          <t>Simi Valley,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in-a05e4d97bd7be32f</t>
        </is>
      </c>
      <c r="B106" t="inlineStr">
        <is>
          <t>Senior Applied Scientist, Artificial General Intelligence</t>
        </is>
      </c>
      <c r="C106" t="inlineStr">
        <is>
          <t>Amazon.com</t>
        </is>
      </c>
      <c r="D106" t="inlineStr">
        <is>
          <t>indeed</t>
        </is>
      </c>
      <c r="E106" t="inlineStr"/>
      <c r="F106" t="inlineStr"/>
      <c r="G106" t="inlineStr">
        <is>
          <t>New York, NY, US</t>
        </is>
      </c>
      <c r="H106" s="2" t="n">
        <v>45838</v>
      </c>
      <c r="I1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in-b27e7ceb29c682c0</t>
        </is>
      </c>
      <c r="B107" t="inlineStr">
        <is>
          <t>Senior Applied Scientist, Artificial General Intelligence</t>
        </is>
      </c>
      <c r="C107" t="inlineStr">
        <is>
          <t>Amazon.com</t>
        </is>
      </c>
      <c r="D107" t="inlineStr">
        <is>
          <t>indeed</t>
        </is>
      </c>
      <c r="E107" t="inlineStr"/>
      <c r="F107" t="inlineStr"/>
      <c r="G107" t="inlineStr">
        <is>
          <t>Boston, MA, US</t>
        </is>
      </c>
      <c r="H107" s="2" t="n">
        <v>45838</v>
      </c>
      <c r="I1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in-eed3986e5f1b0cb6</t>
        </is>
      </c>
      <c r="B108" t="inlineStr">
        <is>
          <t>Senior Applied Scientist, Artificial General Intelligence</t>
        </is>
      </c>
      <c r="C108" t="inlineStr">
        <is>
          <t>Amazon.com</t>
        </is>
      </c>
      <c r="D108" t="inlineStr">
        <is>
          <t>indeed</t>
        </is>
      </c>
      <c r="E108" t="inlineStr"/>
      <c r="F108" t="inlineStr"/>
      <c r="G108" t="inlineStr">
        <is>
          <t>Sunnyvale, CA, US</t>
        </is>
      </c>
      <c r="H108" s="2" t="n">
        <v>45838</v>
      </c>
      <c r="I10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in-8d93825fcc1674e6</t>
        </is>
      </c>
      <c r="B109" t="inlineStr">
        <is>
          <t>Sr. Applied Scientist, Sales AI</t>
        </is>
      </c>
      <c r="C109" t="inlineStr">
        <is>
          <t>Amazon.com</t>
        </is>
      </c>
      <c r="D109" t="inlineStr">
        <is>
          <t>indeed</t>
        </is>
      </c>
      <c r="E109" t="inlineStr"/>
      <c r="F109" t="inlineStr"/>
      <c r="G109" t="inlineStr">
        <is>
          <t>New York, NY, US</t>
        </is>
      </c>
      <c r="H109" s="2" t="n">
        <v>45830</v>
      </c>
      <c r="I1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in-73c200ca93770855</t>
        </is>
      </c>
      <c r="B110" t="inlineStr">
        <is>
          <t>Sr. Applied Scientist, Sales AI</t>
        </is>
      </c>
      <c r="C110" t="inlineStr">
        <is>
          <t>Amazon.com</t>
        </is>
      </c>
      <c r="D110" t="inlineStr">
        <is>
          <t>indeed</t>
        </is>
      </c>
      <c r="E110" t="inlineStr"/>
      <c r="F110" t="inlineStr"/>
      <c r="G110" t="inlineStr">
        <is>
          <t>Seattle, WA, US</t>
        </is>
      </c>
      <c r="H110" s="2" t="n">
        <v>45830</v>
      </c>
      <c r="I1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in-bb6aa59771893b3c</t>
        </is>
      </c>
      <c r="B111" t="inlineStr">
        <is>
          <t>Sr. Applied Scientist, Sales AI</t>
        </is>
      </c>
      <c r="C111" t="inlineStr">
        <is>
          <t>Amazon.com</t>
        </is>
      </c>
      <c r="D111" t="inlineStr">
        <is>
          <t>indeed</t>
        </is>
      </c>
      <c r="E111" t="inlineStr"/>
      <c r="F111" t="inlineStr"/>
      <c r="G111" t="inlineStr">
        <is>
          <t>Sunnyvale, CA, US</t>
        </is>
      </c>
      <c r="H111" s="2" t="n">
        <v>45830</v>
      </c>
      <c r="I11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in-52ac551cc5cd1690</t>
        </is>
      </c>
      <c r="B112" t="inlineStr">
        <is>
          <t>Principal Applied Scientist, Delivery Foundation Model</t>
        </is>
      </c>
      <c r="C112" t="inlineStr">
        <is>
          <t>Amazon.com</t>
        </is>
      </c>
      <c r="D112" t="inlineStr">
        <is>
          <t>indeed</t>
        </is>
      </c>
      <c r="E112" t="inlineStr"/>
      <c r="F112" t="inlineStr"/>
      <c r="G112" t="inlineStr">
        <is>
          <t>Santa Clara, CA, US</t>
        </is>
      </c>
      <c r="H112" s="2"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in-07e1e6d22f242a24</t>
        </is>
      </c>
      <c r="B113" t="inlineStr">
        <is>
          <t>Principal Applied Scientist, Delivery Foundation Model</t>
        </is>
      </c>
      <c r="C113" t="inlineStr">
        <is>
          <t>Amazon.com</t>
        </is>
      </c>
      <c r="D113" t="inlineStr">
        <is>
          <t>indeed</t>
        </is>
      </c>
      <c r="E113" t="inlineStr"/>
      <c r="F113" t="inlineStr"/>
      <c r="G113" t="inlineStr">
        <is>
          <t>Bellevue, WA, US</t>
        </is>
      </c>
      <c r="H113" s="2" t="n">
        <v>45810</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in-cf6d7b065bd43f7e</t>
        </is>
      </c>
      <c r="B114" t="inlineStr">
        <is>
          <t>Principal Applied Scientist, Delivery Foundation Model</t>
        </is>
      </c>
      <c r="C114" t="inlineStr">
        <is>
          <t>Amazon.com</t>
        </is>
      </c>
      <c r="D114" t="inlineStr">
        <is>
          <t>indeed</t>
        </is>
      </c>
      <c r="E114" t="inlineStr"/>
      <c r="F114" t="inlineStr"/>
      <c r="G114" t="inlineStr">
        <is>
          <t>New York, NY, US</t>
        </is>
      </c>
      <c r="H114" s="2" t="n">
        <v>45810</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in-40bdeb80004dce1f</t>
        </is>
      </c>
      <c r="B115" t="inlineStr">
        <is>
          <t>Principal Applied Scientist, Delivery Foundation Model</t>
        </is>
      </c>
      <c r="C115" t="inlineStr">
        <is>
          <t>Amazon.com</t>
        </is>
      </c>
      <c r="D115" t="inlineStr">
        <is>
          <t>indeed</t>
        </is>
      </c>
      <c r="E115" t="inlineStr"/>
      <c r="F115" t="inlineStr"/>
      <c r="G115" t="inlineStr">
        <is>
          <t>Austin, TX, US</t>
        </is>
      </c>
      <c r="H115" s="2" t="n">
        <v>45810</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in-713573933f0ad5c9</t>
        </is>
      </c>
      <c r="B116" t="inlineStr">
        <is>
          <t>Senior Applied Scientist, Delivery Foundation Model</t>
        </is>
      </c>
      <c r="C116" t="inlineStr">
        <is>
          <t>Amazon.com</t>
        </is>
      </c>
      <c r="D116" t="inlineStr">
        <is>
          <t>indeed</t>
        </is>
      </c>
      <c r="E116" t="inlineStr"/>
      <c r="F116" t="inlineStr"/>
      <c r="G116" t="inlineStr">
        <is>
          <t>Bellevue, WA, US</t>
        </is>
      </c>
      <c r="H116" s="2" t="n">
        <v>45806</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in-85ef36737748a41b</t>
        </is>
      </c>
      <c r="B117" t="inlineStr">
        <is>
          <t>Senior Applied Scientist, Delivery Foundation Model</t>
        </is>
      </c>
      <c r="C117" t="inlineStr">
        <is>
          <t>Amazon.com</t>
        </is>
      </c>
      <c r="D117" t="inlineStr">
        <is>
          <t>indeed</t>
        </is>
      </c>
      <c r="E117" t="inlineStr"/>
      <c r="F117" t="inlineStr"/>
      <c r="G117" t="inlineStr">
        <is>
          <t>New York, NY, US</t>
        </is>
      </c>
      <c r="H117" s="2" t="n">
        <v>45806</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in-060be04ee4c5c6fe</t>
        </is>
      </c>
      <c r="B118" t="inlineStr">
        <is>
          <t>Senior Applied Scientist, Delivery Foundation Model</t>
        </is>
      </c>
      <c r="C118" t="inlineStr">
        <is>
          <t>Amazon.com</t>
        </is>
      </c>
      <c r="D118" t="inlineStr">
        <is>
          <t>indeed</t>
        </is>
      </c>
      <c r="E118" t="inlineStr"/>
      <c r="F118" t="inlineStr"/>
      <c r="G118" t="inlineStr">
        <is>
          <t>Santa Clara, CA, US</t>
        </is>
      </c>
      <c r="H118" s="2" t="n">
        <v>45806</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in-e68dc201f4d8c40a</t>
        </is>
      </c>
      <c r="B119" t="inlineStr">
        <is>
          <t>Principal Applied Scientist, Delivery Foundation Model</t>
        </is>
      </c>
      <c r="C119" t="inlineStr">
        <is>
          <t>Amazon.com</t>
        </is>
      </c>
      <c r="D119" t="inlineStr">
        <is>
          <t>indeed</t>
        </is>
      </c>
      <c r="E119" t="inlineStr"/>
      <c r="F119" t="inlineStr"/>
      <c r="G119" t="inlineStr">
        <is>
          <t>Bellevue, WA, US</t>
        </is>
      </c>
      <c r="H119" s="2" t="n">
        <v>45757</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in-cf9583de74bff015</t>
        </is>
      </c>
      <c r="B120" t="inlineStr">
        <is>
          <t>Principal Applied Scientist, Delivery Foundation Model</t>
        </is>
      </c>
      <c r="C120" t="inlineStr">
        <is>
          <t>Amazon.com</t>
        </is>
      </c>
      <c r="D120" t="inlineStr">
        <is>
          <t>indeed</t>
        </is>
      </c>
      <c r="E120" t="inlineStr"/>
      <c r="F120" t="inlineStr"/>
      <c r="G120" t="inlineStr">
        <is>
          <t>Santa Clara, CA, US</t>
        </is>
      </c>
      <c r="H120" s="2"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in-8a91a4ceb364f643</t>
        </is>
      </c>
      <c r="B121" t="inlineStr">
        <is>
          <t>Principal Applied Scientist, Delivery Foundation Model</t>
        </is>
      </c>
      <c r="C121" t="inlineStr">
        <is>
          <t>Amazon.com</t>
        </is>
      </c>
      <c r="D121" t="inlineStr">
        <is>
          <t>indeed</t>
        </is>
      </c>
      <c r="E121" t="inlineStr"/>
      <c r="F121" t="inlineStr"/>
      <c r="G121" t="inlineStr">
        <is>
          <t>New York, NY, US</t>
        </is>
      </c>
      <c r="H121" s="2" t="n">
        <v>45757</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in-c8421eb3c3526eee</t>
        </is>
      </c>
      <c r="B122" t="inlineStr">
        <is>
          <t>Principal Applied Scientist, FAR (Frontier AI &amp; Robotics)</t>
        </is>
      </c>
      <c r="C122" t="inlineStr">
        <is>
          <t>Amazon.com</t>
        </is>
      </c>
      <c r="D122" t="inlineStr">
        <is>
          <t>indeed</t>
        </is>
      </c>
      <c r="E122" t="inlineStr"/>
      <c r="F122" t="inlineStr"/>
      <c r="G122" t="inlineStr">
        <is>
          <t>San Francisco, CA, US</t>
        </is>
      </c>
      <c r="H122" s="2" t="n">
        <v>45740</v>
      </c>
      <c r="I12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in-c522188e6acd2b34</t>
        </is>
      </c>
      <c r="B123" t="inlineStr">
        <is>
          <t>Principal Applied Scientist, FAR (Frontier AI &amp; Robotics)</t>
        </is>
      </c>
      <c r="C123" t="inlineStr">
        <is>
          <t>Amazon.com</t>
        </is>
      </c>
      <c r="D123" t="inlineStr">
        <is>
          <t>indeed</t>
        </is>
      </c>
      <c r="E123" t="inlineStr"/>
      <c r="F123" t="inlineStr"/>
      <c r="G123" t="inlineStr">
        <is>
          <t>Seattle, WA, US</t>
        </is>
      </c>
      <c r="H123" s="2" t="n">
        <v>45740</v>
      </c>
      <c r="I1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in-9fe4fa1b32642bce</t>
        </is>
      </c>
      <c r="B124" t="inlineStr">
        <is>
          <t>Applied Scientist, Alexa Smart Home</t>
        </is>
      </c>
      <c r="C124" t="inlineStr">
        <is>
          <t>Amazon.com</t>
        </is>
      </c>
      <c r="D124" t="inlineStr">
        <is>
          <t>indeed</t>
        </is>
      </c>
      <c r="E124" t="inlineStr"/>
      <c r="F124" t="inlineStr"/>
      <c r="G124" t="inlineStr">
        <is>
          <t>Seattle, WA, US</t>
        </is>
      </c>
      <c r="H124" s="2" t="n">
        <v>46033</v>
      </c>
      <c r="I12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5">
      <c r="A125" t="inlineStr">
        <is>
          <t>in-6c99e4de8ec495d8</t>
        </is>
      </c>
      <c r="B125" t="inlineStr">
        <is>
          <t>Applied Scientist, Alexa Smart Home</t>
        </is>
      </c>
      <c r="C125" t="inlineStr">
        <is>
          <t>Amazon.com</t>
        </is>
      </c>
      <c r="D125" t="inlineStr">
        <is>
          <t>indeed</t>
        </is>
      </c>
      <c r="E125" t="inlineStr"/>
      <c r="F125" t="inlineStr"/>
      <c r="G125" t="inlineStr">
        <is>
          <t>Sunnyvale, CA, US</t>
        </is>
      </c>
      <c r="H125" s="2" t="n">
        <v>46033</v>
      </c>
      <c r="I12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6">
      <c r="A126" t="inlineStr">
        <is>
          <t>in-72f9cba2db7c7d2a</t>
        </is>
      </c>
      <c r="B126" t="inlineStr">
        <is>
          <t>Senior Applied Data Scientist</t>
        </is>
      </c>
      <c r="C126" t="inlineStr">
        <is>
          <t>The Hearst Corporation</t>
        </is>
      </c>
      <c r="D126" t="inlineStr">
        <is>
          <t>indeed</t>
        </is>
      </c>
      <c r="E126">
        <f>HYPERLINK("https://www.indeed.com/viewjob?jk=72f9cba2db7c7d2a", "https://www.indeed.com/viewjob?jk=72f9cba2db7c7d2a")</f>
        <v/>
      </c>
      <c r="F126">
        <f>HYPERLINK("https://eevd.fa.us6.oraclecloud.com/hcmUI/CandidateExperience/en/sites/CX_1/job/2025845", "https://eevd.fa.us6.oraclecloud.com/hcmUI/CandidateExperience/en/sites/CX_1/job/2025845")</f>
        <v/>
      </c>
      <c r="G126" t="inlineStr">
        <is>
          <t>New York, NY, US</t>
        </is>
      </c>
      <c r="H126" s="3" t="n">
        <v>46050</v>
      </c>
      <c r="I126" t="inlineStr">
        <is>
          <t>**Be Part of What’s Next**
--------------------------
 ### **Senior Applied Data Scientist, BI Engineering**
Help shape the next evolution of Hearst Magazines’ analytics maturity—moving from descriptive reporting to predictive and prescriptive insights that power smarter decisions. In this role, you’ll bridge BI Engineering and Data Science to build scalable models, simulations, and optimization frameworks that drive revenue growth, audience engagement, and executive decision\-making.  
 **About Hearst Magazines (Why Us?)**
------------------------------------
Hearst Magazines’ portfolio of more than 30 iconic brands in the U.S.—including Cosmopolitan, ELLE, Esquire, Good Housekeeping, Harper’s BAZAAR, and Popular Mechanics — inspires, entertains, and builds new and bold experiences for an engaged and growing audience across digital, video, social and print, reaching nearly 130 million readers and site visitors each month. With sophisticated content creation, cutting\-edge technology, and industry\-leading data capabilities, we make media and products that move people across all platforms. We are a global media company that publishes nearly 200 magazine editions and 175 websites around the world—and together, we are shaping what’s next.  
 **Key Responsibilities (What You’re Doing)**
--------------------------------------------
* Develop and maintain analytical and semantic layers and data models that integrate, clean, and transform data from multiple sources into unified, analytics\-ready datasets that enable fast querying for reporting and analysis.
* Contribute to the organization’s data maturity roadmap by evolving the BI foundation from descriptive toward predictive and prescriptive analytics.
* Partner with BI Engineering to leverage governed analytical and semantic layers in BigQuery.
* Collaborate with BI Engineers to operationalize model outputs as analytical tables or scheduled DBT/Airflow jobs.
* Develop and validate predictive and prescriptive models that translate business questions into actionable insights for strategic and operational decision\-making.
* Build “what\-if” simulations and optimization frameworks to evaluate business scenarios and guide planning.
* Conduct statistical analysis to assess the quality, consistency, and health of datasets, ensuring reliable inputs for modeling and decision support.
* Design and analyze controlled experiments to measure the impact of product, audience, or marketing initiatives.
* Present results and recommendations through clear visualizations, concise narratives, and executive\-facing summaries.
**Qualifications (What We’re Looking For)**
-------------------------------------------
* 3–6 years of experience in applied data science, predictive analytics, or quantitative modeling.
* Proficiency in Python (Pandas, Scikit\-Learn, Statsmodels, Prophet) and SQL (BigQuery preferred).
* Hands\-on experience with statistical, forecasting, and optimization techniques applied to real\-world business challenges.
* Ability to perform data quality assessments and statistical diagnostics to monitor the health and stability of analytical datasets.
* Strong understanding of experimentation design, causal inference, and model evaluation methods.
* Familiarity with data orchestration and modeling tools such as DBT, Airflow, or similar.
* Comfortable working within a cloud data warehouse environment and collaborating closely with BI and Engineering teams.
 Excellent communication and data storytelling skills — able to translate complex models into clear business insights.  
* Nice to have: experience in digital media, marketing analytics, or revenue optimization; familiarity with Looker or other semantic\-layer tools.
* **In\-office requirement: New York\-based, hybrid role with 4 days per week in the office.**
**Preferred Skills:**
---------------------
* Exposure to marketing, media, or commerce analytics, including traffic, audience, or revenue optimization use cases.
* Understanding of Bayesian statistics, time\-series forecasting, or optimization methods for scenario simulation.
* Experience building forecast validation and monitoring frameworks to track model drift and accuracy over time.
* Working knowledge of data visualization and narrative storytelling best practices (e.g., Looker, Tableau, or custom Python visualizations).
* Familiarity with GCP tools (BigQuery, Cloud Composer, Vertex AI Workbench, etc.) or equivalent AWS/Azure environments.
* Interest in generative AI and LLM applications that enhance business intelligence (e.g., automated insights, natural\-language querying).
**Benefits (What We Offer)**
----------------------------
At Hearst Magazines, we invest in your success and well\-being—professionally and personally. Benefits include:
* **Work with the Best:**  
 Collaborate with top\-tier professionals across media, advertising, tech, fashion, lifestyle, and publishing, shaping the future of these dynamic industries.
* **Grow Your Skills:**  
 Unlock your potential with access to innovative training programs, immersive workshops, and exclusive industry events.
* **Work\-Life Harmony:**  
 Enjoy the flexibility of hybrid work, empowering you to balance professional success with personal priorities.
* **Foster Connection \&amp; Belonging:**  
 Join our Employee Resource Groups and help create a welcoming workplace where everyone feels valued and empowered.
* **Wellness First:**  
 Prioritize your well\-being with a comprehensive benefits package that includes medical, dental, and vision insurance from Day 1\.
* **Plan for Your Financial Future:**  
 Enjoy competitive financial perks, including a 401(k) plan with a generous company match.
 The base salary for this role is between $133,000 \- $178,000\. The actual base pay offered is dependent upon many factors, such as: transferable skills, work experience, business needs and market demands. The base pay range is subject to change and may be modified in the future.  
Hearst is an Equal Opportunity Employer. All qualified applicants will receive consideration for employment without regard to race, color, religion, sex, sexual orientation, gender identity, national origin, disability, protected veteran status, or any other characteristic protected by law.
Degree Level :</t>
        </is>
      </c>
    </row>
    <row r="127">
      <c r="A127" t="inlineStr">
        <is>
          <t>in-9a9eb3e316b2765c</t>
        </is>
      </c>
      <c r="B127" t="inlineStr">
        <is>
          <t>Data Scientist</t>
        </is>
      </c>
      <c r="C127" t="inlineStr">
        <is>
          <t>Safe-Guard Products International, LLC</t>
        </is>
      </c>
      <c r="D127" t="inlineStr">
        <is>
          <t>indeed</t>
        </is>
      </c>
      <c r="E127">
        <f>HYPERLINK("https://www.indeed.com/viewjob?jk=9a9eb3e316b2765c", "https://www.indeed.com/viewjob?jk=9a9eb3e316b2765c")</f>
        <v/>
      </c>
      <c r="F127">
        <f>HYPERLINK("https://workforcenow.adp.com/mascsr/default/mdf/recruitment/recruitment.html?cid=6bffc68e-662d-4c02-8375-b102bf145f00&amp;ccId=19000101_000001&amp;jobId=945525&amp;source=IN&amp;lang=en_US", "https://workforcenow.adp.com/mascsr/default/mdf/recruitment/recruitment.html?cid=6bffc68e-662d-4c02-8375-b102bf145f00&amp;ccId=19000101_000001&amp;jobId=945525&amp;source=IN&amp;lang=en_US")</f>
        <v/>
      </c>
      <c r="G127" t="inlineStr">
        <is>
          <t>Atlanta, GA, US</t>
        </is>
      </c>
      <c r="H127" s="3" t="n">
        <v>46050</v>
      </c>
      <c r="I127" t="inlineStr">
        <is>
          <t>***Please do not respond to direct messages with your personal information. All job applications and your sensitive, personal information should only be submitted via our official job platform.***
**Job Title:** Data Scientist (hybrid\- onsite Monday\- Thursday)
**Location:** US\-GA\-Atlanta (Sandy Springs)
**FLSA**: Non\-exempt
\#LI\-Hybrid
 **Job Overview**:
Safe\-Guard’s Risk Department is expanding and adding a new Data Scientist role within the Enterprise Analytics team. Safe\-Guard has claims and contract data on over 40 million vehicles, with thousands of vehicles added every day. We are the leading provider of automotive warranties in North America, providing warranties to a wide variety of clients. Our clients include BMW, Mercedes\-Benz, GM, and many more.
As a Data Scientist at Safe\-Guard, you will be responsible for a wide variety of analytical tasks. This includes but is not limited to: deploying and monitoring machine learning solutions, gathering data from different systems using SQL/Python, and working with business partners to identify new analytical projects. The ideal candidate will be comfortable taking ownership of complex analytical projects and leading them from start (opportunity identification) to finish (deployment and monitoring).
**Job Responsibilities:**
* Collaborate with IT, Claims, Legal, and Sales teams to identify ways in which analytics can be leveraged to increase profitability
* Develop, deploy, and monitor enterprise\-wide AI and machine learning solutions to support both claims and sales analytics initiatives
* Provide guidance on AI and machine learning best practices
* Provide data insights to drive business outcomes, business decisions, and strategy
* Lead a small team of Data Engineers and Data Analysts
*The above statements are intended only to describe the general nature of the job and should not be construed as an all\-inclusive list of position responsibilities.*
 **Job Requirements:**
* 4\+ years working in analytical role (e.g., data scientist, data analyst, etc.)
* Proven track record of developing and deploying analytical solutions
* Foundational understanding of common data science techniques such as logistic regression, decision trees, clustering, A/B testing, design of experiments, hypothesis testing, and neural networks
* B.S. in mathematics, computer science, statistics, engineering, or equivalent
* M.S. in mathematics, computer science, statistics, engineering, or equivalent (preferred)
* Expert proficiency in SQL, Python, and Git
* Strong written and verbal communication skills
* Experience leading or mentoring Jr. Data professionals
**Company Benefits:**
* Medical, Dental, and Vision Insurance
* Flexible Spending Account
* Health Savings Account
* 401(k) Plan with Company Match
* Company\-paid Short\-Term and Long\-Term Disability
* Company\-paid Life Insurance
* Paid Holidays and Vacation
* Employee Referral Program
* Employee Assistance Program
* Wellness Programs
* Paid Community Service Opportunities
* Tuition Reimbursement
* Ongoing Training \&amp; Personal Development
* And More!
**About Safe\-Guard Products International:**
Safe\-Guard serves Original Equipment Manufacturers (OEMs), top retailers, and independent agents in the automotive finance and insurance industry with the leading Protection Products Platform. Our platform delivers innovative protection products and solutions that protect consumers from the perils of ownership, while providing Finance \&amp;Insurance professionals the tools to ignite scalable and sustainable business growth. Safe\-Guard’s success is driven by over 850 employees, who serve more than 12,000 dealers and support contract holders across the U.S. and Canada.
For 30 years and counting, our team continues to transform the motor vehicle space, earning a stellar reputation from our partners and peers by providing: 1\) the highest quality protection products in the industry, 2\) a broad platform of branded product, technology, marketing, and training solutions, and 3\) an unwavering commitment to uncomplicated care and customer service.
*Safe\-Guard Products International is an equal opportunity employer and gives consideration for employment to qualified applicants without regard to age, race, color, religion, creed, sex, sexual orientation, gender identity or expression, national origin, marital status, disability or protected veteran status, or any other status or characteristic protected by federal, state, or local law.*</t>
        </is>
      </c>
    </row>
    <row r="128">
      <c r="A128" t="inlineStr">
        <is>
          <t>in-4586f14866168e01</t>
        </is>
      </c>
      <c r="B128" t="inlineStr">
        <is>
          <t>Data Scientist</t>
        </is>
      </c>
      <c r="C128" t="inlineStr">
        <is>
          <t>Hewlett Packard Enterprise | HPE</t>
        </is>
      </c>
      <c r="D128" t="inlineStr">
        <is>
          <t>indeed</t>
        </is>
      </c>
      <c r="E128">
        <f>HYPERLINK("https://www.indeed.com/viewjob?jk=4586f14866168e01", "https://www.indeed.com/viewjob?jk=4586f14866168e01")</f>
        <v/>
      </c>
      <c r="F128">
        <f>HYPERLINK("https://careers.hpe.com/us/en/job/HPE1US1200572EXTERNALENUS/Data-Scientist?utm_source=indeed&amp;utm_medium=phenom-feeds", "https://careers.hpe.com/us/en/job/HPE1US1200572EXTERNALENUS/Data-Scientist?utm_source=indeed&amp;utm_medium=phenom-feeds")</f>
        <v/>
      </c>
      <c r="G128" t="inlineStr">
        <is>
          <t>San Jose, CA, US</t>
        </is>
      </c>
      <c r="H128" s="3" t="n">
        <v>46050</v>
      </c>
      <c r="I128" t="inlineStr">
        <is>
          <t>Data Scientist  
This role has been designed as ‘’Onsite’ with an expectation that you will primarily work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Data Scientist (AI Cloud Developer) builds scalable, data\-driven solutions from the ground up to address mission\-critical business challenges, continuously exploring innovative statistical, machine learning, and AI methodologies to deliver end\-to\-end analytical solutions that drive measurable business impact.
* Applies advanced analytical thinking to deconstruct complex, multi\-dimensional datasets and engineer novel algorithms, models, and methodologies for solving business problems—from initial exploratory data analysis through prototyping, model development, validation, and production deployment of ML/AI solutions.
* Collaborates cross\-functionally with data engineers, MLOps teams, product managers, and business stakeholders to ensure robust model performance, efficient pipeline orchestration, continuous monitoring, and sustainable operationalization of data science solutions at scale.
* Delivers quantifiable business value by developing innovative data products, predictive models, and analytical frameworks that enhance HPE's data science capabilities across diverse domains, platforms, and use cases—translating complex insights into actionable recommendations that drive strategic decision\-making.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Collaborate with cross\-functional teams to design, develop, and implement cloud solutions tailored to meet business needs.
* Work with domain experts to identify and formalize machine learning problems for wireless and wired network diagnostics, root causing, problem remediation, and optimization
	+ Design, implement, and validate machine learning algorithms on big data
	+ Guide and oversee deployment of implemented machine learning solutions and monitor their operation
	+ Use Agentic AI to solve networking problems
* Identify, debug and create solutions for issues with code and integration into application architecture
* Develop and execute comprehensive test plans for features adhering to performance, scale, usability, and security requirements.
* Deploy cloud\-based systems and applications code using continuous integration/deployment pipelines
* Contribute towards innovation and integration of new technologies into projects
* Analyze science, engineering, business, and other data processing problems to develop and implement solutions to complex application problems, system administration issues, or networking
***Education and Experience Required:***
* Master's or PhD degree in computer science, data science, mathematics, physics, statistics, physics, or closely related quantitative discipline.
* Typically, 3\-4 years’ experience working as a Data Scientist building products /features using machine learning, deep learning and generative AI
***Knowledge and Skills:***
* Strong background in statistical and machine learning techniques such as anomaly detection, clustering and ranking of events, time series analysis, hypothesis testing, causal inference, deep learning and reinforcement learning, semi\-supervised learning, or mixed time\-series/event streams
* Experience with GenAI and large language models (LLMs). Agentic AI is a plus
* Familiarity with and understanding of design for software systems
* Proficient Python coder (PySpark, Scikit\-learn), experience with software engineering best practices
* Advanced understanding of Object\-Oriented Programming (OOP)
* Understanding microservice architecture and how they can be built in a containerized, Kubernetes\-managed environment is central to all modern cloud\-native applications.
* Designing and integrating software systems running on multiple platform types into the overall architecture
* Great written and verbal communication skills. Ability to effectively communicate product architectures and design proposals at senior management levels; strong data visualization skills
* Relevant industry experience in data science and machine learning
**Additional Skills:**
Cloud Architectures, Cross Domain Knowledge, Design Thinking, Development Fundamentals, DevOps, Distributed Computing, Microservices Fluency, Full Stack Development, Release Management, Security\-First Mindset, User Experience (UX)**What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\#networking**Job:**
Engineering**Job Level:**
TCP\_04  
"The expected salary/wage range for this position is provided below. Actual offer may vary from this range based upon geographic location, work experience, education/training, and/or skill level.  
– United States of America: Annual Salary USD 155,500 \- 315,000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29">
      <c r="A129" t="inlineStr">
        <is>
          <t>in-bc8e5c9e011a3e9e</t>
        </is>
      </c>
      <c r="B129" t="inlineStr">
        <is>
          <t>Staff Data Scientist</t>
        </is>
      </c>
      <c r="C129" t="inlineStr">
        <is>
          <t>Intuit</t>
        </is>
      </c>
      <c r="D129" t="inlineStr">
        <is>
          <t>indeed</t>
        </is>
      </c>
      <c r="E129">
        <f>HYPERLINK("https://www.indeed.com/viewjob?jk=bc8e5c9e011a3e9e", "https://www.indeed.com/viewjob?jk=bc8e5c9e011a3e9e")</f>
        <v/>
      </c>
      <c r="F129">
        <f>HYPERLINK("https://jobs.intuit.com/job/mountain-view/staff-data-scientist/27595/91178816736", "https://jobs.intuit.com/job/mountain-view/staff-data-scientist/27595/91178816736")</f>
        <v/>
      </c>
      <c r="G129" t="inlineStr">
        <is>
          <t>Mountain View, CA, US</t>
        </is>
      </c>
      <c r="H129" s="3" t="n">
        <v>46050</v>
      </c>
      <c r="I129" t="inlineStr">
        <is>
          <t>Category Data
Location Mountain View, California
Job ID 19359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Global Business Solutions Group (GBSG) is committed to building tools and services that significantly enhance the ability of small and medium\-sized businesses to manage cash flow. At the heart of this mission, the QuickBooks Capital team is developing innovative solutions that empower customers to confidently access the right loan offerings with greater ease.  
 The Lending Data Science team is seeking an experienced Data Scientist to lead data science and analytics for the Lending Product —a strategic growth initiative focused on connecting small and medium businesses with the most suitable loans. By leveraging Intuit’s rich customer data, this platform aims to deliver personalized loan offers and streamline the application experience.  
 In this role, you’ll analyze both internal and lender data to uncover actionable insights, provide strategic recommendations, and help scale the marketplace rapidly. The ideal candidate will have a solid foundation in quantitative analysis, experience working with large datasets, and a strong background in data\-driven decision\-making. Prior experience in fintech lending including credit card or marketplace analytics is a plus. **Responsibilities**
As a Staff Data Scientist on the Lending Data Science team, you will play a pivotal role in shaping strategy through deep analytical insights. This includes:
* Conceptualizing business opportunities, formulating hypotheses, defining goals and key metrics, and delivering actionable recommendations.
* Driving strategic insights to shape the future of Intuit’s Lending Marketplace and positively impact millions of small and medium sized businesses
* Developing predictive models, conducting experiments beyond A/B testing, and uncovering customer insights to drive product, marketing, and lending innovations.
* Creating durable customer segmentation strategies to enhance targeting, positioning, and user experience.
* Collaborating closely with cross\-functional partners in Product Management, Marketing, Engineering, and Design to inform and guide product strategy.
* Translating complex data into clear, actionable insights for both technical and non\-technical stakeholders
 **Qualifications**
* We’re looking for a curious, proactive data scientist with a passion for fintech.
* 7\+ years of experience in data science and analytics in the fintech sector, ideally in lending, credit cards, or marketplaces.
* Proven ability to form hypotheses and find business opportunities based on customer behavior, industry trends, and market conditions.
* Demonstrated success designing and interpreting complex experiments beyond traditional A/B testing.
* Strong expertise in predictive modeling, customer segmentation, and experimentation design.
* Experience in building scalable, reusable analytics tools and avoiding redundant efforts.
* Excellent communication and stakeholder influence skills across business and technical teams.
* Ability to work independently and collaboratively in a fast\-paced, dynamic environment.
* BS or MS in Statistics, Mathematics, Operations Research, Computer Science, Engineering, Econometrics, or a related field.
Technical Skills:
* Advanced SQL proficiency and hands\-on experience with visualization tools such as Tableau
* Strong analytical and modeling skills using Python or R
* Experience applying statistical and machine learning techniques to solve go\-to\-market and product problems
Preferred Additional Qualifications
* Experience addressing growth\-related challenges at fintech companies focused on lending, credit cards, or marketplaces serving consumers or SMBs.
* Understanding of lending product nuances.
* Mix of product and marketing data science and/or analytics experience.
* Experience scaling multi\-sided marketplace companies.
* Familiarity with Generative AI and other emerging technologies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30">
      <c r="A130" t="inlineStr">
        <is>
          <t>in-8a1c7f3562abf4ee</t>
        </is>
      </c>
      <c r="B130" t="inlineStr">
        <is>
          <t>Data Scientist</t>
        </is>
      </c>
      <c r="C130" t="inlineStr">
        <is>
          <t>Quiet Professionals LLC</t>
        </is>
      </c>
      <c r="D130" t="inlineStr">
        <is>
          <t>indeed</t>
        </is>
      </c>
      <c r="E130">
        <f>HYPERLINK("https://www.indeed.com/viewjob?jk=8a1c7f3562abf4ee", "https://www.indeed.com/viewjob?jk=8a1c7f3562abf4ee")</f>
        <v/>
      </c>
      <c r="F130">
        <f>HYPERLINK("https://quietprofessionals.extensishrtalent.com/CareerPortal/JobDetail.aspx?RequisitionId=2952&amp;SourceId=6800", "https://quietprofessionals.extensishrtalent.com/CareerPortal/JobDetail.aspx?RequisitionId=2952&amp;SourceId=6800")</f>
        <v/>
      </c>
      <c r="G130" t="inlineStr">
        <is>
          <t>Tampa, FL, US</t>
        </is>
      </c>
      <c r="H130" s="3" t="n">
        <v>46050</v>
      </c>
      <c r="I130" t="inlineStr">
        <is>
          <t>Position Description:
**Position Summary**The Data Scientist supports mission\-critical objectives under the referenced work order by designing, developing, and deploying advanced analytical and machine learning models to inform operational decision\-making. This role requires demonstrated expertise in data analysis, statistical modeling, and AI/ML workflows in alignment with government and program requirements.  
This future opportunity is contingent upon award.  
**Job Description*** The Data Scientist is responsible for performing exploratory data analysis (EDA), feature engineering, and statistical testing to support predictive modeling and decision support initiatives. This includes preparing and processing structured and unstructured datasets, identifying trends, and generating actionable insights.
* The role involves developing and validating machine learning models using Python, R, and relevant data science libraries (e.g., Pandas, NumPy, SciPy). The Data Scientist will deploy models into operational workflows, leveraging cloud\-based AI/ML platforms such as AWS SageMaker or Azure Machine Learning.
* Additional responsibilities include collaborating with program and engineering teams to integrate models into enterprise systems, monitoring model performance, and updating models as needed. The Data Scientist will document methodologies, ensure reproducibility, and comply with all applicable government security and compliance standards.
**Required Qualifications and Experience**The contractor shall provide personnel who meet one of the following requirements:
* Bachelors degree in Data Science, Statistics, Computer Science, or a related discipline; or
* A minimum of seven (7\) years of equivalent professional experience in data science, machine learning, or predictive modeling.
**Candidates must have demonstrated experience in:*** Exploratory Data Analysis (EDA), feature engineering, and statistical testing.
* Programming and analysis using Python, R, SQL, and relevant data science libraries (Pandas, NumPy, SciPy).
* Implementing machine learning models into operational workflows.
* Using cloud\-based AI/ML platforms such as AWS SageMaker or Azure Machine Learning.
**Required Skills and Competencies*** Strong statistical and analytical skills for predictive modeling.
* Experience operating within government or highly regulated environments.
* Knowledge of data governance, security, and compliance standards.
* Strong documentation, communication, and collaboration skills.
* Ability to translate analytical results into actionable insights for operational teams.
**Education*** Bachelors degree in a related field, or an equivalent combination of education and relevant experience.
* Desirable Certifications (Preferred, Not Required)
* AWS Certified Data Analytics Specialty
* Microsoft Certified: Azure AI Fundamentals
* Certified Data Scientist (CDS)
**Clearance Requirement*** An active security clearance at the level specified by the program is required, or the ability to obtain and maintain the required clearance.
Quiet Professionals is located in the Greater Tampa Bay Area. We provide innovative and sustainable solutions that enhance the operational effectiveness of our clients and partners.  
QP is proud to be an equal opportunity, disability, and veteran employer. Our team of Quiet Professionals is highly driven, innovative, and results oriented. We empower our teams creativity, knowledge, and expertise to support client needs by fostering a diverse, inclusive, and supportive workplace. We understand that diversity fuels innovation and drives our success. We offer comprehensive benefits designed to serve the needs of our workforce.</t>
        </is>
      </c>
    </row>
    <row r="131">
      <c r="A131" t="inlineStr">
        <is>
          <t>in-0b301677858c2ddf</t>
        </is>
      </c>
      <c r="B131" t="inlineStr">
        <is>
          <t>Data Scientist</t>
        </is>
      </c>
      <c r="C131" t="inlineStr">
        <is>
          <t>Booz Allen Hamilton</t>
        </is>
      </c>
      <c r="D131" t="inlineStr">
        <is>
          <t>indeed</t>
        </is>
      </c>
      <c r="E131">
        <f>HYPERLINK("https://www.indeed.com/viewjob?jk=0b301677858c2ddf", "https://www.indeed.com/viewjob?jk=0b301677858c2ddf")</f>
        <v/>
      </c>
      <c r="F131">
        <f>HYPERLINK("https://careers.boozallen.com/careers/JobDetail?jobId=120171", "https://careers.boozallen.com/careers/JobDetail?jobId=120171")</f>
        <v/>
      </c>
      <c r="G131" t="inlineStr">
        <is>
          <t>Langley AFB, VA, US</t>
        </is>
      </c>
      <c r="H131" s="3" t="n">
        <v>46050</v>
      </c>
      <c r="I131" t="inlineStr">
        <is>
          <t>Data Scientist**The Opportunity:**
Join a team focused on delivering advanced intelligence, surveillance, and reconnaissance (ISR) solutions for mission\-critical environments. Our goal is to leverage data science, machine learning, and semantic technologies to empower operators and decision\-makers with interoperable, standards\-compliant data solutions to meet emerging challenges on a global scale.
We are seeking a highly skilled Data Scientist to support cutting\-edge data interoperability initiatives within dynamic operational environments. This role will focus on delivering Air Force (AF), Department of War (DoW), and Intelligence Community (IC) compliant solutions for structured mission data, supporting operations through improved interoperability of data systems. You will work directly with key technical and operational stakeholders to identify challenges, develop innovative solutions, and operationalize data workflows to meet mission requirements.
**What You’ll Do:**
* Develop and implement data interoperability solutions to enable seamless interaction and usability of data across systems while adhering to DoW, AF, IC governance and compliance standards.
* Conduct exploratory data analysis (EDA) and apply data science techniques, such as anomaly detection, to analyze and extract actionable insights from various datasets.
* Design, build, and operationalize structured data models, taxonomies, and ontologies that comply with defined standards and mission requirements.
* Translate unstructured and semi\-structured data into actionable, normalized, and interoperable formats to improve operational and analytical workflows.
* Create and implement IC\-compliant taxonomy and ontology frameworks for organizing and classifying mission data.
* Act as a bridge between technical developers and operators to ensure workflows and solutions meet mission objectives.
* Write and refine data structuring requirements, providing expertise to improve codification and standardization efforts.
* Represent organizational priorities in interactions with stakeholders while effectively communicating challenges, initiatives, and potential solutions to leadership.
Join us. The world can’t wait.
**You Have:**
* 3\+ years of experience with Python and performing exploratory data analysis (EDA) tasks, including anomaly detection techniques
* 3\+ years of experience with solution development, leveraging structured data models, such as taxonomies and ontologies, and ensuring data is interoperable across systems
* 3\+ years of experience in developing and implementing solutions using APIs and SDKs
* 3\+ years of experience in structuring and normalizing data, including in complex operational settings or workflows requiring machine\-level compatibility
* Ability to collaborate with mission stakeholders, technical developers, and operational users to ensure effective solutions
* Ability to summarize findings and explain technical concepts clearly to both technical and non\-technical stakeholders
* Ability to learn and integrate new tools or resources as needed
* Ability to be detail\-oriented, self\-driven, and work independently while meeting deadlines and objectives
* Top Secret clearance
* Bachelor’s degree in Data Science, Information Science, Computer Science, or Engineering
**Nice If You Have:**
* Experience developing semantic models for machine\-to\-machine interoperability, taxonomies, or data standardization efforts
* Experience with semantic web technologies, such as RDF, OWL, JSON\-LD, SKOS, and SHACL
* Experience with cloud platforms, such as AWS, and working in agile environments using tools, such as JIRA or Confluence
* Experience collaborating with cross\-functional teams in high\-priority, mission\-driven settings
* Knowledge of data processing workflows in operational ISR environments
* Knowledge of geospatial data formats and concepts, such as GeoJSON or WKT, knowledge graphs, and ISR\-specific data flows used in specialized geospatial environments, tools and software
* Knowledge of IC\-compliant frameworks and requirements for data handling
* Knowledge of event\-driven data design patterns and streaming technologies or workflows offsets to support integration workflows
* Possession of excellent written and verbal communication skills
* Master’s degree in Data Science, Computer Science, Engineering, or a related field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2">
      <c r="A132" t="inlineStr">
        <is>
          <t>in-d485a97ff49e1cd6</t>
        </is>
      </c>
      <c r="B132" t="inlineStr">
        <is>
          <t>University - Data Scientist</t>
        </is>
      </c>
      <c r="C132" t="inlineStr">
        <is>
          <t>Booz Allen Hamilton</t>
        </is>
      </c>
      <c r="D132" t="inlineStr">
        <is>
          <t>indeed</t>
        </is>
      </c>
      <c r="E132">
        <f>HYPERLINK("https://www.indeed.com/viewjob?jk=d485a97ff49e1cd6", "https://www.indeed.com/viewjob?jk=d485a97ff49e1cd6")</f>
        <v/>
      </c>
      <c r="F132">
        <f>HYPERLINK("https://careers.boozallen.com/careers/JobDetail?jobId=120130", "https://careers.boozallen.com/careers/JobDetail?jobId=120130")</f>
        <v/>
      </c>
      <c r="G132" t="inlineStr">
        <is>
          <t>McLean, VA, US</t>
        </is>
      </c>
      <c r="H132" s="3" t="n">
        <v>46050</v>
      </c>
      <c r="I132" t="inlineStr">
        <is>
          <t>University \- Data Scientist**The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up new opportunities. As a data scientist, you can turn these complex data sets into useful information to solve global issues. Across private and public sectors — from fraud detection, to cancer research, to national intelligence — you know the answers are in the data.
We have an opportunity for you to use your analytical skills to improve our business. You’ll work closely with your customer to understand their questions and needs, and then dig into their data\-rich environment to find the pieces of their information puzzle. You’ll apply analytical skills and use the right combination of tools and frameworks to turn that set of disparate data points into tangible answers to help clients make informed decisions. You’ll provide your customer with a deep understanding of their data, what it all means, and how they can use it. Join us as we use data science for good.
Join us. The world can’t wait.
**You Have:**
* Experience with machine learning, data mining, statistics, or graph algorithms in academic or internship environments
* Experience with using R, Perl, Python, SAS, or SPSS for data analysis
* Knowledge of an object\-oriented language, including Java, C\+\+, C\#, or Python
* Ability to leverage expertise in data gathering, analytical, and problem\-solving work
* Ability to obtain a Secret clearance
* Scheduled to obtain a Bachelor’s degree by Spring 2026
**Nice If You Have:**
* Pursuing a degree in Computer Science, Data Science, Computer Engineering, Systems Engineering, or a related field preferred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URT1</t>
        </is>
      </c>
    </row>
    <row r="133">
      <c r="A133" t="inlineStr">
        <is>
          <t>in-f0c8eb277cfb2107</t>
        </is>
      </c>
      <c r="B133" t="inlineStr">
        <is>
          <t>Advanced Data Scientist</t>
        </is>
      </c>
      <c r="C133" t="inlineStr">
        <is>
          <t>Booz Allen Hamilton</t>
        </is>
      </c>
      <c r="D133" t="inlineStr">
        <is>
          <t>indeed</t>
        </is>
      </c>
      <c r="E133">
        <f>HYPERLINK("https://www.indeed.com/viewjob?jk=f0c8eb277cfb2107", "https://www.indeed.com/viewjob?jk=f0c8eb277cfb2107")</f>
        <v/>
      </c>
      <c r="F133">
        <f>HYPERLINK("https://careers.boozallen.com/careers/JobDetail?jobId=120077", "https://careers.boozallen.com/careers/JobDetail?jobId=120077")</f>
        <v/>
      </c>
      <c r="G133" t="inlineStr">
        <is>
          <t>Colorado Springs, CO, US</t>
        </is>
      </c>
      <c r="H133" s="3" t="n">
        <v>46050</v>
      </c>
      <c r="I133" t="inlineStr">
        <is>
          <t>Advanced Data Scientist**The Opportunity:**  
As an analytics professional, you’re excited at the prospect of unlocking the secrets held by a data set, and you’re fascinated by the possibilities presented by IoT, machine learning, and artificial intelligence. If you care about moving a mission forward as much as advancing the field of data science, this is the opportunity for you. Your analytics, data science, AI, or machine learning knowledge and expertise, coupled with an original approach to your work, will help clients and stakeholders make sense of their data and encourage actionable results. We’re looking for someone like you to steer complex data exploration and analytics projects through your experience with programming languages such as SQL, R, or Python, operationalizing models, data architecture, and cloud computing platforms for Civil Engineering within the Department of War.
As an advanced data scientist and researcher on our team, you’ll learn and apply innovative AI, and machine learning methodologies to make a real\-world impact on requirements development and decision making. You’ll grow your skills in data science, AI, machine learning operationalization process, and predictive modeling and shape the future of analytics.
We’ll keep you sharp and moving forward in your career, with access to online courses, the latest tools and methods and opportunities to develop industry\-facing publications and presentations. You’ll collaborate with a team that serves critical missions from end to end.
Join us. The world can’t wait.
**You Have:**
* 1\+ years of experience in Tableau suite such as desktop or prep
* 1\+ years of experience with data exploration, data cleaning, data analysis, data visualization, or data mining
* Experience in the development of algorithms leveraging R, Python, or SQL
* Experience analyzing structured and unstructured data sources
* Experience developing predictive data models, quantitative analyses and visualization of targeted data sources
* Experience with implementing Machine Learning (ML), Artificial Intelligence (AI), or Natural Language Processing (NLP)
* Ability to work effectively in a collaborative environment
* Ability to obtain a Secret clearance
* Bachelor's degree in a Science, Technology, Engineering, or Mathematics (STEM) field
**Nice If You Have:**
* Experience with analyzing large\-scale datasets
* Experience leveraging statistical programming languages such as Python to develop predictive data models and quantitative analyses
* Experience with Geographic Information Systems, including ArcGIS, QGIS, or Palantir
* Knowledge of Military Services and Combatant Commands
* Secret clearance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4">
      <c r="A134" t="inlineStr">
        <is>
          <t>in-85d959a10e65942c</t>
        </is>
      </c>
      <c r="B134" t="inlineStr">
        <is>
          <t>Data Scientist</t>
        </is>
      </c>
      <c r="C134" t="inlineStr">
        <is>
          <t>Booz Allen Hamilton</t>
        </is>
      </c>
      <c r="D134" t="inlineStr">
        <is>
          <t>indeed</t>
        </is>
      </c>
      <c r="E134">
        <f>HYPERLINK("https://www.indeed.com/viewjob?jk=85d959a10e65942c", "https://www.indeed.com/viewjob?jk=85d959a10e65942c")</f>
        <v/>
      </c>
      <c r="F134">
        <f>HYPERLINK("https://careers.boozallen.com/careers/JobDetail?jobId=120033", "https://careers.boozallen.com/careers/JobDetail?jobId=120033")</f>
        <v/>
      </c>
      <c r="G134" t="inlineStr">
        <is>
          <t>Washington, DC, US</t>
        </is>
      </c>
      <c r="H134" s="3" t="n">
        <v>46050</v>
      </c>
      <c r="I134"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data science, or data mining
* Experience with statistical and general\-purpose programming languages for data analysis, such as Python, R, or SQL
* Experience creating ETL pipelines, including querying APIs, cleaning and conditioning data, and creating schemas for data storage
* Knowledge of version control tools, including Git, GitLab, GitHub, or Bitbucket
* Knowledge of statistical analysis, predictive modeling, and machine learning methods
* Ability to design and develop automated analytic software, techniques, and algorithms
* Ability to use data visualization tools, including COTS software such as Tableau, PowerBI, or ArcGIS, or FOSS libraries such as seaborn, matplotlib, or ggplot
* TS/SCI clearance
* Bachelor's degree in Data Science or Computer Science, or 4\+ years of experience in data science or computer science in lieu of a degree
**Nice If You Have:**
* Experience working with GEOINT, HUMINT, MASINT, OSINT, and SIGINT, and the data and tools associated with these disciplines
* Experience with intelligence or operations analysis in the DoD or Intelligence Community
* Knowledge of DevOps, including CI/CD pipelines and Jenkins
* Possession of strong written and verbal communication skills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5">
      <c r="A135" t="inlineStr">
        <is>
          <t>in-6e1a8d264a314ac6</t>
        </is>
      </c>
      <c r="B135" t="inlineStr">
        <is>
          <t>Data Scientist, Junior</t>
        </is>
      </c>
      <c r="C135" t="inlineStr">
        <is>
          <t>Booz Allen Hamilton</t>
        </is>
      </c>
      <c r="D135" t="inlineStr">
        <is>
          <t>indeed</t>
        </is>
      </c>
      <c r="E135">
        <f>HYPERLINK("https://www.indeed.com/viewjob?jk=6e1a8d264a314ac6", "https://www.indeed.com/viewjob?jk=6e1a8d264a314ac6")</f>
        <v/>
      </c>
      <c r="F135">
        <f>HYPERLINK("https://careers.boozallen.com/careers/JobDetail?jobId=119730", "https://careers.boozallen.com/careers/JobDetail?jobId=119730")</f>
        <v/>
      </c>
      <c r="G135" t="inlineStr">
        <is>
          <t>Charleston, SC, US</t>
        </is>
      </c>
      <c r="H135" s="3" t="n">
        <v>46050</v>
      </c>
      <c r="I135" t="inlineStr">
        <is>
          <t>Data Scientist, Junior**The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Experience with developing predictive data models, quantitative analyses, and the visualization of targeted data sources
* Experience in leading the development of solutions to complex programs
* Experience with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6">
      <c r="A136" t="inlineStr">
        <is>
          <t>in-d2646d8e6e1ac65d</t>
        </is>
      </c>
      <c r="B136" t="inlineStr">
        <is>
          <t>Data Scientist, Search Science (Ads)</t>
        </is>
      </c>
      <c r="C136" t="inlineStr">
        <is>
          <t>Shipt</t>
        </is>
      </c>
      <c r="D136" t="inlineStr">
        <is>
          <t>indeed</t>
        </is>
      </c>
      <c r="E136">
        <f>HYPERLINK("https://www.indeed.com/viewjob?jk=d2646d8e6e1ac65d", "https://www.indeed.com/viewjob?jk=d2646d8e6e1ac65d")</f>
        <v/>
      </c>
      <c r="F136">
        <f>HYPERLINK("https://shipt.wd1.myworkdayjobs.com/en-US/Shipt_External/job/US-Remote/Data-Scientist--Search-Science--Ads-_R4096-1", "https://shipt.wd1.myworkdayjobs.com/en-US/Shipt_External/job/US-Remote/Data-Scientist--Search-Science--Ads-_R4096-1")</f>
        <v/>
      </c>
      <c r="G136" t="inlineStr">
        <is>
          <t>Remote, US</t>
        </is>
      </c>
      <c r="H136" s="3" t="n">
        <v>46050</v>
      </c>
      <c r="I136" t="inlineStr">
        <is>
          <t>Impact
As a Data Scientist on the Search Science team, you will focus on improving sponsored search capabilities to help grow ad revenue, a key business priority. Longer term, you will help evolve toward a unified ranking system that balances relevance, monetization, and customer retention. You will work alongside Senior Scientists and ML Engineers who will mentor you and help you grow.  
As a Data Scientist you will have an impact in the following areas:  
Sponsored Search Optimization: Help improve the relevance and ranking of sponsored products to increase ad revenue while maintaining a great customer experience. Analyze performance data and identify opportunities to improve sponsored product placement.  
Analytics \&amp; Opportunity Analysis: Conduct data analysis to identify areas for improvement across search and ads. Build dashboards, run exploratory analyses, and present insights to stakeholders to inform product and strategy decisions.  
Ranking \&amp; Relevance: Contribute to models that balance organic relevance with ad monetization. Help implement and test ranking improvements using established ML techniques.  
Personalization: Help integrate user signals (purchase history, preferences) into search to improve sponsored relevance for individual customers.  
Retrieval Systems: Support the development of retrieval systems that surface the right products, including work with both traditional (lexical) and newer (vector\-based) approaches.  
Experimentation \&amp; Measurement: Help build evaluation pipelines and run A/B tests to measure the impact of model changes.
What You’ll Need to Be Successful* Degree in a STEM field (Computer Science, Statistics, etc.) with coursework or projects in machine learning
* 1–3 years of experience applying data science or machine learning to real\-world problems (internships count)
* Strong coding skills in Python and SQL
* Familiarity with ML frameworks (PyTorch or TensorFlow) and their application to ranking, recommendations, or NLP
* Understanding of ranking concepts and experience with feature engineering
* Comfort working with large datasets and drawing actionable insights from data
Skills \&amp; Education
This list includes key skills used in this job but is not inclusive of all skills needed for the role. Please see any required education below.
Machine Learning Algorithms, Natural Language Processing (NLP), Python (Programming Language), Statistical Machine Learning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role.**Pay Range:*
Metro Areas of Boston, District of Columbia, Los Angeles, San Francisco, Seattle and New York City:
$83,300\-$166,800
All other locations:
$73,900\-$147,900*Please note that the salary range above is a guideline, and individual total compensation will vary based on factors such as qualifications, skill level, competencies, and work location.*</t>
        </is>
      </c>
    </row>
    <row r="137">
      <c r="A137" t="inlineStr">
        <is>
          <t>in-16d289e2af78976a</t>
        </is>
      </c>
      <c r="B137" t="inlineStr">
        <is>
          <t>Sr Data Scientist</t>
        </is>
      </c>
      <c r="C137" t="inlineStr">
        <is>
          <t>PayPal</t>
        </is>
      </c>
      <c r="D137" t="inlineStr">
        <is>
          <t>indeed</t>
        </is>
      </c>
      <c r="E137">
        <f>HYPERLINK("https://www.indeed.com/viewjob?jk=16d289e2af78976a", "https://www.indeed.com/viewjob?jk=16d289e2af78976a")</f>
        <v/>
      </c>
      <c r="F137">
        <f>HYPERLINK("https://paypal.eightfold.ai/careers?domain=paypal.com&amp;sort_by=relevance&amp;query=R0134157", "https://paypal.eightfold.ai/careers?domain=paypal.com&amp;sort_by=relevance&amp;query=R0134157")</f>
        <v/>
      </c>
      <c r="G137" t="inlineStr">
        <is>
          <t>San Jose, CA, US</t>
        </is>
      </c>
      <c r="H137" s="3" t="n">
        <v>46050</v>
      </c>
      <c r="I13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 are seeking an exceptional Data Scientist to transform our change and problem management analytics through advanced AI/ML capabilities and predictive modeling. This role will lead the development of cutting\-edge data science solutions that drive operational excellence, leveraging recent AI trends to predict incidents, optimize change processes, and deliver actionable insights to executive leadership. You will be responsible for building sophisticated data mining frameworks, trend analysis models, and executive\-level reporting dashboards that enable data\-driven decision\-making across technology operations.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Additional\_Responsibilities\_And\_Preferred\_Qualifications:
**Advanced Analytics \&amp; AI Implementation**
* Design and deploy machine learning models to predict incident patterns, MTTR trends, and change risk factors
* Implement AI\-powered anomaly detection systems for proactive problem identification
* Develop predictive algorithms for capacity planning, resource optimization, and risk assessment
* Build automated data pipelines integrating ServiceNow, incident management systems, and operational data sources
**Executive Reporting \&amp; Data Visualization**
* Create sophisticated, executive\-ready dashboards and reports for CTO staff meetings and senior leadership
* Transform complex operational metrics into strategic insights
* Design real\-time monitoring solutions with actionable KPIs and trend visualizations
* Deliver best\-in\-class data storytelling that drives strategic initiatives
**Stakeholder Collaboration \&amp; Best Practices**
* Partner with stakeholders to understand requirements
* Drive data science best practices, governance standards, and quality assurance frameworks
* Establish repeatable methodologies for data mining, trend analysis, and forecasting
* Present findings and recommendations to VP\+ level stakeholders with clarity and impact
**Data Quality \&amp; Mentorship**
* Ensure data integrity, validation, and reliability across all analytical processes
* Mentor junior data scientists and analysts on advanced techniques and tools
* Stay current with AI/ML trends, emerging technologies, and industry best practices
* Foster a culture of continuous improvement and innovation in data analytics
**Expected Qualifications**
---------------------------
**Required:**
* 3\+ years of hands\-on experience in data science, machine learning, or advanced analytics
* Bachelor's degree in Computer Science, Statistics, Data Science, or related field (OR equivalent combination of education and experience)
* Proven expertise in Python, SQL, and modern ML frameworks.
* Strong experience with data visualization tools (Tableau, Power BI, or similar)
* Demonstrated ability to communicate complex technical concepts to executive audiences
* Strong AI hands on coding experience.
**Preferred:**
* Experience with IT operations, incident management, problem management and change management analytics.
* Familiarity with ServiceNow, ITSM platforms, or operational data systems.
* Background in predictive modeling, time\-series forecasting, or anomaly detection
* Track record of delivering executive\-level reporting and strategic insights.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38">
      <c r="A138" t="inlineStr">
        <is>
          <t>in-7d5c899cb7886798</t>
        </is>
      </c>
      <c r="B138" t="inlineStr">
        <is>
          <t>Principal - Data Scientist - Responsible AI</t>
        </is>
      </c>
      <c r="C138" t="inlineStr">
        <is>
          <t>Ally Financial</t>
        </is>
      </c>
      <c r="D138" t="inlineStr">
        <is>
          <t>indeed</t>
        </is>
      </c>
      <c r="E138">
        <f>HYPERLINK("https://www.indeed.com/viewjob?jk=7d5c899cb7886798", "https://www.indeed.com/viewjob?jk=7d5c899cb7886798")</f>
        <v/>
      </c>
      <c r="F138">
        <f>HYPERLINK("https://ally.avature.net/careers/JobDetail/Principal-Data-Scientist-Responsible-AI/15814", "https://ally.avature.net/careers/JobDetail/Principal-Data-Scientist-Responsible-AI/15814")</f>
        <v/>
      </c>
      <c r="G138" t="inlineStr">
        <is>
          <t>Charlotte, NC, US</t>
        </is>
      </c>
      <c r="H138" s="3" t="n">
        <v>46050</v>
      </c>
      <c r="I138" t="inlineStr">
        <is>
          <t>### **General information**
Career area
Technology
Work Location(s)
601 S. Tryon Street, NC
Remote?
No
Ref \#
21581
Posted Date
01\-29\-26
Working time
Full time
### **Ally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 **The Opportunity**
As a leader in digital financial services, our customer and employee experiences are powered by data and AI. Our cloud\-based data, analytics, and GenAI platform enables thousands of employees to make data\-driven decisions every day. We are seeking skilled Data Scientists to support enterprise initiatives spanning machine learning, generative AI, and Responsible AI, helping deliver solutions that drive revenue, enhance user experience, and ensure AI systems operate safely and securely.  
In this role, you will build, test, and deploy machine learning, generative AI, and agent\-based solutions end to end. You will develop GenAI workflows such as prompt\-driven systems, tool\-calling agents, and evaluation pipelines, while also owning Responsible AI execution across the lifecycle. This includes identifying and resolving issues related to data usage, bias, model risk, evaluation quality, and release readiness. You will partner closely with business, engineering, and risk teams to turn Responsible AI requirements into practical development and validation standards, ensuring AI solutions are production\-ready, compliant, and scalable. *At this time, Ally will not sponsor a new applicant for employment authorization for this position.*  
### **The Work Itself**
* Lead experimentation initiatives, leveraging A/B testing, and novel AI approaches to continuously improve model performance and business outcomes.
* Advance responsible AI practices by integrating governance, ethical considerations, and security into every stage of model development and deployment.
* Develop and maintain trustworthy benchmarks and operational performance monitoring for predictive models and GenAI and agentic systems.
* Incorporate sophisticated algorithms, experimental design, and emerging AI methodologies to solve real\-world challenges and push the boundaries of innovation.
* Identify and champion new business opportunities by proposing and delivering innovative AI\-driven solutions that create tangible value and competitive advantage.
### **The Skills You Bring**
Required:* 5\+ years of experience in machine learning and data science, with demonstrated impact in applied, real\-world systems.
* Bachelor’s degree in a quantitative or technical field (Computer Science, Engineering, Mathematics, Statistics, or similar).
* Strong coding skills in Python, with experience building maintainable, production\-grade ML/AI systems.
* Experience working in cloud data and ML platforms such as AWS, Snowflake, SageMaker, or equivalent environments.
* Experience influencing technical direction beyond individual projects, including setting best practices, mentoring others, and driving alignment across teams.
* Ability to proactively identify risks and gaps in AI systems (e.g., reliability, bias, safety, explainability, monitoring) and drive pragmatic solutions at scale.
Nice\-to\-Haves:* Graduate degree (MS or PhD) in a relevant field.
* Hands\-on GenAI, agent, and ML engineering experience, including frameworks and tools such as LangChain, Hugging Face, vector databases, or similar ecosystems.
* Experience with Responsible AI, Model Risk Management, or AI governance in regulated environments.
* Experience helping build or mature Responsible AI practices.
* Proven ability to work with multiple partners and drive consensus on technical direction, standards, and trade\-offs across diverse stakeholders.
\#LI\-Hybrid
###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Program starts at 20 paid time off days in addition to 11 paid holidays and 8 hours of volunteer time off yearly (time off days are prorated based on start date and program varies based on full or part\-time status and management level).
*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 **Building a Family:** adoption, surrogacy and fertility assistance as well as paid parental and caregiver leave, Dependent Day Care FSA back\-up child and adult/elder care days and childcare discounts.
* **Work\-Life Integration:** other benefits including Mentally Fit Employee Assistance Program, subsidized and discounted Weight Watchers® program and other employee discount programs.
* **Other compensations:** depending on the role for which you are considered, you may be eligible for travel allowances, relocation assistance, a signing bonus and/or equity.
*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$110000 \- $180000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is>
      </c>
    </row>
    <row r="139">
      <c r="A139" t="inlineStr">
        <is>
          <t>in-e549f883e90e5ecd</t>
        </is>
      </c>
      <c r="B139" t="inlineStr">
        <is>
          <t>Data Scientist I, Integrity</t>
        </is>
      </c>
      <c r="C139" t="inlineStr">
        <is>
          <t>Match Group</t>
        </is>
      </c>
      <c r="D139" t="inlineStr">
        <is>
          <t>indeed</t>
        </is>
      </c>
      <c r="E139">
        <f>HYPERLINK("https://www.indeed.com/viewjob?jk=e549f883e90e5ecd", "https://www.indeed.com/viewjob?jk=e549f883e90e5ecd")</f>
        <v/>
      </c>
      <c r="F139">
        <f>HYPERLINK("https://jobs.lever.co/matchgroup/d9927eb0-c25e-4d89-b2f2-4afce00909b2?lever-source=Indeed", "https://jobs.lever.co/matchgroup/d9927eb0-c25e-4d89-b2f2-4afce00909b2?lever-source=Indeed")</f>
        <v/>
      </c>
      <c r="G139" t="inlineStr">
        <is>
          <t>San Francisco, CA, US</t>
        </is>
      </c>
      <c r="H139" s="3" t="n">
        <v>46050</v>
      </c>
      <c r="I13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0">
      <c r="A140" t="inlineStr">
        <is>
          <t>in-fe91f890ea00af71</t>
        </is>
      </c>
      <c r="B140" t="inlineStr">
        <is>
          <t>Data Scientist I, Integrity</t>
        </is>
      </c>
      <c r="C140" t="inlineStr">
        <is>
          <t>Match Group</t>
        </is>
      </c>
      <c r="D140" t="inlineStr">
        <is>
          <t>indeed</t>
        </is>
      </c>
      <c r="E140">
        <f>HYPERLINK("https://www.indeed.com/viewjob?jk=fe91f890ea00af71", "https://www.indeed.com/viewjob?jk=fe91f890ea00af71")</f>
        <v/>
      </c>
      <c r="F140">
        <f>HYPERLINK("https://jobs.lever.co/matchgroup/d9927eb0-c25e-4d89-b2f2-4afce00909b2?lever-source=Indeed", "https://jobs.lever.co/matchgroup/d9927eb0-c25e-4d89-b2f2-4afce00909b2?lever-source=Indeed")</f>
        <v/>
      </c>
      <c r="G140" t="inlineStr">
        <is>
          <t>Palo Alto, CA, US</t>
        </is>
      </c>
      <c r="H140" s="3" t="n">
        <v>46050</v>
      </c>
      <c r="I14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1">
      <c r="A141" t="inlineStr">
        <is>
          <t>in-4e2bea623af5fd68</t>
        </is>
      </c>
      <c r="B141" t="inlineStr">
        <is>
          <t>Data Scientist I, Integrity</t>
        </is>
      </c>
      <c r="C141" t="inlineStr">
        <is>
          <t>Match Group</t>
        </is>
      </c>
      <c r="D141" t="inlineStr">
        <is>
          <t>indeed</t>
        </is>
      </c>
      <c r="E141">
        <f>HYPERLINK("https://www.indeed.com/viewjob?jk=4e2bea623af5fd68", "https://www.indeed.com/viewjob?jk=4e2bea623af5fd68")</f>
        <v/>
      </c>
      <c r="F141">
        <f>HYPERLINK("https://jobs.lever.co/matchgroup/d9927eb0-c25e-4d89-b2f2-4afce00909b2?lever-source=Indeed", "https://jobs.lever.co/matchgroup/d9927eb0-c25e-4d89-b2f2-4afce00909b2?lever-source=Indeed")</f>
        <v/>
      </c>
      <c r="G141" t="inlineStr">
        <is>
          <t>Los Angeles, CA, US</t>
        </is>
      </c>
      <c r="H141" s="3" t="n">
        <v>46050</v>
      </c>
      <c r="I141"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2">
      <c r="A142" t="inlineStr">
        <is>
          <t>in-6d1f762beda0a783</t>
        </is>
      </c>
      <c r="B142" t="inlineStr">
        <is>
          <t>Data Scientist - 994</t>
        </is>
      </c>
      <c r="C142" t="inlineStr">
        <is>
          <t>Lightcast</t>
        </is>
      </c>
      <c r="D142" t="inlineStr">
        <is>
          <t>indeed</t>
        </is>
      </c>
      <c r="E142">
        <f>HYPERLINK("https://www.indeed.com/viewjob?jk=6d1f762beda0a783", "https://www.indeed.com/viewjob?jk=6d1f762beda0a783")</f>
        <v/>
      </c>
      <c r="F142">
        <f>HYPERLINK("https://jobs.lever.co/economicmodeling/69e227aa-7c17-4d94-9375-8b2a1e33b5da?lever-source=Indeed", "https://jobs.lever.co/economicmodeling/69e227aa-7c17-4d94-9375-8b2a1e33b5da?lever-source=Indeed")</f>
        <v/>
      </c>
      <c r="G142" t="inlineStr">
        <is>
          <t>Moscow, ID, US</t>
        </is>
      </c>
      <c r="H142" s="3" t="n">
        <v>46050</v>
      </c>
      <c r="I142" t="inlineStr">
        <is>
          <t>The Data Scientist will work closely with the Product, Data, and Research teams to analyze labor market trends, workforce dynamics, and economic patterns. The role involves cleaning, organizing, and interpreting large\-scale datasets to develop innovative models, datasets, and visualizations that provide actionable insights into the future of work. The ideal candidate will demonstrate strong statistical thinking, a solid grasp of machine learning principles, and the ability to apply core methodologies such as predictive modeling, econometric analysis, and time series forecasting. This position requires a collaborative mindset to work cross\-functionally, ensuring the seamless integration of analytical insights into Lightcast's products and services.
### **Major Responsibilities:**
* Use SQL, Python, or other analytical tools to query, clean, and analyze large datasets.
* Analyze labor market trends across dimensions such as workforce composition, job demand, employment patterns, and wage dynamics.
* Apply advanced techniques including time series forecasting, clustering, regression analysis, and machine learning algorithms (e.g., decision trees, random forests, gradient boosting, support vector machines, k\-means clustering) to identify patterns and forecast labor trends.
* Build and maintain scalable data and model pipelines using orchestration tools like Apache Airflow, Luigi, or Sagemaker Pipelines, and model tracking tools such as MLflow.
* Collaborate cross\-functionally to define problem statements, gather and analyze data, integrate models into products, and translate insights into actionable recommendations for technical and non\-technical audiences.
* Stay informed on advancements in labor market analytics, statistical modeling, and machine learning technologies.
### **Education and Experience:**
* Bachelor’s or Master’s degree in Data Science, Statistics, Economics, Computer Science, or a related quantitative field.
* 2\+ years of industry experience or academic research applying statistical or machine learning approaches to real\-world data problems.
* 2\+ years of experience in labor market analytics, workforce intelligence, or related domains (preferred).
* Proficiency in Python, SQL, and machine learning libraries such as Scikit\-learn or PyTorch.
* Demonstrated ability to write clean, scalable code and independently prototype data solutions.
* Solid understanding of machine learning techniques such as classification, regression, and time\-series forecasting.
* Experience with cloud platforms (e.g., AWS) and orchestration tools like Apache Airflow for managing large datasets and workflows.
* Strong statistical reasoning and ability to translate complex data into strategic business insights.
* Excellent interpersonal, written, and verbal communication skills, with the ability to convey technical topics to diverse audiences.
* Experience working with large labor market datasets (e.g., government labor statistics, survey data, or job market intelligence platforms) (preferred).
* Proficiency with data visualization tools such as Tableau, Power BI, or Plotly (preferred).
* Familiarity with Natural Language Processing (NLP) techniques and applications (preferred).
Lightcast is a global leader in labor market insights with offices in Moscow, ID (US), the United Kingdom, Europe, and India. We work with partners across six continents to help drive economic prosperity and mobility by providing the insights needed to build and develop our people, our institutions and companies, and our communities.  
Lightcast is proud to be an equal opportunity workplace. We consider all qualified applicants without regard to race, color, ancestry, religion, sex, national origin, sexual orientation, age, citizenship, marital status, disability, gender identity or Veteran status. Lightcast has always been, and always will be, committed to our diversity of thought and unique perspectives. We seek dynamic professionals from all backgrounds to join our teams, and we encourage our employees to bring their authentic, original, and best selves to work.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3">
      <c r="A143" t="inlineStr">
        <is>
          <t>in-fb7aa2248e9eba19</t>
        </is>
      </c>
      <c r="B143" t="inlineStr">
        <is>
          <t>Contract Machine Learning Engineer/Data Scientist</t>
        </is>
      </c>
      <c r="C143" t="inlineStr"/>
      <c r="D143" t="inlineStr">
        <is>
          <t>indeed</t>
        </is>
      </c>
      <c r="E143">
        <f>HYPERLINK("https://www.indeed.com/viewjob?jk=fb7aa2248e9eba19", "https://www.indeed.com/viewjob?jk=fb7aa2248e9eba19")</f>
        <v/>
      </c>
      <c r="F143">
        <f>HYPERLINK("https://ht-jobs.net/v5s7xho?s=in", "https://ht-jobs.net/v5s7xho?s=in")</f>
        <v/>
      </c>
      <c r="G143" t="inlineStr">
        <is>
          <t>Remote, US</t>
        </is>
      </c>
      <c r="H143" s="3" t="n">
        <v>46050</v>
      </c>
      <c r="I143" t="inlineStr">
        <is>
          <t>**ABOUT ARS X MACHINA:**
Ars X Machina (AXM) is a full\-service media planning, buying, and analytics agency headquartered in San Francisco, with a remote team distributed across the U.S. We craft omnichannel, data\-driven media strategies that span the entire paid media landscape. From audience development and strategic planning to budget forecasting, execution, optimization, and reporting, we manage the full media lifecycle end\-to\-end. Our experience spans both B2B and B2C, supporting brand\-building and performance\-driven campaigns. What sets AXM apart? Our agility, strategic leadership, and innovative mindset—all rooted in a collaborative, people\-first culture where both clients and team members thrive for the long haul.
**JOB DESCRIPTION:**
AXM is seeking a data scientist on a contract basis to support the continued development and delivery of Agile Mix Modeling™ (AMM), our machine\-learning powered solution for real\-time, cross\-channel media measurement, forecasting, and optimization. This role is highly execution\-oriented. The contractor will be responsible for building, running, validating, and iterating on AMM models in support of active client engagements, working closely with AXM’s Analytics, Data Science, and Media teams.
**ESSENTIAL DUTIES AND RESPONSIBILITIES:**
* Construct and run models as needed for client reporting deliverables
* Communicate complex statistical information to agency client teams, and help construct narratives for client reporting deliverables
* Continue development of AMM product by improving Bayesian models and utilizing statistical and machinelearning approaches to optimize attribution output and streamline the creation of valid models
* Help maintain a custom code base, container images, and cloud infrastructure.
* Work in an AWS cloud environment managed
* Be highly organized and able to work independently.
* Provide guidance and mentorship to data science team members
* Demonstrate critical thinking and problem\-solving abilities.
* Consistently meet deadlines in a fast\-paced environment: working under pressure while prioritizing workload.
**REQUIREMENTS**
* 8\+ years of experience in a data scientist role, including experience in advertising analytics
* Bachelor's degree in Statistics, Mathematics, Computer Science, Economics, or a related field.
* Proven expertise in coding with Python, with a strong understanding of data structures, algorithms, and object\-oriented programming.
* Experience with Bayesian Modelling, ideally using PyMC and pymc\-marketing, with the ability to effectively communicate results
* Experience with the following is required: Ray, Podman (or Docker), Terraform, Git
* Familiarity with machine learning techniques and libraries such as scikit\-learn, TensorFlow, or PyTorch
* Proficiency in SQL, Pandas, and general ETL practices required
* Knowledge of econometrics and statistical modeling techniques
* Ability to thrive in a remote work environment, demonstrating strong project management, communication, and collaboration skills.
* Experience in advertising analytics, Marketing Mix Modeling (MMM), and experimentation required
* Excellent problem\-solving skills and the ability to work independently and as part of a team.
* Outstanding collaboration skills with a proven ability to work cross\-functionally in order to establish and meet shared organizational goals
* Highly detail\-oriented with excellent organizational, time management, and problem\-solving skills
* Must live in the Pacific time zone or be willing to work PST hours.
**\*\*\*WE ARE AN AT\-WILL, EQUAL OPPORTUNITY EMPLOYER\*\*\***</t>
        </is>
      </c>
    </row>
    <row r="144">
      <c r="A144" t="inlineStr">
        <is>
          <t>in-8218c295d391d194</t>
        </is>
      </c>
      <c r="B144" t="inlineStr">
        <is>
          <t>Data Scientist (TS/SCI)</t>
        </is>
      </c>
      <c r="C144" t="inlineStr">
        <is>
          <t>Xcellent Technology Solutions</t>
        </is>
      </c>
      <c r="D144" t="inlineStr">
        <is>
          <t>indeed</t>
        </is>
      </c>
      <c r="E144">
        <f>HYPERLINK("https://www.indeed.com/viewjob?jk=8218c295d391d194", "https://www.indeed.com/viewjob?jk=8218c295d391d194")</f>
        <v/>
      </c>
      <c r="F144">
        <f>HYPERLINK("https://xtscareers.applytojob.com/apply/zQ7wHHjmvm/Data-Scientist-TSSCI?source=INDE&amp;~", "https://xtscareers.applytojob.com/apply/zQ7wHHjmvm/Data-Scientist-TSSCI?source=INDE&amp;~")</f>
        <v/>
      </c>
      <c r="G144" t="inlineStr">
        <is>
          <t>St. Louis, MO, US</t>
        </is>
      </c>
      <c r="H144" s="3" t="n">
        <v>46050</v>
      </c>
      <c r="I144" t="inlineStr">
        <is>
          <t>*Every day, decisions are made that shape national security operations. Those decisions depend on intelligence that is clear, defensible, and timely intelligence that turns geospatial data into understanding.*  
***This role exists to make that happen.***  
This is an exciting opportunity to join us as a Data Scientist to support the National Geospatial\-Intelligence Agency (NGA), embedded within the Analysis Office (AOS). This is a mission\-focused position supporting high\-priority intelligence operations, where your work directly informs daily analytic and operational decision\-making. The environment is fast\-moving, data\-rich, and uncertain. Data sources are large, diverse, and imperfect. Patterns are subtle. Questions evolve. Your role will be to bring structure, rigor, and insight. Designing repeatable analytic processes that surface discoveries others miss and delivering them in ways that integrate seamlessly into operations. You will lead analytic efforts with minimal direction, applying experience, judgment, and rigor to every product. Collaborating across NGA and Intelligence Community partners, you’ll help integrate perspectives and strengthen collective understanding. Advising government leadership on analytic methodologies, processes, and technologies, while mentoring others and setting the standards for quality and relevance. The mission will keep moving, network will adapt, patterns will shift, and new questions will emerge. What won’t change is the need for intelligence that is trusted, actionable, and timely. If you want to be a part of delivering that clarity, join XTS today!  
**Requirements*** Current active Top Secret / SCI clearance
* You have achieved the accomplishment of a Master’s degree \+ 5 years / Bachelor’s degree \+ 7 years / Associate’s degree \+ 8 years / 10 \+ years of relevant experience.
* You have proficiency in Python in order to automate and create solutions that scale, adapt, and withstand mission demands.
* You have gained strong expertise in building processes around large datasets to support in designing repeatable methods that extract real discoveries from complexity.
* You have a strong skillset in operational visualization in order to make discoveries and present them through clear, intuitive visualizations that team can use immediately in daily operations.
* Experience with tools such as ArcGIS, Tableau, SPSS, SAS, Excel, or similar to query, aggregate and optimize large datasets.
If you’re ready to apply your intelligence background and technical expertise to problems of national importance, ensuring NGA’s mission is carried out with precision, speed, and impact, send your resume directly to Lanchi Lai at Lanchi.Lai@xts\-inc.com  
***At XTS, we believe in taking care of our employees as much as we take care of our clients. As a veteran\-owned company, we understand the importance of community, service, and fostering a culture where each team member can thrive. Our commitment to employee well\-being is reflected in the comprehensive benefits and growth opportunities we offer. We offer tailored health care plans that fit your lifestyle, along with dental and vision coverage, paid time off (PTO), and a 401K with employer matching to secure your financial future. As we push forward in the rapidly evolving field of AI, XTS is committed to providing employees with tools and opportunities to stay ahead. We are proud to offer a GeoAI scholarship to help our employees further develop their skills and expertise in this cutting\-edge field. We take pride in delivering elite workforces to the Intelligence Community, making a real\-world impact on critical missions. Join us and experience a company that invests in your success and the continued support to your professional growth.***  
zQ7wHHjmvm</t>
        </is>
      </c>
    </row>
    <row r="145">
      <c r="A145" t="inlineStr">
        <is>
          <t>in-b6aa9a7a61efc940</t>
        </is>
      </c>
      <c r="B145" t="inlineStr">
        <is>
          <t>Data Scientist (Hybrid on-site)</t>
        </is>
      </c>
      <c r="C145" t="inlineStr">
        <is>
          <t>PEAK TECHNOLOGIES</t>
        </is>
      </c>
      <c r="D145" t="inlineStr">
        <is>
          <t>indeed</t>
        </is>
      </c>
      <c r="E145">
        <f>HYPERLINK("https://www.indeed.com/viewjob?jk=b6aa9a7a61efc940", "https://www.indeed.com/viewjob?jk=b6aa9a7a61efc940")</f>
        <v/>
      </c>
      <c r="F145">
        <f>HYPERLINK("https://jobs.dayforcehcm.com/en-US/peaktech/CANDIDATEPORTAL/jobs/2514", "https://jobs.dayforcehcm.com/en-US/peaktech/CANDIDATEPORTAL/jobs/2514")</f>
        <v/>
      </c>
      <c r="G145" t="inlineStr">
        <is>
          <t>Franklin, MA, US</t>
        </is>
      </c>
      <c r="H145" s="3" t="n">
        <v>46050</v>
      </c>
      <c r="I145" t="inlineStr">
        <is>
          <t>For over 35 years, Peak Technologies has been at the forefront of providing end\-to\-end enterprise mobility, managed services, printing and mobile data capture solutions for performance\-driven organizations focused on the optimization of supply chain and field\-based business processes.
* Job Title: Data Scientist
* Location: Franklin, MA
* Schedule: Mon\-Fri 8\-5/9\-6, hybrid on\-site Tu/Th
JOB SUMMARY \&amp; SCOPE
Peak Technologies is seeking a motivated and analytical Data Scientist to help advance our data\-driven strategy and support the development of intelligent automation, analytics, and AI solutions across the business.
In this role, you will analyze large datasets, build predictive and generative models, and translate data into actionable insights that enhance operational efficiency and customer outcomes. You will also have opportunities to explore emerging technologies such as Large Language Models (LLMs), Large Vision Models (LVMs), and other machine learning and computer vision techniques to bridge the gap between research and business application.
This position requires strong problem\-solving skills, solid technical proficiency, and a genuine passion for using data to drive measurable impact in a fast\-paced, collaborative environment.
KEY ACCOUNTABILITIES
* Collect, clean, and preprocess large datasets from multiple sources while ensuring data accuracy, consistency, and integrity.
* Apply statistical methods, hypothesis testing, and exploratory data analysis to identify trends and opportunities.
* Develop and deploy machine learning and predictive models to support data\-driven decision\-making and product innovation.
* Research, prototype, and evaluate AI and ML models, including LLMs, LVMs, and other cutting\-edge algorithms.
* Collaborate with engineering and data annotation teams to improve data pipelines, tagging accuracy, and supervised learning processes.
* Create clear, impactful visualizations, dashboards, and reports for technical and non\-technical audiences.
* Design and interpret A/B and multivariate tests to measure the impact of business changes or feature deployments.
* Maintain documentation for data sources, transformation logic, and model development processes.
* Participate in code reviews, model evaluations, and team knowledge\-sharing sessions to promote best practices.
* Ensure compliance with data governance, privacy, and security standards across all data projects.
EDUCATION \+ EXPERIENCE \+ KEY TRAITS
* Bachelor’s or Master’s degree in Data Science, Computer Science, Statistics, Artificial Intelligence, or a related field.
* Minimum 1 year of experience in a data science, applied AI, or analytical role (internship or postgraduate research experience may qualify).
* Proficiency in Python, R, and SQL, including experience with frameworks such as scikit\-learn, TensorFlow, or PyTorch.
* Strong understanding of statistical modeling, data visualization, and machine learning evaluation techniques.
* Familiarity with cloud platforms (Google Cloud Platform, AWS, or Azure) and tools such as Vertex AI is preferred.
* Excellent communication skills with the ability to explain complex concepts to diverse audiences.
* Detail\-oriented, proactive, and comfortable working collaboratively across cross\-functional teams.
* Passionate about innovation, continuous learning, and contributing to a data\-driven culture at Peak Technologies.
BONUS EXPERIENCE (Preferred but Not Required)
* Hands\-on experience with Natural Language Processing (NLP) or Computer Vision tasks (e.g., text classification, image tagging, or sentiment analysis).
* Exposure to data warehousing, ETL processes, or data engineering workflows.
* Contributions to open\-source projects or research publications in data science or artificial intelligence.
TYPICAL PERFORMANCE TARGETS
* SERVICE DELIVERY: Sustained, measured excellence in project \&amp; process delivery
* COST TO SERVE: Sustained, measured excellence in delivery efficiency with expected continuous improvement
* INNOVATION: Step changed delivery in safety, quality, and/or cost
LANGUAGE SKILLS
* Primary language used in daily operations is English. Additional primary company languages include Spanish, French, and Dutch.
* Read and interpret documents, procedure manuals and various correspondence from both internal and external.
* Speak effectively, both individually and before groups of both external customers and/or various levels of employees within the organization.
MATHEMATICAL SKILLS
* Ability to apply concepts such as fractions, percentages, ratios, and proportions to practical situations.
REASONING ABILITY
* Ability to define problems, collect data, establish facts, and draw valid conclusions. Ability to interpret an extensive variety of technical instructions in mathematical or diagram form and deal with several abstract and concrete variables.
COMPUTER SKILLS
* To perform this job successfully, an individual should have knowledge of Microsoft Office suite, Excel, and Word specifically. CRM skills required.
SUPERVISION
* Role does not require supervision of direct and indirect reports.
DECISION MAKING \+ REASONING
* Able to take accountability and responsibility for business target delivery and decision making.
* Possess a unique blend of business and technical savvy, a big\-picture vision, and the drive to make that vision a reality.
PHYSICAL REQUIREMENTS
Activity Amount of Time
None Under 1/3 1/3 to 2/3 Over 2/3
Stand X
Walk X
Sit X
Use hands to finger, handle, or feel X
Reach with hands and arms X
Climb or balance X
Stoop, kneel, crouch, or crawl X
Talk or hear X
Lift Up to 25lbs X
Travel X
Peak Technologies, Inc. is an Equal Opportunity Employer who fully and actively supports equal access for all people regardless of Race, Color, Religion, Gender, Age, National Origin, Veteran Status, Disability, Genetic Information or Testing, Family and Medical Leave, Sexual Orientation and Gender Identity or Expression.</t>
        </is>
      </c>
    </row>
    <row r="146">
      <c r="A146" t="inlineStr">
        <is>
          <t>in-0f807f7a051360af</t>
        </is>
      </c>
      <c r="B146" t="inlineStr">
        <is>
          <t>Data Scientist, PAR</t>
        </is>
      </c>
      <c r="C146" t="inlineStr">
        <is>
          <t>Meta</t>
        </is>
      </c>
      <c r="D146" t="inlineStr">
        <is>
          <t>indeed</t>
        </is>
      </c>
      <c r="E146">
        <f>HYPERLINK("https://www.indeed.com/viewjob?jk=0f807f7a051360af", "https://www.indeed.com/viewjob?jk=0f807f7a051360af")</f>
        <v/>
      </c>
      <c r="F146">
        <f>HYPERLINK("https://jsv3.recruitics.com/redirect?rx_cid=3239&amp;rx_jobId=a1KDp00000CZLUTMA5_1002&amp;rx_url=https%3A%2F%2Fwww.metacareers.com%2Fjobs%2F1770701523608616%2F%3Frx_campaign%3Dindeed0%26rx_ch%3Dvp%26rx_group%3D187943%26rx_id%3D2e734879-fd30-11f0-be34-7f55740f2322%26rx_job%3Da1KDp00000CZLUTMA5_1002%26rx_medium%3Dcpc%26rx_r%3Dnone%26rx_source%3Dindeed%26rx_ts%3D20260130T001202Z%26rx_vp%3Dcpc%26utm_campaign%3DJob%252Bboard%26utm_medium%3Djobs%26utm_source%3Dindeedorganic", "https://jsv3.recruitics.com/redirect?rx_cid=3239&amp;rx_jobId=a1KDp00000CZLUTMA5_1002&amp;rx_url=https%3A%2F%2Fwww.metacareers.com%2Fjobs%2F1770701523608616%2F%3Frx_campaign%3Dindeed0%26rx_ch%3Dvp%26rx_group%3D187943%26rx_id%3D2e734879-fd30-11f0-be34-7f55740f2322%26rx_job%3Da1KDp00000CZLUTMA5_1002%26rx_medium%3Dcpc%26rx_r%3Dnone%26rx_source%3Dindeed%26rx_ts%3D20260130T001202Z%26rx_vp%3Dcpc%26utm_campaign%3DJob%252Bboard%26utm_medium%3Djobs%26utm_source%3Dindeedorganic")</f>
        <v/>
      </c>
      <c r="G146" t="inlineStr">
        <is>
          <t>New York, NY, US</t>
        </is>
      </c>
      <c r="H146" s="3" t="n">
        <v>46048</v>
      </c>
      <c r="I146"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A minimum of 6 years of work experience in analytics (minimum of 4 years with a Ph.D.)
* Experience with data querying languages (e.g. SQL), scripting languages (e.g. Python), and/or statistical/mathematical software (e.g. R)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7">
      <c r="A147" t="inlineStr">
        <is>
          <t>in-7e8f82bef0ca61aa</t>
        </is>
      </c>
      <c r="B147" t="inlineStr">
        <is>
          <t>Data Scientist, PAR</t>
        </is>
      </c>
      <c r="C147" t="inlineStr">
        <is>
          <t>Meta</t>
        </is>
      </c>
      <c r="D147" t="inlineStr">
        <is>
          <t>indeed</t>
        </is>
      </c>
      <c r="E147">
        <f>HYPERLINK("https://www.indeed.com/viewjob?jk=7e8f82bef0ca61aa", "https://www.indeed.com/viewjob?jk=7e8f82bef0ca61aa")</f>
        <v/>
      </c>
      <c r="F147">
        <f>HYPERLINK("https://jsv3.recruitics.com/redirect?rx_cid=3239&amp;rx_jobId=a1KDp00000CZLUTMA5_1001&amp;rx_url=https%3A%2F%2Fwww.metacareers.com%2Fjobs%2F1770701523608616%2F%3Frx_campaign%3Dindeed0%26rx_ch%3Dvp%26rx_group%3D187943%26rx_id%3D2a75dc79-fd30-11f0-be34-b7ea2deb67b5%26rx_job%3Da1KDp00000CZLUTMA5_1001%26rx_medium%3Dcpc%26rx_r%3Dnone%26rx_source%3Dindeed%26rx_ts%3D20260130T001202Z%26rx_vp%3Dcpc%26utm_campaign%3DJob%252Bboard%26utm_medium%3Djobs%26utm_source%3Dindeedorganic", "https://jsv3.recruitics.com/redirect?rx_cid=3239&amp;rx_jobId=a1KDp00000CZLUTMA5_1001&amp;rx_url=https%3A%2F%2Fwww.metacareers.com%2Fjobs%2F1770701523608616%2F%3Frx_campaign%3Dindeed0%26rx_ch%3Dvp%26rx_group%3D187943%26rx_id%3D2a75dc79-fd30-11f0-be34-b7ea2deb67b5%26rx_job%3Da1KDp00000CZLUTMA5_1001%26rx_medium%3Dcpc%26rx_r%3Dnone%26rx_source%3Dindeed%26rx_ts%3D20260130T001202Z%26rx_vp%3Dcpc%26utm_campaign%3DJob%252Bboard%26utm_medium%3Djobs%26utm_source%3Dindeedorganic")</f>
        <v/>
      </c>
      <c r="G147" t="inlineStr">
        <is>
          <t>Seattle, WA, US</t>
        </is>
      </c>
      <c r="H147" s="3" t="n">
        <v>46048</v>
      </c>
      <c r="I14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8">
      <c r="A148" t="inlineStr">
        <is>
          <t>in-c43c9ed5a7804d9d</t>
        </is>
      </c>
      <c r="B148" t="inlineStr">
        <is>
          <t>Data Scientist, PAR</t>
        </is>
      </c>
      <c r="C148" t="inlineStr">
        <is>
          <t>Meta</t>
        </is>
      </c>
      <c r="D148" t="inlineStr">
        <is>
          <t>indeed</t>
        </is>
      </c>
      <c r="E148">
        <f>HYPERLINK("https://www.indeed.com/viewjob?jk=c43c9ed5a7804d9d", "https://www.indeed.com/viewjob?jk=c43c9ed5a7804d9d")</f>
        <v/>
      </c>
      <c r="F148">
        <f>HYPERLINK("https://jsv3.recruitics.com/redirect?rx_cid=3239&amp;rx_jobId=a1KDp00000CZLUTMA5&amp;rx_url=https%3A%2F%2Fwww.metacareers.com%2Fjobs%2F1770701523608616%2F%3Frx_campaign%3Dindeed0%26rx_ch%3Dvp%26rx_group%3D187943%26rx_id%3D2f45b3e7-fd30-11f0-be34-019891feefdf%26rx_job%3Da1KDp00000CZLUTMA5%26rx_medium%3Dcpc%26rx_r%3Dnone%26rx_source%3Dindeed%26rx_ts%3D20260130T001202Z%26rx_vp%3Dcpc%26utm_campaign%3DJob%252Bboard%26utm_medium%3Djobs%26utm_source%3Dindeedorganic", "https://jsv3.recruitics.com/redirect?rx_cid=3239&amp;rx_jobId=a1KDp00000CZLUTMA5&amp;rx_url=https%3A%2F%2Fwww.metacareers.com%2Fjobs%2F1770701523608616%2F%3Frx_campaign%3Dindeed0%26rx_ch%3Dvp%26rx_group%3D187943%26rx_id%3D2f45b3e7-fd30-11f0-be34-019891feefdf%26rx_job%3Da1KDp00000CZLUTMA5%26rx_medium%3Dcpc%26rx_r%3Dnone%26rx_source%3Dindeed%26rx_ts%3D20260130T001202Z%26rx_vp%3Dcpc%26utm_campaign%3DJob%252Bboard%26utm_medium%3Djobs%26utm_source%3Dindeedorganic")</f>
        <v/>
      </c>
      <c r="G148" t="inlineStr">
        <is>
          <t>Menlo Park, CA, US</t>
        </is>
      </c>
      <c r="H148" s="3" t="n">
        <v>46048</v>
      </c>
      <c r="I14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9">
      <c r="A149" t="inlineStr">
        <is>
          <t>in-3f8cf26fe93af7e8</t>
        </is>
      </c>
      <c r="B149" t="inlineStr">
        <is>
          <t>Sr. Applied Scientist, Amazon Ads</t>
        </is>
      </c>
      <c r="C149" t="inlineStr">
        <is>
          <t>Amazon.com</t>
        </is>
      </c>
      <c r="D149" t="inlineStr">
        <is>
          <t>indeed</t>
        </is>
      </c>
      <c r="E149">
        <f>HYPERLINK("https://www.indeed.com/viewjob?jk=3f8cf26fe93af7e8", "https://www.indeed.com/viewjob?jk=3f8cf26fe93af7e8")</f>
        <v/>
      </c>
      <c r="F149">
        <f>HYPERLINK("https://www.amazon.jobs/jobs/3139328/sr-applied-scientist-amazon-ads?cmpid=DA_INAD200785B", "https://www.amazon.jobs/jobs/3139328/sr-applied-scientist-amazon-ads?cmpid=DA_INAD200785B")</f>
        <v/>
      </c>
      <c r="G149" t="inlineStr">
        <is>
          <t>Brooklyn, NY, US</t>
        </is>
      </c>
      <c r="H149" s="3" t="n">
        <v>45998</v>
      </c>
      <c r="I1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0">
      <c r="A150" t="inlineStr">
        <is>
          <t>in-2bac8099459793bd</t>
        </is>
      </c>
      <c r="B150" t="inlineStr">
        <is>
          <t>Sr. Applied Scientist, Amazon Ads</t>
        </is>
      </c>
      <c r="C150" t="inlineStr">
        <is>
          <t>Amazon.com</t>
        </is>
      </c>
      <c r="D150" t="inlineStr">
        <is>
          <t>indeed</t>
        </is>
      </c>
      <c r="E150">
        <f>HYPERLINK("https://www.indeed.com/viewjob?jk=2bac8099459793bd", "https://www.indeed.com/viewjob?jk=2bac8099459793bd")</f>
        <v/>
      </c>
      <c r="F150">
        <f>HYPERLINK("https://www.amazon.jobs/jobs/3139328/sr-applied-scientist-amazon-ads?cmpid=DA_INAD200785B", "https://www.amazon.jobs/jobs/3139328/sr-applied-scientist-amazon-ads?cmpid=DA_INAD200785B")</f>
        <v/>
      </c>
      <c r="G150" t="inlineStr">
        <is>
          <t>Boston, MA, US</t>
        </is>
      </c>
      <c r="H150" s="3" t="n">
        <v>45998</v>
      </c>
      <c r="I1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1">
      <c r="A151" t="inlineStr">
        <is>
          <t>in-d468fd11639efd13</t>
        </is>
      </c>
      <c r="B151" t="inlineStr">
        <is>
          <t>Applied Scientist, ML Compiler</t>
        </is>
      </c>
      <c r="C151" t="inlineStr">
        <is>
          <t>Amazon Web Services</t>
        </is>
      </c>
      <c r="D151" t="inlineStr">
        <is>
          <t>indeed</t>
        </is>
      </c>
      <c r="E151">
        <f>HYPERLINK("https://www.indeed.com/viewjob?jk=d468fd11639efd13", "https://www.indeed.com/viewjob?jk=d468fd11639efd13")</f>
        <v/>
      </c>
      <c r="F151">
        <f>HYPERLINK("https://www.amazon.jobs/jobs/3136884/applied-scientist-ml-compiler?cmpid=DA_INAD200785B", "https://www.amazon.jobs/jobs/3136884/applied-scientist-ml-compiler?cmpid=DA_INAD200785B")</f>
        <v/>
      </c>
      <c r="G151" t="inlineStr">
        <is>
          <t>Cupertino, CA, US</t>
        </is>
      </c>
      <c r="H151" s="3" t="n">
        <v>45993</v>
      </c>
      <c r="I15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in-9ec3c22e61883857</t>
        </is>
      </c>
      <c r="B152" t="inlineStr">
        <is>
          <t>Applied Scientist, ML Compiler</t>
        </is>
      </c>
      <c r="C152" t="inlineStr">
        <is>
          <t>Amazon Web Services</t>
        </is>
      </c>
      <c r="D152" t="inlineStr">
        <is>
          <t>indeed</t>
        </is>
      </c>
      <c r="E152">
        <f>HYPERLINK("https://www.indeed.com/viewjob?jk=9ec3c22e61883857", "https://www.indeed.com/viewjob?jk=9ec3c22e61883857")</f>
        <v/>
      </c>
      <c r="F152">
        <f>HYPERLINK("https://www.amazon.jobs/jobs/3136884/applied-scientist-ml-compiler?cmpid=DA_INAD200785B", "https://www.amazon.jobs/jobs/3136884/applied-scientist-ml-compiler?cmpid=DA_INAD200785B")</f>
        <v/>
      </c>
      <c r="G152" t="inlineStr">
        <is>
          <t>Seattle, WA, US</t>
        </is>
      </c>
      <c r="H152" s="3" t="n">
        <v>45993</v>
      </c>
      <c r="I15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in-f42532426ff478b9</t>
        </is>
      </c>
      <c r="B153" t="inlineStr">
        <is>
          <t>Principal Applied Scientist, Amazon Special Projects</t>
        </is>
      </c>
      <c r="C153" t="inlineStr">
        <is>
          <t>Amazon.com</t>
        </is>
      </c>
      <c r="D153" t="inlineStr">
        <is>
          <t>indeed</t>
        </is>
      </c>
      <c r="E153">
        <f>HYPERLINK("https://www.indeed.com/viewjob?jk=f42532426ff478b9", "https://www.indeed.com/viewjob?jk=f42532426ff478b9")</f>
        <v/>
      </c>
      <c r="F153">
        <f>HYPERLINK("https://www.amazon.jobs/jobs/3132566/principal-applied-scientist-amazon-special-projects?cmpid=DA_INAD200785B", "https://www.amazon.jobs/jobs/3132566/principal-applied-scientist-amazon-special-projects?cmpid=DA_INAD200785B")</f>
        <v/>
      </c>
      <c r="G153" t="inlineStr">
        <is>
          <t>Boston, MA, US</t>
        </is>
      </c>
      <c r="H153" s="3" t="n">
        <v>45982</v>
      </c>
      <c r="I15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in-9b55e62cce5f0391</t>
        </is>
      </c>
      <c r="B154" t="inlineStr">
        <is>
          <t>Principal Applied Scientist, Amazon Special Projects</t>
        </is>
      </c>
      <c r="C154" t="inlineStr">
        <is>
          <t>Amazon.com</t>
        </is>
      </c>
      <c r="D154" t="inlineStr">
        <is>
          <t>indeed</t>
        </is>
      </c>
      <c r="E154">
        <f>HYPERLINK("https://www.indeed.com/viewjob?jk=9b55e62cce5f0391", "https://www.indeed.com/viewjob?jk=9b55e62cce5f0391")</f>
        <v/>
      </c>
      <c r="F154">
        <f>HYPERLINK("https://www.amazon.jobs/jobs/3132566/principal-applied-scientist-amazon-special-projects?cmpid=DA_INAD200785B", "https://www.amazon.jobs/jobs/3132566/principal-applied-scientist-amazon-special-projects?cmpid=DA_INAD200785B")</f>
        <v/>
      </c>
      <c r="G154" t="inlineStr">
        <is>
          <t>Seattle, WA, US</t>
        </is>
      </c>
      <c r="H154" s="3" t="n">
        <v>45982</v>
      </c>
      <c r="I15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in-0a9f614646a60eb5</t>
        </is>
      </c>
      <c r="B155" t="inlineStr">
        <is>
          <t>Senior Applied Scientist, Artificial General Intelligence</t>
        </is>
      </c>
      <c r="C155" t="inlineStr">
        <is>
          <t>Amazon.com</t>
        </is>
      </c>
      <c r="D155" t="inlineStr">
        <is>
          <t>indeed</t>
        </is>
      </c>
      <c r="E155">
        <f>HYPERLINK("https://www.indeed.com/viewjob?jk=0a9f614646a60eb5", "https://www.indeed.com/viewjob?jk=0a9f614646a60eb5")</f>
        <v/>
      </c>
      <c r="F155">
        <f>HYPERLINK("https://www.amazon.jobs/jobs/3131971/senior-applied-scientist-artificial-general-intelligence?cmpid=DA_INAD200785B", "https://www.amazon.jobs/jobs/3131971/senior-applied-scientist-artificial-general-intelligence?cmpid=DA_INAD200785B")</f>
        <v/>
      </c>
      <c r="G155" t="inlineStr">
        <is>
          <t>Sunnyvale, CA, US</t>
        </is>
      </c>
      <c r="H155" s="3" t="n">
        <v>45980</v>
      </c>
      <c r="I1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in-85356cec0a697899</t>
        </is>
      </c>
      <c r="B156" t="inlineStr">
        <is>
          <t>Senior Applied Scientist, Artificial General Intelligence</t>
        </is>
      </c>
      <c r="C156" t="inlineStr">
        <is>
          <t>Amazon.com</t>
        </is>
      </c>
      <c r="D156" t="inlineStr">
        <is>
          <t>indeed</t>
        </is>
      </c>
      <c r="E156">
        <f>HYPERLINK("https://www.indeed.com/viewjob?jk=85356cec0a697899", "https://www.indeed.com/viewjob?jk=85356cec0a697899")</f>
        <v/>
      </c>
      <c r="F156">
        <f>HYPERLINK("https://www.amazon.jobs/jobs/3131971/senior-applied-scientist-artificial-general-intelligence?cmpid=DA_INAD200785B", "https://www.amazon.jobs/jobs/3131971/senior-applied-scientist-artificial-general-intelligence?cmpid=DA_INAD200785B")</f>
        <v/>
      </c>
      <c r="G156" t="inlineStr">
        <is>
          <t>Boston, MA, US</t>
        </is>
      </c>
      <c r="H156" s="3" t="n">
        <v>45980</v>
      </c>
      <c r="I1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in-5b44ea6e9a8877fa</t>
        </is>
      </c>
      <c r="B157" t="inlineStr">
        <is>
          <t>Senior Applied Scientist, Artificial General Intelligence</t>
        </is>
      </c>
      <c r="C157" t="inlineStr">
        <is>
          <t>Amazon.com</t>
        </is>
      </c>
      <c r="D157" t="inlineStr">
        <is>
          <t>indeed</t>
        </is>
      </c>
      <c r="E157">
        <f>HYPERLINK("https://www.indeed.com/viewjob?jk=5b44ea6e9a8877fa", "https://www.indeed.com/viewjob?jk=5b44ea6e9a8877fa")</f>
        <v/>
      </c>
      <c r="F157">
        <f>HYPERLINK("https://www.amazon.jobs/jobs/3131971/senior-applied-scientist-artificial-general-intelligence?cmpid=DA_INAD200785B", "https://www.amazon.jobs/jobs/3131971/senior-applied-scientist-artificial-general-intelligence?cmpid=DA_INAD200785B")</f>
        <v/>
      </c>
      <c r="G157" t="inlineStr">
        <is>
          <t>New York, NY, US</t>
        </is>
      </c>
      <c r="H157" s="3" t="n">
        <v>45980</v>
      </c>
      <c r="I1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in-6e9f4e87a183c533</t>
        </is>
      </c>
      <c r="B158" t="inlineStr">
        <is>
          <t>Senior Applied Scientist, Artificial General Intelligence</t>
        </is>
      </c>
      <c r="C158" t="inlineStr">
        <is>
          <t>Amazon.com</t>
        </is>
      </c>
      <c r="D158" t="inlineStr">
        <is>
          <t>indeed</t>
        </is>
      </c>
      <c r="E158">
        <f>HYPERLINK("https://www.indeed.com/viewjob?jk=6e9f4e87a183c533", "https://www.indeed.com/viewjob?jk=6e9f4e87a183c533")</f>
        <v/>
      </c>
      <c r="F158">
        <f>HYPERLINK("https://www.amazon.jobs/jobs/3131971/senior-applied-scientist-artificial-general-intelligence?cmpid=DA_INAD200785B", "https://www.amazon.jobs/jobs/3131971/senior-applied-scientist-artificial-general-intelligence?cmpid=DA_INAD200785B")</f>
        <v/>
      </c>
      <c r="G158" t="inlineStr">
        <is>
          <t>Seattle, WA, US</t>
        </is>
      </c>
      <c r="H158" s="3" t="n">
        <v>45980</v>
      </c>
      <c r="I1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in-3ee93bede41e4210</t>
        </is>
      </c>
      <c r="B159" t="inlineStr">
        <is>
          <t>Principal Applied Scientist, Sponsored Products and Brands</t>
        </is>
      </c>
      <c r="C159" t="inlineStr">
        <is>
          <t>Amazon.com</t>
        </is>
      </c>
      <c r="D159" t="inlineStr">
        <is>
          <t>indeed</t>
        </is>
      </c>
      <c r="E159">
        <f>HYPERLINK("https://www.indeed.com/viewjob?jk=3ee93bede41e4210", "https://www.indeed.com/viewjob?jk=3ee93bede41e4210")</f>
        <v/>
      </c>
      <c r="F159">
        <f>HYPERLINK("https://www.amazon.jobs/jobs/3130855/principal-applied-scientist-sponsored-products-and-brands?cmpid=DA_INAD200785B", "https://www.amazon.jobs/jobs/3130855/principal-applied-scientist-sponsored-products-and-brands?cmpid=DA_INAD200785B")</f>
        <v/>
      </c>
      <c r="G159" t="inlineStr">
        <is>
          <t>New York, NY, US</t>
        </is>
      </c>
      <c r="H159" s="3" t="n">
        <v>45979</v>
      </c>
      <c r="I15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in-961f162e58f8700a</t>
        </is>
      </c>
      <c r="B160" t="inlineStr">
        <is>
          <t>Principal Applied Scientist, Sponsored Products and Brands</t>
        </is>
      </c>
      <c r="C160" t="inlineStr">
        <is>
          <t>Amazon.com</t>
        </is>
      </c>
      <c r="D160" t="inlineStr">
        <is>
          <t>indeed</t>
        </is>
      </c>
      <c r="E160">
        <f>HYPERLINK("https://www.indeed.com/viewjob?jk=961f162e58f8700a", "https://www.indeed.com/viewjob?jk=961f162e58f8700a")</f>
        <v/>
      </c>
      <c r="F160">
        <f>HYPERLINK("https://www.amazon.jobs/jobs/3130855/principal-applied-scientist-sponsored-products-and-brands?cmpid=DA_INAD200785B", "https://www.amazon.jobs/jobs/3130855/principal-applied-scientist-sponsored-products-and-brands?cmpid=DA_INAD200785B")</f>
        <v/>
      </c>
      <c r="G160" t="inlineStr">
        <is>
          <t>Seattle, WA, US</t>
        </is>
      </c>
      <c r="H160" s="3" t="n">
        <v>45979</v>
      </c>
      <c r="I1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in-b9d86d9c9fc5f977</t>
        </is>
      </c>
      <c r="B161" t="inlineStr">
        <is>
          <t>Sr. Applied Scientist, AGI Foundations</t>
        </is>
      </c>
      <c r="C161" t="inlineStr">
        <is>
          <t>Amazon.com</t>
        </is>
      </c>
      <c r="D161" t="inlineStr">
        <is>
          <t>indeed</t>
        </is>
      </c>
      <c r="E161">
        <f>HYPERLINK("https://www.indeed.com/viewjob?jk=b9d86d9c9fc5f977", "https://www.indeed.com/viewjob?jk=b9d86d9c9fc5f977")</f>
        <v/>
      </c>
      <c r="F161">
        <f>HYPERLINK("https://www.amazon.jobs/jobs/3128807/sr-applied-scientist-agi-foundations?cmpid=DA_INAD200785B", "https://www.amazon.jobs/jobs/3128807/sr-applied-scientist-agi-foundations?cmpid=DA_INAD200785B")</f>
        <v/>
      </c>
      <c r="G161" t="inlineStr">
        <is>
          <t>Boston, MA, US</t>
        </is>
      </c>
      <c r="H161" s="3" t="n">
        <v>45978</v>
      </c>
      <c r="I16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in-40777b1561b6ef06</t>
        </is>
      </c>
      <c r="B162" t="inlineStr">
        <is>
          <t>Sr. Applied Scientist, AGI Foundations</t>
        </is>
      </c>
      <c r="C162" t="inlineStr">
        <is>
          <t>Amazon.com</t>
        </is>
      </c>
      <c r="D162" t="inlineStr">
        <is>
          <t>indeed</t>
        </is>
      </c>
      <c r="E162">
        <f>HYPERLINK("https://www.indeed.com/viewjob?jk=40777b1561b6ef06", "https://www.indeed.com/viewjob?jk=40777b1561b6ef06")</f>
        <v/>
      </c>
      <c r="F162">
        <f>HYPERLINK("https://www.amazon.jobs/jobs/3128807/sr-applied-scientist-agi-foundations?cmpid=DA_INAD200785B", "https://www.amazon.jobs/jobs/3128807/sr-applied-scientist-agi-foundations?cmpid=DA_INAD200785B")</f>
        <v/>
      </c>
      <c r="G162" t="inlineStr">
        <is>
          <t>Bellevue, WA, US</t>
        </is>
      </c>
      <c r="H162" s="3" t="n">
        <v>45978</v>
      </c>
      <c r="I16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in-a92590d0efa81d1b</t>
        </is>
      </c>
      <c r="B163" t="inlineStr">
        <is>
          <t>Sr. Applied Scientist, AGI Foundations</t>
        </is>
      </c>
      <c r="C163" t="inlineStr">
        <is>
          <t>Amazon.com</t>
        </is>
      </c>
      <c r="D163" t="inlineStr">
        <is>
          <t>indeed</t>
        </is>
      </c>
      <c r="E163">
        <f>HYPERLINK("https://www.indeed.com/viewjob?jk=a92590d0efa81d1b", "https://www.indeed.com/viewjob?jk=a92590d0efa81d1b")</f>
        <v/>
      </c>
      <c r="F163">
        <f>HYPERLINK("https://www.amazon.jobs/jobs/3128807/sr-applied-scientist-agi-foundations?cmpid=DA_INAD200785B", "https://www.amazon.jobs/jobs/3128807/sr-applied-scientist-agi-foundations?cmpid=DA_INAD200785B")</f>
        <v/>
      </c>
      <c r="G163" t="inlineStr">
        <is>
          <t>Sunnyvale, CA, US</t>
        </is>
      </c>
      <c r="H163" s="3" t="n">
        <v>45978</v>
      </c>
      <c r="I1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in-4170abf1d89d1e8e</t>
        </is>
      </c>
      <c r="B164" t="inlineStr">
        <is>
          <t>Sr. Applied Scientist, AGI Foundations</t>
        </is>
      </c>
      <c r="C164" t="inlineStr">
        <is>
          <t>Amazon.com</t>
        </is>
      </c>
      <c r="D164" t="inlineStr">
        <is>
          <t>indeed</t>
        </is>
      </c>
      <c r="E164">
        <f>HYPERLINK("https://www.indeed.com/viewjob?jk=4170abf1d89d1e8e", "https://www.indeed.com/viewjob?jk=4170abf1d89d1e8e")</f>
        <v/>
      </c>
      <c r="F164">
        <f>HYPERLINK("https://www.amazon.jobs/jobs/3128807/sr-applied-scientist-agi-foundations?cmpid=DA_INAD200785B", "https://www.amazon.jobs/jobs/3128807/sr-applied-scientist-agi-foundations?cmpid=DA_INAD200785B")</f>
        <v/>
      </c>
      <c r="G164" t="inlineStr">
        <is>
          <t>New York, NY, US</t>
        </is>
      </c>
      <c r="H164" s="3" t="n">
        <v>45978</v>
      </c>
      <c r="I1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in-f88bd12a937f0521</t>
        </is>
      </c>
      <c r="B165" t="inlineStr">
        <is>
          <t>Principal Applied Scientist, Amazon AGI</t>
        </is>
      </c>
      <c r="C165" t="inlineStr">
        <is>
          <t>Amazon.com</t>
        </is>
      </c>
      <c r="D165" t="inlineStr">
        <is>
          <t>indeed</t>
        </is>
      </c>
      <c r="E165">
        <f>HYPERLINK("https://www.indeed.com/viewjob?jk=f88bd12a937f0521", "https://www.indeed.com/viewjob?jk=f88bd12a937f0521")</f>
        <v/>
      </c>
      <c r="F165">
        <f>HYPERLINK("https://www.amazon.jobs/jobs/3128808/principal-applied-scientist-amazon-agi?cmpid=DA_INAD200785B", "https://www.amazon.jobs/jobs/3128808/principal-applied-scientist-amazon-agi?cmpid=DA_INAD200785B")</f>
        <v/>
      </c>
      <c r="G165" t="inlineStr">
        <is>
          <t>San Francisco, CA, US</t>
        </is>
      </c>
      <c r="H165" s="3" t="n">
        <v>45964</v>
      </c>
      <c r="I16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in-5ea84987944029b3</t>
        </is>
      </c>
      <c r="B166" t="inlineStr">
        <is>
          <t>Principal Applied Scientist, Amazon AGI</t>
        </is>
      </c>
      <c r="C166" t="inlineStr">
        <is>
          <t>Amazon.com</t>
        </is>
      </c>
      <c r="D166" t="inlineStr">
        <is>
          <t>indeed</t>
        </is>
      </c>
      <c r="E166">
        <f>HYPERLINK("https://www.indeed.com/viewjob?jk=5ea84987944029b3", "https://www.indeed.com/viewjob?jk=5ea84987944029b3")</f>
        <v/>
      </c>
      <c r="F166">
        <f>HYPERLINK("https://www.amazon.jobs/jobs/3128808/principal-applied-scientist-amazon-agi?cmpid=DA_INAD200785B", "https://www.amazon.jobs/jobs/3128808/principal-applied-scientist-amazon-agi?cmpid=DA_INAD200785B")</f>
        <v/>
      </c>
      <c r="G166" t="inlineStr">
        <is>
          <t>Boston, MA, US</t>
        </is>
      </c>
      <c r="H166" s="3" t="n">
        <v>45964</v>
      </c>
      <c r="I16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in-cb3ba9bbd1eb810d</t>
        </is>
      </c>
      <c r="B167" t="inlineStr">
        <is>
          <t>Sr. Applied Scientist, AGI Foundations</t>
        </is>
      </c>
      <c r="C167" t="inlineStr">
        <is>
          <t>Amazon.com</t>
        </is>
      </c>
      <c r="D167" t="inlineStr">
        <is>
          <t>indeed</t>
        </is>
      </c>
      <c r="E167">
        <f>HYPERLINK("https://www.indeed.com/viewjob?jk=cb3ba9bbd1eb810d", "https://www.indeed.com/viewjob?jk=cb3ba9bbd1eb810d")</f>
        <v/>
      </c>
      <c r="F167">
        <f>HYPERLINK("https://www.amazon.jobs/jobs/3123268/sr-applied-scientist-agi-foundations?cmpid=DA_INAD200785B", "https://www.amazon.jobs/jobs/3123268/sr-applied-scientist-agi-foundations?cmpid=DA_INAD200785B")</f>
        <v/>
      </c>
      <c r="G167" t="inlineStr">
        <is>
          <t>Bellevue, WA, US</t>
        </is>
      </c>
      <c r="H167" s="3" t="n">
        <v>45963</v>
      </c>
      <c r="I1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in-4a60edbd0fe27213</t>
        </is>
      </c>
      <c r="B168" t="inlineStr">
        <is>
          <t>Sr. Applied Scientist, AGI Foundations</t>
        </is>
      </c>
      <c r="C168" t="inlineStr">
        <is>
          <t>Amazon.com</t>
        </is>
      </c>
      <c r="D168" t="inlineStr">
        <is>
          <t>indeed</t>
        </is>
      </c>
      <c r="E168">
        <f>HYPERLINK("https://www.indeed.com/viewjob?jk=4a60edbd0fe27213", "https://www.indeed.com/viewjob?jk=4a60edbd0fe27213")</f>
        <v/>
      </c>
      <c r="F168">
        <f>HYPERLINK("https://www.amazon.jobs/jobs/3123268/sr-applied-scientist-agi-foundations?cmpid=DA_INAD200785B", "https://www.amazon.jobs/jobs/3123268/sr-applied-scientist-agi-foundations?cmpid=DA_INAD200785B")</f>
        <v/>
      </c>
      <c r="G168" t="inlineStr">
        <is>
          <t>New York, NY, US</t>
        </is>
      </c>
      <c r="H168" s="3" t="n">
        <v>45963</v>
      </c>
      <c r="I16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in-cb94992bbad631ca</t>
        </is>
      </c>
      <c r="B169" t="inlineStr">
        <is>
          <t>Sr. Applied Scientist, AGI Foundations</t>
        </is>
      </c>
      <c r="C169" t="inlineStr">
        <is>
          <t>Amazon.com</t>
        </is>
      </c>
      <c r="D169" t="inlineStr">
        <is>
          <t>indeed</t>
        </is>
      </c>
      <c r="E169">
        <f>HYPERLINK("https://www.indeed.com/viewjob?jk=cb94992bbad631ca", "https://www.indeed.com/viewjob?jk=cb94992bbad631ca")</f>
        <v/>
      </c>
      <c r="F169">
        <f>HYPERLINK("https://www.amazon.jobs/jobs/3123268/sr-applied-scientist-agi-foundations?cmpid=DA_INAD200785B", "https://www.amazon.jobs/jobs/3123268/sr-applied-scientist-agi-foundations?cmpid=DA_INAD200785B")</f>
        <v/>
      </c>
      <c r="G169" t="inlineStr">
        <is>
          <t>Boston, MA, US</t>
        </is>
      </c>
      <c r="H169" s="3" t="n">
        <v>45963</v>
      </c>
      <c r="I16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in-874d5a5ceb287aa6</t>
        </is>
      </c>
      <c r="B170" t="inlineStr">
        <is>
          <t>Principal Applied Scientist, AWS Agentic AI Science</t>
        </is>
      </c>
      <c r="C170" t="inlineStr">
        <is>
          <t>Amazon Web Services</t>
        </is>
      </c>
      <c r="D170" t="inlineStr">
        <is>
          <t>indeed</t>
        </is>
      </c>
      <c r="E170">
        <f>HYPERLINK("https://www.indeed.com/viewjob?jk=874d5a5ceb287aa6", "https://www.indeed.com/viewjob?jk=874d5a5ceb287aa6")</f>
        <v/>
      </c>
      <c r="F170">
        <f>HYPERLINK("https://www.amazon.jobs/jobs/3132887/principal-applied-scientist-aws-agentic-ai-science?cmpid=DA_INAD200785B", "https://www.amazon.jobs/jobs/3132887/principal-applied-scientist-aws-agentic-ai-science?cmpid=DA_INAD200785B")</f>
        <v/>
      </c>
      <c r="G170" t="inlineStr">
        <is>
          <t>Santa Clara, CA, US</t>
        </is>
      </c>
      <c r="H170" s="3" t="n">
        <v>45963</v>
      </c>
      <c r="I17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in-dc3ebc226f438dba</t>
        </is>
      </c>
      <c r="B171" t="inlineStr">
        <is>
          <t>Principal Applied Scientist, AWS Agentic AI Science</t>
        </is>
      </c>
      <c r="C171" t="inlineStr">
        <is>
          <t>Amazon Web Services</t>
        </is>
      </c>
      <c r="D171" t="inlineStr">
        <is>
          <t>indeed</t>
        </is>
      </c>
      <c r="E171">
        <f>HYPERLINK("https://www.indeed.com/viewjob?jk=dc3ebc226f438dba", "https://www.indeed.com/viewjob?jk=dc3ebc226f438dba")</f>
        <v/>
      </c>
      <c r="F171">
        <f>HYPERLINK("https://www.amazon.jobs/jobs/3132887/principal-applied-scientist-aws-agentic-ai-science?cmpid=DA_INAD200785B", "https://www.amazon.jobs/jobs/3132887/principal-applied-scientist-aws-agentic-ai-science?cmpid=DA_INAD200785B")</f>
        <v/>
      </c>
      <c r="G171" t="inlineStr">
        <is>
          <t>New York, NY, US</t>
        </is>
      </c>
      <c r="H171" s="3" t="n">
        <v>45963</v>
      </c>
      <c r="I17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in-cb2ba487aa4abb61</t>
        </is>
      </c>
      <c r="B172" t="inlineStr">
        <is>
          <t>Principal Applied Scientist, Advertiser Growth, Amazon Sponsored Products &amp; Brands</t>
        </is>
      </c>
      <c r="C172" t="inlineStr">
        <is>
          <t>Amazon.com</t>
        </is>
      </c>
      <c r="D172" t="inlineStr">
        <is>
          <t>indeed</t>
        </is>
      </c>
      <c r="E172">
        <f>HYPERLINK("https://www.indeed.com/viewjob?jk=cb2ba487aa4abb61", "https://www.indeed.com/viewjob?jk=cb2ba487aa4abb61")</f>
        <v/>
      </c>
      <c r="F172">
        <f>HYPERLINK("https://www.amazon.jobs/jobs/3115279/principal-applied-scientist-advertiser-growth-amazon-sponsored-products--brands?cmpid=DA_INAD200785B", "https://www.amazon.jobs/jobs/3115279/principal-applied-scientist-advertiser-growth-amazon-sponsored-products--brands?cmpid=DA_INAD200785B")</f>
        <v/>
      </c>
      <c r="G172" t="inlineStr">
        <is>
          <t>New York, NY, US</t>
        </is>
      </c>
      <c r="H172" s="3" t="n">
        <v>45942</v>
      </c>
      <c r="I1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in-21fdd3f9501e7102</t>
        </is>
      </c>
      <c r="B173" t="inlineStr">
        <is>
          <t>Principal Applied Scientist, Advertiser Growth, Amazon Sponsored Products &amp; Brands</t>
        </is>
      </c>
      <c r="C173" t="inlineStr">
        <is>
          <t>Amazon.com</t>
        </is>
      </c>
      <c r="D173" t="inlineStr">
        <is>
          <t>indeed</t>
        </is>
      </c>
      <c r="E173">
        <f>HYPERLINK("https://www.indeed.com/viewjob?jk=21fdd3f9501e7102", "https://www.indeed.com/viewjob?jk=21fdd3f9501e7102")</f>
        <v/>
      </c>
      <c r="F173">
        <f>HYPERLINK("https://www.amazon.jobs/jobs/3115279/principal-applied-scientist-advertiser-growth-amazon-sponsored-products--brands?cmpid=DA_INAD200785B", "https://www.amazon.jobs/jobs/3115279/principal-applied-scientist-advertiser-growth-amazon-sponsored-products--brands?cmpid=DA_INAD200785B")</f>
        <v/>
      </c>
      <c r="G173" t="inlineStr">
        <is>
          <t>Palo Alto, CA, US</t>
        </is>
      </c>
      <c r="H173" s="3" t="n">
        <v>45942</v>
      </c>
      <c r="I1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in-250609aac46f7993</t>
        </is>
      </c>
      <c r="B174" t="inlineStr">
        <is>
          <t>Principal Applied Scientist, Advertiser Growth, Amazon Sponsored Products &amp; Brands</t>
        </is>
      </c>
      <c r="C174" t="inlineStr">
        <is>
          <t>Amazon.com</t>
        </is>
      </c>
      <c r="D174" t="inlineStr">
        <is>
          <t>indeed</t>
        </is>
      </c>
      <c r="E174">
        <f>HYPERLINK("https://www.indeed.com/viewjob?jk=250609aac46f7993", "https://www.indeed.com/viewjob?jk=250609aac46f7993")</f>
        <v/>
      </c>
      <c r="F174">
        <f>HYPERLINK("https://www.amazon.jobs/jobs/3115279/principal-applied-scientist-advertiser-growth-amazon-sponsored-products--brands?cmpid=DA_INAD200785B", "https://www.amazon.jobs/jobs/3115279/principal-applied-scientist-advertiser-growth-amazon-sponsored-products--brands?cmpid=DA_INAD200785B")</f>
        <v/>
      </c>
      <c r="G174" t="inlineStr">
        <is>
          <t>Seattle, WA, US</t>
        </is>
      </c>
      <c r="H174" s="3" t="n">
        <v>45942</v>
      </c>
      <c r="I1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in-658b6a8bd5b6738e</t>
        </is>
      </c>
      <c r="B175" t="inlineStr">
        <is>
          <t>Applied Scientist II, Prime Video - Personalization and Discovery Science, Personalization and Discovery Science</t>
        </is>
      </c>
      <c r="C175" t="inlineStr">
        <is>
          <t>Amazon.com</t>
        </is>
      </c>
      <c r="D175" t="inlineStr">
        <is>
          <t>indeed</t>
        </is>
      </c>
      <c r="E175">
        <f>HYPERLINK("https://www.indeed.com/viewjob?jk=658b6a8bd5b6738e", "https://www.indeed.com/viewjob?jk=658b6a8bd5b6738e")</f>
        <v/>
      </c>
      <c r="F17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75" t="inlineStr">
        <is>
          <t>Sunnyvale, CA, US</t>
        </is>
      </c>
      <c r="H175" s="3" t="n">
        <v>45930</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in-efe7bf188952d16d</t>
        </is>
      </c>
      <c r="B176" t="inlineStr">
        <is>
          <t>Applied Scientist II, Prime Video - Personalization and Discovery Science, Personalization and Discovery Science</t>
        </is>
      </c>
      <c r="C176" t="inlineStr">
        <is>
          <t>Amazon.com</t>
        </is>
      </c>
      <c r="D176" t="inlineStr">
        <is>
          <t>indeed</t>
        </is>
      </c>
      <c r="E176">
        <f>HYPERLINK("https://www.indeed.com/viewjob?jk=efe7bf188952d16d", "https://www.indeed.com/viewjob?jk=efe7bf188952d16d")</f>
        <v/>
      </c>
      <c r="F17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76" t="inlineStr">
        <is>
          <t>New York, NY, US</t>
        </is>
      </c>
      <c r="H176" s="3" t="n">
        <v>45930</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in-9e9605eb06f7cd9f</t>
        </is>
      </c>
      <c r="B177" t="inlineStr">
        <is>
          <t>Applied Scientist II, Prime Video - Personalization and Discovery Science, Personalization and Discovery Science</t>
        </is>
      </c>
      <c r="C177" t="inlineStr">
        <is>
          <t>Amazon.com</t>
        </is>
      </c>
      <c r="D177" t="inlineStr">
        <is>
          <t>indeed</t>
        </is>
      </c>
      <c r="E177">
        <f>HYPERLINK("https://www.indeed.com/viewjob?jk=9e9605eb06f7cd9f", "https://www.indeed.com/viewjob?jk=9e9605eb06f7cd9f")</f>
        <v/>
      </c>
      <c r="F17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77" t="inlineStr">
        <is>
          <t>Seattle, WA, US</t>
        </is>
      </c>
      <c r="H177" s="3" t="n">
        <v>45930</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in-7008245af0e5f767</t>
        </is>
      </c>
      <c r="B178" t="inlineStr">
        <is>
          <t>Applied Scientist II, Prime Video - Personalization and Discovery Science</t>
        </is>
      </c>
      <c r="C178" t="inlineStr">
        <is>
          <t>Amazon.com</t>
        </is>
      </c>
      <c r="D178" t="inlineStr">
        <is>
          <t>indeed</t>
        </is>
      </c>
      <c r="E178">
        <f>HYPERLINK("https://www.indeed.com/viewjob?jk=7008245af0e5f767", "https://www.indeed.com/viewjob?jk=7008245af0e5f767")</f>
        <v/>
      </c>
      <c r="F178">
        <f>HYPERLINK("https://www.amazon.jobs/jobs/3086060/applied-scientist-ii-prime-video--personalization-and-discovery-science?cmpid=DA_INAD200785B", "https://www.amazon.jobs/jobs/3086060/applied-scientist-ii-prime-video--personalization-and-discovery-science?cmpid=DA_INAD200785B")</f>
        <v/>
      </c>
      <c r="G178" t="inlineStr">
        <is>
          <t>Sunnyvale, CA, US</t>
        </is>
      </c>
      <c r="H178" s="3" t="n">
        <v>45915</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in-df7b703111311dd3</t>
        </is>
      </c>
      <c r="B179" t="inlineStr">
        <is>
          <t>Applied Scientist II, Prime Video - Personalization and Discovery Science</t>
        </is>
      </c>
      <c r="C179" t="inlineStr">
        <is>
          <t>Amazon.com</t>
        </is>
      </c>
      <c r="D179" t="inlineStr">
        <is>
          <t>indeed</t>
        </is>
      </c>
      <c r="E179">
        <f>HYPERLINK("https://www.indeed.com/viewjob?jk=df7b703111311dd3", "https://www.indeed.com/viewjob?jk=df7b703111311dd3")</f>
        <v/>
      </c>
      <c r="F179">
        <f>HYPERLINK("https://www.amazon.jobs/jobs/3086060/applied-scientist-ii-prime-video--personalization-and-discovery-science?cmpid=DA_INAD200785B", "https://www.amazon.jobs/jobs/3086060/applied-scientist-ii-prime-video--personalization-and-discovery-science?cmpid=DA_INAD200785B")</f>
        <v/>
      </c>
      <c r="G179" t="inlineStr">
        <is>
          <t>Seattle, WA, US</t>
        </is>
      </c>
      <c r="H179" s="3" t="n">
        <v>45915</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in-a3265c47ab6f47f2</t>
        </is>
      </c>
      <c r="B180" t="inlineStr">
        <is>
          <t>Applied Scientist II, Prime Video - Personalization and Discovery Science</t>
        </is>
      </c>
      <c r="C180" t="inlineStr">
        <is>
          <t>Amazon.com</t>
        </is>
      </c>
      <c r="D180" t="inlineStr">
        <is>
          <t>indeed</t>
        </is>
      </c>
      <c r="E180">
        <f>HYPERLINK("https://www.indeed.com/viewjob?jk=a3265c47ab6f47f2", "https://www.indeed.com/viewjob?jk=a3265c47ab6f47f2")</f>
        <v/>
      </c>
      <c r="F180">
        <f>HYPERLINK("https://www.amazon.jobs/jobs/3086060/applied-scientist-ii-prime-video--personalization-and-discovery-science?cmpid=DA_INAD200785B", "https://www.amazon.jobs/jobs/3086060/applied-scientist-ii-prime-video--personalization-and-discovery-science?cmpid=DA_INAD200785B")</f>
        <v/>
      </c>
      <c r="G180" t="inlineStr">
        <is>
          <t>New York, NY, US</t>
        </is>
      </c>
      <c r="H180" s="3" t="n">
        <v>45915</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in-bbfd17efdd77437b</t>
        </is>
      </c>
      <c r="B181" t="inlineStr">
        <is>
          <t>Sr. Applied Scientist, Prime Video - Personalization and Discovery Science</t>
        </is>
      </c>
      <c r="C181" t="inlineStr">
        <is>
          <t>Amazon.com</t>
        </is>
      </c>
      <c r="D181" t="inlineStr">
        <is>
          <t>indeed</t>
        </is>
      </c>
      <c r="E181">
        <f>HYPERLINK("https://www.indeed.com/viewjob?jk=bbfd17efdd77437b", "https://www.indeed.com/viewjob?jk=bbfd17efdd77437b")</f>
        <v/>
      </c>
      <c r="F181">
        <f>HYPERLINK("https://www.amazon.jobs/jobs/3059256/sr-applied-scientist-prime-video--personalization-and-discovery-science?cmpid=DA_INAD200785B", "https://www.amazon.jobs/jobs/3059256/sr-applied-scientist-prime-video--personalization-and-discovery-science?cmpid=DA_INAD200785B")</f>
        <v/>
      </c>
      <c r="G181" t="inlineStr">
        <is>
          <t>Seattle, WA, US</t>
        </is>
      </c>
      <c r="H181" s="3" t="n">
        <v>45881</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in-4c04be67a042e085</t>
        </is>
      </c>
      <c r="B182" t="inlineStr">
        <is>
          <t>Applied Scientist II, Prime Video - Personalization and Discovery Science</t>
        </is>
      </c>
      <c r="C182" t="inlineStr">
        <is>
          <t>Amazon.com</t>
        </is>
      </c>
      <c r="D182" t="inlineStr">
        <is>
          <t>indeed</t>
        </is>
      </c>
      <c r="E182">
        <f>HYPERLINK("https://www.indeed.com/viewjob?jk=4c04be67a042e085", "https://www.indeed.com/viewjob?jk=4c04be67a042e085")</f>
        <v/>
      </c>
      <c r="F182">
        <f>HYPERLINK("https://www.amazon.jobs/jobs/3059253/applied-scientist-ii-prime-video--personalization-and-discovery-science?cmpid=DA_INAD200785B", "https://www.amazon.jobs/jobs/3059253/applied-scientist-ii-prime-video--personalization-and-discovery-science?cmpid=DA_INAD200785B")</f>
        <v/>
      </c>
      <c r="G182" t="inlineStr">
        <is>
          <t>New York, NY, US</t>
        </is>
      </c>
      <c r="H182" s="3" t="n">
        <v>45881</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in-9b007f56ab7995ec</t>
        </is>
      </c>
      <c r="B183" t="inlineStr">
        <is>
          <t>Sr. Applied Scientist, Prime Video - Personalization and Discovery Science</t>
        </is>
      </c>
      <c r="C183" t="inlineStr">
        <is>
          <t>Amazon.com</t>
        </is>
      </c>
      <c r="D183" t="inlineStr">
        <is>
          <t>indeed</t>
        </is>
      </c>
      <c r="E183">
        <f>HYPERLINK("https://www.indeed.com/viewjob?jk=9b007f56ab7995ec", "https://www.indeed.com/viewjob?jk=9b007f56ab7995ec")</f>
        <v/>
      </c>
      <c r="F183">
        <f>HYPERLINK("https://www.amazon.jobs/jobs/3059256/sr-applied-scientist-prime-video--personalization-and-discovery-science?cmpid=DA_INAD200785B", "https://www.amazon.jobs/jobs/3059256/sr-applied-scientist-prime-video--personalization-and-discovery-science?cmpid=DA_INAD200785B")</f>
        <v/>
      </c>
      <c r="G183" t="inlineStr">
        <is>
          <t>Sunnyvale, CA, US</t>
        </is>
      </c>
      <c r="H183" s="3" t="n">
        <v>45881</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in-d63f5c33921b48f5</t>
        </is>
      </c>
      <c r="B184" t="inlineStr">
        <is>
          <t>Applied Scientist II, Prime Video - Personalization and Discovery Science</t>
        </is>
      </c>
      <c r="C184" t="inlineStr">
        <is>
          <t>Amazon.com</t>
        </is>
      </c>
      <c r="D184" t="inlineStr">
        <is>
          <t>indeed</t>
        </is>
      </c>
      <c r="E184">
        <f>HYPERLINK("https://www.indeed.com/viewjob?jk=d63f5c33921b48f5", "https://www.indeed.com/viewjob?jk=d63f5c33921b48f5")</f>
        <v/>
      </c>
      <c r="F184">
        <f>HYPERLINK("https://www.amazon.jobs/jobs/3059253/applied-scientist-ii-prime-video--personalization-and-discovery-science?cmpid=DA_INAD200785B", "https://www.amazon.jobs/jobs/3059253/applied-scientist-ii-prime-video--personalization-and-discovery-science?cmpid=DA_INAD200785B")</f>
        <v/>
      </c>
      <c r="G184" t="inlineStr">
        <is>
          <t>Seattle, WA, US</t>
        </is>
      </c>
      <c r="H184" s="3" t="n">
        <v>45881</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in-ef77c4df9dbe71d1</t>
        </is>
      </c>
      <c r="B185" t="inlineStr">
        <is>
          <t>Applied Scientist II, Prime Video - Personalization and Discovery Science</t>
        </is>
      </c>
      <c r="C185" t="inlineStr">
        <is>
          <t>Amazon.com</t>
        </is>
      </c>
      <c r="D185" t="inlineStr">
        <is>
          <t>indeed</t>
        </is>
      </c>
      <c r="E185">
        <f>HYPERLINK("https://www.indeed.com/viewjob?jk=ef77c4df9dbe71d1", "https://www.indeed.com/viewjob?jk=ef77c4df9dbe71d1")</f>
        <v/>
      </c>
      <c r="F185">
        <f>HYPERLINK("https://www.amazon.jobs/jobs/3059253/applied-scientist-ii-prime-video--personalization-and-discovery-science?cmpid=DA_INAD200785B", "https://www.amazon.jobs/jobs/3059253/applied-scientist-ii-prime-video--personalization-and-discovery-science?cmpid=DA_INAD200785B")</f>
        <v/>
      </c>
      <c r="G185" t="inlineStr">
        <is>
          <t>Sunnyvale, CA, US</t>
        </is>
      </c>
      <c r="H185" s="3" t="n">
        <v>45881</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in-92e83877650d53dc</t>
        </is>
      </c>
      <c r="B186" t="inlineStr">
        <is>
          <t>Sr. Applied Scientist, Prime Video - Personalization and Discovery Science</t>
        </is>
      </c>
      <c r="C186" t="inlineStr">
        <is>
          <t>Amazon.com</t>
        </is>
      </c>
      <c r="D186" t="inlineStr">
        <is>
          <t>indeed</t>
        </is>
      </c>
      <c r="E186">
        <f>HYPERLINK("https://www.indeed.com/viewjob?jk=92e83877650d53dc", "https://www.indeed.com/viewjob?jk=92e83877650d53dc")</f>
        <v/>
      </c>
      <c r="F186">
        <f>HYPERLINK("https://www.amazon.jobs/jobs/3059256/sr-applied-scientist-prime-video--personalization-and-discovery-science?cmpid=DA_INAD200785B", "https://www.amazon.jobs/jobs/3059256/sr-applied-scientist-prime-video--personalization-and-discovery-science?cmpid=DA_INAD200785B")</f>
        <v/>
      </c>
      <c r="G186" t="inlineStr">
        <is>
          <t>New York, NY, US</t>
        </is>
      </c>
      <c r="H186" s="3" t="n">
        <v>45881</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in-129a9ec210b86d1c</t>
        </is>
      </c>
      <c r="B187" t="inlineStr">
        <is>
          <t>Sr. Applied Scientist, Amazon Advertising</t>
        </is>
      </c>
      <c r="C187" t="inlineStr">
        <is>
          <t>Amazon.com</t>
        </is>
      </c>
      <c r="D187" t="inlineStr">
        <is>
          <t>indeed</t>
        </is>
      </c>
      <c r="E187">
        <f>HYPERLINK("https://www.indeed.com/viewjob?jk=129a9ec210b86d1c", "https://www.indeed.com/viewjob?jk=129a9ec210b86d1c")</f>
        <v/>
      </c>
      <c r="F187">
        <f>HYPERLINK("https://www.amazon.jobs/jobs/3035686/sr-applied-scientist-amazon-advertising?cmpid=DA_INAD200785B", "https://www.amazon.jobs/jobs/3035686/sr-applied-scientist-amazon-advertising?cmpid=DA_INAD200785B")</f>
        <v/>
      </c>
      <c r="G187" t="inlineStr">
        <is>
          <t>West Hollywood, CA, US</t>
        </is>
      </c>
      <c r="H187" s="3" t="n">
        <v>45851</v>
      </c>
      <c r="I1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in-667240e6f8f4b432</t>
        </is>
      </c>
      <c r="B188" t="inlineStr">
        <is>
          <t>Sr. Applied Scientist, Amazon Advertising</t>
        </is>
      </c>
      <c r="C188" t="inlineStr">
        <is>
          <t>Amazon.com</t>
        </is>
      </c>
      <c r="D188" t="inlineStr">
        <is>
          <t>indeed</t>
        </is>
      </c>
      <c r="E188">
        <f>HYPERLINK("https://www.indeed.com/viewjob?jk=667240e6f8f4b432", "https://www.indeed.com/viewjob?jk=667240e6f8f4b432")</f>
        <v/>
      </c>
      <c r="F188">
        <f>HYPERLINK("https://www.amazon.jobs/jobs/3035686/sr-applied-scientist-amazon-advertising?cmpid=DA_INAD200785B", "https://www.amazon.jobs/jobs/3035686/sr-applied-scientist-amazon-advertising?cmpid=DA_INAD200785B")</f>
        <v/>
      </c>
      <c r="G188" t="inlineStr">
        <is>
          <t>Seattle, WA, US</t>
        </is>
      </c>
      <c r="H188" s="3" t="n">
        <v>45851</v>
      </c>
      <c r="I1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in-c63bdd1ad77305ed</t>
        </is>
      </c>
      <c r="B189" t="inlineStr">
        <is>
          <t>Sr. Applied Scientist, Amazon Advertising</t>
        </is>
      </c>
      <c r="C189" t="inlineStr">
        <is>
          <t>Amazon.com</t>
        </is>
      </c>
      <c r="D189" t="inlineStr">
        <is>
          <t>indeed</t>
        </is>
      </c>
      <c r="E189">
        <f>HYPERLINK("https://www.indeed.com/viewjob?jk=c63bdd1ad77305ed", "https://www.indeed.com/viewjob?jk=c63bdd1ad77305ed")</f>
        <v/>
      </c>
      <c r="F189">
        <f>HYPERLINK("https://www.amazon.jobs/jobs/3035686/sr-applied-scientist-amazon-advertising?cmpid=DA_INAD200785B", "https://www.amazon.jobs/jobs/3035686/sr-applied-scientist-amazon-advertising?cmpid=DA_INAD200785B")</f>
        <v/>
      </c>
      <c r="G189" t="inlineStr">
        <is>
          <t>Los Angeles, CA, US</t>
        </is>
      </c>
      <c r="H189" s="3" t="n">
        <v>45851</v>
      </c>
      <c r="I1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in-5935bdb66d43dfa8</t>
        </is>
      </c>
      <c r="B190" t="inlineStr">
        <is>
          <t>Sr. Applied Scientist, Amazon Advertising</t>
        </is>
      </c>
      <c r="C190" t="inlineStr">
        <is>
          <t>Amazon.com</t>
        </is>
      </c>
      <c r="D190" t="inlineStr">
        <is>
          <t>indeed</t>
        </is>
      </c>
      <c r="E190">
        <f>HYPERLINK("https://www.indeed.com/viewjob?jk=5935bdb66d43dfa8", "https://www.indeed.com/viewjob?jk=5935bdb66d43dfa8")</f>
        <v/>
      </c>
      <c r="F190">
        <f>HYPERLINK("https://www.amazon.jobs/jobs/3035686/sr-applied-scientist-amazon-advertising?cmpid=DA_INAD200785B", "https://www.amazon.jobs/jobs/3035686/sr-applied-scientist-amazon-advertising?cmpid=DA_INAD200785B")</f>
        <v/>
      </c>
      <c r="G190" t="inlineStr">
        <is>
          <t>New York, NY, US</t>
        </is>
      </c>
      <c r="H190" s="3" t="n">
        <v>45851</v>
      </c>
      <c r="I1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in-0d16a126a28c166e</t>
        </is>
      </c>
      <c r="B191" t="inlineStr">
        <is>
          <t>Sr. Applied Scientist, Amazon Advertising</t>
        </is>
      </c>
      <c r="C191" t="inlineStr">
        <is>
          <t>Amazon.com</t>
        </is>
      </c>
      <c r="D191" t="inlineStr">
        <is>
          <t>indeed</t>
        </is>
      </c>
      <c r="E191">
        <f>HYPERLINK("https://www.indeed.com/viewjob?jk=0d16a126a28c166e", "https://www.indeed.com/viewjob?jk=0d16a126a28c166e")</f>
        <v/>
      </c>
      <c r="F191">
        <f>HYPERLINK("https://www.amazon.jobs/jobs/3035686/sr-applied-scientist-amazon-advertising?cmpid=DA_INAD200785B", "https://www.amazon.jobs/jobs/3035686/sr-applied-scientist-amazon-advertising?cmpid=DA_INAD200785B")</f>
        <v/>
      </c>
      <c r="G191" t="inlineStr">
        <is>
          <t>Palo Alto, CA, US</t>
        </is>
      </c>
      <c r="H191" s="3" t="n">
        <v>45851</v>
      </c>
      <c r="I1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in-e9b2b64b58cf76f1</t>
        </is>
      </c>
      <c r="B192" t="inlineStr">
        <is>
          <t>Sr. Applied Scientist, Amazon Advertising</t>
        </is>
      </c>
      <c r="C192" t="inlineStr">
        <is>
          <t>Amazon.com</t>
        </is>
      </c>
      <c r="D192" t="inlineStr">
        <is>
          <t>indeed</t>
        </is>
      </c>
      <c r="E192">
        <f>HYPERLINK("https://www.indeed.com/viewjob?jk=e9b2b64b58cf76f1", "https://www.indeed.com/viewjob?jk=e9b2b64b58cf76f1")</f>
        <v/>
      </c>
      <c r="F192">
        <f>HYPERLINK("https://www.amazon.jobs/jobs/3035686/sr-applied-scientist-amazon-advertising?cmpid=DA_INAD200785B", "https://www.amazon.jobs/jobs/3035686/sr-applied-scientist-amazon-advertising?cmpid=DA_INAD200785B")</f>
        <v/>
      </c>
      <c r="G192" t="inlineStr">
        <is>
          <t>Arlington, VA, US</t>
        </is>
      </c>
      <c r="H192" s="3" t="n">
        <v>45851</v>
      </c>
      <c r="I1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in-e7a3d0d870142ce4</t>
        </is>
      </c>
      <c r="B193" t="inlineStr">
        <is>
          <t>Sr. Applied Scientist, Amazon Advertising</t>
        </is>
      </c>
      <c r="C193" t="inlineStr">
        <is>
          <t>Amazon.com</t>
        </is>
      </c>
      <c r="D193" t="inlineStr">
        <is>
          <t>indeed</t>
        </is>
      </c>
      <c r="E193">
        <f>HYPERLINK("https://www.indeed.com/viewjob?jk=e7a3d0d870142ce4", "https://www.indeed.com/viewjob?jk=e7a3d0d870142ce4")</f>
        <v/>
      </c>
      <c r="F193">
        <f>HYPERLINK("https://www.amazon.jobs/jobs/3035686/sr-applied-scientist-amazon-advertising?cmpid=DA_INAD200785B", "https://www.amazon.jobs/jobs/3035686/sr-applied-scientist-amazon-advertising?cmpid=DA_INAD200785B")</f>
        <v/>
      </c>
      <c r="G193" t="inlineStr">
        <is>
          <t>Austin, TX, US</t>
        </is>
      </c>
      <c r="H193" s="3" t="n">
        <v>45851</v>
      </c>
      <c r="I1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in-6df8eabb2561aa74</t>
        </is>
      </c>
      <c r="B194" t="inlineStr">
        <is>
          <t>Sr. Applied Scientist, Amazon Advertising</t>
        </is>
      </c>
      <c r="C194" t="inlineStr">
        <is>
          <t>Amazon.com</t>
        </is>
      </c>
      <c r="D194" t="inlineStr">
        <is>
          <t>indeed</t>
        </is>
      </c>
      <c r="E194">
        <f>HYPERLINK("https://www.indeed.com/viewjob?jk=6df8eabb2561aa74", "https://www.indeed.com/viewjob?jk=6df8eabb2561aa74")</f>
        <v/>
      </c>
      <c r="F194">
        <f>HYPERLINK("https://www.amazon.jobs/jobs/3035686/sr-applied-scientist-amazon-advertising?cmpid=DA_INAD200785B", "https://www.amazon.jobs/jobs/3035686/sr-applied-scientist-amazon-advertising?cmpid=DA_INAD200785B")</f>
        <v/>
      </c>
      <c r="G194" t="inlineStr">
        <is>
          <t>Simi Valley, CA, US</t>
        </is>
      </c>
      <c r="H194" s="3" t="n">
        <v>45851</v>
      </c>
      <c r="I1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in-76d3933a05f7032e</t>
        </is>
      </c>
      <c r="B195" t="inlineStr">
        <is>
          <t>Applied Scientist, Prime Video - Personalization and Discovery Science</t>
        </is>
      </c>
      <c r="C195" t="inlineStr">
        <is>
          <t>Amazon.com</t>
        </is>
      </c>
      <c r="D195" t="inlineStr">
        <is>
          <t>indeed</t>
        </is>
      </c>
      <c r="E195">
        <f>HYPERLINK("https://www.indeed.com/viewjob?jk=76d3933a05f7032e", "https://www.indeed.com/viewjob?jk=76d3933a05f7032e")</f>
        <v/>
      </c>
      <c r="F195">
        <f>HYPERLINK("https://www.amazon.jobs/jobs/3033050/applied-scientist-prime-video--personalization-and-discovery-science?cmpid=DA_INAD200785B", "https://www.amazon.jobs/jobs/3033050/applied-scientist-prime-video--personalization-and-discovery-science?cmpid=DA_INAD200785B")</f>
        <v/>
      </c>
      <c r="G195" t="inlineStr">
        <is>
          <t>New York, NY, US</t>
        </is>
      </c>
      <c r="H195" s="3" t="n">
        <v>45845</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in-b72f087a54fc8fe2</t>
        </is>
      </c>
      <c r="B196" t="inlineStr">
        <is>
          <t>Applied Scientist, Prime Video - Personalization and Discovery Science</t>
        </is>
      </c>
      <c r="C196" t="inlineStr">
        <is>
          <t>Amazon.com</t>
        </is>
      </c>
      <c r="D196" t="inlineStr">
        <is>
          <t>indeed</t>
        </is>
      </c>
      <c r="E196">
        <f>HYPERLINK("https://www.indeed.com/viewjob?jk=b72f087a54fc8fe2", "https://www.indeed.com/viewjob?jk=b72f087a54fc8fe2")</f>
        <v/>
      </c>
      <c r="F196">
        <f>HYPERLINK("https://www.amazon.jobs/jobs/3033050/applied-scientist-prime-video--personalization-and-discovery-science?cmpid=DA_INAD200785B", "https://www.amazon.jobs/jobs/3033050/applied-scientist-prime-video--personalization-and-discovery-science?cmpid=DA_INAD200785B")</f>
        <v/>
      </c>
      <c r="G196" t="inlineStr">
        <is>
          <t>Seattle, WA, US</t>
        </is>
      </c>
      <c r="H196" s="3" t="n">
        <v>45845</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in-c7de0bda6cc55f46</t>
        </is>
      </c>
      <c r="B197" t="inlineStr">
        <is>
          <t>Applied Scientist, Prime Video - Personalization and Discovery Science</t>
        </is>
      </c>
      <c r="C197" t="inlineStr">
        <is>
          <t>Amazon.com</t>
        </is>
      </c>
      <c r="D197" t="inlineStr">
        <is>
          <t>indeed</t>
        </is>
      </c>
      <c r="E197">
        <f>HYPERLINK("https://www.indeed.com/viewjob?jk=c7de0bda6cc55f46", "https://www.indeed.com/viewjob?jk=c7de0bda6cc55f46")</f>
        <v/>
      </c>
      <c r="F197">
        <f>HYPERLINK("https://www.amazon.jobs/jobs/3033050/applied-scientist-prime-video--personalization-and-discovery-science?cmpid=DA_INAD200785B", "https://www.amazon.jobs/jobs/3033050/applied-scientist-prime-video--personalization-and-discovery-science?cmpid=DA_INAD200785B")</f>
        <v/>
      </c>
      <c r="G197" t="inlineStr">
        <is>
          <t>Sunnyvale, CA, US</t>
        </is>
      </c>
      <c r="H197" s="3" t="n">
        <v>45845</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in-8d93825fcc1674e6</t>
        </is>
      </c>
      <c r="B198" t="inlineStr">
        <is>
          <t>Sr. Applied Scientist, Sales AI</t>
        </is>
      </c>
      <c r="C198" t="inlineStr">
        <is>
          <t>Amazon.com</t>
        </is>
      </c>
      <c r="D198" t="inlineStr">
        <is>
          <t>indeed</t>
        </is>
      </c>
      <c r="E198">
        <f>HYPERLINK("https://www.indeed.com/viewjob?jk=8d93825fcc1674e6", "https://www.indeed.com/viewjob?jk=8d93825fcc1674e6")</f>
        <v/>
      </c>
      <c r="F198">
        <f>HYPERLINK("https://www.amazon.jobs/jobs/3020528/sr-applied-scientist-sales-ai?cmpid=DA_INAD200785B", "https://www.amazon.jobs/jobs/3020528/sr-applied-scientist-sales-ai?cmpid=DA_INAD200785B")</f>
        <v/>
      </c>
      <c r="G198" t="inlineStr">
        <is>
          <t>New York, NY, US</t>
        </is>
      </c>
      <c r="H198" s="3" t="n">
        <v>45830</v>
      </c>
      <c r="I1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in-73c200ca93770855</t>
        </is>
      </c>
      <c r="B199" t="inlineStr">
        <is>
          <t>Sr. Applied Scientist, Sales AI</t>
        </is>
      </c>
      <c r="C199" t="inlineStr">
        <is>
          <t>Amazon.com</t>
        </is>
      </c>
      <c r="D199" t="inlineStr">
        <is>
          <t>indeed</t>
        </is>
      </c>
      <c r="E199">
        <f>HYPERLINK("https://www.indeed.com/viewjob?jk=73c200ca93770855", "https://www.indeed.com/viewjob?jk=73c200ca93770855")</f>
        <v/>
      </c>
      <c r="F199">
        <f>HYPERLINK("https://www.amazon.jobs/jobs/3020528/sr-applied-scientist-sales-ai?cmpid=DA_INAD200785B", "https://www.amazon.jobs/jobs/3020528/sr-applied-scientist-sales-ai?cmpid=DA_INAD200785B")</f>
        <v/>
      </c>
      <c r="G199" t="inlineStr">
        <is>
          <t>Seattle, WA, US</t>
        </is>
      </c>
      <c r="H199" s="3" t="n">
        <v>45830</v>
      </c>
      <c r="I19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in-bb6aa59771893b3c</t>
        </is>
      </c>
      <c r="B200" t="inlineStr">
        <is>
          <t>Sr. Applied Scientist, Sales AI</t>
        </is>
      </c>
      <c r="C200" t="inlineStr">
        <is>
          <t>Amazon.com</t>
        </is>
      </c>
      <c r="D200" t="inlineStr">
        <is>
          <t>indeed</t>
        </is>
      </c>
      <c r="E200">
        <f>HYPERLINK("https://www.indeed.com/viewjob?jk=bb6aa59771893b3c", "https://www.indeed.com/viewjob?jk=bb6aa59771893b3c")</f>
        <v/>
      </c>
      <c r="F200">
        <f>HYPERLINK("https://www.amazon.jobs/jobs/3020528/sr-applied-scientist-sales-ai?cmpid=DA_INAD200785B", "https://www.amazon.jobs/jobs/3020528/sr-applied-scientist-sales-ai?cmpid=DA_INAD200785B")</f>
        <v/>
      </c>
      <c r="G200" t="inlineStr">
        <is>
          <t>Sunnyvale, CA, US</t>
        </is>
      </c>
      <c r="H200" s="3" t="n">
        <v>45830</v>
      </c>
      <c r="I20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in-c8421eb3c3526eee</t>
        </is>
      </c>
      <c r="B201" t="inlineStr">
        <is>
          <t>Principal Applied Scientist, FAR (Frontier AI &amp; Robotics)</t>
        </is>
      </c>
      <c r="C201" t="inlineStr">
        <is>
          <t>Amazon.com</t>
        </is>
      </c>
      <c r="D201" t="inlineStr">
        <is>
          <t>indeed</t>
        </is>
      </c>
      <c r="E201">
        <f>HYPERLINK("https://www.indeed.com/viewjob?jk=c8421eb3c3526eee", "https://www.indeed.com/viewjob?jk=c8421eb3c3526eee")</f>
        <v/>
      </c>
      <c r="F201">
        <f>HYPERLINK("https://www.amazon.jobs/jobs/2938625/principal-applied-scientist-far-frontier-ai--robotics?cmpid=DA_INAD200785B", "https://www.amazon.jobs/jobs/2938625/principal-applied-scientist-far-frontier-ai--robotics?cmpid=DA_INAD200785B")</f>
        <v/>
      </c>
      <c r="G201" t="inlineStr">
        <is>
          <t>San Francisco, CA, US</t>
        </is>
      </c>
      <c r="H201" s="3" t="n">
        <v>45740</v>
      </c>
      <c r="I20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in-c522188e6acd2b34</t>
        </is>
      </c>
      <c r="B202" t="inlineStr">
        <is>
          <t>Principal Applied Scientist, FAR (Frontier AI &amp; Robotics)</t>
        </is>
      </c>
      <c r="C202" t="inlineStr">
        <is>
          <t>Amazon.com</t>
        </is>
      </c>
      <c r="D202" t="inlineStr">
        <is>
          <t>indeed</t>
        </is>
      </c>
      <c r="E202">
        <f>HYPERLINK("https://www.indeed.com/viewjob?jk=c522188e6acd2b34", "https://www.indeed.com/viewjob?jk=c522188e6acd2b34")</f>
        <v/>
      </c>
      <c r="F202">
        <f>HYPERLINK("https://www.amazon.jobs/jobs/2938625/principal-applied-scientist-far-frontier-ai--robotics?cmpid=DA_INAD200785B", "https://www.amazon.jobs/jobs/2938625/principal-applied-scientist-far-frontier-ai--robotics?cmpid=DA_INAD200785B")</f>
        <v/>
      </c>
      <c r="G202" t="inlineStr">
        <is>
          <t>Seattle, WA, US</t>
        </is>
      </c>
      <c r="H202" s="3" t="n">
        <v>45740</v>
      </c>
      <c r="I20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in-9fe4fa1b32642bce</t>
        </is>
      </c>
      <c r="B203" t="inlineStr">
        <is>
          <t>Applied Scientist, Alexa Smart Home</t>
        </is>
      </c>
      <c r="C203" t="inlineStr">
        <is>
          <t>Amazon.com</t>
        </is>
      </c>
      <c r="D203" t="inlineStr">
        <is>
          <t>indeed</t>
        </is>
      </c>
      <c r="E203">
        <f>HYPERLINK("https://www.indeed.com/viewjob?jk=9fe4fa1b32642bce", "https://www.indeed.com/viewjob?jk=9fe4fa1b32642bce")</f>
        <v/>
      </c>
      <c r="F203">
        <f>HYPERLINK("https://www.amazon.jobs/jobs/3169205/applied-scientist-alexa-smart-home?cmpid=DA_INAD200785B", "https://www.amazon.jobs/jobs/3169205/applied-scientist-alexa-smart-home?cmpid=DA_INAD200785B")</f>
        <v/>
      </c>
      <c r="G203" t="inlineStr">
        <is>
          <t>Seattle, WA, US</t>
        </is>
      </c>
      <c r="H203" s="3" t="n">
        <v>46033</v>
      </c>
      <c r="I20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4">
      <c r="A204" t="inlineStr">
        <is>
          <t>in-6c99e4de8ec495d8</t>
        </is>
      </c>
      <c r="B204" t="inlineStr">
        <is>
          <t>Applied Scientist, Alexa Smart Home</t>
        </is>
      </c>
      <c r="C204" t="inlineStr">
        <is>
          <t>Amazon.com</t>
        </is>
      </c>
      <c r="D204" t="inlineStr">
        <is>
          <t>indeed</t>
        </is>
      </c>
      <c r="E204">
        <f>HYPERLINK("https://www.indeed.com/viewjob?jk=6c99e4de8ec495d8", "https://www.indeed.com/viewjob?jk=6c99e4de8ec495d8")</f>
        <v/>
      </c>
      <c r="F204">
        <f>HYPERLINK("https://www.amazon.jobs/jobs/3169205/applied-scientist-alexa-smart-home?cmpid=DA_INAD200785B", "https://www.amazon.jobs/jobs/3169205/applied-scientist-alexa-smart-home?cmpid=DA_INAD200785B")</f>
        <v/>
      </c>
      <c r="G204" t="inlineStr">
        <is>
          <t>Sunnyvale, CA, US</t>
        </is>
      </c>
      <c r="H204" s="3" t="n">
        <v>46033</v>
      </c>
      <c r="I20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li-4367025321</t>
        </is>
      </c>
      <c r="B2" t="inlineStr">
        <is>
          <t>Data Scientist I, Integrity</t>
        </is>
      </c>
      <c r="C2" t="inlineStr">
        <is>
          <t>Tinder</t>
        </is>
      </c>
      <c r="D2" t="inlineStr">
        <is>
          <t>linkedin</t>
        </is>
      </c>
      <c r="E2" t="inlineStr"/>
      <c r="F2" t="inlineStr"/>
      <c r="G2" t="inlineStr">
        <is>
          <t>Los Angeles, CA</t>
        </is>
      </c>
      <c r="H2" t="inlineStr"/>
      <c r="I2"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3">
      <c r="A3" t="inlineStr">
        <is>
          <t>li-4367007948</t>
        </is>
      </c>
      <c r="B3" t="inlineStr">
        <is>
          <t>Data Scientist I, Integrity</t>
        </is>
      </c>
      <c r="C3" t="inlineStr">
        <is>
          <t>Tinder</t>
        </is>
      </c>
      <c r="D3" t="inlineStr">
        <is>
          <t>linkedin</t>
        </is>
      </c>
      <c r="E3" t="inlineStr"/>
      <c r="F3" t="inlineStr"/>
      <c r="G3" t="inlineStr">
        <is>
          <t>Palo Alto, CA</t>
        </is>
      </c>
      <c r="H3" t="inlineStr"/>
      <c r="I3"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4">
      <c r="A4" t="inlineStr">
        <is>
          <t>li-4367011795</t>
        </is>
      </c>
      <c r="B4" t="inlineStr">
        <is>
          <t>Data Scientist I, Integrity</t>
        </is>
      </c>
      <c r="C4" t="inlineStr">
        <is>
          <t>Tinder</t>
        </is>
      </c>
      <c r="D4" t="inlineStr">
        <is>
          <t>linkedin</t>
        </is>
      </c>
      <c r="E4" t="inlineStr"/>
      <c r="F4" t="inlineStr"/>
      <c r="G4" t="inlineStr">
        <is>
          <t>San Francisco, CA</t>
        </is>
      </c>
      <c r="H4" t="inlineStr"/>
      <c r="I4"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5">
      <c r="A5" t="inlineStr">
        <is>
          <t>li-4356557282</t>
        </is>
      </c>
      <c r="B5" t="inlineStr">
        <is>
          <t>Data Scientist - 994</t>
        </is>
      </c>
      <c r="C5" t="inlineStr">
        <is>
          <t>Lightcast</t>
        </is>
      </c>
      <c r="D5" t="inlineStr">
        <is>
          <t>linkedin</t>
        </is>
      </c>
      <c r="E5" t="inlineStr"/>
      <c r="F5" t="inlineStr"/>
      <c r="G5" t="inlineStr">
        <is>
          <t>Moscow, ID</t>
        </is>
      </c>
      <c r="H5" t="inlineStr"/>
      <c r="I5" t="inlineStr">
        <is>
          <t>The Data Scientist will work closely with the Product, Data, and Research teams to analyze labor market trends, workforce dynamics, and economic patterns. The role involves cleaning, organizing, and interpreting large\-scale datasets to develop innovative models, datasets, and visualizations that provide actionable insights into the future of work. The ideal candidate will demonstrate strong statistical thinking, a solid grasp of machine learning principles, and the ability to apply core methodologies such as predictive modeling, econometric analysis, and time series forecasting. This position requires a collaborative mindset to work cross\-functionally, ensuring the seamless integration of analytical insights into Lightcast's products and services.
**Major Responsibilities:**
* Use SQL, Python, or other analytical tools to query, clean, and analyze large datasets.
* Analyze labor market trends across dimensions such as workforce composition, job demand, employment patterns, and wage dynamics.
* Apply advanced techniques including time series forecasting, clustering, regression analysis, and machine learning algorithms (e.g., decision trees, random forests, gradient boosting, support vector machines, k\-means clustering) to identify patterns and forecast labor trends.
* Build and maintain scalable data and model pipelines using orchestration tools like Apache Airflow, Luigi, or Sagemaker Pipelines, and model tracking tools such as MLflow.
* Collaborate cross\-functionally to define problem statements, gather and analyze data, integrate models into products, and translate insights into actionable recommendations for technical and non\-technical audiences.
* Stay informed on advancements in labor market analytics, statistical modeling, and machine learning technologies.
**Education and Experience:**
* Bachelor’s or Master’s degree in Data Science, Statistics, Economics, Computer Science, or a related quantitative field.
* 2\+ years of industry experience or academic research applying statistical or machine learning approaches to real\-world data problems.
* 2\+ years of experience in labor market analytics, workforce intelligence, or related domains (preferred).
* Proficiency in Python, SQL, and machine learning libraries such as Scikit\-learn or PyTorch.
* Demonstrated ability to write clean, scalable code and independently prototype data solutions.
* Solid understanding of machine learning techniques such as classification, regression, and time\-series forecasting.
* Experience with cloud platforms (e.g., AWS) and orchestration tools like Apache Airflow for managing large datasets and workflows.
* Strong statistical reasoning and ability to translate complex data into strategic business insights.
* Excellent interpersonal, written, and verbal communication skills, with the ability to convey technical topics to diverse audiences.
* Experience working with large labor market datasets (e.g., government labor statistics, survey data, or job market intelligence platforms) (preferred).
* Proficiency with data visualization tools such as Tableau, Power BI, or Plotly (preferred).
* Familiarity with Natural Language Processing (NLP) techniques and applications (preferred).
 Lightcast is a global leader in labor market insights with offices in Moscow, ID (US), the United Kingdom, Europe, and India. We work with partners across six continents to help drive economic prosperity and mobility by providing the insights needed to build and develop our people, our institutions and companies, and our communities.
 Lightcast is proud to be an equal opportunity workplace. We consider all qualified applicants without regard to race, color, ancestry, religion, sex, national origin, sexual orientation, age, citizenship, marital status, disability, gender identity or Veteran status. Lightcast has always been, and always will be, committed to our diversity of thought and unique perspectives. We seek dynamic professionals from all backgrounds to join our teams, and we encourage our employees to bring their authentic, original, and best selves to work.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li-4367332332</t>
        </is>
      </c>
      <c r="B6" t="inlineStr">
        <is>
          <t>Data Scientist</t>
        </is>
      </c>
      <c r="C6" t="inlineStr">
        <is>
          <t>Prizeout</t>
        </is>
      </c>
      <c r="D6" t="inlineStr">
        <is>
          <t>linkedin</t>
        </is>
      </c>
      <c r="E6" t="inlineStr"/>
      <c r="F6" t="inlineStr"/>
      <c r="G6" t="inlineStr">
        <is>
          <t>New York, NY</t>
        </is>
      </c>
      <c r="H6" t="inlineStr"/>
      <c r="I6" t="inlineStr">
        <is>
          <t>**Why Prizeout**
 At Prizeout, we’re redefining how people engage with their money through smarter, data\-driven rewards. We’re looking for curious, analytical builders who love turning complex, messy data into meaningful insights that drive loyalty and better financial outcomes. We keep the user at the center of every decision and we value humility, curiosity, and ownership.
**About This Role**
 As a Data Scientist at Prizeout, you’ll work with the rich transaction and product data that powers CashBack\+ and our credit union rewards ecosystem. You will use the data to build recommendation and prediction models to help match customers with the right products and improve the customer journey and ecosystem.
**What You'll Do**
* Translate raw data into meaningful insights and productionalized data products
* Build and maintain scalable, interpretable user prediction models that drive product value
* Build and own user content recommendation models that drive user engagement
* Develop and maintain risk models that drive product safety and business value
* Collaborate with Engineering, Analytics, Data Engineering, Product, and Operations teams to refine models and drive value
* Stay current on AI and emerging technologies to guide modeling \&amp; engineering best\-practices
**What We're Looking For**
* 3\+ years experience in data science/modeling ideally in predictive modeling or recommender systems
* Advanced Python and SQL skills
* Experience with big data
* Ideally experience with financial/transaction data or familiarity with brand data
* Familiarity with Snowflake or similar data warehouse tools
* Bias for action and comfort working with ambiguity
* Ability to thrive in a fast\-moving, collaborative, mission\-driven team
* Clear communicator who brings clarity, not complexity
* Scrappy, resilient, and energized by building things that work in the real world at scale
* Preference for candidates located in New York
**Please Note: Must be authorized to work for any employer in the U.S. We are unable to sponsor or take over sponsorship of an employment visa at this time.**
 The expected salary range for this position is $130,000\-150,000, plus an equity component.
 Prizeout is an adtech company with a three\-sided marketplace that allows consumers to receive earned or allocated funds via digital gift cards. Our commercial partners offer Prizeout as a withdrawal or disbursement method, while brands can digitally advertise and acquire new customers through Prizeout ad campaigns.
 Prizeout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li-4356212210</t>
        </is>
      </c>
      <c r="B7" t="inlineStr">
        <is>
          <t>Senior Data Scientist</t>
        </is>
      </c>
      <c r="C7" t="inlineStr">
        <is>
          <t>Outdoorsy</t>
        </is>
      </c>
      <c r="D7" t="inlineStr">
        <is>
          <t>linkedin</t>
        </is>
      </c>
      <c r="E7" t="inlineStr"/>
      <c r="F7" t="inlineStr"/>
      <c r="G7" t="inlineStr">
        <is>
          <t>Austin, TX</t>
        </is>
      </c>
      <c r="H7" t="inlineStr"/>
      <c r="I7"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 Data Scientist to solve complex advanced analytics challenges for Outdoorsy and Roamly. Reporting to the Senior Director of Analytics, they will be responsible for building dynamic pricing and recommendation engines, as well as predictive retention and claims models. The ideal candidate will be able to show a track record of leveraging advanced analytics and machine learning to solve complex problems in the travel or insurance space. With the role straddling both Outdoorsy and Roamly, they will need to demonstrate a passion and aptitude for pivoting between different business models and goals. If you're self\-driven and looking to make an impact in a fast\-paced environment, then we'd love to have you!
* Candidates in Austin, TX will be prioritized
**Requirements**
**Key Responsibilities \&amp; Deliverables**
* Develop Lead Scoring algorithms that predict the LTV of qualified insurance leads, and pass it back to our ad partners to optimize bidding strategies, as well as to our internal Sales team to prioritize outreach
* Develop models to predict churn and claims losses across our insurance products. Work closely with the Underwriting team to ensure these models are integrated into business processes
* Assist in the development of a dynamic pricing model to help RV marketplace hosts adjust prices seamlessly in response to seasonal and vehicle\-based factors, as well as surges in demand
* Develop models to predict what ancillary products should be recommended for upsell to a given Outdoorsy / Roamly customer
* Use advanced statistical methods to conduct audience clustering and segmentation on both RV Rental and Insurance customers, and evangelize these findings across stakeholders in Marketing and Product
* Collaborate closely with Data Analysts and Engineers to ensure that data pipelines and models are accurate and optimized
**Who You Are (Candidate Profile)**
* Industry Expert: 3\+ years data science experience, with a proven track record of standing up Machine Learning algorithms within consumer\-facing products (Travel, marketplace, or insurance experience preferred)
* Business\-Focused: Proven ability to understand business imperatives and trade\-offs (Bookings vs. Revenue, Premium vs. Risk) and tailor outputs to align with company goals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Technical Proficiency: Advanced expertise in SQL, Python/R, and relevant machine learning libraries. Demonstrated experience with statistical methods such as regression, hypothesis testing, clustering, classification, tree\-based methods, neural networks, and anomaly detection. Familiarity with ELT tools such as FiveTran and DBT, and ability to collaborate with data counterparts on data repositories and models. Expertise with business intelligence tools such as Tableau (preferred)
* Academic Background: Degree in a quantitative field like data science, mathematics, economics, or computer science, or equivalent practical experience (Masters preferred)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8">
      <c r="A8" t="inlineStr">
        <is>
          <t>li-4367326026</t>
        </is>
      </c>
      <c r="B8" t="inlineStr">
        <is>
          <t>Data Scientist II, Feature &amp; Embeddings Infrastructure</t>
        </is>
      </c>
      <c r="C8" t="inlineStr">
        <is>
          <t>Etsy</t>
        </is>
      </c>
      <c r="D8" t="inlineStr">
        <is>
          <t>linkedin</t>
        </is>
      </c>
      <c r="E8" t="inlineStr"/>
      <c r="F8" t="inlineStr"/>
      <c r="G8" t="inlineStr">
        <is>
          <t>Brooklyn, NY</t>
        </is>
      </c>
      <c r="H8" t="inlineStr"/>
      <c r="I8"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$153,000\.00 \- $199,000\.00
**What’s the role?**
 We’re looking for a Machine Learning Software Engineer to join Etsy’s Feature \&amp; Embeddings Infrastructure team. In this role, you’ll help build and operate scalable, reliable systems for creating, storing, and serving ML features and embeddings that power discovery, ranking, and personalization across Etsy. You’ll collaborate closely with ML practitioners and platform engineers to improve developer experience, system performance, and model impact. This is a great opportunity to grow your ML infrastructure skills while contributing to high\-impact, company\-wide capabilities.
 This is a full\-time position reporting to the Engineer Manager, Feature and Embeddings Infra team.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of Etsy’s Brooklyn Office Hub,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 The team is part of the Machine Learning Enablement (MLE) organization, which builds the tools and platforms that power machine learning systems company\-wide.
* We’re a mid\-sized, geographically distributed team made up primarily of senior and staff engineers, creating strong opportunities for mentorship, learning, and career growth.
* We design and maintain infrastructure for feature creation, storage, retrieval, and embedding workflows that power personalized search, recommendations, and other ML\-driven experiences at Etsy.
* Our systems support millions of buyers and sellers, giving early\-career engineers the opportunity to work on high\-impact, production ML infrastructure.
**What does the day\-to\-day look like?**
* Write high\-quality Scala and Python code while participating in code reviews and pair programming to learn best practices and improve system reliability.
* Collaborate with senior engineers to build and maintain production services and data pipelines for feature creation, storage, and embedding workflows.
* Work cross\-functionally with applied scientists to understand how teams develop and use ML models, and help translate those needs into clear technical requirements.
* Proactively share progress, surface risks, and ask for help when needed to ensure timely delivery of assigned work.
* Participate in technical design discussions and gradually take ownership of well\-scoped components or projects with mentorship and guidance.
* Learn and apply the skills, behaviors, and knowledge needed to be an effective, collaborative engineer, including operational excellence, testing, and on\-call support.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Strong foundational programming skills and a desire to write clear, maintainable code in languages such as Scala and Python.
* Experience with machine learning systems and infrastructure, with interest in learning how large\-scale ML platforms are built and operated.
* A collaborative mindset, with the ability to work effectively with engineers, applied scientists, and partner teams.
* Willingness to ask questions, seek feedback, and learn from code reviews, pair programming, and mentorship.
* Clear and proactive communication habits, including sharing progress, raising concerns early, and asking for help when needed.
* Comfort working on well\-scoped problems while gradually building ownership and technical confidence.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9">
      <c r="A9" t="inlineStr">
        <is>
          <t>li-4367181243</t>
        </is>
      </c>
      <c r="B9" t="inlineStr">
        <is>
          <t>Data Scientist</t>
        </is>
      </c>
      <c r="C9" t="inlineStr">
        <is>
          <t>Humana</t>
        </is>
      </c>
      <c r="D9" t="inlineStr">
        <is>
          <t>linkedin</t>
        </is>
      </c>
      <c r="E9" t="inlineStr"/>
      <c r="F9" t="inlineStr"/>
      <c r="G9" t="inlineStr"/>
      <c r="H9" t="inlineStr"/>
      <c r="I9" t="inlineStr">
        <is>
          <t>**About The Company** 
 Humana Inc. is a leading health and well\-being company dedicated to putting health first for its members, associates, and communities. With a focus on innovative healthcare solutions, Humana provides a wide range of insurance and healthcare services through its subsidiaries, including Humana Insurance Services and CenterWell Healthcare Services. The company strives to improve quality of life by delivering personalized, accessible, and effective care. Humana’s commitment to innovation is exemplified through its Enterprise AI organization, where cutting\-edge AI technologies are developed and deployed to enhance care quality, operational efficiency, and member experience. The organization values diversity, inclusion, and a culture of continuous learning, making it an ideal place for professionals passionate about transforming healthcare through technology.
**About The Role** 
 We are seeking an experienced and innovative AI professional to join our Enterprise AI organization as an Agent Design and Planning Specialist. In this role, you will be at the forefront of developing autonomous agent systems capable of managing complex, dynamic tasks in real\-world environments. Your primary responsibilities will include architecting goal\-setting mechanisms, designing dynamic planning systems, and collaborating across teams to ensure these agents operate safely, reliably, and aligned with human intent. You will contribute to the scientific and engineering foundations that make AI agents interpretable, robust, and capable of long\-horizon reasoning. This position offers a unique opportunity to influence the future of healthcare technology by creating intelligent systems that can autonomously set, adapt, and execute goals, ultimately improving care delivery and operational efficiency across Humana’s diverse business segments.
**Qualifications** 
* Master's Degree in Computer Science, Data Science, Machine Learning, or a related field
* 4\+ years of experience in research, ML engineering, or applied research roles focused on AI solutions
* At least 2 years of leadership experience in developing AI/ML systems
* Proficiency in SQL, Python, and data analysis/data mining tools
* Experience with machine learning frameworks such as Pytorch, Jax, LangChain, LangGraph, or AutoGen
* Experience with large\-scale, high\-performance ML systems
* Knowledge of language modeling with transformers
* Experience with symbolic planning, causal reasoning, and model\-based reinforcement learning
* Experience with large\-scale ETL processes
* Demonstrated ability to ship autonomous or semi\-autonomous AI agents in production or simulation environments
**Responsibilities** 
* Architect goal setting and goal decomposition mechanisms for autonomous agents operating in uncertain or open\-ended environments
* Design and implement dynamic planning systems, including hierarchical planning, curriculum learning, and self\-refinement loops
* Collaborate on designing memory, tool\-use, and feedback mechanisms to enable multi\-step, self\-directed agent behaviors
* Develop evaluation frameworks to ensure alignment with human intent, consistency, and progress toward long\-term objectives
* Prototype agents capable of interfacing with APIs, servers, search engines, databases, and real\-world actuators to pursue goals safely and efficiently
* Explore and implement mechanisms to detect and mitigate goal misalignment, undesirable looping behaviors, or emergent strategies
* Work across teams to integrate goal alignment with safety, operational reliability, and risk mitigation strategies
**Benefits** 
* Work from home flexibility with a remote US\-based location
* Generous paid time off and holiday benefits
* Health, dental, and vision insurance coverage effective from day one
* Annual incentive bonus plan
* 401(k) retirement savings plan with excellent company match
* Well\-being and employee assistance programs
* Paid volunteer time off to support community engagement
 Equal Opportunity
 Humana is an equal opportunity employer committed to creating an inclusive environment for all employees and applicants. We do not discriminate against any individual based on race, color, religion, sex, sexual orientation, gender identity, national origin, age, marital status, genetic information, disability, or protected veteran status. We actively promote affirmative action in compliance with applicable laws, ensuring fair employment practices and equal access to opportunities.</t>
        </is>
      </c>
    </row>
    <row r="10">
      <c r="A10" t="inlineStr">
        <is>
          <t>li-4367189572</t>
        </is>
      </c>
      <c r="B10" t="inlineStr">
        <is>
          <t>Data Scientist</t>
        </is>
      </c>
      <c r="C10" t="inlineStr">
        <is>
          <t>Ingenium Talent</t>
        </is>
      </c>
      <c r="D10" t="inlineStr">
        <is>
          <t>linkedin</t>
        </is>
      </c>
      <c r="E10" t="inlineStr"/>
      <c r="F10" t="inlineStr"/>
      <c r="G10" t="inlineStr">
        <is>
          <t>Kentucky, United States</t>
        </is>
      </c>
      <c r="H10" t="inlineStr"/>
      <c r="I10" t="inlineStr">
        <is>
          <t>**\*\*\*At this time, Ingenium Talent is unable to work with third\-party staffing partners for this role. All qualified candidates must be eligible to work in the United States without sponsorship. No corp\-to\-corp partnership opportunities are available at this time.\*\*\*** 
 Ingenium Talent is working with a Kentucky\-based healthcare analytics solutions provider with their search for a full time
 **Data Scientist.** 
 Our client is seeking a Data Scientist to help turn healthcare data into actionable insights that improve patient outcomes. In this role, you’ll build predictive models, uncover patterns in clinical data, and support population health and value\-based care initiatives. This is a hands\-on role for someone passionate about using data to make a real impact in healthcare.
**This can be a remote role, though strong preference will be given to candidates based in the Eastern Time Zone.** 
**Key Responsibilities** 
* Build and validate predictive models using machine learning and advanced analytics
* Analyze large healthcare datasets to identify trends and risk factors
* Translate complex analyses into clear insights and data visualizations for clinical and business teams
* Collaborate with Data Architects on scalable, cloud\-based analytics solutions
* Define and track KPIs tied to patient outcomes and operational performance
**Qualifications** 
* 4\+ years of experience in data science (ML, predictive analytics, data mining)
* 2\+ years of healthcare analytics experience with preference for candidates who have developed risk models and/or risk stratifications based on healthcare claims
* Strong knowledge of healthcare data, clinical workflows, and medical terminology
* Proficiency in SQL and one or more of Python, R, or SAS
* Experience with cloud platforms (Azure, AWS, or GCP) and tools like Databricks
* Experience with BI tools (Power BI, Tableau, or similar)
* Experience with Apache Spark or pySpark, with preference to candidates who have built pipelines using Spark
 All qualified candidates are encouraged to apply today!</t>
        </is>
      </c>
    </row>
    <row r="11">
      <c r="A11" t="inlineStr">
        <is>
          <t>li-4367353089</t>
        </is>
      </c>
      <c r="B11" t="inlineStr">
        <is>
          <t>Data Scientist</t>
        </is>
      </c>
      <c r="C11" t="inlineStr">
        <is>
          <t>Hewlett Packard Enterprise</t>
        </is>
      </c>
      <c r="D11" t="inlineStr">
        <is>
          <t>linkedin</t>
        </is>
      </c>
      <c r="E11" t="inlineStr"/>
      <c r="F11" t="inlineStr"/>
      <c r="G11" t="inlineStr">
        <is>
          <t>San Jose, CA</t>
        </is>
      </c>
      <c r="H11" t="inlineStr"/>
      <c r="I11"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Data Scientist (AI Cloud Developer) builds scalable, data\-driven solutions from the ground up to address mission\-critical business challenges, continuously exploring innovative statistical, machine learning, and AI methodologies to deliver end\-to\-end analytical solutions that drive measurable business impact.
* Applies advanced analytical thinking to deconstruct complex, multi\-dimensional datasets and engineer novel algorithms, models, and methodologies for solving business problems—from initial exploratory data analysis through prototyping, model development, validation, and production deployment of ML/AI solutions.
* Collaborates cross\-functionally with data engineers, MLOps teams, product managers, and business stakeholders to ensure robust model performance, efficient pipeline orchestration, continuous monitoring, and sustainable operationalization of data science solutions at scale.
* Delivers quantifiable business value by developing innovative data products, predictive models, and analytical frameworks that enhance HPE's data science capabilities across diverse domains, platforms, and use cases—translating complex insights into actionable recommendations that drive strategic decision\-making.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Collaborate with cross\-functional teams to design, develop, and implement cloud solutions tailored to meet business needs.
* Work with domain experts to identify and formalize machine learning problems for wireless and wired network diagnostics, root causing, problem remediation, and optimization
+ Design, implement, and validate machine learning algorithms on big data
+ Guide and oversee deployment of implemented machine learning solutions and monitor their operation
+ Use Agentic AI to solve networking problems
* Identify, debug and create solutions for issues with code and integration into application architecture
* Develop and execute comprehensive test plans for features adhering to performance, scale, usability, and security requirements.
* Deploy cloud\-based systems and applications code using continuous integration/deployment pipelines
* Contribute towards innovation and integration of new technologies into projects
* Analyze science, engineering, business, and other data processing problems to develop and implement solutions to complex application problems, system administration issues, or networking
**Education And Experience Required**
* Master's or PhD degree in computer science, data science, mathematics, physics, statistics, physics, or closely related quantitative discipline.
* Typically, 3\-4 years’ experience working as a Data Scientist building products /features using machine learning, deep learning and generative AI
**Knowledge And Skills**
* Strong background in statistical and machine learning techniques such as anomaly detection, clustering and ranking of events, time series analysis, hypothesis testing, causal inference, deep learning and reinforcement learning, semi\-supervised learning, or mixed time\-series/event streams
* Experience with GenAI and large language models (LLMs). Agentic AI is a plus
* Familiarity with and understanding of design for software systems
* Proficient Python coder (PySpark, Scikit\-learn), experience with software engineering best practices
* Advanced understanding of Object\-Oriented Programming (OOP)
* Understanding microservice architecture and how they can be built in a containerized, Kubernetes\-managed environment is central to all modern cloud\-native applications.
* Designing and integrating software systems running on multiple platform types into the overall architecture
* Great written and verbal communication skills. Ability to effectively communicate product architectures and design proposals at senior management levels; strong data visualization skills
* Relevant industry experience in data science and machine learning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TCP\_04
 "The expected salary/wage range for this position is provided below. Actual offer may vary from this range based upon geographic location, work experience, education/training, and/or skill level.
 – United States of America: Annual Salary USD 155,500 \- 315,000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2">
      <c r="A12" t="inlineStr">
        <is>
          <t>li-4358983720</t>
        </is>
      </c>
      <c r="B12" t="inlineStr">
        <is>
          <t>Data Scientist II</t>
        </is>
      </c>
      <c r="C12" t="inlineStr">
        <is>
          <t>CLEAR</t>
        </is>
      </c>
      <c r="D12" t="inlineStr">
        <is>
          <t>linkedin</t>
        </is>
      </c>
      <c r="E12" t="inlineStr"/>
      <c r="F12" t="inlineStr"/>
      <c r="G12" t="inlineStr">
        <is>
          <t>New York, NY</t>
        </is>
      </c>
      <c r="H12" t="inlineStr"/>
      <c r="I12"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**Data Scientist** 
 to design, develop, and deploy advanced statistical and machine learning models that drive measurable business impact on our digital identity platform. This is a hands\-on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**Evolve CLEAR’s predictive modeling ecosystem:** 
 design, train, and optimize statistical and machine learning models for our digital identity platform that support product, risk, fraud, operations, and member experience teams.
* **Develop high\-quality production code** 
 including enhancements to feature engineering pipelines, model training workflows, and evaluation frameworks that meet reliability and performance standards.
* **Partner with Data Engineering and ML Platform teams** 
 to deploy models into production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***What You Bring:***
* 3\+ years of experience in data science, machine learning, or applied statistics within a modern cloud data environment like AWS Sagemaker.
* Advanced Python with deep experience in scientific libraries (e.g. pandas, NumPy, SciPy, matplotlib), machine learning frameworks (e.g. scikit\-learn, XGBoost, LightGBM, pytorch), and model evaluation tooling.
* SQL skills and experience working with cloud data warehouses (e.g. Snowflake, BigQuery, Redshift).
* Experience with modern ML workflow tools (e.g., Airflow, Dagster, MLflow, Vertex / SageMaker, Voxel 51\).
* Understanding of statistical methods, experiment design, data cleansing, feature engineering, and model interpretability.
* Experience deploying production models and maintaining them through their lifecycle (monitoring, retraining, performance management).
* Strong communication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Build cutting\-edge solutions while helping to guide best practices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 \-$180,000,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13">
      <c r="A13" t="inlineStr">
        <is>
          <t>li-4367316518</t>
        </is>
      </c>
      <c r="B13" t="inlineStr">
        <is>
          <t>Data Scientist II</t>
        </is>
      </c>
      <c r="C13" t="inlineStr">
        <is>
          <t>Themesoft Inc.</t>
        </is>
      </c>
      <c r="D13" t="inlineStr">
        <is>
          <t>linkedin</t>
        </is>
      </c>
      <c r="E13" t="inlineStr"/>
      <c r="F13" t="inlineStr"/>
      <c r="G13" t="inlineStr"/>
      <c r="H13" t="inlineStr"/>
      <c r="I13" t="inlineStr">
        <is>
          <t>**Role: Data Scientist II** 
**Location: Remote** 
**Experience: 8\+ Years** 
**Education: Master's Degree** 
**Summary:** 
 The main function of the Data Scientist is to produce innovative solutions driven by exploratory data analysis from complex and high\-dimensional datasets.
**Job Responsibilities:** 
* Apply knowledge of statistics, machine learning, programming, data modeling, simulation, and advanced mathematics to recognize patterns, identify opportunities, pose business questions, and make valuable discoveries leading to prototype development and product improvement.
* Use a flexible, analytical approach to design, develop, and evaluate predictive models and advanced algorithms that lead to optimal value extraction from the data.
* Generate and test hypotheses and analyze and interpret the results of product experiments.
* Work with product engineers to translate prototypes into new products, services, and features and provide guidelines for large\-scale implementation.
* Provide Business Intelligence (BI) and data visualization support, which includes, but limited to support for the online customer service dashboards and other ad\-hoc requests requiring data analysis and visual support.
**Skills:** 
* Experienced in either programming languages such as Python and/or R, big data tools such as Hadoop, or data visualization tools such as Tableau.
* The ability to communicate effectively in writing, including conveying complex information and promoting in\-depth engagement on course topics.
* Experience working with large datasets.
**Education/Experience:** 
* Master of Science degree in computer science or in a relevant field.</t>
        </is>
      </c>
    </row>
    <row r="14">
      <c r="A14" t="inlineStr">
        <is>
          <t>li-4367342061</t>
        </is>
      </c>
      <c r="B14" t="inlineStr">
        <is>
          <t>Data Scientist</t>
        </is>
      </c>
      <c r="C14" t="inlineStr">
        <is>
          <t>CitiusTech</t>
        </is>
      </c>
      <c r="D14" t="inlineStr">
        <is>
          <t>linkedin</t>
        </is>
      </c>
      <c r="E14" t="inlineStr"/>
      <c r="F14" t="inlineStr"/>
      <c r="G14" t="inlineStr">
        <is>
          <t>Houston, TX</t>
        </is>
      </c>
      <c r="H14" t="inlineStr"/>
      <c r="I14" t="inlineStr">
        <is>
          <t>**Data Scientist – NLP \&amp; AI** 
 Who we are: \-
 At
 **CitiusTech** 
 , we constantly strive to solve the industry's greatest challenges with technology, creativity, and agility. With over 8,500 healthcare technology professionals worldwide, CitiusTech powers healthcare digital innovation, business transformation, and industry\-wide convergence for over 140 organizations through next\-generation technologies, solutions, and products. We aim to accelerate the transition to a human\-first, sustainable, and digital healthcare ecosystem with the world's leading Healthcare and life sciences organizations and our partners.
 Here is an opportunity for you to make a difference and collaborate with global leaders to shape the future of healthcare and positively impact human lives.
**Our vision: \-** 
 To inspire new possibilities for the health ecosystem with technology and human ingenuity.
**What is in it for you?** 
 As a Data Scientist – NLP \&amp; AI, you will be part of an agile team focused on building intelligent healthcare solutions by developing advanced NLP modules, integrating LLMs and agentic workflows, and leveraging AWS big data technologies to enhance clinical data processing and usability.
**Responsibilities: \-** 
 • Analyze and process clinical textual data using AI\-powered NLP techniques and advanced machine learning models.
 • Modify and improve current workflows by incorporating cutting\-edge machine learning and deep learning algorithms, including leveraging large language models (LLMs) and tools like LangGraph for complex AI agentic workflows in healthcare contexts.
 • Develop NLP modules within the NLP development team using programming or scripting languages such as Python.
 • Conduct pre\-processing and quality analysis for textual data inputs and validate performance of NLP outputs.
 • Create systematic testing procedures, error\-checking mechanisms, and user manuals for NLP modules.
 • Build infrastructure for optimal extraction, transformation, and loading of data from diverse sources including MCP servers, using SQL and AWS big data frameworks such as EMR and Spark/pySpark.
 • Collaborate with Engineering teams to ensure scalable and efficient data workflows using SQL and AWS big data technologies.
 • Apply working knowledge of AWS services, particularly AWS Bedrock, to develop generative AI applications.
 • Utilize relational databases such as PostgreSQL or MySQL for data storage and retrieval in NLP and AI workflows..
**Work Location: \-** 
 • Houston, TX (Hybrid)
**Educational Qualifications: \-** 
 • Engineering Degree – BE/ME/BTech/MTech/BSc/MSc.
 • Technical certification in multiple technologies is desirable.
**Skills: \-** 
**Mandatory skills** 
 • Proficiency in Python and scripting languages for NLP and machine learning development.
 • Strong understanding of clinical NLP techniques and experience with machine learning and deep learning models.
 • Hands\-on experience with large language models and agentic workflow tools such as LangGraph.
 • Expertise in SQL and big data technologies including AWS EMR and Spark/pySpark.
 • Practical knowledge of AWS services, especially AWS Bedrock for generative AI applications.
 • Experience with relational databases such as PostgreSQL or MySQL.
**Good to have skills: \-** 
 • Familiarity with generative AI applications in healthcare and related use cases.
 • Understanding of healthcare data standards and terminologies such as HL7, FHIR, and CCDA.
 • Experience in creating detailed documentation, user manuals, and technical specifications.
 • Background in automated testing and validation frameworks for NLP outputs.
 • Ability to collaborate effectively with cross\-functional teams including engineering and products.
 • Exposure to LangChain or similar frameworks for building intelligent agent workflows.
**Life at CitiusTech** 
 We focus on building highly motivated engineering teams and thought leaders with an entrepreneurial mindset, centered on our core values of
 **Passion, Respect, Openness, Unity, and Depth (PROUD) of knowledge** 
 . Our success lies in creating a fun, transparent, non\-hierarchical, diverse work culture that focuses on continuous learning and work\-life balance.
 Rated by our employees as the
 **‘Great Place to Work** 
 for’ according to the Great Place to Work survey. We offer you a comprehensive set of benefits to ensure that you have a long and rewarding career with us.
**Our EVP** 
**Be You Be Awesome** 
 is our EVP and it reflects our continuing efforts to create CitiusTech as a great place to work where our employees can thrive, both personally and professionally. It encompasses the unique benefits and opportunities we offer to support your growth, well\-being, and success throughout your journey with us and beyond. Together with our clients, we are solving some of the greatest healthcare challenges and positively impacting human lives. Welcome to the world of Faster Growth, Higher Learning, and Stronger Impact.
 Join CitiusTech.
 **Be You. Be Awesome.**</t>
        </is>
      </c>
    </row>
    <row r="15">
      <c r="A15" t="inlineStr">
        <is>
          <t>li-4367342034</t>
        </is>
      </c>
      <c r="B15" t="inlineStr">
        <is>
          <t>Healthcare Data Scientist – Claims, Quality, &amp; Provider Performance</t>
        </is>
      </c>
      <c r="C15" t="inlineStr">
        <is>
          <t>Vālenz Health®</t>
        </is>
      </c>
      <c r="D15" t="inlineStr">
        <is>
          <t>linkedin</t>
        </is>
      </c>
      <c r="E15" t="inlineStr"/>
      <c r="F15" t="inlineStr"/>
      <c r="G15" t="inlineStr">
        <is>
          <t>Phoenix, AZ</t>
        </is>
      </c>
      <c r="H15" t="inlineStr"/>
      <c r="I15" t="inlineStr">
        <is>
          <t>Vālenz® Health is the platform to simplify healthcare – the destination for employers, payers, providers and members to reduce costs, improve quality, and elevate the healthcare experience. The Valenz mindset and culture of innovation combine to create a distinctly different approach to an inefficient, uninspired health system. With fully integrated solutions, Valenz engages early and often to execute across the entire patient journey – from care navigation and management to payment integrity, plan performance and provider verification. With a 99% client retention rate, we elevate expectations to a new level of efficiency, effectiveness and transparency where smarter, better, faster healthcare is possible.
**About This Opportunity:** 
 As a Healthcare Data Scientist at Valenz, you’ll work hands\-on with large, complex healthcare claims and provider datasets to ensure data accuracy and integrity. You’ll continuously dig into the data, investigate anomalies, and contribute to models that inform how we evaluate provider performance, care quality, and risk.
 Using SQL and Python, you’ll identify and resolve data issues, apply statistical methods, and deliver clear, actionable insights to support smarter decision\-making across the organization. This is a highly analytical and collaborative role with real impact on how care is measured, delivered, and improved.
**Things You’ll Do Here:**
* Utilize reference data sources and advanced validation techniques to ensure accuracy, completeness, and integrity of healthcare claims data
* Assess provider scoring methodologies, identify discrepancies, and develop insights to optimize coverage accuracy
* Design, develop, and maintain retrospective models for historical performance analysis, and predictive models to identify high\-risk patients and prioritize actionable interventions
* Translate complex analytical findings into clear, actionable insights, and effectively communicate results and recommendations to internal stakeholders and external clients
* Aggregate and reconcile multiple data sources, applying statistical and computational methods to verify data integrity, identify anomalies, and implement necessary corrections
* Execute comprehensive data analysis workflows, evaluate outcomes, and implement enhancements to improve model accuracy and data reliability
* Review and optimize claim\-matching processes, troubleshoot inconsistencies, and resolve data discrepancies to maintain high\-quality outputs
* Investigate data quality issues, conduct root cause analysis, document findings, and deliver actionable recommendations for process improvements
* Collaborate with cross\-functional teams to enhance analytical tools, refine methodologies, and implement scalable solutions that improve efficiency and analytical capabilities
*Reasonable accommodation may be made to enable individuals with disabilities to perform essential duties.*
**What You’ll Bring to the Team:**
* Bachelor’s degree in a quantitative field (e.g., Statistics, Mathematics, Engineering, Computer Science, Finance, or Economics)
* 7\+ or more years of experience analyzing healthcare claims data, including complex and imperfect datasets
* Strong analytical, problem\-solving, and critical\-thinking skills with proven ability to uncover root causes
* Proficiency in SQL for querying and manipulating data; familiarity with Python or similar data tools preferred
* Advanced Excel skills, including PivotTables and complex formulas, for data modeling and reporting
* Knowledge of healthcare network rosters, provider data, and quality measurement methodologies
* Exceptional attention to detail with a commitment to accuracy, data validation, and quality assurance
* Highly organized and self\-motivated, with the ability to manage multiple priorities independently while collaborating effectively with others
*A plus if you have…*
* Master’s degree
**Where You’ll Work:** 
 This is a fully remote position, and we’ll provide all the necessary equipment!
* Work Environment: You’ll need a quiet workspace that is free from distractions
* Technology: Reliable internet connection—if you can use streaming services, you’re good to go!
* Security: Adherence to company security protocols, including the use of VPNs, secure passwords, and company\-approved devices/software
* Location: You must be US based, in a location where you can work effectively and comply with company policies such as HIPAA
**Why You'll Love Working Here**
 Valenz is proud to be recognized by Inc. 5000 as one of America’s fastest\-growing private companies. Our team is committed to delivering on our promise to
 ***engage early and often for smarter, better, faster healthcare***
*.* 
 With this commitment, you’ll find an engaged culture – one that stands
 ***strong, vigorous, and healthy***
 in all we do.
**Benefits**
* Generously subsidized company\-sponsored Medical, Dental, and Vision insurance, with access to services through our own products, Healthcare Blue Book and KISx Card
* Spending account options: HSA, FSA, and DCFSA
* 401K with company match and immediate vesting
* Flexible working environment
* Generous Paid Time Off to include vacation, sick leave, and paid holidays
* Employee Assistance Program that includes professional counseling, referrals, and additional services
* Paid maternity and paternity leave
* Pet insurance
* Employee discounts on phone plans, car rentals and computers
* Community giveback opportunities, including paid time off for philanthropic endeavors
*At Valenz, we celebrate, support, and thrive on inclusion, for the benefit of our associates, our partners, and our products. Valenz is committed to the principle of equal employment opportunity for all associates and to providing associates with a work environment free of discrimination and harassment. All employment decisions at Valenz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Powered by JazzHR
 N4dxVElAAR</t>
        </is>
      </c>
    </row>
    <row r="16">
      <c r="A16" t="inlineStr">
        <is>
          <t>li-4367309862</t>
        </is>
      </c>
      <c r="B16" t="inlineStr">
        <is>
          <t>Data Scientist NLP &amp; AI</t>
        </is>
      </c>
      <c r="C16" t="inlineStr">
        <is>
          <t>VeeRteq Solutions LLC</t>
        </is>
      </c>
      <c r="D16" t="inlineStr">
        <is>
          <t>linkedin</t>
        </is>
      </c>
      <c r="E16" t="inlineStr"/>
      <c r="F16" t="inlineStr"/>
      <c r="G16" t="inlineStr">
        <is>
          <t>Houston, TX</t>
        </is>
      </c>
      <c r="H16" t="inlineStr"/>
      <c r="I16" t="inlineStr">
        <is>
          <t>**Experience Required \- 12** 
 \+ years of relevant experience
 **Location \-** 
 Houston, TX (minimum two days per week onsite)
 **Hiring Mode \-** 
 C2C
 **What's in it for you?**
 As a
 **Data Scientist NLP \&amp; AI** 
 , you will join an agile team dedicated to building intelligent healthcare solutions. You will design advanced NLP capabilities, integrate large language models (LLMs) and agent\-based AI workflows, and leverage AWS big data technologies to improve clinical data processing, accessibility, and usability.
**Key Responsibilities**
* Analyze and process clinical text data using AI\-driven NLP techniques and advanced machine learning models.
* Enhance and optimize existing workflows by integrating modern machine learning and deep learning approaches, including LLMs and agentic workflow frameworks such as LangGraph in healthcare environments.
* Design and develop NLP modules using Python and other scripting languages as part of the NLP engineering team.
* Perform data preprocessing, quality assessment, and validation of NLP model outputs.
* Develop structured testing methodologies, error\-detection mechanisms, and user documentation for NLP solutions.
* Build and maintain data infrastructure for efficient extraction, transformation, and loading (ETL) from diverse data sources, including MCP servers, using SQL and AWS big data tools such as EMR and Spark/pySpark.
* Partner with engineering teams to ensure scalable, high\-performance data workflows leveraging SQL and AWS technologies.
* Apply hands\-on knowledge of AWS services, particularly AWS Bedrock, to build generative AI solutions.
* Utilize relational databases such as PostgreSQL and MySQL to support NLP and AI pipelines.
**Education**
* Engineering degree: BE / ME / BTech / MTech / BSc / MSc
* Technical certifications across multiple technologies are a plus
**Required Skills**
* Strong proficiency in Python and scripting for NLP and machine learning development
* Solid experience with clinical NLP techniques and ML/DL models
* Hands\-on expertise with LLMs and agentic workflow tools such as LangGraph
* Advanced knowledge of SQL and big data technologies including AWS EMR and Spark/pySpark
* Practical experience with AWS services, especially AWS Bedrock
* Experience working with relational databases such as PostgreSQL or MySQL
**Nice\-to\-Have Skills**
* Exposure to generative AI solutions in healthcare use cases
* Knowledge of healthcare data standards and terminologies (HL7, FHIR, CCDA)
* Experience producing technical documentation, user guides, and specifications
* Background in automated testing and validation frameworks for NLP systems
* Strong collaboration skills across engineering and product teams
* Familiarity with LangChain or similar agent\-based AI frameworks</t>
        </is>
      </c>
    </row>
    <row r="17">
      <c r="A17" t="inlineStr">
        <is>
          <t>li-4367017205</t>
        </is>
      </c>
      <c r="B17" t="inlineStr">
        <is>
          <t>Data Scientist</t>
        </is>
      </c>
      <c r="C17" t="inlineStr">
        <is>
          <t>Saransh Inc</t>
        </is>
      </c>
      <c r="D17" t="inlineStr">
        <is>
          <t>linkedin</t>
        </is>
      </c>
      <c r="E17" t="inlineStr"/>
      <c r="F17" t="inlineStr"/>
      <c r="G17" t="inlineStr">
        <is>
          <t>North Carolina, United States</t>
        </is>
      </c>
      <c r="H17" t="inlineStr"/>
      <c r="I17" t="inlineStr">
        <is>
          <t>**Data Scientist** 
**Responsibilities** 
* Perform EDA and analyze data to generate insights.
* Build, evaluate, and deploy ML/DL models (regression, classification, clustering).
* Develop NLP/LLM solutions using prompt engineering, RAG, and fine\-tuning.
* Design agentic AI workflows with LangChain/LangGraph, tool\-calling, and multi\-step reasoning.
* Apply statistical methods for decision\-making.
* Write production\-ready Python and SQL code.
**Requirements** 
* Hands\-on experience in ML, Deep Learning, NLP/LLMs, and RAG.
* Experience with agentic AI frameworks and workflow orchestration.
* Strong Python skills with PyTorch or TensorFlow/Keras.
* Proficiency in SQL and statistics.
**Nice to Have** 
* Conversational AI or chatbot experience
* Exposure to Reinforcement Learning</t>
        </is>
      </c>
    </row>
    <row r="18">
      <c r="A18" t="inlineStr">
        <is>
          <t>li-4367005686</t>
        </is>
      </c>
      <c r="B18" t="inlineStr">
        <is>
          <t>Data Scientist 3</t>
        </is>
      </c>
      <c r="C18" t="inlineStr">
        <is>
          <t>Lam Research</t>
        </is>
      </c>
      <c r="D18" t="inlineStr">
        <is>
          <t>linkedin</t>
        </is>
      </c>
      <c r="E18" t="inlineStr"/>
      <c r="F18" t="inlineStr"/>
      <c r="G18" t="inlineStr">
        <is>
          <t>Fremont, CA</t>
        </is>
      </c>
      <c r="H18" t="inlineStr"/>
      <c r="I18"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Join Lam as a Data Scientist, where you'll design, develop, and program methods to analyze unstructured and diverse big data into actionable insights. You'll develop algorithms and automated processes to evaluate large data sets from disparate sources. Your expertise in generating, interpreting, and communicating actionable insights enables Lam to make informed and data‑driven decisions.
**What You’ll Do**
* Develop machine learning models, statistical algorithms, and data‑driven frameworks to analyze engineering, sensor, metrology, and equipment telemetry data.
* Conduct advanced image processing and computer vision analysis on wafer, chamber, or process images to derive meaningful features and insights.
* Apply Bayesian optimization to accelerate engineering workflows, experimental design, and process parameter tuning.
* Build scalable data pipelines to integrate structured and unstructured data sources.
* Perform exploratory data analysis, feature engineering, uncertainty quantification, and model validation.
* Partner with engineers and domain experts to translate physics‑ or chemistry‑based phenomena into analytic or computational models.
* Deploy and maintain production‑level analytical solutions and monitor their long‑term performance.
* Visualize results effectively and communicate findings to both technical and non‑technical stakeholders.
* Use sound statistical design principles (DOE, hypothesis testing, modeling assumptions) to guide experimentation and decision‑making.
* Contribute to best practices in version control, documentation, reproducibility, and model governance.
**Who We’re Looking For**
* Ph.D. in Statistics, Computational Physics, Computer Science, or Applied Mathematics.
**Preferred Qualifications**
**Required Skills \&amp; Experience:**
* Strong proficiency with Python (NumPy, SciPy, Pandas, scikit‑learn, etc.).
* Demonstrated experience with advanced image processing (e.g., OpenCV, scikit‑image, deep learning–based methods).
* Solid foundation in machine learning, statistical inference, and scientific computing.
* Experience working with large, complex data sets.
* Strong analytical and problem‑solving skills, particularly in complex technical domains.
* Ability to collaborate in cross‑functional teams and communicate complex concepts clearly.
* Experience with physics‑based machine learning and Bayesian statistics is a plus.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$99,000\.00 \- $220,000\.00\.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9">
      <c r="A19" t="inlineStr">
        <is>
          <t>li-4367315647</t>
        </is>
      </c>
      <c r="B19" t="inlineStr">
        <is>
          <t>Applied Scientist</t>
        </is>
      </c>
      <c r="C19" t="inlineStr">
        <is>
          <t>Raydar</t>
        </is>
      </c>
      <c r="D19" t="inlineStr">
        <is>
          <t>linkedin</t>
        </is>
      </c>
      <c r="E19" t="inlineStr"/>
      <c r="F19" t="inlineStr"/>
      <c r="G19" t="inlineStr"/>
      <c r="H19" t="inlineStr"/>
      <c r="I19" t="inlineStr">
        <is>
          <t>As an Applied Scientist (ML), you will collaborate closely with our product and engineering teams, and use cutting\-edge ML research to transform how users interact with our client in their daily workflows. You'll drive impact across the entire ML lifecycle: from problem formulation and system analysis to data collection, benchmark development, model training, and production deployment. You’ll also have opportunities to publish your work and deliver impact to the ML community. Your expertise will advance our capabilities in these critical technical domains:
* Retrieval, ranking and RAG
* LLM post\-training and reinforcement learning
* AI agents for knowledge workflows
* ML benchmarks
 Your work has the potential to transform the following key products and deliver impacts to tens of thousands of professional users:
**Instant QA:** 
 Our client's custom\-built Question Answer system using state of the art in house models, seamlessly trained to work together to enable instant expert intelligence.
**Agents:** 
 You will enable expert\-level agentic workflows to automate comprehensive knowledge work and enable AI tools that work with experts to gain new insights.
**Responsibilities** 
* Formulate an ML problem from product requirements.
* Analyze existing ML systems for their limitations, and propose and validate novel methodologies to improve upon existing systems.
* Create and productionize cutting\-edge research prototypes for knowledge work at scale.
* Build novel ML evaluation datasets that serve as crucial criteria for production feature rollouts.
* \[Optionally] Mentor ML interns and publish your research findings with the community.
**Experience** 
 Required
* PhD or Master’s degree in Computer Science, Machine Learning, NLP, or a related field.
* Strong background in deep learning, large language models, and NLP techniques.
* A strong track record of first\-author publications in top AI/NLP conferences (e.g., NeurIPS, ICML, ACL, EMNLP).
* Proficiency in Python and deep learning frameworks such as PyTorch or Transformers, and strong coding skills.
 Preferred
* 2\+ years of experience in an industry applied ML research environment
* Familiarity with retrieval\-augmented generation, reasoning, LLM training and reinforcement learning techniques.</t>
        </is>
      </c>
    </row>
    <row r="20">
      <c r="A20" t="inlineStr">
        <is>
          <t>li-4367180282</t>
        </is>
      </c>
      <c r="B20" t="inlineStr">
        <is>
          <t>Data Scientist</t>
        </is>
      </c>
      <c r="C20" t="inlineStr">
        <is>
          <t>TaxSlayer</t>
        </is>
      </c>
      <c r="D20" t="inlineStr">
        <is>
          <t>linkedin</t>
        </is>
      </c>
      <c r="E20" t="inlineStr"/>
      <c r="F20" t="inlineStr"/>
      <c r="G20" t="inlineStr"/>
      <c r="H20" t="inlineStr"/>
      <c r="I20" t="inlineStr">
        <is>
          <t>**About The Company**
 TaxSlayer is a pioneering provider of tax software solutions dedicated to empowering individuals and small businesses to file their taxes with confidence and ease. Established in 1965 and headquartered in Augusta, Georgia, with additional operations in Charlotte, North Carolina, TaxSlayer has a long\-standing reputation for innovation and customer\-centric service. Our platform is designed to be intuitive and user\-friendly, guiding users through the tax filing process step\-by\-step to ensure accuracy and maximize refunds. With nearly 200 full\-time employees and 300 seasonal support agents, our talented team works collaboratively to continually enhance our products and exceed customer expectations. As a leader in the fintech and tax industry, we are committed to fostering a dynamic, inclusive, and growth\-oriented work environment.
**About The Role**
 The Data Scientist (Fraud Analytics) at TaxSlayer plays a critical role in designing, developing, and deploying advanced fraud detection models to safeguard our platform and users. This position involves leveraging sophisticated analytical methods and machine learning techniques to identify, quantify, and mitigate suspicious behaviors such as identity theft, refund fraud, account takeover, and abuse of tax credits. The ideal candidate will work closely with security, product, and compliance teams to develop and operationalize robust fraud prevention controls that balance security with a seamless user experience. This role requires a proactive approach to analyzing fraud trends, evaluating model performance, and translating insights into actionable strategies to continuously improve our fraud detection capabilities.
**Qualifications**
* Bachelor’s degree in Data Science, Computer Science, Cybersecurity, or related field; Master’s degree preferred
* 7\+ years of experience in fraud detection and prevention, preferably within FinTech or tax services
* Expertise in model evaluation, validation, bias mitigation, and explainability in regulated environments
* Strong experience with complex fraud scoring systems and high\-throughput decision\-making processes
* Proficiency in ML frameworks such as TensorFlow and PyTorch
* Advanced skills in Python, SQL, and data science libraries for modeling and analysis
* Experience with model lifecycle management, version control, and reproducible experimentation
* Ability to communicate complex analytical concepts effectively to both technical and non\-technical stakeholders
* Strong project management and prioritization skills with a demonstrated ability to work independently
**Responsibilities**
* Design, develop, and maintain production\-ready fraud detection models, including supervised, unsupervised, and hybrid approaches
* Collaborate with engineering teams to operationalize models targeting fraud vectors such as identity theft, refund fraud, account takeover, and abuse of tax credits
* Engineer features from high\-volume, multi\-source datasets including user behavior, device signals, tax attributes, and payment data
* Evaluate and select appropriate modeling approaches based on fraud typology, data availability, and operational constraints
* Define and manage model evaluation frameworks, including stability metrics and false\-positive analyses
* Conduct detailed analyses of fraud trends and reporting schemes to identify emerging threats
* Translate analytical insights into actionable recommendations for fraud prevention strategies, controls, and product enhancements
* Ensure compliance with data privacy, security, and regulatory standards in all model development activities
* Proactively communicate project statuses, potential risks, and trade\-offs to stakeholders
* Maintain comprehensive documentation of model logic, assumptions, validation results, and known limitations
* Monitor and mitigate model drift to ensure ongoing effectiveness in production environments
**Benefits**
* Competitive salary and performance\-based bonuses
* Flexible remote and hybrid work arrangements
* Comprehensive health insurance including Medical, Dental, and Vision plans
* 401(k) retirement plan with a 150% match on up to 3% contribution
* Generous paid time off and paid holidays
* Wellness programs and life insurance options
* Long\-term and short\-term disability coverage
* Critical illness and accident insurance
* Educational assistance programs
* Company\-paid parking and access to on\-site fitness facilities
* Employee discounts through company store
 Equal Opportunity
 TaxSlayer is an equal opportunity employer and is committed to fostering an inclusive environment for all employees. We evaluate candidates based on qualifications, merit, and business needs without regard to race, color, religion, gender, sexual orientation, gender identity, national origin, age, disability, or any other protected status. We believe diversity enhances our workplace and drive innovation, and we welcome applicants from all backgrounds to join our team.</t>
        </is>
      </c>
    </row>
    <row r="21">
      <c r="A21" t="inlineStr">
        <is>
          <t>li-4364950413</t>
        </is>
      </c>
      <c r="B21" t="inlineStr">
        <is>
          <t>Data Scientist</t>
        </is>
      </c>
      <c r="C21" t="inlineStr">
        <is>
          <t>Harrison Clarke</t>
        </is>
      </c>
      <c r="D21" t="inlineStr">
        <is>
          <t>linkedin</t>
        </is>
      </c>
      <c r="E21" t="inlineStr"/>
      <c r="F21" t="inlineStr"/>
      <c r="G21" t="inlineStr">
        <is>
          <t>Menlo Park, CA</t>
        </is>
      </c>
      <c r="H21" t="inlineStr"/>
      <c r="I21" t="inlineStr">
        <is>
          <t>A well\-capitalized, later\-stage investment platform is looking for a Data Scientist to work at the intersection of
 **data, AI, and strategic decision\-making** 
 .
 This role focuses on using data to evaluate company performance, market signals, and emerging trends rather than building internal dashboards or pure reporting. You’ll work closely with senior stakeholders on high\-impact, hypothesis\-driven analysis.
**What you’ll do** 
* Analyze large, messy datasets to surface insights on company and market performance
* Apply statistical, ML, and AI\-driven approaches to investment and strategy questions
* Partner directly with senior leaders to frame questions, test hypotheses, and communicate insights clearly
* Help shape how data and AI are used to inform long\-term decisions
**What they're looking for** 
* Experience with alternative, messy \&amp; raw datasets
* Strong background in data science, analytics, or applied ML (industry or research)
* Comfortable operating end\-to\-end: problem framing → analysis → executive\-level storytelling
* Experience working with senior stakeholders and ambiguous problem spaces
* Interest in markets, technology, and business performance</t>
        </is>
      </c>
    </row>
    <row r="22">
      <c r="A22" t="inlineStr">
        <is>
          <t>li-4367017206</t>
        </is>
      </c>
      <c r="B22" t="inlineStr">
        <is>
          <t>Data Scientist</t>
        </is>
      </c>
      <c r="C22" t="inlineStr">
        <is>
          <t>RemoteHunter</t>
        </is>
      </c>
      <c r="D22" t="inlineStr">
        <is>
          <t>linkedin</t>
        </is>
      </c>
      <c r="E22" t="inlineStr"/>
      <c r="F22" t="inlineStr"/>
      <c r="G22" t="inlineStr"/>
      <c r="H22" t="inlineStr"/>
      <c r="I22"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li-4367302178</t>
        </is>
      </c>
      <c r="B23" t="inlineStr">
        <is>
          <t>Staff Data Scientist, Pricing</t>
        </is>
      </c>
      <c r="C23" t="inlineStr">
        <is>
          <t>GoFundMe</t>
        </is>
      </c>
      <c r="D23" t="inlineStr">
        <is>
          <t>linkedin</t>
        </is>
      </c>
      <c r="E23" t="inlineStr"/>
      <c r="F23" t="inlineStr"/>
      <c r="G23" t="inlineStr">
        <is>
          <t>San Francisco, CA</t>
        </is>
      </c>
      <c r="H23" t="inlineStr"/>
      <c r="I23" t="inlineStr">
        <is>
          <t>**Want to help us help others? We’re hiring!**
 GoFundMe is the world’s most powerful community for good, dedicated to helping people help each other. By uniting individuals and nonprofits in one place, GoFundMe makes it easy and safe for people to ask for help and support causes—for themselves and each other. Together, our community has raised more than $40 billion since 2010\.
 We’re looking for a Staff Data Scientist, Pricing to serve as the senior individual contributor driving the science, strategy, experimentation and AI deployment behind pricing and yield optimization at GoFundMe. This role sits at the intersection of economics, behavioral science, experimentation, and machine learning, with direct responsibility for optimizing donation conversion, donation amounts, and donor experience across the product.
**Candidates considered for this role will be located in the San Francisco Bay Area. There will be an in\-office requirement of 3x a week.**
**The Job**
* Own donation pricing and amount optimization end\-to\-end: Define the analytical strategy, modeling frameworks, and success metrics for pricing recommendations across product surfaces, balancing conversion, donation amounts, and long\-term donor trust.
* Model human behavior using economics and AI: Apply economic theory, behavioral science, and machine learning to understand donor decision\-making, estimate elasticity, and predict responses to changes in product design and choice architecture.
* Leverage non\-transactional behavioral signals: Model sparse and indirect signals (e.g., navigation, hesitation, context, device, timing) to detect shifts in intent and interaction patterns beyond observed transactions.
* Build adaptive and reinforcement\-aware systems: Design models that learn over time using experimentation signals, feedback loops, and reinforcement concepts (e.g., contextual bandits or sequential decision\-making) where appropriate.
* Lead experimentation and causal learning: Partner with Product and Engineering to design robust experimentation and measurement frameworks, ensuring pricing and donation models are causal\-aware, interpretable, and safe to deploy at scale.
* Incorporate external data and context: Augment behavioral models with external datasets (macroeconomic indicators, seasonality, regional or temporal signals) to better understand and anticipate donor behavior.
* Translate insights into action: Convert complex economic and behavioral analyses into deployable models, clear product recommendations, and measurable business impact.
* Influence through storytelling and leadership: Communicate insights effectively to senior leaders, humanize donor behavior through narrative, and serve as a trusted thought partner on pricing and donation strategy.
* Raise the technical bar: Set best practices for modeling rigor, validation, monitoring, and iteration; mentor other data scientists and elevate pricing science across the organization.
**You**
**Experience \&amp; Education**
* Either a Ph.D. in Economics, Applied Economics, or a closely related quantitative field, demonstrating the ability to push the boundaries of applied research and translate theory into practical modeling approaches OR 8\+ years of industry experience in data science, applied economics, pricing, marketplace optimization, or monetization at a high\-tech digital company, with a proven track record of owning and scaling pricing or decisioning systems.
* Deep experience applying economic reasoning, causal inference, and behavioral modeling to real\-world decision\-making problems.
* Demonstrated ability to own ambiguous, high\-impact problems and deliver measurable business outcomes.
**Core Skills**
* Strong foundation in econometrics, causal inference, and behavioral modeling.
* Deep understanding of price elasticity, choice modeling, and decision science.
* Experience modeling noisy, sparse, or non\-transactional behavioral data.
* Hands\-on experience designing and interpreting experiments and causal signals.
* Familiarity with reinforcement learning, bandits, or adaptive optimization concepts (applied or research\-driven).
**Technical Skills**
* Advanced proficiency in Python (pandas, NumPy, scikit\-learn, PyMC/Stan or equivalent) and SQL, with the ability to build, validate, and iterate on complex analytical and modeling workflows.
* Demonstrated ability to leverage modern AI tools and coding agents (e.g., LLM\-based assistants, autonomous or semi\-autonomous coding agents, model\-driven feature generation, synthetic data generation) to accelerate research, prototyping, and productionization of models.
* Experience designing or applying LLM\-based or AI\-assisted solutions to complex decisioning problems (e.g., feature extraction from unstructured data, rapid experimentation, simulation, or model orchestration), beyond basic prompt usage.
**Leadership \&amp; Collaboration**
* Exceptional ability to tell clear, compelling stories from complex data.
* Comfortable influencing product direction and executive decision\-making.
* Demonstrated ability to lead without authority and elevate team practices.
**Preferred But Not Required**
* Experience in consumer pricing, marketplaces, or digital payments/donations.
* Experience partnering with engineering to productionize models and AI\-driven systems, including monitoring, evaluation, and iteration in live environments.
* Familiarity with modern data platforms (Snowflake, Databricks) and experimentation infrastructure; experience with model versioning and validation is a plus.
* Strong data visualization, documentation, and presentation skills, with an emphasis on clarity and executive\-ready communication.
**Why you’ll love it here**
* Make an Impact: Be part of a mission\-driven organization making a positive difference in millions of lives every year.
* Innovative Environment: Work with a diverse, passionate, and talented team in a fast\-paced, forward\-thinking atmosphere.
* Collaborative Team: Join a fun and collaborative team that works hard and celebrates success together.
* Competitive Benefits: Enjoy competitive pay and comprehensive healthcare benefits.
* Holistic Support: Enjoy financial assistance for things like hybrid work, family planning, along with generous parental leave, flexible time\-off policies, and mental health and wellness resources to support your overall well\-being.
* Growth Opportunities: Participate in learning, development, and recognition programs to help you thrive and grow.
* Commitment to DEI: Contribute to diversity, equity, and inclusion through ongoing initiatives and employee resource groups.
* Community Engagement: Make a difference through our volunteering program.
**We live by our core values:** 
*impatient to be great* 
 ,
 *find a way* 
 ,
 *earn trust every day* 
 ,
 *fueled by purpose* 
 . Be a part of something bigger with us!
 GoFundMe is proud to be an equal opportunity employer that actively pursues candidates of diverse backgrounds and experiences. We do not discriminate on the basis of race, color, religion, ethnicity, nationality or national origin, sex, sexual orientation, gender, gender identity or expression, pregnancy status, marital status, age, medical condition, mental or physical disability, or military or veteran status.
 The total annual salary for this full\-time position is $179,500 \- $269,500 \+ equity \+ benefits. As this is a remote position, the salary range was determined by role, level, and possible location across the US. Individual pay is determined by work location and additional factors including job\-related skills, experience, and relevant education or training. Your recruiter can share more about the specific salary range based on your location during the hiring process.
 If you require a reasonable accommodation to complete a job application or a job interview or to otherwise participate in the hiring process, please contact us at accommodationrequests@gofundme.com.
**Global Data Privacy Notice For Job Candidates And Applicants**
 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**Learn More About GoFundMe**
 We’re proud to partner with GoFundMe.org, an independent public charity, to extend the reach and impact of our generous community, while helping drive critical social change. You can learn more about GoFundMe.org’s activities and impact in their FY ‘25 annual report.
 Our annual “Year in Help” report reflects our community’s impact in advancing our mission of helping people help each other.
 For recent company news and announcements, visit our Newsroom.</t>
        </is>
      </c>
    </row>
    <row r="24">
      <c r="A24" t="inlineStr">
        <is>
          <t>li-4367306110</t>
        </is>
      </c>
      <c r="B24" t="inlineStr">
        <is>
          <t>Data Scientist</t>
        </is>
      </c>
      <c r="C24" t="inlineStr">
        <is>
          <t>TEKsystems</t>
        </is>
      </c>
      <c r="D24" t="inlineStr">
        <is>
          <t>linkedin</t>
        </is>
      </c>
      <c r="E24" t="inlineStr"/>
      <c r="F24" t="inlineStr"/>
      <c r="G24" t="inlineStr">
        <is>
          <t>North Chicago, IL</t>
        </is>
      </c>
      <c r="H24" t="inlineStr"/>
      <c r="I24" t="inlineStr">
        <is>
          <t>Description
 TEKsystems is seeking a data scientist to help one of our clients in the Northwest suburbs of Chicago. This is a remote role and long term capable.
 Skills
 Data science, pharmacovigilance, Embase, Medline, Biosis, Derwent Drug File
 Top Skills Details
 Data science,pharmacovigilance,Embase,Medline
 Qualifications
* Bachelor’s degree (7\+ years of experience), Master’s degree (5\+ years of experience) or Ph.D. degree (0\-2 years of experience) in library science, life sciences, medicine, pharmacy, bioinformatics, biomedical/clinical data science or related field.
* Experience supporting pharmacovigilance, product safety, health agency requests, or product submissions in the pharmaceutical or medical device industry.
* Extensive experience searching scientific literature and constructing complex search strategies in databases such as MEDLINE, Embase, Derwent Drug File, or BIOSIS.
* Experience with Dialog search platform preferred.
* Ability to effectively communicate, both verbally and in writing, with clients and teammates possessing diverse technical and business backgrounds.
* Comfortable working in a fast paced, highly collaborative, dynamic work environment with shifting priorities.
 Important Fit Considerations
 Academic or applied library science preferred.
 Should not be purely computational/computer science or purely biological—must have strong biomedical literature search depth.
 Bachelor’s with 7\+ years experience
 OR Master’s with 5\+ years
 OR PhD with 0–2 years
 Field Of Study May Include
 library science, life sciences, medicine, pharmacy, bioinformatics, biomedical/clinical data science, or related domains.
 Job Type \&amp; Location
 This is a Contract position based out of North Chicago, IL.
 Pay And Benefits
 The pay range for this position is $59\.00 \- $59\.00/hr.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Feb 3,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5">
      <c r="A25" t="inlineStr">
        <is>
          <t>li-4367009541</t>
        </is>
      </c>
      <c r="B25" t="inlineStr">
        <is>
          <t>Data Scientist</t>
        </is>
      </c>
      <c r="C25" t="inlineStr">
        <is>
          <t>hackajob</t>
        </is>
      </c>
      <c r="D25" t="inlineStr">
        <is>
          <t>linkedin</t>
        </is>
      </c>
      <c r="E25" t="inlineStr"/>
      <c r="F25" t="inlineStr"/>
      <c r="G25" t="inlineStr">
        <is>
          <t>Fort Meade, MD</t>
        </is>
      </c>
      <c r="H25" t="inlineStr"/>
      <c r="I25" t="inlineStr">
        <is>
          <t>***hackajob** 
 is collaborating with
 **Lockheed Martin \- US** 
 to connect them with exceptional tech professionals for this role.*
 This Program is seeking 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
 Proven past experience as a Data Scientist with programming experience, statistical analysis, machine learning, data wrangling, database management, and data visualization skills.
 Five (5\) years of experience analyzing datasets and developing analytics, five (5\) years of experience programming with data analysis software such as R, Python, SAS, or MATLAB.
 An additional four (4\) years of experience in software development, cloud development, analyzing datasets, or developing descriptive, predictive, and prescriptive analytics can be substituted for a Bachelor's degree.
 Programming Languages: Proficiency in programming languages such as Python and R is crucial for data manipulation, analysis, and implementing algorithms. Python is favored for its simplicity and extensive libraries (like NumPy and pandas), while R is preferred for statistical analysis and data visualization.
 Statistical Analysis: A strong foundation in statistics and probability is necessary for analyzing data accurately and making informed decisions. Understanding concepts like regression analysis, hypothesis testing, and statistical distributions is essential.
 Machine Learning: Knowledge of machine learning algorithms and frameworks (such as TensorFlow and Scikit\-Learn) is vital for building predictive models and automating decision\-making processes.
 Data Wrangling: The ability to clean and organize complex datasets is critical. Data wrangling involves transforming raw data into a usable format, which is often time\-consuming but necessary for effective analysis.
 Database Management: Familiarity with SQL and database management systems (like PostgreSQL and MongoDB) is essential for extracting and manipulating data stored in relational databases.
 Data Visualization: Skills in data visualization tools (such as Tableau and Matplotlib) help communicate findings effectively. Creating charts, graphs, and dashboards is crucial for making data understandable to stakeholders.
 This position requires an active TS/SCI Full Scope Poly Clearance prior to start.</t>
        </is>
      </c>
    </row>
    <row r="26">
      <c r="A26" t="inlineStr">
        <is>
          <t>li-4367355011</t>
        </is>
      </c>
      <c r="B26" t="inlineStr">
        <is>
          <t>Senior Staff Data Scientist, GeminiApp x-Product</t>
        </is>
      </c>
      <c r="C26" t="inlineStr">
        <is>
          <t>Google DeepMind</t>
        </is>
      </c>
      <c r="D26" t="inlineStr">
        <is>
          <t>linkedin</t>
        </is>
      </c>
      <c r="E26" t="inlineStr"/>
      <c r="F26" t="inlineStr"/>
      <c r="G26" t="inlineStr">
        <is>
          <t>Mountain View, CA</t>
        </is>
      </c>
      <c r="H26" t="inlineStr"/>
      <c r="I26" t="inlineStr">
        <is>
          <t>**About The Team**
 Our team, GeminiApp, is on a mission to build a universal AI assistant that will empower billions of people. We are creating a personal, proactive, and powerful life assistant that will be used multiple times a day to increase productivity and creativity by 10 to 100\-fold. Our work is shaping how humanity interacts with AI at scale.
**About The Role**
 As a Data Scientist lead on the GeminiApp team, you are a key partner and co\-creator in our product strategy while managing a growing team. You will be instrumental in building a uniquely proactive and powerful assistant by ensuring our strategic decisions are grounded in data. This is a high\-impact role for a data scientist who is excited about working in a fast\-paced, innovative environment and who is passionate about building user\-centered experiences that will redefine our relationship with technology.
**What You’ll Do**
* Partner with PM, engineering, and UX leadership to develop data\-driven product strategies across various areas of GeminiApp
* Translate ambiguous questions into well\-defined problems, design experiments, and analyze large complex datasets for insights
* Develop and implement novel, goal\-oriented metrics
* Build and deploy statistical/ML models to understand our users, enhance product capabilities and personalize user experience
* Communicate findings \&amp; recommendations to stakeholders, including executives
* Champion data\-driven culture by feeding user engagement insights back into models
* Collaborate with the GenAI team on model quality and feature adoption
* Act as a technical leader for a global team, guiding junior members on complex analyses and upholding best practices to ensure high\-quality, impactful work
**What We're Looking For**
* A bias for action and a relentless drive to build something great. You are a resourceful and creative problem\-solver, able to find innovative solutions in a fast\-paced and dynamic environment. You are comfortable with ambiguity and thrive on a challenge.
* Strong business acumen and a strategic mindset. You have a proven ability to connect data\-driven insights to business impact and can effectively translate business needs into data science problems.
* Deep technical expertise. You have a strong foundation in statistical modeling, machine learning, and experimental design. You are proficient in SQL and have hands\-on experience with a programming language like Python or R.
* Exceptional communication and presentation skills. You can articulate complex technical concepts to both technical and non\-technical audiences, including executive leadership. You are a compelling storyteller who can use data to influence decisions.
* A collaborative and influential partner. You have a track record of successfully collaborating with and influencing cross\-functional teams, particularly engineering and product management, to drive data\-informed decisions. You are ready to work in an environment with a shared roadmap that holds multiple teams accountable for both model quality and feature adoption.
* A commitment to user trust and privacy. You understand the importance of telling users what data is being used and why, and you are committed to providing users with granular, easy\-to\-understand controls over their personal information.
**Why You'll Love Working Here**
* Impact: You'll have a direct and meaningful impact on a product designed to empower billions of people and be one of the greatest forces for good in the world.
* Growth: We're a fast\-growing team within Google, and you'll have the opportunity to evolve quickly to meet changing user needs.
* Team \&amp; Culture: You'll work with a talented and passionate team of people who are excited about what they do and have fun doing it.
*The US base salary range for this full\-time position is between $248,000 USD \- 349,000 USD \+ bonus \+ equity \+ benefits. Your recruiter can share more about the specific salary range for your targeted location during the hiring process.*
*Application deadline: 28 February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27">
      <c r="A27" t="inlineStr">
        <is>
          <t>li-4367006654</t>
        </is>
      </c>
      <c r="B27" t="inlineStr">
        <is>
          <t>Data Scientist | Clinical AI</t>
        </is>
      </c>
      <c r="C27" t="inlineStr">
        <is>
          <t>RemoteHunter</t>
        </is>
      </c>
      <c r="D27" t="inlineStr">
        <is>
          <t>linkedin</t>
        </is>
      </c>
      <c r="E27" t="inlineStr"/>
      <c r="F27" t="inlineStr"/>
      <c r="G27" t="inlineStr"/>
      <c r="H27" t="inlineStr"/>
      <c r="I27"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li-4367305376</t>
        </is>
      </c>
      <c r="B28" t="inlineStr">
        <is>
          <t>Senior Data Scientist, Generative AI</t>
        </is>
      </c>
      <c r="C28" t="inlineStr">
        <is>
          <t>Luminate</t>
        </is>
      </c>
      <c r="D28" t="inlineStr">
        <is>
          <t>linkedin</t>
        </is>
      </c>
      <c r="E28" t="inlineStr"/>
      <c r="F28" t="inlineStr"/>
      <c r="G28" t="inlineStr"/>
      <c r="H28" t="inlineStr"/>
      <c r="I28" t="inlineStr">
        <is>
          <t>Are you an entertainment news junkie? Do you thrill your friends with tales torn from famous and obscure sources about artists and performers of every ilk? Are you a bit of a data\-head who’s a little obsessed with entertainment charts, ranks, lists and stats? Do you knowingly smile to yourself as you watch a story’s blow\-up path, from the feeds to the web to TV, all fueled by the public’s fascination with all things entertainment? And do you have an eye for fact\-based stories and an understanding of the role data plays in their telling? If so, we'd like to talk!
 Luminate is the preeminent entertainment data and insights company, unlocking access to the most essential, objective, and trustworthy data compiled from thousands of verified data sources. The beneficiary of industry consolidation, Luminate now houses what was once Nielsen Music, BDS Radio, SoundScan, Music Connect, Alpha Data and Variety Business Intelligence.
**The Team**
 We are looking for a
 **Senior Data Scientist, Generative AI** 
 to join our Data team in New York City, NY. Your role will include a combination of developing models and tools to be deployed into production systems and defining frameworks to measure and improve data quality standards. This is an IC position but will require you to collaborate with the Data team as well as with various technical and nontechnical team across our organization. Your work will directly impact the future of our Music and Film \&amp; TV products.
**Responsibilities**
* Design, build, and deploy robust, scalable machine learning models that power core product features. You will write production\-quality code and be responsible for the end\-to\-end implementation of AI/ML systems.
* Take full ownership of the model development process, including data sourcing and feature engineering, model training and validation, testing, and deployment.
* You will design and implement monitoring, logging, and alerting to ensure model performance, reliability, and health in a live environment.
* Collaborate closely with Product, Engineering, and Design teams to define the art of the possible. You'll stay on the absolute bleeding edge of AI, evaluating new tools, papers, and techniques to keep our products ahead of the curve.
* Champion and implement best practices for AI/MLOps, including model versioning, automated training pipelines, and CI/CD for machine learning, to improve the velocity and quality of our AI development.
**Qualifications**
* An advanced degree (MS or Ph.D.) in Computer Science, Engineering, Statistics, or a related field, or equivalent practical experience.
* 5\+ years of professional experience focused on building and shipping production\-level AI/ML systems.
* Have a deep, foundational knowledge of how LLMs work. Can speak confidently about transformer architecture, attention mechanisms, and the principles behind RAG, fine\-tuning, and advanced prompt engineering.
* Expert\-level proficiency in Python and its ecosystem and deep experience with AI/ML frameworks (such as LangChain, ai, and PyTorch).
* Hands\-on experience deploying and managing models in a major cloud environment (AWS preferred), coupled with deep familiarity with modern data platforms like Snowflake.
* Possess an intuitive feel for writing elegant, efficient, and effective code. You thrive in a fast\-paced, experimental environment where you can quickly bring ideas to life.
**Preferred Qualifications**
* Experience building autonomous AI agents or multi\-agent systems.
* Contributions to major open\-source AI projects.
* Knowledge of model optimization techniques like quantization or distillation.
* Experience with multi\-modal models (text, image, audio).
**What Makes Us Shine**
* Our People! We are music fans and gamers, film buffs and social scrollers, technologists and subject matter experts, scientists and developers and analysts who take immense pleasure in making sense of the data that drives entertainment, so everyone can get paid and more art can be made. That’s why we do what we do.
* 100% paid for Medical / Dental / Vision Insurance, 401K with matching, and Employee Assistance Program (EAP)
* Hybrid Work \- 4 In\-Office Working days (Monday, Tuesdays, Wednesdays, Thursdays) with flexibility to WFH when needed
* Flexible Time Away / Time Off \- You are empowered to do the things you enjoy outside of work too
* Community! \- Participate, create, or develop our employee clubs, affinity groups and 2% Volunteer initiative which allows you to take paid time off to volunteer within your community
* Family Planning Assistance and Parental leave for all partners
* LGBTQ\+ medical benefits and more!
**After submitting your application, you will receive a verification email. Please complete this verification to proceed with submitting your resume.**
**For candidates based in NYC:** 
 A good faith estimate of the salary range is $175k \- $200k upon hire. We consider your skills and experience, what similar jobs pay at companies of our size, and ensure fair pay among colleagues. Final base salary offer amounts are determined by factors including your experience, skills, and expertise. In addition we are proud to offer additional perks and benefits that contribute and complete our total compensation package. Luminate reserves the right to change our compensation bands at any time.
**Additionally, applicants must be authorized to work for any employer in the U.S. We are unable to sponsor or take over sponsorship of an employment Visa at this time.**
***PMC is committed to the health and wellness of our employees. As part of our company\-wide rollout of PMC’s paid healthcare plan, for this role the company pays 100% of the monthly health, dental and vision plan premiums for the employee and their family***
**. Details of participation in these benefit plans will be provided if an employee receives an offer of employment.**
**More About Us:** 
 Luminate has incredible 30 year history that has made us who we are today. We power the Billboard Charts, but we also inform the entire music industry with exclusive research, data and insights. We serve the television and film industry, providing deep meta\-data on every major production and title.
*Luminate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29">
      <c r="A29" t="inlineStr">
        <is>
          <t>li-4363424516</t>
        </is>
      </c>
      <c r="B29" t="inlineStr">
        <is>
          <t>Senior Data Scientist, Rider Team</t>
        </is>
      </c>
      <c r="C29" t="inlineStr">
        <is>
          <t>Lime</t>
        </is>
      </c>
      <c r="D29" t="inlineStr">
        <is>
          <t>linkedin</t>
        </is>
      </c>
      <c r="E29" t="inlineStr"/>
      <c r="F29" t="inlineStr"/>
      <c r="G29" t="inlineStr"/>
      <c r="H29" t="inlineStr"/>
      <c r="I29"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As a Senior Data Scientist on Lime’s Rider DSA team, you will play a critical role in helping us understand our riders and uncover the drivers of retention. You’ll focus on experimentation, product analytics, and data deep\-dives that surface actionable insights for product and business teams. Partnering with Product, Engineering, and Operations, you’ll help shape strategy on initiatives like early\-funnel adoption, second\-month retention, and loyalty programs—turning data into measurable impact across Lime.
**What You’ll Do**
* Design, run, and analyze experiments to optimize rider experience and improve retention outcomes.
* Define project goals, success metrics, and measurement frameworks to ensure clarity and alignment across initiatives.
* Deliver data\-driven solutions by translating complex analyses into clear, actionable recommendations in compelling ways that influence strategy and roadmap decisions.
* Partner with Product and other teams to evaluate and refine retention\-focused initiatives such as onboarding flows, memberships, and loyalty programs.
* Conduct deep\-dive analyses to identify patterns, diagnose problems, and inform strategic decisions around rider engagement.
* Identify key “aha” moments that predict long\-term retention and quantify their impact on rider behavior.
**About You**
* MS or PhD in Statistics, Economics, Computer Science, Applied Mathematics, Operations Research, or a related quantitative field.
* 5\+ years of industry experience as a Data Scientist, ideally in product analytics, growth, or consumer\-facing platforms.
* Deep understanding of probability and statistics, including causal inference and experimental design.
* Proficiency in SQL and Python, with end\-to\-end experience with data—including querying, data manipulation, aggregation, analysis, visualization , and model deployment.
* Machine Learning \&amp; Modeling: Strong understanding of predictive modeling, price elasticity estimation, and customer segmentation techniques.
* Business Acumen: Business intuition for how retention and loyalty levers impact user growth and long\-term value.
* Strong communication skills with the ability to convey technical concepts to non\-technical stakeholders.
**U.S. Based Position \- What We Offer**
* Comprehensive Health \&amp; Wellness: A choice of medical, dental, and vision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Paid Time Off: Unlimited vacation, paid leaves, and 10 company holidays.
* Unique Lime Perks: Complimentary use of Lime vehicles in participating cities, a monthly phone allowance, dedicated learning and development days, and access to perks including One Medical, Wellhub, and Headspace.
*The salary range listed reflects what Lime reasonably expects to offer for this role, with the final base salary determined by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$107K \- $207K</t>
        </is>
      </c>
    </row>
    <row r="30">
      <c r="A30" t="inlineStr">
        <is>
          <t>li-4367007632</t>
        </is>
      </c>
      <c r="B30" t="inlineStr">
        <is>
          <t>Data Scientist</t>
        </is>
      </c>
      <c r="C30" t="inlineStr">
        <is>
          <t>Air Force Civilian Service</t>
        </is>
      </c>
      <c r="D30" t="inlineStr">
        <is>
          <t>linkedin</t>
        </is>
      </c>
      <c r="E30" t="inlineStr"/>
      <c r="F30" t="inlineStr"/>
      <c r="G30" t="inlineStr">
        <is>
          <t>Oklahoma City, OK</t>
        </is>
      </c>
      <c r="H30" t="inlineStr"/>
      <c r="I30" t="inlineStr">
        <is>
          <t>Come be a part of something big! Smart Minds, Cool Jobs and Awesome Rewards! Fueled by innovation, talent and ambition, the Air Force Civilian Service (AFCS) is seeking civilian professionals prepared to deploy war\-winning capabilities on behalf of the United States Air Force. The Air Force Civilian Service (AFCS) is looking for Full\-Time Data Scientist (NH\-1560\-03\) to work at Air Force Materiel Command (AFMC) in the 448 Supply Chain Management Wing (SCMW) at Tinker AFB in Oklahoma City, Oklahoma. This federal job offers a rewarding and exciting career with benefits. RESUME: Your resume may NOT exceed two pages, and the font size should not be smaller than 10 pts. The two\-page resume ensures the most relevant experience is reviewed and considered, which is a common practice in both the public and private sectors. You will not be considered for this vacancy if your resume is illegible/unreadable and longer than two\-pages. Additional information on how to complete the two\-page resume is located at https://help.usajobs.gov/faq/application/documents/resume/page\-limit. This position can close at any time. Apply Now ! 2026 Salary Range: $89,508\-$138,370 including locality pay Posting Open: 29, Jan. 2026 Posting Close: 12, Feb. 2026 Who May Apply: Current DoD Civilian Employees. This position is open exclusively to current Department of War (DoW) Federal Employees. Applicants must submit their most recent SF50 to verify eligibility. Applications without the required SF50 and other supporting documents will be considered incomplete and will not be forwarded for consideration.
 The primary purpose of this position is to provided authoritative direction and data science expertise to a wide range of highly complex, highly visible initiatives and projects focused on the discovery and development of cutting\-edge tools and resources to easily access, store, analyze, and exchange complex, high\-quality data. The incumbent provides authoritative data science guidance in the development, analysis, and implementation of data programs. Provides the development and implementation of Data Science solutions. Analyzes data to identify correlations between leading and lagging trends and with other factors. Performs complete studies of limited scope to identify potential remedies and provide recommendations to sustain and improve performance. Conducts research in the areas of analytical technologies and business processes to recommend methodologies to better leverage data analytics in support of the organizations objectives. 1\. Professional knowledge of quantitative techniques and methods used to conceptualize, develop, adapt, modify, and apply new models to resolve the most difficult problems and to achieve support and for alternative solutions within the scientific community. 2\. Knowledge of a broad range of defense department or private sector systems, analytics, machine learning, AI, cognitive science, programs, operations, strategies, tactics, resource and information processes, force structure, and weapons systems. Includes operations research analysis techniques and mastery of scientific and analytical capabilities. 3\. Advanced skills in statistical analysis in order to understand the significance of different data set attributes, perform feature engineering, and develop custom data models and algorithms. 4\. Skill in working in advanced study teams composed of industry, government, and academic experts; originate new ideas, projects, and methodologies; and execute projects and/or studies within established financial and/or time constraints. 4\. Ability to analyze, interpret, and apply operations research rules and procedures in a variety of situations and recommend solutions to senior analysts. 5\. Skill to develop and utilize appropriate data collection techniques and design, build and use models and simulation techniques. Ability to research, develop, or apply descriptive, diagnostic, predictive and/or prescriptive models to identify the best AI solution design. 6\. Ability to communicate effectively both orally and in writing; negotiate complex and/or sensitive issues; and maintain good working relations. Additional Position Requirements: 1\. Work may occasionally require travel away from the normal duty station on military or commercial aircraft. 2\. May be required to obtain and maintain the proper security clearance as a condition of employment. 3\. Must exhibit a high degree of judgment, resourcefulness, originality, and the ability to foresee the impact of changing technology. 4\. A bachelor’s degree in Data Science or closely related discipline is highly desired. 5\. Performs other related duties as assigned. Click the apply button to complete an application and upload resume (PDF or Word Doc) and/or additional documents (Transcripts, certifications, Vet Docs (DD214\), SF\-50\). To receive additional information about current and future job openings with AFCS via email notification, please register at https://afciviliancareers.com and sign up to "Get Career Updates." Equal Opportunity Employer. U.S. citizenship required. Must be of legal working age.</t>
        </is>
      </c>
    </row>
    <row r="31">
      <c r="A31" t="inlineStr">
        <is>
          <t>li-4367339054</t>
        </is>
      </c>
      <c r="B31" t="inlineStr">
        <is>
          <t>Data Scientist</t>
        </is>
      </c>
      <c r="C31" t="inlineStr">
        <is>
          <t>Booz Allen Hamilton</t>
        </is>
      </c>
      <c r="D31" t="inlineStr">
        <is>
          <t>linkedin</t>
        </is>
      </c>
      <c r="E31" t="inlineStr"/>
      <c r="F31" t="inlineStr"/>
      <c r="G31" t="inlineStr">
        <is>
          <t>Langley Forest, VA</t>
        </is>
      </c>
      <c r="H31" t="inlineStr"/>
      <c r="I31" t="inlineStr">
        <is>
          <t>**Job Number: R0233092**
 Data Scientist
**The Opportunity:**
 Join a team focused on delivering advanced intelligence, surveillance, and reconnaissance (ISR) solutions for mission\-critical environments. Our goal is to leverage data science, machine learning, and semantic technologies to empower operators and decision\-makers with interoperable, standards\-compliant data solutions to meet emerging challenges on a global scale.
 We are seeking a highly skilled Data Scientist to support cutting\-edge data interoperability initiatives within dynamic operational environments. This role will focus on delivering Air Force (AF), Department of War (DoW), and Intelligence Community (IC) compliant solutions for structured mission data, supporting operations through improved interoperability of data systems. You will work directly with key technical and operational stakeholders to identify challenges, develop innovative solutions, and operationalize data workflows to meet mission requirements.
**What You’ll Do:**
* Develop and implement data interoperability solutions to enable seamless interaction and usability of data across systems while adhering to DoW, AF, IC governance and compliance standards.
* Conduct exploratory data analysis (EDA) and apply data science techniques, such as anomaly detection, to analyze and extract actionable insights from various datasets.
* Design, build, and operationalize structured data models, taxonomies, and ontologies that comply with defined standards and mission requirements.
* Translate unstructured and semi\-structured data into actionable, normalized, and interoperable formats to improve operational and analytical workflows.
* Create and implement IC\-compliant taxonomy and ontology frameworks for organizing and classifying mission data.
* Act as a bridge between technical developers and operators to ensure workflows and solutions meet mission objectives.
* Write and refine data structuring requirements, providing expertise to improve codification and standardization efforts.
* Represent organizational priorities in interactions with stakeholders while effectively communicating challenges, initiatives, and potential solutions to leadership.
 Join us. The world can’t wait.
**You Have:**
* 3\+ years of experience with Python and performing exploratory data analysis (EDA) tasks, including anomaly detection techniques
* 3\+ years of experience with solution development, leveraging structured data models, such as taxonomies and ontologies, and ensuring data is interoperable across systems
* 3\+ years of experience in developing and implementing solutions using APIs and SDKs
* 3\+ years of experience in structuring and normalizing data, including in complex operational settings or workflows requiring machine\-level compatibility
* Ability to collaborate with mission stakeholders, technical developers, and operational users to ensure effective solutions
* Ability to summarize findings and explain technical concepts clearly to both technical and non\-technical stakeholders
* Ability to learn and integrate new tools or resources as needed
* Ability to be detail\-oriented, self\-driven, and work independently while meeting deadlines and objectives
* Top Secret clearance
* Bachelor’s degree in Data Science, Information Science, Computer Science, or Engineering
**Nice If You Have:**
* Experience developing semantic models for machine\-to\-machine interoperability, taxonomies, or data standardization efforts
* Experience with semantic web technologies, such as RDF, OWL, JSON\-LD, SKOS, and SHACL
* Experience with cloud platforms, such as AWS, and working in agile environments using tools, such as JIRA or Confluence
* Experience collaborating with cross\-functional teams in high\-priority, mission\-driven settings
* Knowledge of data processing workflows in operational ISR environments
* Knowledge of geospatial data formats and concepts, such as GeoJSON or WKT, knowledge graphs, and ISR\-specific data flows used in specialized geospatial environments, tools and software
* Knowledge of IC\-compliant frameworks and requirements for data handling
* Knowledge of event\-driven data design patterns and streaming technologies or workflows offsets to support integration workflows
* Possession of excellent written and verbal communication skills
* Master’s degree in Data Science, Computer Science, Engineering, or a related field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2">
      <c r="A32" t="inlineStr">
        <is>
          <t>li-4356507781</t>
        </is>
      </c>
      <c r="B32" t="inlineStr">
        <is>
          <t>Elite Data Scientist (DHS or DOD clearance required)</t>
        </is>
      </c>
      <c r="C32" t="inlineStr">
        <is>
          <t>Stem IT</t>
        </is>
      </c>
      <c r="D32" t="inlineStr">
        <is>
          <t>linkedin</t>
        </is>
      </c>
      <c r="E32" t="inlineStr"/>
      <c r="F32" t="inlineStr"/>
      <c r="G32" t="inlineStr">
        <is>
          <t>McLean, VA</t>
        </is>
      </c>
      <c r="H32" t="inlineStr"/>
      <c r="I32" t="inlineStr">
        <is>
          <t>Semantic AI SaaS firm in the intelligence space is hiring multiple Data Scientists from associate to staff level for its Mclean, Virginia based operations (hybrid with 2\-3 days on\-site). A few responsibilities include: building machine learning/language learning models, utilizing nascent agentic AI frameworks, and creating algorithms to extract info from large datasets. This position will entail Research \&amp; Development, collaboration with Software/DevSecOps/ML teams and have a client facing component as well.
*Preferred:* 
 \- Bachelor’s degree in related field
 \- Active DHS or DOD Secret clearance or above is required
 \- Proficient with Python and Python data stack (PyTorchm NumPy, Matplotlib, etc,)
 \- Experience with agentic AI patterns and frameworks
 \- Experience with distributed computing concepts
 \- Background with ML, NLP and statistical methodologies
*Great to have:* 
 \- Masters degree/PHD in related field
 \- Experience finetuning and deploying LLM's
 \- Experience with data engineering and big data technologies like: Spark, Airflow, Snowflake, Databricks, or similar
 \- Experience with frameworks such as: Langchain, Hugging Face, GPT, or similar
 \- Programming experience with Java, Haskell, Go, Scala, Rust or other similar languages
 \- Experience with deployments and containerization with Docker and/or K8's
*Benefits:* 
 \- Full\-time Direct hire with amazing benefits
 \- Competitive yearly and spot bonus plan
 \- Education/tuition reimbursement plans
 \- Plethora of healthcare options
 \- Employee retirement matching plans
 \- Many more</t>
        </is>
      </c>
    </row>
    <row r="33">
      <c r="A33" t="inlineStr">
        <is>
          <t>li-4362691528</t>
        </is>
      </c>
      <c r="B33" t="inlineStr">
        <is>
          <t>Sr. Data Scientist</t>
        </is>
      </c>
      <c r="C33" t="inlineStr">
        <is>
          <t>Visa</t>
        </is>
      </c>
      <c r="D33" t="inlineStr">
        <is>
          <t>linkedin</t>
        </is>
      </c>
      <c r="E33" t="inlineStr"/>
      <c r="F33" t="inlineStr"/>
      <c r="G33" t="inlineStr">
        <is>
          <t>Foster City, CA</t>
        </is>
      </c>
      <c r="H33" t="inlineStr"/>
      <c r="I3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To ensure that Visa’s payment technology is truly available to everyone, everywhere requires the success of our key bank or merchant partners and internal business units. The Global Data Science group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You will join one of the Data Science focus areas (e.g., banks, merchants \&amp; retailers, digital products, marketing) with an opportunity for rotation within Data Science to gain broad exposure to Visa’s business.
 Essential Functions:
* Provide technical leadership in a team that generates business insights based on big data, identify actionable recommendations, and communicate the findings to clients
* Brainstorm innovative ways to use our unique data to answer business problems
* Communicate with clients to understand the challenges they face and convince them with data
* Extract and understand data to form an opinion on how to best help our clients and derive relevant insights
* Develop visualizations to make your complex analyses accessible to a broad audience
* Find opportunities to craft products out of analyses that are suitable for multiple clients
* Work with stakeholders throughout the organization to identify opportunities for leveraging Visa data to drive business solutions
* Mine and analyze data from company databases to drive optimization and improvement of product, marketing techniques and business strategies for Visa and its clients
* Assess the effectiveness and accuracy of new data sources and data gathering techniques
* Develop custom data models and algorithms to apply to data sets
* Use predictive modeling to increase and optimize customer experiences, revenue generation, data insights, and other business outcomes
* Build and experiment with machine learning and generative AI models by applying a variety of statistical and computational techniques
* Apply AI\-enabled tools to streamline everyday work, including data exploration and model development
* Partner with a variety of Visa teams to provide comprehensive solutions
* Synthesize ideas/proposals in writing and engage in productive discussions with external or internal stakeholders
* Provide guidance in modern analytic techniques and business applications to unlock the value of Visa’s unique data set, in keeping with market trends, client needs and emerging techniques
* Organize and manage multiple data science projects with diverse cross\-functional stakeholders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experience in data\-based decision\-making or quantitative analysis.
* 2\+ years’ experience in Credit Risk / Fraud / Collection / Authorization analysis or related space.
* Master’s degree in Statistics, Operations Research, Applied Mathematics, Economics, Data Science, Business Analytics, Computer Science, or a related technical field.
* Analyzing large data sets using programming languages such as Python, R, SQL, Hive and/or Spark.
* Building predictive and descriptive statistical models using AI/machine learning tool kits, Jupiter notebooks, Python, or others.
* Presenting evidence based insights and conveying relevant recommendations.
* Previous exposure to financial modeling is a plus, but not required.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161,400\.00 to 258,500\.00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4">
      <c r="A34" t="inlineStr">
        <is>
          <t>li-4366899836</t>
        </is>
      </c>
      <c r="B34" t="inlineStr">
        <is>
          <t>Data Scientist</t>
        </is>
      </c>
      <c r="C34" t="inlineStr">
        <is>
          <t>Jobs via Dice</t>
        </is>
      </c>
      <c r="D34" t="inlineStr">
        <is>
          <t>linkedin</t>
        </is>
      </c>
      <c r="E34" t="inlineStr"/>
      <c r="F34" t="inlineStr"/>
      <c r="G34" t="inlineStr"/>
      <c r="H34" t="inlineStr"/>
      <c r="I34" t="inlineStr">
        <is>
          <t>Dice is the leading career destination for tech experts at every stage of their careers. Our client, AAJ Interactive Technologies, is seeking the following. Apply via Dice today!
 Our client is a sports analytics company that specializes in leveraging advanced data engineering and analytics to transform raw sports data into actionable insights. They work across college and professional sports to empower organizations to make data\-driven decisions that optimize performance and drive business growth.
 They are looking for a Data Scientist to join their growing analytics department. This position offers an exciting opportunity to leverage data science to build analytical models that can help provide actionable insights, support decision\-making, and enhance team and player performance within the sports landscape. The ideal candidate will have a passion for sports analytics and a strong foundation in statistical analysis and predictive modeling.
 Key Responsibilities
* Develop and deploy predictive models utilizing insights from football knowledge
* Analyze football datasets to identify statistically significant patterns and extract predictive features
* Research new methods to develop and improve sophisticated predictive models, staying up to date with the latest research and techniques in the field
* Collaborate with a team of data scientists and engineers
 Example Projects
* Identify prospective collegiate athletes in the transfer portal
* Optimize in\-game decision\-making
* Determine optimal playcalling strategy considering a team s personnel
* Evaluate coaching and playcalling
**Qualifications**
* Bachelor s degree in Statistics, Machine Learning, Mathematics, Computer Science, Econometrics or related field; PhD or Masters preferred, but not required
* Proficiency in Python (preferred) or R
* 5\+ years of professional experience
* Skilled in a variety of statistical modeling and machine learning techniques
* Experience building models in a cloud\-based ecosystem preferred, but not required
* Strong communication skills and ability to convey complex data concepts to non\-technical audiences
* Strong self\-motivation and curiosity to challenge traditional football beliefs
* (Preferred) Experience working in sports analytics
 Our client is based in the Washington, DC area. They ideally want someone in the DC area but are open to fully remote as long as you can come to DC occasionally.
 The compensation for this position is targeted at $150,000\-$175,00/yr. with solid benefits as well as the potential to qualify for Equity after first year.
 Please no agencies.
 About AAJ Interactive Technologies:
 AAJ Interactive Technologies, established in 1997 by cutting\-edge technology executives, is a technology professional\-services company supplying project\-based consulting, staff augmentation and recruiting services to leading firms throughout Metropolitan Washington, DC.
 We work differently from most of our competition. We have been in both a position of hiring, mentoring and managing large staffs inside a corporate culture, as well as consultants for hire. This unique perspective allows us to understand both sides of this business. We take the time to ensure our consultants/candidates placed will be successful.
 We believe that because of our principles we have succeeded where others have failed. The greater DC technology space can be full of companies that are not really looking out for your interests. Ask around, we re not one of them! We want you to succeed, and we ll do everything we can to help you do just that!</t>
        </is>
      </c>
    </row>
    <row r="35">
      <c r="A35" t="inlineStr">
        <is>
          <t>li-4367335367</t>
        </is>
      </c>
      <c r="B35" t="inlineStr">
        <is>
          <t>Senior Data Scientist, HealthScape Payer Transformation</t>
        </is>
      </c>
      <c r="C35" t="inlineStr">
        <is>
          <t>Gestão Smart Serviços Contábeis</t>
        </is>
      </c>
      <c r="D35" t="inlineStr">
        <is>
          <t>linkedin</t>
        </is>
      </c>
      <c r="E35" t="inlineStr"/>
      <c r="F35" t="inlineStr"/>
      <c r="G35" t="inlineStr"/>
      <c r="H35" t="inlineStr"/>
      <c r="I35" t="inlineStr">
        <is>
          <t>**Senior Data Scientist, HealthScape**
**About HealthScape Advisors, a Chartis Company**
 HealthScape Advisors is a management consulting firm dedicated to helping health plans, provider organizations, specialty health organizations, and investors navigate the continuously evolving healthcare landscape. We bring healthcare executives market\-leading insights and actionable strategies that create sustainable value by looking beyond today’s solutions and focusing on the capabilities and resources needed to execute our recommendations. To do this, our professionals leverage a pragmatic approach and unparalleled expertise to empower every engagement.
 Along with Chartis, we are comprised of uniquely experienced senior healthcare professionals and consultants who apply a distinctive knowledge of healthcare economics, markets, clinical models, and technology to help each client address their most pressing issues. We question everything and apply thoughtful and rigorous analysis to each challenge, issue, and opportunity.
 We are lucky to have extraordinarily talented people working in our firm – all brought together around our unifying mission, a shared dedication to our core values, and the emphasis we place on creating an environment that enriches the experiences of our clients, colleagues, and communities. In this way, we find that we are remarkably aligned with our clients. And that has made for achieving some truly great things.
*Role Overview*
 Senior Data Scientists play an exciting role in maturing HealthScape’s analytics expertise by helping develop cutting\-edge capabilities and creating actionable insights for our healthcare clients. This role is a key player in developing, testing, and scaling new and innovative data science solutions that directly impact our health plan clients and their customers.
**Responsibilities**
* Support clients through consulting engagements in key analytic activities such as defining data needs, evaluating data quality, designing and testing models and algorithms, and sharing analysis outputs.
* Collect, parse, manage, analyze, and visualize large and disparate datasets using existing analytic infrastructure to identify trends and discover opportunities for change.
* Participate in the design and development of data\-driven solutions, leveraging appropriate modeling techniques informed by a thorough understanding of industry dynamics, client challenges, and underlying hypotheses. Use advanced analytics across multiple engagements/projects, leading model and algorithm development, as well as modular code development, maintenance, and improvement, while leveraging version control tools such as Bitbucket.
* Participate in concept design, requirements definition, model development, testing, and deployment of data science solutions into production.
* Perform validation of the source data and necessary data wrangling to ensure the quality and alignment of the data as required to meet the data science project goals.
* Apply knowledge of data science concepts and modeling techniques, including linear regression, Tree\-based methods, K\-Nearest Neighbors (KNN), ensemble methods, and clustering, to develop and deploy machine learning solutions independently or with minimal oversight.
* Support the ongoing development of new technologies and data science capabilities, including Generative\-AI driven Natural Language Processing (NLP) and the creation of AI agents and chatbots to deliver impactful, data\-driven healthcare solutions.
* Create clear, compelling narratives to communicate key outcomes, trends, and patterns identified in the data to internal and external clients, leveraging data visualization techniques to enhance storytelling and effectively convey insights clearly and concisely.
* Contribute in the growth of our data and analytics\-focused culture across HealthScape through knowledge sharing, cross\-functional training, and mentorship.
**Qualifications And Desired Skills**
* 5\-8 years of data science experience in healthcare or related industry.
* Bachelor’s Degree required in a quantitative or technology\-related field of study (e.g., Business, Mathematics, Economics, Statistics, Data Science, Analytics, or Informatics).
* Strong programming experience developing and delivering analytics with languages and tools such as SQL, Python, Snowpark, dbt, Jupyter Notebooks, R, and Git.
* Previous experience in the application of advanced analytic techniques and the development, training, testing, and deployment of data science models leveraging standard practices and version control tools (e.g., GitHub, BitBucket).
* Previous experience with cloud data warehouse technologies such as Snowflake, Databricks, Redshift, or Big Query. We are a Snowflake shop and Snowflake experience is greatly preferred.
* Visualization development expertise (e.g., Tableau, PowerBI).
* Strong analytic skills, including ability to apply quantitative and statistical analysis techniques, such as hypothesis testing, clustering, regression modeling, random forest, and gradient boosting techniques, among others, to unstructured problems.
* Strong interpersonal and communication skills – possessing the ability to communicate and deliver complex analytics information to clients and executive audiences.
* Enthusiasm to navigate and continue learning in an entrepreneurial environment.
 Salary range: $120,000 \- $132,000 plus may be eligible for an annual discretionary bonus. The salary range for this role considers the wide range of factors that are considered in making compensation decisions, including, but not limited to, skills, experience, training, licensure and certifications, practice area, and other business and organizational needs. In addition, Chartis offers several benefits, including medical, dental, vision, HSA, FSA, disability insurance, life insurance, 401(k) match, paid time off, wellness stipend, and additional voluntary benefits.
 At HealthScape, we pride ourselves on having a diverse workforce. We value and celebrate the uniqueness of individuals and the different perspectives they provide. We offer equal opportunity employment regardless of race, color, religion, gender identity or expression, sexual orientation, national origin, genetics, disability status, age, marital status, or protected veteran status.</t>
        </is>
      </c>
    </row>
    <row r="36">
      <c r="A36" t="inlineStr">
        <is>
          <t>li-4367316928</t>
        </is>
      </c>
      <c r="B36" t="inlineStr">
        <is>
          <t>Sr. Data Scientist (No Sponsorship or OPT)</t>
        </is>
      </c>
      <c r="C36" t="inlineStr">
        <is>
          <t>GE HealthCare</t>
        </is>
      </c>
      <c r="D36" t="inlineStr">
        <is>
          <t>linkedin</t>
        </is>
      </c>
      <c r="E36" t="inlineStr"/>
      <c r="F36" t="inlineStr"/>
      <c r="G36" t="inlineStr">
        <is>
          <t>Massachusetts, United States</t>
        </is>
      </c>
      <c r="H36" t="inlineStr"/>
      <c r="I36" t="inlineStr">
        <is>
          <t>**Job Description Summary**
 Women's Health and X\-ray is pursuing a strategic initiative to unlock incremental revenue through the development of Digital SaaS solutions. These innovative applications will be layered onto the existing global install base of Mammography (Mammo), Digital Breast Tomosynthesis (DBT), and X\-ray devices—transforming hardware into intelligent platforms that deliver enhanced clinical and operational value.
 The Sr Data Scientist will work in teams addressing statistical, machine learning and data understanding problems in a commercial technology and consultancy development environment. In this role, you will contribute to the development and deployment of modern machine learning, operational research, semantic analysis, and statistical methods for finding structure in large data sets. The project centers on the development of solutions that leverage AI\-driven guidance to assist patients throughout radiologic procedures. The system integrates advanced technologies including computer vision, robotics, and intelligent control to coordinate imaging tasks.
**Job Description**
* No OPT or Sponsorship for this role \*\*
* This role is a hybrid position, in\-office 2\-3 days/week out of Chicago or Waukesha, WI office\*\*
 As a Sr Data Scientist, you will be part of a data science or cross\-disciplinary team on commercially facing development projects, typically involving large, complex data sets. These teams typically include statisticians, computer scientists, software developers, engineers, product managers, and end users, working in concert with partners in GE business units. Potential application areas include remote monitoring and diagnostics across infrastructure and industrial sectors, financial portfolio risk assessment, and operations optimization.
**In This Role, You Will**
* Work with customers to capture data and analytics requirements
* Develop, verify, and validate analytics to address customer needs and opportunities.
* Work alongside software developers and software engineers to translate algorithms into commercially viable products and services.
* Work in technical teams in development, deployment, and application of applied analytics, predictive analytics, and prescriptive analytics.
* Perform exploratory and targeted data analyses using descriptive statistics and other methods.
* Work with data engineers on data quality assessment, data cleansing and data analytics
* Generate reports, annotated code, and other projects artifacts to document, archive, and communicate your work and outcomes.
* Communicate methods, findings, and hypotheses with stakeholders.
**Requirements**
 Education\-
* Master’s or PhD in Computer Science or “STEM” Majors (Science, Technology, Engineering and Math).
* Undergraduate or graduate studies in biomedical engineering or similar fields is highly desired.
* Minimum of 7 years of professional experience in AI product development.
* Experience in medical device development
 Technical Expertise\-
* Demonstrated skill in data management methods
* Demonstrated skill in feature extraction and realtime analytics development and deployment
* Demonstrated skill in prescriptive analytics and analytic prototyping
* Experience developing and deploying production\-grade AI/machine learning models at scale, delivering measurable business impact through improved efficiency, revenue growth or automation in real\-world environments.
* Demonstrated ability to translate business problems into ROI\-driven AI solutions, including end‑to‑end ownership from problem framing and model development to operationalization, monitoring, and continuous improvement in production
 Specific Skills Include\-
* Proficiency in python and deep learning frameworks such such a Tensorflow, PyTorch and openCV
* Strong background in AI image processing and computer vision algorithms, including training and fine\-tuning image classification and segmentation models
**Preferred Skills**
* Experience with model optimization for latency and throughput in online systems.
* Experience with large\-scale CNNs or LLMs, vision transformers (VLMs), and self\-supervised learning.
* Experience with the full AI lifecycle, including data curation, model development, and model validation for production. Proven ability to collaborate with ML engineers to integrate models into production. Skilled in model validation for product readiness, with a strong focus on writing production\-quality, maintainable code.
* Experience with multimodal data integration and systems combining images, video, and speech is highly desired.
* Experience with cloud computing platform, such as AWS or Azure is highly desired.
* Experience working with robotic simulation is desired.
 Domain Knowledge\-
* Experience in medical device development is considered a strong asset.
* Experience in medical imaging AI development is highly desired
* Background in robotics or automation technologies is advantageous.
* Background in automated vehicle or robotic guidance is highly desired
* Demonstrated skill in defining and delivering customer value in these areas
* Experience with natural language processing is advantageous.
 Leadership\-
* Demonstrated skill at working in a team setting
* Demonstrated skill in critical thinking and problem solving methods
* Demonstrated skill in project ownership and overseeing AI solution development interdentally.
* Demonstrated skill in presentation and influencing skills
 \#Hybrid
 We will not sponsor individuals for employment visas, now or in the future, for this job opening. For U.S. based positions only, the pay range for this position is $139,200\.00\-$208,800\.00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37">
      <c r="A37" t="inlineStr">
        <is>
          <t>li-4352011390</t>
        </is>
      </c>
      <c r="B37" t="inlineStr">
        <is>
          <t>Data Scientist</t>
        </is>
      </c>
      <c r="C37" t="inlineStr">
        <is>
          <t>Jobot</t>
        </is>
      </c>
      <c r="D37" t="inlineStr">
        <is>
          <t>linkedin</t>
        </is>
      </c>
      <c r="E37" t="inlineStr"/>
      <c r="F37" t="inlineStr"/>
      <c r="G37" t="inlineStr">
        <is>
          <t>The Woodlands, TX</t>
        </is>
      </c>
      <c r="H37" t="inlineStr"/>
      <c r="I37" t="inlineStr">
        <is>
          <t>Want to learn more about this role and Jobot? Click our Jobot logo and follow our LinkedIn page!
 Job details
**Raw Data Wrangling \- Advance Analytics**
 This Jobot Job is hosted by Chuck Wirtz
 Are you a fit? Easy Apply now by clicking the "Easy Apply" button and sending us your resume.
 Salary $110,000 \- $125,000 per year
**A Bit About Us**
 As a leader in our industry, we serve 40\+ states nationwide. This role is a dedicated Data Scientist, onsite 4x/week in The Woodlands, Stock \+ Bonus.
****Why join us?****
 You will join an established, dedicated team led by experienced engineers. We are ingesting large volumes of data to drive enterprise\-level change, leveraging the latest in AI to optimize processes, improve decision\-making, and deliver measurable value.
**Job Details**
 Python
 Spark/PySpark
 SQL/MySQL/SparkSQL
 Tableau
 Databricks
 AWS Glue
 Linear Regression \- GLM \- Random Forrest
 GenAI/LLM
 No sponsorship or C2C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8">
      <c r="A38" t="inlineStr">
        <is>
          <t>li-4356507389</t>
        </is>
      </c>
      <c r="B38" t="inlineStr">
        <is>
          <t>Senior Data Scientist, People</t>
        </is>
      </c>
      <c r="C38" t="inlineStr">
        <is>
          <t>Thumbtack</t>
        </is>
      </c>
      <c r="D38" t="inlineStr">
        <is>
          <t>linkedin</t>
        </is>
      </c>
      <c r="E38" t="inlineStr"/>
      <c r="F38" t="inlineStr"/>
      <c r="G38" t="inlineStr"/>
      <c r="H38" t="inlineStr"/>
      <c r="I38" t="inlineStr">
        <is>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
**About The People Data Science Team**
 The People Data Science (PDS) team drives business outcomes through talent insights, spanning high\-impact work across the employee lifecycle. We’re now in the early stages of evolving our function to be AI\-native, and we’re looking for someone eager to explore, build, and shape what comes next.
**About The Role**
 The
 **Senior Data Scientist** 
 will play a foundational role in shaping how data, analytics, and AI power Talent decisions across Thumbtack.
 You’ll partner closely with the People Team and the business to tackle high\-impact questions, define success metrics, and deliver insights—while getting hands\-on building the data foundations and products that make this work scalable. This is a high\-visibility role with exposure to senior leaders, spanning a wide range of People topics and helping define what modern, analytically sound People Data Science looks like in practice.
**What You'll Do**
* Tell clear, business\-relevant stories about our talent using data and insights.
* Get hands\-on with AI to explore where it meaningfully improves insight generation, decision support, and experimentation.
* Design, own, and evolve the People data foundation, including pipelines and BigQuery data models, in partnership with Data Engineering and HR Operations
* Build scalable analytics products and tools, including Tableau dashboards and AI\-enabled products
* Partner cross\-functionally with People Team and business leaders to identify and scope high\-impact talent questions, analyze using quantitative methods, and translate insights into clear, actionable recommendations.
* Own initiatives end\-to\-end across the People Team (Recruiting, Talent Management, DEIB, and more).
* Foster a culture of data\-informed decision\-making across the People Team and the broader organization.
**In order to be successful, you must bring**
* BA/BS degree in quantitative field such as Economics, Statistics, or Psychology
* 4\+ years of experience, with at least 1 year in People Data Science/ People Analytics
* Experience (and interest) in managing data pipelines and data warehousing
* Strong written and verbal communication skills: this role will require writing content and explaining results to a variety of audiences, including senior leadership
* Strong experience using SQL to query large datasets, proficiency with Tableau and familiarity with statistics/programming languages (e.g., R, Python)
* Demonstrated ability to self\-motivate and drive projects independently as well as partner successfully with cross\-functional teams
* Strong prioritization and project management skills
**Expected salary ranges**
* For candidates living in San Francisco / Bay Area, San Jose, New York City, or Seattle metros, the expected salary range for the role is currently $197,200 \- $255,200\.
* For candidates living in Austin, TX or Washington DC metros or in California, Massachusetts, New Jersey, or Washington states, the expected salary range for the role is currently $177,700 \- $140,400\.
* For candidates living in all other US locations, the expected salary range for this role is currently $167,500 \- $216,700\.
 Actual offered salaries will vary and will be based on various factors, such as calibrated job level, qualifications, skills, competencies, and proficiency for the role.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If you are a California resident, please review information regarding your rights under California privacy laws contained in Thumbtack’s Privacy policy available at https://www.thumbtack.com/privacy/.
 We put as much craftsmanship into candidate safety as we do into the hiring experience itself. While scammers may try to impersonate our team, we’ll never ask you for money, banking info, or SSNs during hiring. Check out our blueprint on how to spot the fakes.</t>
        </is>
      </c>
    </row>
    <row r="39">
      <c r="A39" t="inlineStr">
        <is>
          <t>li-4367317845</t>
        </is>
      </c>
      <c r="B39" t="inlineStr">
        <is>
          <t>Sr. Data Scientist (No Sponsorship or OPT)</t>
        </is>
      </c>
      <c r="C39" t="inlineStr">
        <is>
          <t>GE HealthCare</t>
        </is>
      </c>
      <c r="D39" t="inlineStr">
        <is>
          <t>linkedin</t>
        </is>
      </c>
      <c r="E39" t="inlineStr"/>
      <c r="F39" t="inlineStr"/>
      <c r="G39" t="inlineStr">
        <is>
          <t>Illinois, United States</t>
        </is>
      </c>
      <c r="H39" t="inlineStr"/>
      <c r="I39" t="inlineStr">
        <is>
          <t>**Job Description Summary**
 Women's Health and X\-ray is pursuing a strategic initiative to unlock incremental revenue through the development of Digital SaaS solutions. These innovative applications will be layered onto the existing global install base of Mammography (Mammo), Digital Breast Tomosynthesis (DBT), and X\-ray devices—transforming hardware into intelligent platforms that deliver enhanced clinical and operational value.
 The Sr Data Scientist will work in teams addressing statistical, machine learning and data understanding problems in a commercial technology and consultancy development environment. In this role, you will contribute to the development and deployment of modern machine learning, operational research, semantic analysis, and statistical methods for finding structure in large data sets. The project centers on the development of solutions that leverage AI\-driven guidance to assist patients throughout radiologic procedures. The system integrates advanced technologies including computer vision, robotics, and intelligent control to coordinate imaging tasks.
**Job Description**
* No OPT or Sponsorship for this role \*\*
* This role is a hybrid position, in\-office 2\-3 days/week out of Chicago or Waukesha, WI office\*\*
 As a Sr Data Scientist, you will be part of a data science or cross\-disciplinary team on commercially facing development projects, typically involving large, complex data sets. These teams typically include statisticians, computer scientists, software developers, engineers, product managers, and end users, working in concert with partners in GE business units. Potential application areas include remote monitoring and diagnostics across infrastructure and industrial sectors, financial portfolio risk assessment, and operations optimization.
**In This Role, You Will**
* Work with customers to capture data and analytics requirements
* Develop, verify, and validate analytics to address customer needs and opportunities.
* Work alongside software developers and software engineers to translate algorithms into commercially viable products and services.
* Work in technical teams in development, deployment, and application of applied analytics, predictive analytics, and prescriptive analytics.
* Perform exploratory and targeted data analyses using descriptive statistics and other methods.
* Work with data engineers on data quality assessment, data cleansing and data analytics
* Generate reports, annotated code, and other projects artifacts to document, archive, and communicate your work and outcomes.
* Communicate methods, findings, and hypotheses with stakeholders.
**Requirements**
 Education\-
* Master’s or PhD in Computer Science or “STEM” Majors (Science, Technology, Engineering and Math).
* Undergraduate or graduate studies in biomedical engineering or similar fields is highly desired.
* Minimum of 7 years of professional experience in AI product development.
* Experience in medical device development
 Technical Expertise\-
* Demonstrated skill in data management methods
* Demonstrated skill in feature extraction and realtime analytics development and deployment
* Demonstrated skill in prescriptive analytics and analytic prototyping
* Experience developing and deploying production\-grade AI/machine learning models at scale, delivering measurable business impact through improved efficiency, revenue growth or automation in real\-world environments.
* Demonstrated ability to translate business problems into ROI\-driven AI solutions, including end‑to‑end ownership from problem framing and model development to operationalization, monitoring, and continuous improvement in production
 Specific Skills Include\-
* Proficiency in python and deep learning frameworks such such a Tensorflow, PyTorch and openCV
* Strong background in AI image processing and computer vision algorithms, including training and fine\-tuning image classification and segmentation models
**Preferred Skills**
* Experience with model optimization for latency and throughput in online systems.
* Experience with large\-scale CNNs or LLMs, vision transformers (VLMs), and self\-supervised learning.
* Experience with the full AI lifecycle, including data curation, model development, and model validation for production. Proven ability to collaborate with ML engineers to integrate models into production. Skilled in model validation for product readiness, with a strong focus on writing production\-quality, maintainable code.
* Experience with multimodal data integration and systems combining images, video, and speech is highly desired.
* Experience with cloud computing platform, such as AWS or Azure is highly desired.
* Experience working with robotic simulation is desired.
 Domain Knowledge\-
* Experience in medical device development is considered a strong asset.
* Experience in medical imaging AI development is highly desired
* Background in robotics or automation technologies is advantageous.
* Background in automated vehicle or robotic guidance is highly desired
* Demonstrated skill in defining and delivering customer value in these areas
* Experience with natural language processing is advantageous.
 Leadership\-
* Demonstrated skill at working in a team setting
* Demonstrated skill in critical thinking and problem solving methods
* Demonstrated skill in project ownership and overseeing AI solution development interdentally.
* Demonstrated skill in presentation and influencing skills
 \#Hybrid
 We will not sponsor individuals for employment visas, now or in the future, for this job opening. For U.S. based positions only, the pay range for this position is $139,200\.00\-$208,800\.00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40">
      <c r="A40" t="inlineStr">
        <is>
          <t>li-4367198168</t>
        </is>
      </c>
      <c r="B40" t="inlineStr">
        <is>
          <t>Senior Associate, Data Scientist - LLM Customization Team</t>
        </is>
      </c>
      <c r="C40" t="inlineStr">
        <is>
          <t>Capital One</t>
        </is>
      </c>
      <c r="D40" t="inlineStr">
        <is>
          <t>linkedin</t>
        </is>
      </c>
      <c r="E40" t="inlineStr"/>
      <c r="F40" t="inlineStr"/>
      <c r="G40" t="inlineStr">
        <is>
          <t>New York, NY</t>
        </is>
      </c>
      <c r="H40" t="inlineStr"/>
      <c r="I40"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Bachelor’s Degree plus 2 years of experience in data analytics, or Master’s Degree, or PhD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1">
      <c r="A41" t="inlineStr">
        <is>
          <t>li-4367316073</t>
        </is>
      </c>
      <c r="B41" t="inlineStr">
        <is>
          <t>Senior Associate, Data Scientist - Risk Management Product</t>
        </is>
      </c>
      <c r="C41" t="inlineStr">
        <is>
          <t>Capital One</t>
        </is>
      </c>
      <c r="D41" t="inlineStr">
        <is>
          <t>linkedin</t>
        </is>
      </c>
      <c r="E41" t="inlineStr"/>
      <c r="F41" t="inlineStr"/>
      <c r="G41" t="inlineStr">
        <is>
          <t>Chicago, IL</t>
        </is>
      </c>
      <c r="H41" t="inlineStr"/>
      <c r="I4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Risk Management Product Data Science team, you will focus on leveraging machine learning to drive efficiencies and better risk management for the company. This team is responsible for:
* Compliance Innovation
* Product intent leadership across Compliance \&amp; Ethics (General Compliance and Corporate Integrity functions)
* Natural Language Processing initiatives
* Generative AI initiatives
 Risk Management Product RISK IQ is a transformation lever using products, analytics, innovation, and data as we advance our Risk Management programs. In addition, we are also in the midst of its own transformation, moving away from traditional data acquisition and basic reporting toward real time business analysis, data science, and Generative AI.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\- 1
* Technical. You’re comfortable with open\-source languages and are passionate about developing further. You have hands\-on experience developing data science solutions using open\-source tools and cloud computing platforms. 2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plus 3 years of experience in data analytics, or PhD in “STEM” field (Science, Technology, Engineering, or Mathematics)
* Experience working with AWS
* At least 2 years’ experience in Python, Scala, or R
* At least 2 years’ experience with machine learning
* At least 2 years’ experience with SQL
* At least 2 years’ experience working with generative AI
* At least 2 years’ experience working with NLP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New York, NY: $148,000 \- $168,900 for Sr Assoc, Data Science
 Plano, TX: $123,300 \- $140,700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2">
      <c r="A42" t="inlineStr">
        <is>
          <t>li-4367329264</t>
        </is>
      </c>
      <c r="B42" t="inlineStr">
        <is>
          <t>ComEd - Sr Data Scientist - Utilities</t>
        </is>
      </c>
      <c r="C42" t="inlineStr">
        <is>
          <t>Exelon</t>
        </is>
      </c>
      <c r="D42" t="inlineStr">
        <is>
          <t>linkedin</t>
        </is>
      </c>
      <c r="E42" t="inlineStr"/>
      <c r="F42" t="inlineStr"/>
      <c r="G42" t="inlineStr">
        <is>
          <t>Villa Park, IL</t>
        </is>
      </c>
      <c r="H42" t="inlineStr"/>
      <c r="I42"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The Senior Data Scientist at ComEd will apply the scientific method to extract knowledge and insights from data, which may take the form of time\-series (smart\-meters, smart\-grid, and other IoT), structured (relational data stores), and unstructured (text and multi\-media) data sets. Closely collaborate with various internal stakeholders, information architects, data engineers, project/program managers, and other teams to turn data into critical information to inform decision making. This requires understanding business needs, providing and receiving regular feedback, and planning the proper transfer of developed solutions. Mine big and small data for insights, using advanced statistic and machine learning methods. Validate findings with the business by sharing analysis outputs in a way that can be understood by business stakeholders. Become a subject matter expert in the areas of artificial intelligence, machine learning, feature engineering, data mining, and data manipulation/storage. Demonstrate commitment to continuous learning and professional development in technical subject matter. Share knowledge with team members, and business stakeholders, and IT partners. Collect, cleanse, standardize and analyze data from a variety of internal and external sources. Produce novel insights to help inform business actions using statistical modeling and machine learning techniques on complex data\-sets on the order of several terabytes or petabytes. Position may be required to work extended hours for coverage during storms or other energy delivery emergencies.
**Primary Duties**
* Develop key predictive models that lead to delivering a premier customer experience, operating performance improvement, and increased safety best practices. Develop and recommend data sampling techniques, data collections, and data cleaning specifications and approaches. Apply missing data treatments as needed.
* Analyze data using advanced analytics techniques in support of process improvement efforts using modern analytics frameworks, including but not limited to Python, R, Scala, or equivalent; Spark, Hadoop file system and others
* Access and analyze data sourced from various Company systems of record. Support the development of strategic business, marketing, and program implementation plans.
* Access and enrich data warehouses across multiple Company departments. Build, modify, monitor and maintain high\-performance computing systems.
* Provide expert data and analytics support to multiple business units
* Works with stakeholders and subject matter experts to understand business needs, goals and objectives. Work closely with business, engineering, and technology teams to develop solution to data\-intensive business problems and translates them into data science projects. Collaborate with other analytic teams across Exelon on big data analytics techniques and tools to improve analytical capabilities.
**Job Scope**
* Support business unit strategic planning while providing a strategic view on machine learning technologies.
* Advice and counsel key stakeholders on machine learning findings and recommend courses of action that redirect resources to improve operational performance or assist with overall emerging business issues.
* Provide key stakeholders with machine learning analyses that best positions the company going forward.
* Educate key stakeholders on the organizations advance analytics capabilities through internal presentations, training workshops, and publications.
**Minimum Qualifications**
* Education: Bachelor's degree in a Quantitative discipline. Ex: Applied Mathematics, Computer Science, Finance, Operations Research, Physics, Statistics, or related field
* 4\-7 years of relevant experience developing hypotheses, applying machine learning algorithms, validating results to analyze multi\-terabyte datasets and extracting actionable insights is required. Previous research or professional experience applying advanced analytic techniques to large, complex datasets.
* Analytical Abilities: Strong knowledge in at least two of the following areas: machine learning, artificial intelligence, statistical modeling, data mining, information retrieval, or data visualization.
* Technical Knowledge: Proven experience in developing and deploying predictive analytics projects using one or more leading languages (Python, R, Scala, etc.). Experience working within an open source environment and Unix\-based OS.
* Communication Skills: Ability to translate data analysis and findings into coherent conclusions and actionable recommendations to business partners, practice leaders, and executives. Strong oral and written communication skills.
**Preferred Qualifications**
* Education: Masters, or PhD in a Quantitative discipline. Ex: Applied Mathematics, Computer Science, Finance, Ops Research, Physics, Statistics, or related field
* Experience: Prior exposure to data structures pertaining to smart\-meters, billing, or outage management systems. Prior exposure to the utilities or broader energy sector. Prior exposure to the full spectrum of data science lifecycle, including data acquisition, maintenance, processing, analysis, and communication.
* Analytic Abilities: Solid understanding of relevant theories in machine learning, statistics, probability theory, data structures and algorithms, optimization, etc.
* Technical Knowledge: Expert level coding skills (Python, R, Scala, SQL, etc), and experience developing in a Unix environment. Proficiency in database management and large datasets: create, edit, update, join, append and query data from columnar and big data platforms.
* Communication Skills: Ability to translate executive and analytics leaders' vision and guidance into methods and analytics. Strong time management and presentation skills.
**Benefits**
* Annual salary will vary based on a candidate’s skills, qualifications, experience, and other factors: $104,000\.00/Yr. – $143,000\.00/Yr.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43">
      <c r="A43" t="inlineStr">
        <is>
          <t>li-4367004360</t>
        </is>
      </c>
      <c r="B43" t="inlineStr">
        <is>
          <t>DATA SCIENTIST-ANALYTICS LEAD (GAMING FOCUS) - Onsite</t>
        </is>
      </c>
      <c r="C43" t="inlineStr">
        <is>
          <t>Jobs via Dice</t>
        </is>
      </c>
      <c r="D43" t="inlineStr">
        <is>
          <t>linkedin</t>
        </is>
      </c>
      <c r="E43" t="inlineStr"/>
      <c r="F43" t="inlineStr"/>
      <c r="G43" t="inlineStr">
        <is>
          <t>Boca Raton, FL</t>
        </is>
      </c>
      <c r="H43" t="inlineStr"/>
      <c r="I43" t="inlineStr">
        <is>
          <t>Dice is the leading career destination for tech experts at every stage of their careers. Our client, Metalight Solutions Inc, is seeking the following. Apply via Dice today!
 We are seeking a
 **highly agile Data Scientist** 
 to drive real\-time insights that directly influence
 **game performance, player behavior, and business decisions** 
 . This role requires someone who can
 **think on their feet** 
 , connect patterns quickly, and translate data into action in a fast\-moving gaming environment.
 It is onsite in their corporate headquarters in Boca Raton, FL
 **There are (2\) of these positions available.**
 They mention mid to senior level…
 NO JOB HOPPERS, PLEASE, AND STRONG CANDIDATES SO WE CAN CLOSE IT.
 IDEALLY CANDIDATES MUST BE LOCAL CANDIDATES. IF NOT, NATIONWIDE BUT WILL RELOCATE.
**What This Role Does**
* Own game and business KPIs, from definition through ongoing optimization
* Build and evolve dashboards and analytics used daily by Game Design and Leadership
* Analyze player behavior, game performance, and experiments (A/B testing)
* Quickly identify trends, anomalies, and opportunities — and act on them
* Translate complex data into clear, compelling stories that drive decisions
* Partner closely with Game Designers, Product, and Management in a rapid\-iteration environment
**What We’re Looking For**
* Strong analytical instincts and the ability to problem\-solve independently
* Comfort working with incomplete or evolving data
* Experience influencing decisions, not just reporting numbers
* Bachelor’s degree in Statistics, Applied Math, Data Science, or related field
* Proficiency with SQL, Tableau or Power BI, Excel, and Python or R
* Experience with A/B testing and performance measurement
**Nice to Have**
* Experience with predictive modeling, machine learning, or AI
* Familiarity with gaming or online player data (slots a plus)
* Experience with Snowflake and modern data stacks
* Master’s degree for senior\-level candidates
**Why This Role Is Different**
 This is not a back\-office analytics role. Success requires
 **speed, curiosity, and judgment** 
 — someone who can spot patterns fast, ask the right questions, and influence outcomes in real time.</t>
        </is>
      </c>
    </row>
    <row r="44">
      <c r="A44" t="inlineStr">
        <is>
          <t>li-4352420548</t>
        </is>
      </c>
      <c r="B44" t="inlineStr">
        <is>
          <t>Senior Data Scientist</t>
        </is>
      </c>
      <c r="C44" t="inlineStr">
        <is>
          <t>Jobs via eFinancialCareers</t>
        </is>
      </c>
      <c r="D44" t="inlineStr">
        <is>
          <t>linkedin</t>
        </is>
      </c>
      <c r="E44" t="inlineStr"/>
      <c r="F44" t="inlineStr"/>
      <c r="G44" t="inlineStr">
        <is>
          <t>New York, NY</t>
        </is>
      </c>
      <c r="H44" t="inlineStr"/>
      <c r="I44"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experiencein data science or a related field, with a focus on AI, machine learning, and NLP, preferably in a senior technical or leadership role.
* Bachelor's or Master's degreein Computer Science, Engineering, Data Science, or related field. A Ph.D. in a relevant field is a plus.
* Expertise in Natural Language Processing (NLP)with a deep understanding of the latest NLP stack, including transformer\-based architectures such as BERT, GPT, T5, and newer models like GPT\-4, PaLM, and other state\-of\-the\-art large language models (LLMs) that are driving the evolution of NLP applications.
* Extensive experiencewith advanced machine learning and deep learning frameworks such as TensorFlow 2\.x, PyTorch, Hugging Face, and JAX for NLP and other advanced AI tasks.
* Deep knowledge of cloud services (AWS, GCP, Azure)and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NLTKfor efficient model training, fine\-tuning, and data preprocessing.
* Strong programming skills in Python, R, and SQL, with advanced proficiency in handling large\-scale data using distributed data systemslike Apache Spark, cloud\-native NoSQL databasessuch as MongoDB, Cassandra, and DynamoDB, as well as search engines like Elasticsearchand vector databasesfor semantic search (e.g., Pinecone, Weaviate).
* Hands\-on experiencewith data ingestion, data wrangling, and data pipeline orchestration using tools like Apache Kafka, Apache Spark, Airflow, and distributed computing frameworks like Daskand Ray.
* Experience with advanced data science methodologies, including ensemble learning, deep reinforcement learning, transfer learning, and deploying large pre\-trained modelsfor real\-time inference and production.
* Ability to design, prototype, and deploy NLP modelsfor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rolesis highly valued, particularly in the enterprise tech or financial sectors.
* Familiarity with AI\-powered product developmentin industries such as finance, healthcare, or e\-commerce.
* Experience with data visualization toolslike Tableau, Power BI, or Plotlyto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45">
      <c r="A45" t="inlineStr">
        <is>
          <t>li-4367306142</t>
        </is>
      </c>
      <c r="B45" t="inlineStr">
        <is>
          <t>Principal Associate, Data Scientist - Risk Management Product</t>
        </is>
      </c>
      <c r="C45" t="inlineStr">
        <is>
          <t>Capital One</t>
        </is>
      </c>
      <c r="D45" t="inlineStr">
        <is>
          <t>linkedin</t>
        </is>
      </c>
      <c r="E45" t="inlineStr"/>
      <c r="F45" t="inlineStr"/>
      <c r="G45" t="inlineStr">
        <is>
          <t>New York, NY</t>
        </is>
      </c>
      <c r="H45" t="inlineStr"/>
      <c r="I45" t="inlineStr">
        <is>
          <t>Principal Associate, Data Scientist \- Risk Management Product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Risk Management Product Data Science team, you will focus on leveraging machine learning to drive efficiencies and better risk management for the company. This team is responsible for:
* Compliance Innovation
* Product intent leadership across Compliance \&amp; Ethics (General Compliance and Corporate Integrity functions)
* Natural Language Processing initiatives
* Generative AI initiatives
 Risk Management Product RISK IQ is a transformation lever using products, analytics, innovation, and data as we advance our Risk Management programs. In addition, we are also in the midst of its own transformation, moving away from traditional data acquisition and basic reporting toward real time business analysis, data science, and Generative AI.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\- 1
* Technical. You’re comfortable with open\-source languages and are passionate about developing further. You have hands\-on experience developing data science solutions using open\-source tools and cloud computing platforms. 2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 At least 2 years’ experience working with generative AI
* At least 2 years’ experience working with NLP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Princ Associate, Data Science
 McLean, VA: $161,800 \- $184,600 for Princ Associate, Data Science
 New York, NY: $176,500 \- $201,400 for Princ Associate, Data Science
 Plano, TX: $147,100 \- $167,900 for Princ Associate, Data Science
 Richmond, VA: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li-4367303148</t>
        </is>
      </c>
      <c r="B46" t="inlineStr">
        <is>
          <t>Senior Associate, Data Scientist - LLM Customization Team</t>
        </is>
      </c>
      <c r="C46" t="inlineStr">
        <is>
          <t>Capital One</t>
        </is>
      </c>
      <c r="D46" t="inlineStr">
        <is>
          <t>linkedin</t>
        </is>
      </c>
      <c r="E46" t="inlineStr"/>
      <c r="F46" t="inlineStr"/>
      <c r="G46" t="inlineStr">
        <is>
          <t>San Jose, CA</t>
        </is>
      </c>
      <c r="H46" t="inlineStr"/>
      <c r="I46"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Bachelor’s Degree plus 2 years of experience in data analytics, or Master’s Degree, or PhD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7">
      <c r="A47" t="inlineStr">
        <is>
          <t>li-4367316062</t>
        </is>
      </c>
      <c r="B47" t="inlineStr">
        <is>
          <t>Senior Associate, Data Scientist - LLM Customization Team</t>
        </is>
      </c>
      <c r="C47" t="inlineStr">
        <is>
          <t>Capital One</t>
        </is>
      </c>
      <c r="D47" t="inlineStr">
        <is>
          <t>linkedin</t>
        </is>
      </c>
      <c r="E47" t="inlineStr"/>
      <c r="F47" t="inlineStr"/>
      <c r="G47" t="inlineStr">
        <is>
          <t>McLean, VA</t>
        </is>
      </c>
      <c r="H47" t="inlineStr"/>
      <c r="I4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Bachelor’s Degree plus 2 years of experience in data analytics, or Master’s Degree, or PhD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8">
      <c r="A48" t="inlineStr">
        <is>
          <t>li-4367025321</t>
        </is>
      </c>
      <c r="B48" t="inlineStr">
        <is>
          <t>Data Scientist I, Integrity</t>
        </is>
      </c>
      <c r="C48" t="inlineStr">
        <is>
          <t>Tinder</t>
        </is>
      </c>
      <c r="D48" t="inlineStr">
        <is>
          <t>linkedin</t>
        </is>
      </c>
      <c r="E48">
        <f>HYPERLINK("https://www.linkedin.com/jobs/view/4367025321", "https://www.linkedin.com/jobs/view/4367025321")</f>
        <v/>
      </c>
      <c r="F48">
        <f>HYPERLINK("https://jobs.lever.co/matchgroup/d9927eb0-c25e-4d89-b2f2-4afce00909b2/apply?lever-source=LinkedIn&amp;lever-origin=applied&amp;lever-source%255B%255D=LinkedIn%2520FR&amp;lever-source=LinkedIn&amp;urlHash=OBbW", "https://jobs.lever.co/matchgroup/d9927eb0-c25e-4d89-b2f2-4afce00909b2/apply?lever-source=LinkedIn&amp;lever-origin=applied&amp;lever-source%255B%255D=LinkedIn%2520FR&amp;lever-source=LinkedIn&amp;urlHash=OBbW")</f>
        <v/>
      </c>
      <c r="G48" t="inlineStr">
        <is>
          <t>Los Angeles, CA</t>
        </is>
      </c>
      <c r="H48" t="inlineStr"/>
      <c r="I48"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49">
      <c r="A49" t="inlineStr">
        <is>
          <t>li-4367007948</t>
        </is>
      </c>
      <c r="B49" t="inlineStr">
        <is>
          <t>Data Scientist I, Integrity</t>
        </is>
      </c>
      <c r="C49" t="inlineStr">
        <is>
          <t>Tinder</t>
        </is>
      </c>
      <c r="D49" t="inlineStr">
        <is>
          <t>linkedin</t>
        </is>
      </c>
      <c r="E49">
        <f>HYPERLINK("https://www.linkedin.com/jobs/view/4367007948", "https://www.linkedin.com/jobs/view/4367007948")</f>
        <v/>
      </c>
      <c r="F49">
        <f>HYPERLINK("https://jobs.lever.co/matchgroup/d9927eb0-c25e-4d89-b2f2-4afce00909b2/apply?lever-source=LinkedIn&amp;lever-origin=applied&amp;lever-source%255B%255D=LinkedIn%2520FR&amp;lever-source=LinkedIn&amp;urlHash=OBbW", "https://jobs.lever.co/matchgroup/d9927eb0-c25e-4d89-b2f2-4afce00909b2/apply?lever-source=LinkedIn&amp;lever-origin=applied&amp;lever-source%255B%255D=LinkedIn%2520FR&amp;lever-source=LinkedIn&amp;urlHash=OBbW")</f>
        <v/>
      </c>
      <c r="G49" t="inlineStr">
        <is>
          <t>Palo Alto, CA</t>
        </is>
      </c>
      <c r="H49" t="inlineStr"/>
      <c r="I4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50">
      <c r="A50" t="inlineStr">
        <is>
          <t>li-4367011795</t>
        </is>
      </c>
      <c r="B50" t="inlineStr">
        <is>
          <t>Data Scientist I, Integrity</t>
        </is>
      </c>
      <c r="C50" t="inlineStr">
        <is>
          <t>Tinder</t>
        </is>
      </c>
      <c r="D50" t="inlineStr">
        <is>
          <t>linkedin</t>
        </is>
      </c>
      <c r="E50">
        <f>HYPERLINK("https://www.linkedin.com/jobs/view/4367011795", "https://www.linkedin.com/jobs/view/4367011795")</f>
        <v/>
      </c>
      <c r="F50">
        <f>HYPERLINK("https://jobs.lever.co/matchgroup/d9927eb0-c25e-4d89-b2f2-4afce00909b2/apply?lever-source=LinkedIn&amp;lever-origin=applied&amp;lever-source%255B%255D=LinkedIn%2520FR&amp;lever-source=LinkedIn&amp;urlHash=OBbW", "https://jobs.lever.co/matchgroup/d9927eb0-c25e-4d89-b2f2-4afce00909b2/apply?lever-source=LinkedIn&amp;lever-origin=applied&amp;lever-source%255B%255D=LinkedIn%2520FR&amp;lever-source=LinkedIn&amp;urlHash=OBbW")</f>
        <v/>
      </c>
      <c r="G50" t="inlineStr">
        <is>
          <t>San Francisco, CA</t>
        </is>
      </c>
      <c r="H50" t="inlineStr"/>
      <c r="I5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51">
      <c r="A51" t="inlineStr">
        <is>
          <t>li-4367368175</t>
        </is>
      </c>
      <c r="B51" t="inlineStr">
        <is>
          <t>Data Scientist</t>
        </is>
      </c>
      <c r="C51" t="inlineStr">
        <is>
          <t>Tubi</t>
        </is>
      </c>
      <c r="D51" t="inlineStr">
        <is>
          <t>linkedin</t>
        </is>
      </c>
      <c r="E51">
        <f>HYPERLINK("https://www.linkedin.com/jobs/view/4367368175", "https://www.linkedin.com/jobs/view/4367368175")</f>
        <v/>
      </c>
      <c r="F51" t="inlineStr"/>
      <c r="G51" t="inlineStr"/>
      <c r="H51" t="inlineStr"/>
      <c r="I51" t="inlineStr">
        <is>
          <t>**About The Role**
 The Tubi Builder’s Program is designed for early\-career professionals in Product, Engineering, Machine Learning, Design, and Data Science who are passionate about building products that impact millions of users. Over the course of the program, Data Scientists will rotate through multiple teams, gaining experience in data science, business strategy, and enabling data\-driven decision\-making.
 As a Data Scientist, you will work closely with product managers, engineers, designers, and business stakeholders to evaluate opportunities, prioritize investments, and drive execution. You’ll gain exposure to at least three different domains while building core skills in data analysis, model building, and stakeholder management.
 This program is ideal for individuals with a strong analytical mindset, a passion for building data products, and the ability to think critically about data, business, and user experience.
**Responsibilities**
* Solve a wide array of challenging problems using different analytical and statistical approaches
* Apply quantitative analysis, experimentation, data mining, and the presentation of data to develop strategies for our products
* Create and manage dashboards and visualizations, deliver actionable insights to stakeholders, and enable data\-informed decision\-making
* Partner with Product, Engineering, and cross\-functional teams to inform, influence, and support investment decisions
* Ensure statistical rigor, metric alignment, and transparency
* Define, understand, and test opportunities and levers to improve the product, and drive roadmaps through your insights and recommendations
**Qualifications**
**Minimum Requirements:**
* Proficiency in SQL with hands\-on experience managing and analyzing large\-scale, event\-level data
* Strong analytical skills with the ability to extract insights from large datasets using statistical methods
* Strong communication skills with comfort conveying complex findings to non\-technical stakeholders
* A strong drive to take on new challenges, experiment with new ideas, and continuously learn, whether through academic projects, internships, or self\-driven initiatives
**Preferred Qualifications:**
* Work Experience: Up to three years of combined professional experience, including internships
* Prior experience in A/B testing, experimental design, and causal inference
* Experience or knowledge of product analytics and working with event\-level data
* Experience working in a startup or fast\-paced environment
**Program Eligibility Requirements:**
* GPA Requirement: Minimum 3\.0 GPA.
* Application Deadline: February 15, 2026
* Program Timeline: Minimum 18 month commitment, starting Aug 2026, after which successful participants will transition into non\-rotational full\-time roles
* Work Schedule: Full\-time, hybrid in San Francisco with office day requirements
* Work Authorization: Must have U.S. work authorization; we are unable to sponsor visas for this program
* Committed and available to work for the entire 18\-month length of the program
**About the Program:**
 Our Tubi Builder’s Program is structured to accelerate the careers of future data science leaders by providing them with hands\-on experience across multiple product domains. Through structured rotations, mentorship, and executive exposure, Builders gain strategic experience, preparing them for a full\-time product management role.
 By the end of the program, you will:
* Have experience across multiple product teams and business challenges
* Develop a strong foundation in data science
* Build relationships with mentors, executives, and fellow Tubi Builders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$130,000—$135,000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52">
      <c r="A52" t="inlineStr">
        <is>
          <t>li-4356518401</t>
        </is>
      </c>
      <c r="B52" t="inlineStr">
        <is>
          <t>Data Scientist, PAR</t>
        </is>
      </c>
      <c r="C52" t="inlineStr">
        <is>
          <t>Meta</t>
        </is>
      </c>
      <c r="D52" t="inlineStr">
        <is>
          <t>linkedin</t>
        </is>
      </c>
      <c r="E52">
        <f>HYPERLINK("https://www.linkedin.com/jobs/view/4356518401", "https://www.linkedin.com/jobs/view/4356518401")</f>
        <v/>
      </c>
      <c r="F52" t="inlineStr"/>
      <c r="G52" t="inlineStr">
        <is>
          <t>New York, NY</t>
        </is>
      </c>
      <c r="H52" t="inlineStr"/>
      <c r="I52"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A minimum of 6 years of work experience in analytics (minimum of 4 years with a Ph.D.)
* Experience with data querying languages (e.g. SQL), scripting languages (e.g. Python), and/or statistical/mathematical software (e.g. 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3">
      <c r="A53" t="inlineStr">
        <is>
          <t>li-4367377234</t>
        </is>
      </c>
      <c r="B53" t="inlineStr">
        <is>
          <t>Data Scientist (REMOTE)</t>
        </is>
      </c>
      <c r="C53" t="inlineStr">
        <is>
          <t>Lensa</t>
        </is>
      </c>
      <c r="D53" t="inlineStr">
        <is>
          <t>linkedin</t>
        </is>
      </c>
      <c r="E53">
        <f>HYPERLINK("https://www.linkedin.com/jobs/view/4367377234", "https://www.linkedin.com/jobs/view/4367377234")</f>
        <v/>
      </c>
      <c r="F53">
        <f>HYPERLINK("https://lensa.com/cgw/b683fb99e4bb4f1cb677706de3bd3c75tjo1?jpsi=directemployers_no_redirect&amp;publisher_preference=easier_apply&amp;utm_campaign=Computer%20Occupations&amp;utm_medium=slot&amp;utm_source=linkedin&amp;utm_term=jse&amp;urlHash=ta6N", "https://lensa.com/cgw/b683fb99e4bb4f1cb677706de3bd3c75tjo1?jpsi=directemployers_no_redirect&amp;publisher_preference=easier_apply&amp;utm_campaign=Computer%20Occupations&amp;utm_medium=slot&amp;utm_source=linkedin&amp;utm_term=jse&amp;urlHash=ta6N")</f>
        <v/>
      </c>
      <c r="G53" t="inlineStr">
        <is>
          <t>Austin, TX</t>
        </is>
      </c>
      <c r="H53" t="inlineStr"/>
      <c r="I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\#IT
 \#informationtechnology
 \#Datascience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54">
      <c r="A54" t="inlineStr">
        <is>
          <t>li-4367382207</t>
        </is>
      </c>
      <c r="B54" t="inlineStr">
        <is>
          <t>Data Scientist (REMOTE)</t>
        </is>
      </c>
      <c r="C54" t="inlineStr">
        <is>
          <t>Lensa</t>
        </is>
      </c>
      <c r="D54" t="inlineStr">
        <is>
          <t>linkedin</t>
        </is>
      </c>
      <c r="E54">
        <f>HYPERLINK("https://www.linkedin.com/jobs/view/4367382207", "https://www.linkedin.com/jobs/view/4367382207")</f>
        <v/>
      </c>
      <c r="F54" t="inlineStr"/>
      <c r="G54" t="inlineStr">
        <is>
          <t>Atlanta, GA</t>
        </is>
      </c>
      <c r="H54" t="inlineStr"/>
      <c r="I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\#IT
 \#informationtechnology
 \#Datascience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55">
      <c r="A55" t="inlineStr">
        <is>
          <t>li-4356638333</t>
        </is>
      </c>
      <c r="B55" t="inlineStr">
        <is>
          <t>Data Scientist, PAR</t>
        </is>
      </c>
      <c r="C55" t="inlineStr">
        <is>
          <t>Meta</t>
        </is>
      </c>
      <c r="D55" t="inlineStr">
        <is>
          <t>linkedin</t>
        </is>
      </c>
      <c r="E55">
        <f>HYPERLINK("https://www.linkedin.com/jobs/view/4356638333", "https://www.linkedin.com/jobs/view/4356638333")</f>
        <v/>
      </c>
      <c r="F55" t="inlineStr"/>
      <c r="G55" t="inlineStr">
        <is>
          <t>Menlo Park, CA</t>
        </is>
      </c>
      <c r="H55" t="inlineStr"/>
      <c r="I55"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6">
      <c r="A56" t="inlineStr">
        <is>
          <t>li-4367181243</t>
        </is>
      </c>
      <c r="B56" t="inlineStr">
        <is>
          <t>Data Scientist</t>
        </is>
      </c>
      <c r="C56" t="inlineStr">
        <is>
          <t>Humana</t>
        </is>
      </c>
      <c r="D56" t="inlineStr">
        <is>
          <t>linkedin</t>
        </is>
      </c>
      <c r="E56">
        <f>HYPERLINK("https://www.linkedin.com/jobs/view/4367181243", "https://www.linkedin.com/jobs/view/4367181243")</f>
        <v/>
      </c>
      <c r="F56" t="inlineStr"/>
      <c r="G56" t="inlineStr"/>
      <c r="H56" t="inlineStr"/>
      <c r="I56" t="inlineStr">
        <is>
          <t>**About The Company** 
 Humana Inc. is a leading health and well\-being company dedicated to putting health first for its members, associates, and communities. With a focus on innovative healthcare solutions, Humana provides a wide range of insurance and healthcare services through its subsidiaries, including Humana Insurance Services and CenterWell Healthcare Services. The company strives to improve quality of life by delivering personalized, accessible, and effective care. Humana’s commitment to innovation is exemplified through its Enterprise AI organization, where cutting\-edge AI technologies are developed and deployed to enhance care quality, operational efficiency, and member experience. The organization values diversity, inclusion, and a culture of continuous learning, making it an ideal place for professionals passionate about transforming healthcare through technology.
**About The Role** 
 We are seeking an experienced and innovative AI professional to join our Enterprise AI organization as an Agent Design and Planning Specialist. In this role, you will be at the forefront of developing autonomous agent systems capable of managing complex, dynamic tasks in real\-world environments. Your primary responsibilities will include architecting goal\-setting mechanisms, designing dynamic planning systems, and collaborating across teams to ensure these agents operate safely, reliably, and aligned with human intent. You will contribute to the scientific and engineering foundations that make AI agents interpretable, robust, and capable of long\-horizon reasoning. This position offers a unique opportunity to influence the future of healthcare technology by creating intelligent systems that can autonomously set, adapt, and execute goals, ultimately improving care delivery and operational efficiency across Humana’s diverse business segments.
**Qualifications** 
* Master's Degree in Computer Science, Data Science, Machine Learning, or a related field
* 4\+ years of experience in research, ML engineering, or applied research roles focused on AI solutions
* At least 2 years of leadership experience in developing AI/ML systems
* Proficiency in SQL, Python, and data analysis/data mining tools
* Experience with machine learning frameworks such as Pytorch, Jax, LangChain, LangGraph, or AutoGen
* Experience with large\-scale, high\-performance ML systems
* Knowledge of language modeling with transformers
* Experience with symbolic planning, causal reasoning, and model\-based reinforcement learning
* Experience with large\-scale ETL processes
* Demonstrated ability to ship autonomous or semi\-autonomous AI agents in production or simulation environments
**Responsibilities** 
* Architect goal setting and goal decomposition mechanisms for autonomous agents operating in uncertain or open\-ended environments
* Design and implement dynamic planning systems, including hierarchical planning, curriculum learning, and self\-refinement loops
* Collaborate on designing memory, tool\-use, and feedback mechanisms to enable multi\-step, self\-directed agent behaviors
* Develop evaluation frameworks to ensure alignment with human intent, consistency, and progress toward long\-term objectives
* Prototype agents capable of interfacing with APIs, servers, search engines, databases, and real\-world actuators to pursue goals safely and efficiently
* Explore and implement mechanisms to detect and mitigate goal misalignment, undesirable looping behaviors, or emergent strategies
* Work across teams to integrate goal alignment with safety, operational reliability, and risk mitigation strategies
**Benefits** 
* Work from home flexibility with a remote US\-based location
* Generous paid time off and holiday benefits
* Health, dental, and vision insurance coverage effective from day one
* Annual incentive bonus plan
* 401(k) retirement savings plan with excellent company match
* Well\-being and employee assistance programs
* Paid volunteer time off to support community engagement
 Equal Opportunity
 Humana is an equal opportunity employer committed to creating an inclusive environment for all employees and applicants. We do not discriminate against any individual based on race, color, religion, sex, sexual orientation, gender identity, national origin, age, marital status, genetic information, disability, or protected veteran status. We actively promote affirmative action in compliance with applicable laws, ensuring fair employment practices and equal access to opportunities.</t>
        </is>
      </c>
    </row>
    <row r="57">
      <c r="A57" t="inlineStr">
        <is>
          <t>li-4367353089</t>
        </is>
      </c>
      <c r="B57" t="inlineStr">
        <is>
          <t>Data Scientist</t>
        </is>
      </c>
      <c r="C57" t="inlineStr">
        <is>
          <t>Hewlett Packard Enterprise</t>
        </is>
      </c>
      <c r="D57" t="inlineStr">
        <is>
          <t>linkedin</t>
        </is>
      </c>
      <c r="E57">
        <f>HYPERLINK("https://www.linkedin.com/jobs/view/4367353089", "https://www.linkedin.com/jobs/view/4367353089")</f>
        <v/>
      </c>
      <c r="F57" t="inlineStr"/>
      <c r="G57" t="inlineStr">
        <is>
          <t>San Jose, CA</t>
        </is>
      </c>
      <c r="H57" t="inlineStr"/>
      <c r="I57"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Data Scientist (AI Cloud Developer) builds scalable, data\-driven solutions from the ground up to address mission\-critical business challenges, continuously exploring innovative statistical, machine learning, and AI methodologies to deliver end\-to\-end analytical solutions that drive measurable business impact.
* Applies advanced analytical thinking to deconstruct complex, multi\-dimensional datasets and engineer novel algorithms, models, and methodologies for solving business problems—from initial exploratory data analysis through prototyping, model development, validation, and production deployment of ML/AI solutions.
* Collaborates cross\-functionally with data engineers, MLOps teams, product managers, and business stakeholders to ensure robust model performance, efficient pipeline orchestration, continuous monitoring, and sustainable operationalization of data science solutions at scale.
* Delivers quantifiable business value by developing innovative data products, predictive models, and analytical frameworks that enhance HPE's data science capabilities across diverse domains, platforms, and use cases—translating complex insights into actionable recommendations that drive strategic decision\-making.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Collaborate with cross\-functional teams to design, develop, and implement cloud solutions tailored to meet business needs.
* Work with domain experts to identify and formalize machine learning problems for wireless and wired network diagnostics, root causing, problem remediation, and optimization
+ Design, implement, and validate machine learning algorithms on big data
+ Guide and oversee deployment of implemented machine learning solutions and monitor their operation
+ Use Agentic AI to solve networking problems
* Identify, debug and create solutions for issues with code and integration into application architecture
* Develop and execute comprehensive test plans for features adhering to performance, scale, usability, and security requirements.
* Deploy cloud\-based systems and applications code using continuous integration/deployment pipelines
* Contribute towards innovation and integration of new technologies into projects
* Analyze science, engineering, business, and other data processing problems to develop and implement solutions to complex application problems, system administration issues, or networking
**Education And Experience Required**
* Master's or PhD degree in computer science, data science, mathematics, physics, statistics, physics, or closely related quantitative discipline.
* Typically, 3\-4 years’ experience working as a Data Scientist building products /features using machine learning, deep learning and generative AI
**Knowledge And Skills**
* Strong background in statistical and machine learning techniques such as anomaly detection, clustering and ranking of events, time series analysis, hypothesis testing, causal inference, deep learning and reinforcement learning, semi\-supervised learning, or mixed time\-series/event streams
* Experience with GenAI and large language models (LLMs). Agentic AI is a plus
* Familiarity with and understanding of design for software systems
* Proficient Python coder (PySpark, Scikit\-learn), experience with software engineering best practices
* Advanced understanding of Object\-Oriented Programming (OOP)
* Understanding microservice architecture and how they can be built in a containerized, Kubernetes\-managed environment is central to all modern cloud\-native applications.
* Designing and integrating software systems running on multiple platform types into the overall architecture
* Great written and verbal communication skills. Ability to effectively communicate product architectures and design proposals at senior management levels; strong data visualization skills
* Relevant industry experience in data science and machine learning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TCP\_04
 "The expected salary/wage range for this position is provided below. Actual offer may vary from this range based upon geographic location, work experience, education/training, and/or skill level.
 – United States of America: Annual Salary USD 155,500 \- 315,000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58">
      <c r="A58" t="inlineStr">
        <is>
          <t>li-4356488558</t>
        </is>
      </c>
      <c r="B58" t="inlineStr">
        <is>
          <t>Data Scientist, PAR</t>
        </is>
      </c>
      <c r="C58" t="inlineStr">
        <is>
          <t>Meta</t>
        </is>
      </c>
      <c r="D58" t="inlineStr">
        <is>
          <t>linkedin</t>
        </is>
      </c>
      <c r="E58">
        <f>HYPERLINK("https://www.linkedin.com/jobs/view/4356488558", "https://www.linkedin.com/jobs/view/4356488558")</f>
        <v/>
      </c>
      <c r="F58">
        <f>HYPERLINK("https://jsv3.recruitics.com/redirect?rx_cid=3239&amp;rx_jobId=a1KDp00000CZLUTMA5_1001&amp;rx_url=https%3A%2F%2Fwww.metacareers.com%2Fjobs%2F1770701523608616%2F%3Frx_campaign%3DLinkedin1%26rx_ch%3Dconnector%26rx_group%3D126320%26rx_id%3D2a75dc79-fd30-11f0-be34-b7ea2deb67b5%26rx_job%3Da1KDp00000CZLUTMA5_1001%26rx_medium%3Dpost%26rx_r%3Dnone%26rx_source%3DLinkedin%26rx_ts%3D20260130T001202Z%26rx_vp%3Dslots%26utm_campaign%3DJob%252Bboard%26utm_medium%3Djobs%26utm_source%3DLIpaid&amp;urlHash=Q_Z8", "https://jsv3.recruitics.com/redirect?rx_cid=3239&amp;rx_jobId=a1KDp00000CZLUTMA5_1001&amp;rx_url=https%3A%2F%2Fwww.metacareers.com%2Fjobs%2F1770701523608616%2F%3Frx_campaign%3DLinkedin1%26rx_ch%3Dconnector%26rx_group%3D126320%26rx_id%3D2a75dc79-fd30-11f0-be34-b7ea2deb67b5%26rx_job%3Da1KDp00000CZLUTMA5_1001%26rx_medium%3Dpost%26rx_r%3Dnone%26rx_source%3DLinkedin%26rx_ts%3D20260130T001202Z%26rx_vp%3Dslots%26utm_campaign%3DJob%252Bboard%26utm_medium%3Djobs%26utm_source%3DLIpaid&amp;urlHash=Q_Z8")</f>
        <v/>
      </c>
      <c r="G58" t="inlineStr">
        <is>
          <t>Seattle, WA</t>
        </is>
      </c>
      <c r="H58" t="inlineStr"/>
      <c r="I5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9">
      <c r="A59" t="inlineStr">
        <is>
          <t>li-4359480475</t>
        </is>
      </c>
      <c r="B59" t="inlineStr">
        <is>
          <t>Data Scientist - Credit Risk (LLM)</t>
        </is>
      </c>
      <c r="C59" t="inlineStr">
        <is>
          <t>Analytic Recruiting Inc.</t>
        </is>
      </c>
      <c r="D59" t="inlineStr">
        <is>
          <t>linkedin</t>
        </is>
      </c>
      <c r="E59">
        <f>HYPERLINK("https://www.linkedin.com/jobs/view/4359480475", "https://www.linkedin.com/jobs/view/4359480475")</f>
        <v/>
      </c>
      <c r="F59" t="inlineStr"/>
      <c r="G59" t="inlineStr"/>
      <c r="H59" t="inlineStr"/>
      <c r="I59" t="inlineStr">
        <is>
          <t>A leading FinTech company in consumer credit is seeking a
 **Data Scientist** 
 to lead high\-impact initiatives at the intersection of credit risk modeling and generative AI. In this role, you’ll work on cutting\-edge machine learning solutions using both structured and unstructured data. You’ll also play a key role in integrating Large Language Models (LLMs) into production systems — delivering insights, optimizing risk models, and driving product innovation.
**Location:** 
 Washington, D.C. or New York, NY
**Salary:** 
 Up to 140k base \+ bonus
 Visa sponsorship is NOT AVAILABLE
**Responsibilities:** 
* Design, build, and deploy predictive models for credit and risk analysis
* Apply and adapt LLMs to extract insights from text and enhance decision\-making
* Own model monitoring, explainability, and performance tracking
* Collaborate across teams to bring ML models into scalable production pipelines
* Analyze pilot programs using back\-testing and real\-world data
* Present findings and recommendations to both technical and business stakeholders
* Stay ahead of the curve on GenAI, NLP, and advanced ML developments
**Requirements:** 
* Master’s or PhD in a STEM or quantitative field
* 3\+ years of experience in data science, with focus on ML/AI in credit or risk domains
* Proficiency in Python and modern ML frameworks (e.g., PyTorch)
* Hands\-on experience with model development, deployment, and monitoring
* Strong communication skills and ability to influence across disciplines
* Experience with AWS or other cloud platforms (preferred)
* Deep expertise in GenAI, LLMs, NLP, or explainable AI (preferred)</t>
        </is>
      </c>
    </row>
    <row r="60">
      <c r="A60" t="inlineStr">
        <is>
          <t>li-4367026670</t>
        </is>
      </c>
      <c r="B60" t="inlineStr">
        <is>
          <t>Data Scientist</t>
        </is>
      </c>
      <c r="C60" t="inlineStr">
        <is>
          <t>Insight Global</t>
        </is>
      </c>
      <c r="D60" t="inlineStr">
        <is>
          <t>linkedin</t>
        </is>
      </c>
      <c r="E60">
        <f>HYPERLINK("https://www.linkedin.com/jobs/view/4367026670", "https://www.linkedin.com/jobs/view/4367026670")</f>
        <v/>
      </c>
      <c r="F60" t="inlineStr"/>
      <c r="G60" t="inlineStr"/>
      <c r="H60" t="inlineStr"/>
      <c r="I60" t="inlineStr">
        <is>
          <t>12 Month Contract w/ potential extensions or conversion
 Pay rate: $50\-$70/hr.
 Fully Remote
 Required Skills \&amp; Experience
 \- Bachelor’s or Master’s degree in a STEM field (Computer Science, Engineering, Statistics, Mathematics)
 \- 7\+ years of experience in Data Analytics, Business Intelligence, or Data Science within Finance/FP\&amp;A
 \- Strong experience with Monte Carlo simulations for financial items like forecasting
 \- Experience with forecasting models including ARIMA, Prophet, and LSTM (to help forecast items like profit)
 \- Proficient in Python or R, and SQL queries
 \- Highly experienced with BI tools such as Power BI and Tableau
 \- Familiarity with Generative AI and Machine Learning concepts and tools
 \- Strong analytical skills to translate data into business insights
 \- Strong communications skills and affinity for data storytelling and data storyboards to communicate the 'why'
 \- Experience working in cross\-functional teams and managing multiple priorities
 Job Description
 Insight Global is looking for a key Engineer to join their Growth Insights team. In this role you will apply advanced analytics, Business Intelligence, and Generative AI techniques to uncover insights and drive data\-informed growth strategies. You will work cross\-functionally with product, sales, marketing, and strategy teams to support enterprise\-wide growth initiatives, reporting to a senior leader within the Data \&amp; Analytics organization.
 Responsibilities:
 • Analyze Growth Opportunities: Collaborate with business stakeholders to explore complex growth challenges using data analytics, predictive modeling, and Gen AI tools to generate actionable insights.
 • Develop AI\-Enhanced Dashboards: Build and maintain dynamic, Gen AI\-powered dashboards and reporting tools that provide foresight and prescriptive recommendations to business teams.
 • Support ML Model Deployment: Assist in the implementation and monitoring of machine learning models for use cases such as sales recommendations, churn prediction, and financial forecasting.
 • Enable Agentic AI Solutions: Contribute to the development and testing of Agentic AI workflows that automate growth\-related tasks across platforms like Salesforce, Hubspot, Eloqua, and Oracle Cloud.
 • Collaborate on Data Infrastructure: Work with Data Engineering to ensure data pipelines and architecture support scalable, AI\-native analytics solutions.
 • Promote Data Literacy: Help maintain the enterprise data catalog and support internal data literacy initiatives by enabling self\-service analytics and sharing best practices.
 • Deliver Executive Insights: Prepare data visualizations and summaries that support strategic decision\-making by senior leadership, including the Chief Data \&amp; Analytics Officer.</t>
        </is>
      </c>
    </row>
    <row r="61">
      <c r="A61" t="inlineStr">
        <is>
          <t>li-4367012696</t>
        </is>
      </c>
      <c r="B61" t="inlineStr">
        <is>
          <t>ML Data Scientist Manager - Ads Portfolio R&amp;D</t>
        </is>
      </c>
      <c r="C61" t="inlineStr">
        <is>
          <t>Apple</t>
        </is>
      </c>
      <c r="D61" t="inlineStr">
        <is>
          <t>linkedin</t>
        </is>
      </c>
      <c r="E61">
        <f>HYPERLINK("https://www.linkedin.com/jobs/view/4367012696", "https://www.linkedin.com/jobs/view/4367012696")</f>
        <v/>
      </c>
      <c r="F61" t="inlineStr"/>
      <c r="G61" t="inlineStr">
        <is>
          <t>New York, NY</t>
        </is>
      </c>
      <c r="H61" t="inlineStr"/>
      <c r="I61"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Within Advertising Platforms, we are forming a new Data Science Research team. This team will be dedicated to pioneering novel, data\-driven strategies for managing and optimizing advertiser investments across the Apple Ads portfolio. By applying sophisticated quantitative techniques, this team will conduct foundational research to help our most strategic clients approach their advertising spend with the rigor of a financial portfolio. This role will build, lead, and mentor this new team of data scientists.
 As the Manager for the Ads Portfolio Research team, you will build and lead a specialized group of data scientists. Your team's mission is to apply principles from quantitative finance and economics to the Apple Ads ecosystem. You will guide their research into developing sophisticated models and frameworks that help our largest advertisers manage their ad spend as a strategic investment portfolio.
 This is an opportunity for an emerging leader to shape a new function from the ground up, combining deep analytical work with strategic business impact.
 Minimal travel required. This role is ideal for a data science leader who is passionate about building teams and exploring the intersection of advertising technology and financial theory.
**Responsibilities**
* Lead, Mentor, and Grow: Build and manage a team of early\-to\-mid\-career data scientists, fostering a culture of rigorous research, innovation, and intellectual curiosity.
* Define the Research Vision: Define the team's research agenda and strategic vision, identifying key questions around ad campaign diversification, budget allocation, risk/return trade\-offs, and performance forecasting.
* Guide Quantitative Research: Guide the team in leveraging advanced statistical and machine learning techniques to model the complex dynamics of the ad marketplace and advertiser performance.
* Translate Research into Strategy: Develop frameworks for communicating the value of a portfolio\-based approach to advertising, translating concepts like 'alpha' and 'diversification' into the language of marketing objectives.
* Partner with Sales, Product and Marketing: Collaborate closely with Sales, Product, and other Data Insights teams to translate research findings into practical strategies and potential product features.
* Engage with Key Clients: Selectively engage with key clients (approximately 10% of your time) alongside our Sales partners to share high\-level research findings, validate models, and establish Apple as a thought leader in sophisticated advertising strategy.
* Champion Privacy: Work with Privacy and Legal teams to ensure all research and data usage adheres to Apple’s strict commitment to user privacy.
* Measure Impact: Develop methods to track the influence and adoption of the team's research on advertiser behavior and performance.
**Minimum Qualifications**
* 3\+ years of experience in data science, quantitative analysis, or a related field.
* 1\+ years of experience in a formal management or team lead capacity, with a passion for mentoring and developing data scientists.
* A strong background in quantitative finance, algorithmic trading, portfolio management, or econometrics is a significant advantage.
* Deep understanding of statistical modeling, time\-series analysis, and optimization techniques. Familiarity with concepts like portfolio theory, risk modeling, and causal inference.
* Strong communication skills and the ability to distill complex quantitative research into clear, actionable strategies for a variety of audiences.
* Experience presenting complex technical concepts to both technical and non\-technical stakeholders. Direct client\-facing experience is a plus.
* Familiarity with the digital advertising landscape, particularly search and mobile app marketing, is highly preferred.
* A strong passion for applied research and analytics, with the ability to work closely with business teams, understand strategic requirements, and manage a complex research agenda.
* Bachelor's in a Data Science related field
**Preferred Qualifications**
* 6\+ years of experience in data science, quantitative analysis, or a related field.
* 3\+ years of experience in a formal management or team lead capacity, with a passion for mentoring and developing data scientists.
* Master's or PhD in a Data Science related field
**Pay \&amp; Benefits**
 At Apple, base pay is one part of our total compensation package and is determined within a range. This provides the opportunity to progress as you grow and develop within a role. The base pay range for this role is between $198,300 and $298,100,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2">
      <c r="A62" t="inlineStr">
        <is>
          <t>li-4367317514</t>
        </is>
      </c>
      <c r="B62" t="inlineStr">
        <is>
          <t>Associate Data Scientist</t>
        </is>
      </c>
      <c r="C62" t="inlineStr">
        <is>
          <t>MD Anderson Cancer Center</t>
        </is>
      </c>
      <c r="D62" t="inlineStr">
        <is>
          <t>linkedin</t>
        </is>
      </c>
      <c r="E62">
        <f>HYPERLINK("https://www.linkedin.com/jobs/view/4367317514", "https://www.linkedin.com/jobs/view/4367317514")</f>
        <v/>
      </c>
      <c r="F62" t="inlineStr"/>
      <c r="G62" t="inlineStr">
        <is>
          <t>Houston, TX</t>
        </is>
      </c>
      <c r="H62" t="inlineStr"/>
      <c r="I62" t="inlineStr">
        <is>
          <t>The Department of Health Services Research conducts the highest quality health services research with the ultimate aims of optimizing health care delivery and improving outcomes for the prevention and treatment of cancer.
 MD Anderson Cancer Center is a leading institution focused on cancer care, research, education, and prevention. The primary purpose of the Health Services Research Associate Data Scientist position is to develop and maintain mathematical, and simulation models related to research conducted in Health Services Research, develop optimization algorithms, computer code, perform statistical analysis and prepares reports, often associated with modeling cancer disease progression and medical decision making.
 The ideal candidate will experience mathematical modeling, computer programming and data analysis.
 Salary: Minimum $88,000 \- Midpoint $110,000 \- Maximum $132,000
 Work Location: Texas Medical Center
**Why Us?**
 This position offers the opportunity to directly support meaningful cancer research while developing advanced skills in modeling, simulation, and data science. You will contribute to work that improves patient outcomes and healthcare delivery, while benefiting from a supportive environment that values continuous learning, collaboration, and work life balance.
* Employer\-paid medical coverage starting day one for employees working 30\+ hours/week, plus optional group dental, vision, life, AD\&amp;D, and disability insurance.
* Accruals for PTO and Extended Illness Bank, plus paid holidays, wellness, childcare, and other leave options.
* Tuition Assistance Program after six months of service and access to extensive wellness, fitness, and employee resource groups.
* Defined\-benefit pension through the Teachers Retirement System, voluntary retirement plans, and employer\-paid life and reduced salary protection programs.
**Responsibilities**
**Mathematical Modeling**
* Develop mathematical and optimization models to support cancer\-related research.
* Implement optimization algorithms to solve analytical models to optimality.
* Validate analytical models using data from national and regional cancer registries and clinical trials.
* Maintain and update models to reflect evolving clinical practices.
* Learn and apply new optimization and approximation methods for efficient model solving.
**Simulation Modeling**
* Build microsimulation or Monte Carlo simulation models of disease progression and cancer care processes.
* Validate simulation models using observational registry data and clinical trial data.
* Maintain and update simulation models as clinical standards evolve.
**Data Analysis \&amp; Management**
* Perform basic and advanced statistical analyses under guidance from statistical analysts.
* Assist faculty with the development of statistical methods for risk assessment and prediction.
* Manage datasets from national and regional cancer registries, clinical trials, medical billing systems, national surveys, and large claims databases including IBM MarketScan, Optum Clinformatics, and Medicare.
* Coordinate multiple concurrent projects efficiently.
**Research, Training \&amp; Reporting**
* Conduct literature reviews and learn relevant medical terminology.
* Support selection of study design, cohort definition, data analysis, and interpretation of results.
* Present at monthly lab meetings and assist in training trainees to use models and code.
* Prepare tables, figures, text summaries, memos, and components of scientific manuscripts.
**Computer Programming**
* Develop computer code for data analyses, mathematical models, and simulation models using Julia, R, and Python.
* Create and maintain online code repositories using GitHub.
**EDUCATION**
* Required: Bachelor's Degree Biomedical Engineering, Electrical Engineering, Computer Engineering, Physics, Applied Mathematics, Statistics, Computer Science, Computational Biology, or related field.
**Work Experience**
* Required: Two years Scientific software or industry development/analysis.
* Preferred: Prior mathematical modeling, computer programming and data analysis experience.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178514
* Employment Status: Full\-Time
* Employee Status: Regular
* Work Week: Days
* Minimum Salary: US Dollar (USD) 88,000
* Midpoint Salary: US Dollar (USD) 110,000
* Maximum Salary : US Dollar (USD) 132,000
* FLSA: exempt and not eligible for overtime pay
* Fund Type: Soft
* Work Location: Hybrid Onsite/Remote
* Pivotal Position: Yes
* Referral Bonus Available?: Yes
* Relocation Assistance Available?: Yes</t>
        </is>
      </c>
    </row>
    <row r="63">
      <c r="A63" t="inlineStr">
        <is>
          <t>li-4366543979</t>
        </is>
      </c>
      <c r="B63" t="inlineStr">
        <is>
          <t>Data Scientist</t>
        </is>
      </c>
      <c r="C63" t="inlineStr">
        <is>
          <t>Vanguard</t>
        </is>
      </c>
      <c r="D63" t="inlineStr">
        <is>
          <t>linkedin</t>
        </is>
      </c>
      <c r="E63">
        <f>HYPERLINK("https://www.linkedin.com/jobs/view/4366543979", "https://www.linkedin.com/jobs/view/4366543979")</f>
        <v/>
      </c>
      <c r="F63" t="inlineStr"/>
      <c r="G63" t="inlineStr">
        <is>
          <t>Charlotte, NC</t>
        </is>
      </c>
      <c r="H63" t="inlineStr"/>
      <c r="I63" t="inlineStr">
        <is>
          <t>**Role Summary**
 This role performs deep dive diagnostic, predictive, and prescriptive analytics to support data\-driven business decision making and applies advanced data science and big data mining techniques to uncover trends, inform strategic decisions, and drive innovation across various business domains.
**Responsibilities**
* Develops queries and performs extensive programming to access, transform, and prepare data for statistical modeling.
* Performs deep dive diagnostic, predictive, and prescriptive analytics to support data\-driven business decision making.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partners.
* Participates in special projects and performs other duties as assigned.
* Designs and develops data mining protocols and analytical models to identify trends and patterns in large\-scale datasets.
* Applies emerging data science methodologies and statistical techniques to provide actionable insights across various business domains.
* Supports innovative research in analytics, contributing to the evolution of data\-driven decision\-making practices.
**Qualifications And Skills**
* Minimum 5 years of experience in data science, analytics, or statistical modeling roles
* Bachelor’s degree (B.E./B.Tech) in relevant fields such as Analytics, Applied Mathematics, Statistics, Computer Science, or a Master’s degree/Diploma in a related analytical discipline
* Proficiency in data wrangling and transformation using SQL, Python, or R; strong understanding of statistical modeling and machine learning techniques; experience with tools like Jupyter, SAS, or RStudio
* Hands\-on experience in building data mining models, conducting trend analysis, and interpreting complex datasets to support strategic decisions
* Strong communication and visualization skills to translate analytical findings into actionable business insights
* Experience in cloud\-based environments (AWS, Azure, or GCP) and using collaboration tools like JIRA, Confluence
* Knowledge of big data platforms and frameworks (Hadoop, Spark) is a plus
* Ability to work cross\-functionally and apply analytics to domains such as marketing, operations, or research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64">
      <c r="A64" t="inlineStr">
        <is>
          <t>li-4366554626</t>
        </is>
      </c>
      <c r="B64" t="inlineStr">
        <is>
          <t>Data Scientist</t>
        </is>
      </c>
      <c r="C64" t="inlineStr">
        <is>
          <t>Vanguard</t>
        </is>
      </c>
      <c r="D64" t="inlineStr">
        <is>
          <t>linkedin</t>
        </is>
      </c>
      <c r="E64">
        <f>HYPERLINK("https://www.linkedin.com/jobs/view/4366554626", "https://www.linkedin.com/jobs/view/4366554626")</f>
        <v/>
      </c>
      <c r="F64">
        <f>HYPERLINK("https://vanguard.wd5.myworkdayjobs.com/en-US/vanguard_external/job/Malvern-PA/Data-Scientist_173917-1?source=LinkedIn&amp;urlHash=ipXu", "https://vanguard.wd5.myworkdayjobs.com/en-US/vanguard_external/job/Malvern-PA/Data-Scientist_173917-1?source=LinkedIn&amp;urlHash=ipXu")</f>
        <v/>
      </c>
      <c r="G64" t="inlineStr">
        <is>
          <t>Philadelphia, PA</t>
        </is>
      </c>
      <c r="H64" t="inlineStr"/>
      <c r="I64" t="inlineStr">
        <is>
          <t>**Role Summary**
 This role performs deep dive diagnostic, predictive, and prescriptive analytics to support data\-driven business decision making and applies advanced data science and big data mining techniques to uncover trends, inform strategic decisions, and drive innovation across various business domains.
**Responsibilities**
* Develops queries and performs extensive programming to access, transform, and prepare data for statistical modeling.
* Performs deep dive diagnostic, predictive, and prescriptive analytics to support data\-driven business decision making.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partners.
* Participates in special projects and performs other duties as assigned.
* Designs and develops data mining protocols and analytical models to identify trends and patterns in large\-scale datasets.
* Applies emerging data science methodologies and statistical techniques to provide actionable insights across various business domains.
* Supports innovative research in analytics, contributing to the evolution of data\-driven decision\-making practices.
**Qualifications And Skills**
* Minimum 5 years of experience in data science, analytics, or statistical modeling roles
* Bachelor’s degree (B.E./B.Tech) in relevant fields such as Analytics, Applied Mathematics, Statistics, Computer Science, or a Master’s degree/Diploma in a related analytical discipline
* Proficiency in data wrangling and transformation using SQL, Python, or R; strong understanding of statistical modeling and machine learning techniques; experience with tools like Jupyter, SAS, or RStudio
* Hands\-on experience in building data mining models, conducting trend analysis, and interpreting complex datasets to support strategic decisions
* Strong communication and visualization skills to translate analytical findings into actionable business insights
* Experience in cloud\-based environments (AWS, Azure, or GCP) and using collaboration tools like JIRA, Confluence
* Knowledge of big data platforms and frameworks (Hadoop, Spark) is a plus
* Ability to work cross\-functionally and apply analytics to domains such as marketing, operations, or research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65">
      <c r="A65" t="inlineStr">
        <is>
          <t>li-4367180282</t>
        </is>
      </c>
      <c r="B65" t="inlineStr">
        <is>
          <t>Data Scientist</t>
        </is>
      </c>
      <c r="C65" t="inlineStr">
        <is>
          <t>TaxSlayer</t>
        </is>
      </c>
      <c r="D65" t="inlineStr">
        <is>
          <t>linkedin</t>
        </is>
      </c>
      <c r="E65">
        <f>HYPERLINK("https://www.linkedin.com/jobs/view/4367180282", "https://www.linkedin.com/jobs/view/4367180282")</f>
        <v/>
      </c>
      <c r="F65" t="inlineStr"/>
      <c r="G65" t="inlineStr"/>
      <c r="H65" t="inlineStr"/>
      <c r="I65" t="inlineStr">
        <is>
          <t>**About The Company**
 TaxSlayer is a pioneering provider of tax software solutions dedicated to empowering individuals and small businesses to file their taxes with confidence and ease. Established in 1965 and headquartered in Augusta, Georgia, with additional operations in Charlotte, North Carolina, TaxSlayer has a long\-standing reputation for innovation and customer\-centric service. Our platform is designed to be intuitive and user\-friendly, guiding users through the tax filing process step\-by\-step to ensure accuracy and maximize refunds. With nearly 200 full\-time employees and 300 seasonal support agents, our talented team works collaboratively to continually enhance our products and exceed customer expectations. As a leader in the fintech and tax industry, we are committed to fostering a dynamic, inclusive, and growth\-oriented work environment.
**About The Role**
 The Data Scientist (Fraud Analytics) at TaxSlayer plays a critical role in designing, developing, and deploying advanced fraud detection models to safeguard our platform and users. This position involves leveraging sophisticated analytical methods and machine learning techniques to identify, quantify, and mitigate suspicious behaviors such as identity theft, refund fraud, account takeover, and abuse of tax credits. The ideal candidate will work closely with security, product, and compliance teams to develop and operationalize robust fraud prevention controls that balance security with a seamless user experience. This role requires a proactive approach to analyzing fraud trends, evaluating model performance, and translating insights into actionable strategies to continuously improve our fraud detection capabilities.
**Qualifications**
* Bachelor’s degree in Data Science, Computer Science, Cybersecurity, or related field; Master’s degree preferred
* 7\+ years of experience in fraud detection and prevention, preferably within FinTech or tax services
* Expertise in model evaluation, validation, bias mitigation, and explainability in regulated environments
* Strong experience with complex fraud scoring systems and high\-throughput decision\-making processes
* Proficiency in ML frameworks such as TensorFlow and PyTorch
* Advanced skills in Python, SQL, and data science libraries for modeling and analysis
* Experience with model lifecycle management, version control, and reproducible experimentation
* Ability to communicate complex analytical concepts effectively to both technical and non\-technical stakeholders
* Strong project management and prioritization skills with a demonstrated ability to work independently
**Responsibilities**
* Design, develop, and maintain production\-ready fraud detection models, including supervised, unsupervised, and hybrid approaches
* Collaborate with engineering teams to operationalize models targeting fraud vectors such as identity theft, refund fraud, account takeover, and abuse of tax credits
* Engineer features from high\-volume, multi\-source datasets including user behavior, device signals, tax attributes, and payment data
* Evaluate and select appropriate modeling approaches based on fraud typology, data availability, and operational constraints
* Define and manage model evaluation frameworks, including stability metrics and false\-positive analyses
* Conduct detailed analyses of fraud trends and reporting schemes to identify emerging threats
* Translate analytical insights into actionable recommendations for fraud prevention strategies, controls, and product enhancements
* Ensure compliance with data privacy, security, and regulatory standards in all model development activities
* Proactively communicate project statuses, potential risks, and trade\-offs to stakeholders
* Maintain comprehensive documentation of model logic, assumptions, validation results, and known limitations
* Monitor and mitigate model drift to ensure ongoing effectiveness in production environments
**Benefits**
* Competitive salary and performance\-based bonuses
* Flexible remote and hybrid work arrangements
* Comprehensive health insurance including Medical, Dental, and Vision plans
* 401(k) retirement plan with a 150% match on up to 3% contribution
* Generous paid time off and paid holidays
* Wellness programs and life insurance options
* Long\-term and short\-term disability coverage
* Critical illness and accident insurance
* Educational assistance programs
* Company\-paid parking and access to on\-site fitness facilities
* Employee discounts through company store
 Equal Opportunity
 TaxSlayer is an equal opportunity employer and is committed to fostering an inclusive environment for all employees. We evaluate candidates based on qualifications, merit, and business needs without regard to race, color, religion, gender, sexual orientation, gender identity, national origin, age, disability, or any other protected status. We believe diversity enhances our workplace and drive innovation, and we welcome applicants from all backgrounds to join our team.</t>
        </is>
      </c>
    </row>
    <row r="66">
      <c r="A66" t="inlineStr">
        <is>
          <t>li-4367359263</t>
        </is>
      </c>
      <c r="B66" t="inlineStr">
        <is>
          <t>Data Scientist</t>
        </is>
      </c>
      <c r="C66" t="inlineStr">
        <is>
          <t>IDR, Inc.</t>
        </is>
      </c>
      <c r="D66" t="inlineStr">
        <is>
          <t>linkedin</t>
        </is>
      </c>
      <c r="E66">
        <f>HYPERLINK("https://www.linkedin.com/jobs/view/4367359263", "https://www.linkedin.com/jobs/view/4367359263")</f>
        <v/>
      </c>
      <c r="F66" t="inlineStr"/>
      <c r="G66" t="inlineStr">
        <is>
          <t>Lehi, UT</t>
        </is>
      </c>
      <c r="H66" t="inlineStr"/>
      <c r="I66" t="inlineStr">
        <is>
          <t>IDR is seeking a Data Scientist to join one of our top clients for an opportunity in Lehi, UT. This role involves designing and deploying predictive models to optimize home energy management systems, leveraging data and AI to enhance comfort and efficiency within connected homes. The company is a leader in home energy intelligence, focusing on innovative solutions in the energy and IoT sectors.
**Position Overview for the Data Scientist:** 
* Develop and deploy advanced predictive models for occupancy, runtime, cost forecasting, anomaly detection, and preconditioning.
* Utilize data\-driven insights to improve demand response, time\-of\-use shifting, and virtual power plant strategies.
* Collaborate with data engineering to improve data quality and scalability, transforming legacy data into reusable data products.
* Work closely with cross\-functional teams including product, engineering, and analytics to integrate intelligence into systems.
* Communicate complex model outcomes effectively to both technical and non\-technical audiences.
**Requirements for the Data Scientist:** 
* Proven expertise in predictive modeling, forecasting, and applied machine learning (e.g., regression, gradient boosting, time\-series, causal inference).
* Experience working with large\-scale event and sensor data, preferably within energy, IoT, or device\-driven ecosystems.
* Strong proficiency in Python (Pandas, NumPy, scikit\-learn, PySpark) and experience with distributed compute environments (Spark, Databricks, GCP).
* Ability to take models from concept to production in collaboration with engineering teams.
* Skilled in statistical analysis, feature engineering, and experimental design (e.g., A/B testing).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67">
      <c r="A67" t="inlineStr">
        <is>
          <t>li-4367347956</t>
        </is>
      </c>
      <c r="B67" t="inlineStr">
        <is>
          <t>Data Scientist</t>
        </is>
      </c>
      <c r="C67" t="inlineStr">
        <is>
          <t>Washington State University</t>
        </is>
      </c>
      <c r="D67" t="inlineStr">
        <is>
          <t>linkedin</t>
        </is>
      </c>
      <c r="E67">
        <f>HYPERLINK("https://www.linkedin.com/jobs/view/4367347956", "https://www.linkedin.com/jobs/view/4367347956")</f>
        <v/>
      </c>
      <c r="F67" t="inlineStr"/>
      <c r="G67" t="inlineStr">
        <is>
          <t>Pullman, WA</t>
        </is>
      </c>
      <c r="H67" t="inlineStr"/>
      <c r="I67" t="inlineStr">
        <is>
          <t>**Online applications must be received before 11:59pm on:**
 March 1, 2026
 If a date is not listed above, review the Applicant Instructions below for more details.
**Available Title(s)**
 1447\-NN\_ADMINPRO \- Administrative Planning Specialist
**Business Title**
 Data Scientist
**Employee Type**
 Admin. Professional
**Position Details**
**The Opportunity:**
 As a
 **Data Specialist** 
 for
 **Institutional Research** 
 , you will conduct advanced analytics to transform complex datasets into insights for institution decision\-making, strategy formulation, benchmarking, and policy development. This includes using mathematical and statistical techniques, developing predictive models to forecast future outcomes, synthesizing data, and/or creating visualizations.
 Reporting to the Assistant Vice Provost, Institutional Research, System Analytics and Reporting, you will manage institutional research projects from start to finish, including scoping and defining projects, identifying and prioritizing key questions and data sources, developing data collection and analysis plans, and communicating and discussing results and recommendations to institutional leaders and stakeholders. In this role, you will work across data domains and in collaboration with other key staff to help generate reports in a variety of areas, such as research, financial aid, enrollment, student success, and faculty and staff demographics. You may also help to generate reports to meet external reporting requirements from governmental agencies, accrediting bodies, and other stakeholders.
**Supervisory Responsibilities:** 
 May direct the work of others on research projects.
**Percentage Breakdown Of Job Functions**
* 50% Analysis and Reporting
* 15% Data Governance and Data Literacy
* 10% Committee Assignments
* 10% Research, Training, and Professional Development
* 10% Project Management
* 5% Other Duties as Assigned
**Additional Information**
 This is a
 **full time** 
 (100% FTE)
 **permanent** 
 position. This position is overtime
 **exempt** 
 .
**Monthly Salary:** 
 $6,214\.86 \- $7,673\.08 \|
 *Commensurate with experience and qualifications*
 In accordance with RCW 49\.58\.110, the above salary reflects the full salary range for this position. Individual placement within the range is based on the candidate’s current experience, education, skills, and abilities related to the position.
**Benefits:** 
 WSU offers a comprehensive benefits package which includes paid sick and vacation leave; paid holidays; medical, dental, life and disability insurance package for employees and dependents; retirement; deferred compensation, optional supplemental retirement accounts; training and development; and employee tuition waiver. For additional information, please review the detailed Summary of Benefits offered by WSU for AP staff and Total Compensation.
**Required Qualifications**
* Position requires a bachelor’s degree in a relevant field AND five (5\) years of progressively responsible experience. Any combination of relevant education and experience may be substituted for the educational requirement on a year\-for\-year basis.
* Demonstrated experience with the following:
+ Collecting, analyzing, and/or synthesizing data for actionable insights.
+ Creating, developing, maintaining, and/or using institutional data systems and relational databases or information management systems.
+ Data management and visualization techniques.
**Preferred Qualifications**
* A master’s or doctoral degree.
* Experience in planning, organizing, and managing large, complex research projects, including managing multiple projects simultaneously and adhering to deadlines.
* Proficiency in qualitative and quantitative data management and analysis.
* Experience using cross\-domain or multi\-modal data to achieve novel insights.
* Working knowledge of statistical, query based, or data management software (e.g. SQL, SAS, R, Python, Tableau, Oracle OAC).
* Experience working within an Institutional Research, Institutional Effectiveness, or another analytical unit in higher education.
* Ability to work independently as well as in a team environment, ability to establish and maintain cooperative relationships, strong communication skills.
* Ability and willingness to share ideas, be open to the ideas of others, and work towards organizational goals.
**Position Sponsorship Eligibility:** 
 Not eligible for work visa sponsorship
**Department:** 
 Institutional Research
**Area/College:** 
 Office of the Provost
**Location:** 
 Pullman, WA
**Application Instructions:** 
 Applicants must upload the following required documents to their online application. Application materials should clearly communicate how the applicant meets all required qualifications and additional requirements.
* Resume
* Cover Letter
**External candidates** 
 , upload all documents in the “Application Document” section of your application.
**Current WSU Employees (internal candidates)** 
 , before starting your Workday application, please use these instructions to update your education and experience in your worker profile in Workday. Internal candidates, upload all documents in the “Resume/Cover Letter” section of your application.
 Documents may be submitted as one file or separate files. Applicants are encouraged to upload as a PDF, if possible.
 Reference contact information will be requested later in the recruitment process through Workday.
**Background Check:** 
 This position has been designated by the department to require a background check because it requires access to children or vulnerable adults as defined by RCW 74\.34, engages in law enforcement, requires security clearance, interacts with WSU students in a counseling or advising capacity, has access to personal identifying and/or financial information, unsupervised access to university buildings/property, or other business\-related need. A background check will not be completed until an initial determination of qualification for employment has been made.
**Time Type**
 Full time
**Position Term**
 12 Month
 Washington State University encourages all qualified candidates to apply, including members of the military and veterans, and persons with disabilities.
 WSU employs only U.S. citizens and lawfully authorized non\-U.S. citizens. All new employees must show employment eligibility verification as required by the U.S. Citizenship and Immigration Services.
 WSU is committed to providing access and reasonable accommodation in its services, programs, activities, education and employment for individuals with disabilities. To request disability accommodation in the application process, contact Human Resource Services: 509\-335\-4521 (v), Washington State TDD Relay Service: Voice Callers: 1\-800\-833\-6384; TDD Callers: 1\-800\-833\-6388, 509\-335\-1259(f), or hrs@wsu.edu.
**Notice of Non\-Discrimination**
 In matters of admission, employment, housing or services, or in the educational programs or activities it operates, WSU does not discriminate or permit discrimination by any member of its community against any individual on the basis of sex, race, color, national or ethnic origin, physical disability, mental disability, sensory disability, use of a trained service animal, age, religion, creed, genetic information, marital status, sexual orientation, gender identity, protected veteran status, honorably discharged veteran, member of the military, or immigration or citizenship status except as authorized by federal or state law, regulation, or government contract.
 Inquiries about the application of federal and state laws and regulations (including inquiries regarding the application of Title IX, ADA/Section 504, and implementing regulations), as well as reports and complaints of discrimination and harassment, can be made verbally or in writing to WSU’s Compliance and Civil Rights, the Department of Education’s Office of Civil Rights, or both.
 More information, resources, and contact information are available here: https://ccr.wsu.edu/notice\-of\-nondiscrimination/</t>
        </is>
      </c>
    </row>
    <row r="68">
      <c r="A68" t="inlineStr">
        <is>
          <t>li-4358537577</t>
        </is>
      </c>
      <c r="B68" t="inlineStr">
        <is>
          <t>Staff Data Scientist, Listing Understanding</t>
        </is>
      </c>
      <c r="C68" t="inlineStr">
        <is>
          <t>Airbnb</t>
        </is>
      </c>
      <c r="D68" t="inlineStr">
        <is>
          <t>linkedin</t>
        </is>
      </c>
      <c r="E68">
        <f>HYPERLINK("https://www.linkedin.com/jobs/view/4358537577", "https://www.linkedin.com/jobs/view/4358537577")</f>
        <v/>
      </c>
      <c r="F68" t="inlineStr"/>
      <c r="G68" t="inlineStr"/>
      <c r="H68" t="inlineStr"/>
      <c r="I6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Listing Understanding Data Science develops a holistic understanding of listing attributes to enable better product experiences for guests and hosts. The team is focussed on using Computer Vision (CV) to understand the rich information available in photos and incorporating photos in a multimodal approach to listing understanding. You will work cross functionally with tech, product, and design organizations to develop and execute a roadmap for how photos are managed by hosts and enrich the guest experience.
**The Difference You Will Make**
 As the Staff DS in this space, you will ensure that we are deploying technologies for photo and listing understanding that meaningfully improve the guest and host experience. You will recommend and assess CV and multimodal approaches and ensure they are safe and effective. You will own data analysis of the connection between listing understanding and business impact. You will use a deep understanding of guest and host needs rooted in data to guide our technological and business roadmap. This is a hands\-on role requiring expertise in prototyping, evaluation, and implementation of ML models and causal impact measurement.
**A Typical Day**
 Your contributions take a variety of shapes:
* Size business opportunities and develop the roadmap for investments in CV and multimodal listing understanding and integration into product experiences.
* Leverage photos and related structured and unstructured data to build and continuously improve listing understanding.
* Build causal models to understand how photos impact guest search and drive bookings and trip quality.
* Stay up to date with SoT models and prototype machine learning product features and iterate with engineering, product, and design.
* Develop and implement assessment frameworks for CV and multimodal modeling improvements to ensure that they are safe and effective.
* Measure the business value of our work through experimentation and causal analysis.
**Your Expertise**
* 9\+ years of industry experience in applied Machine Learning, with experience in Computer Vision, preferably including CLIP and ViT.
* Causal inference expertise, preferably with marketplace experience
* Advanced degree in Computer Science, Statistics, Econometrics or related field.
* Strong in XFN communication with partners in product, engineering, and design
* Expert in at least one programming language for data analysis (Python or R) with familiarity in SQL. Comfort with developing proof\-of\-concept prototypes. Passionate about AI and possessing a learner’s mindset towards LLMs and dynamic systems.
* Deep understanding of Machine Learning best practices (eg. training/serving skew minimization, A/B test, feature engineering, feature/model selection) and algorithms (eg. gradient boosted trees, neural networks/deep learning, optimization)
* Proven ability to succeed in both collaborative and independent work environments
*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$194,000—$240,000 USD</t>
        </is>
      </c>
    </row>
    <row r="69">
      <c r="A69" t="inlineStr">
        <is>
          <t>li-4367393098</t>
        </is>
      </c>
      <c r="B69" t="inlineStr">
        <is>
          <t>Data Scientist</t>
        </is>
      </c>
      <c r="C69" t="inlineStr">
        <is>
          <t>American AgCredit</t>
        </is>
      </c>
      <c r="D69" t="inlineStr">
        <is>
          <t>linkedin</t>
        </is>
      </c>
      <c r="E69">
        <f>HYPERLINK("https://www.linkedin.com/jobs/view/4367393098", "https://www.linkedin.com/jobs/view/4367393098")</f>
        <v/>
      </c>
      <c r="F69" t="inlineStr"/>
      <c r="G69" t="inlineStr"/>
      <c r="H69" t="inlineStr"/>
      <c r="I69" t="inlineStr">
        <is>
          <t>**Why should you join our team?**
 American AgCredit offers a unique opportunity to be a part of a national financial system supporting those who feed, clothe and fuel the world. We are a growing organization embracing collaboration and innovation while delivering transformative solutions. American AgCredit provides a cultivating environment where you truly make a difference for our customers and teams.
**Benefits offered by American AgCredit:**
* Commitment to agriculture and the communities we serve
* Family friendly work environment
* Investment in employee development
* Medical, Dental and Vision coverage
* Outstanding 401k – automatic 3% employer contribution, plus match up to 6%
* Generous Paid Time Off (Vacation accrued at 21 days annually, Sick Days accrued at 15 days annually, 12 paid holidays, plus 16 hours of volunteer time)
* Competitive Incentive Compensation Plan
* Disability \&amp; Life Insurance
* Employee mental, physical, and financial wellness programs
* The position is bonus eligible based on association and personal performance
 Position will be posted until filled.
**BASIC FUNCTION:**
 The Data Scientist at American AgCredit is an integral part of the Data Science team within the Treasury and Analytics group, which is a department of the Finance Organization. This role focuses on driving innovation and solving complex problems creatively, directly enhancing the lives of farmers and ranchers by supporting their financial needs and helping them succeed and grow. Through these efforts, the Data Scientist supports American AgCredit’s mission of securing the nation's food supply by providing innovative financial solutions within the agricultural community.
 The Data Scientist is responsible for developing, implementing and monitoring advanced statistical and machine learning models to support various business functions. This includes creating / maintaining scorecard models, and or optimizing auto\-decisioning strategies. The role may also involve developing customer segmentation, lead scoring, churn prediction, and or recommendation models that drive go\-to\-market strategies. The Data Scientist analyzes specific business opportunities and risks, using quantitative methods to solve complex tasks that improve business performance.
 In collaboration with a cross\-functional team of data analytics and IT professionals, the Data Scientist will deliver AI\-powered products that enhance data\-driven decision\-making, increase productivity, and automate repetitive tasks. As part of this, the role requires leveraging Generative AI to enhance NLP and conversational AI capabilities, building scalable digital assistant solutions.
 Overall, the Data Scientist plays a pivotal role in empowering the Data and Analytics community, fostering data literacy and self\-service capabilities, and driving the organization to foster a culture of evidence\-based decision\-making.
**ESSENTIAL DUTIES:**
* Develop, implement and monitor various statistical and machine learning models to support various business functions. Support independent model validation efforts in accordance to the model risk management policy.
* Partner with a cross\-functional team of data, analytics, and development operations (IT) to deliver AI powered products that can help team members be data\-driven, increase their productivity and automate repetitive tasks.
* Leverage Generative AI (Gen AI) to produce conversational AI capabilities and build scalable digital assistant solutions.
* Leverage a broad stack of technologies, such as, Python and or R, SQL, Alteryx, Power BI, Azure Dev Ops or equivalent and more to reveal the insights hidden within large volumes of numeric and textual data.
* Maintain documentation for key processes and model components with a focus on standardization of processes that satisfy model risk management, audit, and regulatory requirements.
* Build strong collaborative relationships with business teams at AAC as well as other Farm Credit System entities.
* Ensure analytics practices meet applicable regulatory, audit, privacy, and cybersecurity standards; participate in remediation and audit readiness.
**THE IDEAL CANDIDATE IS:**
* Innovative. You continually research and evaluate emerging technologies. You stay current on published state\-of\-the\-art methods, technologies, and applications and seek out opportunities to apply them.
* Creative Problem Solver and Critical Thinker. You thrive on bringing definition to big, undefined problems. Your inquisitive nature drives you to ask “why” and push hard to find answers. You understand that critical thinking is essential in problem formulation, enabling you to dissect complex issues, understand business needs and develop targeted solutions. You’re not afraid to share a new idea.
* Technical. You’re comfortable with open\-source languages and are passionate about developing further. You have hands\-on experience developing data science solutions using open\-source tools and cloud computing platforms.
* Statistically minded. You’ve built models, validated them, and backtested them. You know how to interpret a confusion matrix or a ROC curve. You have experience with clustering, classification, regression and time series.
* Communication Skills. Speaks both “business” and “data science”, translating complex analytics into clear, actionable insights to business stakeholders.
**LEVELS OF SUPERVISION EXERCISED AND RECEIVED:**
 Generally exercises minimal supervision. Makes independent decisions; works under general direction of the Director of Data Science.
**TYPICAL EDUCATION AND EXPERIENCE:**
**Data Scientist Required:**
* A bachelor’s degree in a quantitative field (Statistics, Economics, Operations Research, Analytics, Computer Science, or a related “STEM” field \- Science, Technology, Engineering or Mathematics).
* 3\-7 years of progressively responsible experience in Data Science, Quantitative Modeling, Risk Modeling, Advanced Analytics or Applied Mathematics.
* At least 2 years’ experience in Python, or R.
* At least 2 years’ experience with Statistics and Machine Learning.
* At least 2 years’ experience with SQL.
* Expertise in several statistical techniques including regression analysis, decision trees, tree\-based models like Random Forest or Gradient Boosting, time series, deep learning, data pipelines and evaluating model performance. Proficiency with at least one major programing language (Python or R) is required.
* Excellent organizational skills and attention to detail.
* Excellent written, verbal, persuasive, and interpersonal skills.
* A passion for empowering the Data and Analytics community to democratize analytics, foster data literacy and self\-service capabilities, and drive towards enhanced Data\-Driven Decision Making.
**Data Scientist Preferred:**
* Full ownership of an Agile model development process and relationship with the business customer. Examples include understanding the business problem, framing the problem, performing data exploratory analysis and visualization, methodology selection, model testing and validation, implementation, business user training and support, and model monitoring. Translating results into meaningful solutions to enhance data\-driven decision making.
* A master’s degree in “STEM” field (Science, Technology, Engineering, or Mathematics), or PhD in “STEM” field (Science, Technology, Engineering, or Mathematics).
* Experience with LLMs, RAG, Agentic AI.
* Working knowledge of lending principles and practices, as well as ability to interpret policy, programs and regulations.
 FULL\-TIME REMOTE: These roles and job functions can be done remotely, while maintaining our strong commitment to customer service and our business goals. Employees are welcome to come to an office to work if needed, and some travel for team meetings will be required.
**PAY RANGE:**
 Minimum $88,740\.69 \- Max $150,859\.17 Annual
*This range is reflective of the national salary average for this position and will be adjusted using geographic variance for physical location of the hired candidate. American AgCredit may compensate outside of the salary range for bona fide reasons not related to membership in a protected class.*
* Reflected is the national base pay range and title offered for this job at the current level.
* Compensation, title, and job level may be adjusted based on candidate qualifications including but not limited to achievements, skills, experience, or work location.
* Salary offered, within the applicable range, is one component of the total rewards package offered to candidates.
**All hiring is contingent on eligibility to work in the United States. We are unable to sponsor or transfer visas for applicants** 
 .
 American AgCredit provides equal opportunity in employment to all employees and applicants. We celebrate diversity and do not discriminate on the basis of race, color, creed, religion, national origin, ancestry, alienage or citizenship status, age, sex, sexual orientation, gender identity, gender expression, marital status, genetic information, medical condition, physical or mental disability, pregnancy, childbirth or related medical condition, military service or veteran status, victims of domestic violence, or any other characteristics protected by applicable federal, state, or local laws. American AgCredit prohibits harassment of any individuals on any of the bases listed above.
 If you need assistance or an accommodation due to a disability, you may contact us at jobs@agloan.com.</t>
        </is>
      </c>
    </row>
    <row r="70">
      <c r="A70" t="inlineStr">
        <is>
          <t>li-4352210097</t>
        </is>
      </c>
      <c r="B70" t="inlineStr">
        <is>
          <t>Staff Data Scientist -  Experimentation &amp; Measurement</t>
        </is>
      </c>
      <c r="C70" t="inlineStr">
        <is>
          <t>Sony Interactive Entertainment</t>
        </is>
      </c>
      <c r="D70" t="inlineStr">
        <is>
          <t>linkedin</t>
        </is>
      </c>
      <c r="E70">
        <f>HYPERLINK("https://www.linkedin.com/jobs/view/4352210097", "https://www.linkedin.com/jobs/view/4352210097")</f>
        <v/>
      </c>
      <c r="F70" t="inlineStr"/>
      <c r="G70" t="inlineStr">
        <is>
          <t>San Mateo, CA</t>
        </is>
      </c>
      <c r="H70" t="inlineStr"/>
      <c r="I70"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**Staff Data Scientist \- Experimentation \&amp; Measurement**
**San Mateo, CA (Hybrid)**
**Overview:**
 As a Staff Data Scientist on the Decision Science team at PlayStation, you will take a leading role in designing and interpreting experiments that evaluate the impact of key initiatives and programs. You’ll help shape how millions of players around the world experience PlayStation by bringing statistical rigor, clear measurement strategies, and deep causal inference expertise to some of the most critical initiatives across the company. This highly visible role will advance our experimentation practices and ensure that data\-driven insights inform the way we build, market, and evolve our products.
**What You’ll Be Doing:**
* Design, execute, and interpret A/B tests and quasi\-experiments, and apply advanced causal inference methods when experimentation isn’t feasible.
* Partner with cross\-functional teams (product, engineering, marketing) to embed experimentation into development and iteration cycles and communicate results with the company’s senior leadership.
* Mentor and guide other Data Scientists, providing thought leadership and technical direction.
* Serve as a thought leader on best practices for hypothesis development, metric selection, test structure, and results communication.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 Your insights will directly influence how PlayStation builds, markets, and evolves products across our ecosystem.
**Basic Requirements:**
* Master’s or PhD in Statistics, Economics, or Econometrics.
* 6\+ years of experience in a data science experimentation/causal inference\-focused role (4\+ with PhD).
* Deep expertise in A/B testing and causal inference, including quasi\-experimental methods.
* Proficiency in SQL and Python for data extraction, transformation, and analysis.
* Broad and applied knowledge of statistical techniques.
* Experience with machine learning modeling is a plus.
* Proven ability to influence product and business decisions through clear, actionable insights.
* Experience contributing to or developing experimentation frameworks, best practices, or internal tooling.
* Bonus: Passion for video games, player communities, or the gaming industry.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$212,200—$318,200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71">
      <c r="A71" t="inlineStr">
        <is>
          <t>li-4356437665</t>
        </is>
      </c>
      <c r="B71" t="inlineStr">
        <is>
          <t>Senior Applied Data Scientist</t>
        </is>
      </c>
      <c r="C71" t="inlineStr">
        <is>
          <t>Hearst Magazines</t>
        </is>
      </c>
      <c r="D71" t="inlineStr">
        <is>
          <t>linkedin</t>
        </is>
      </c>
      <c r="E71">
        <f>HYPERLINK("https://www.linkedin.com/jobs/view/4356437665", "https://www.linkedin.com/jobs/view/4356437665")</f>
        <v/>
      </c>
      <c r="F71" t="inlineStr"/>
      <c r="G71" t="inlineStr">
        <is>
          <t>New York, NY</t>
        </is>
      </c>
      <c r="H71" t="inlineStr"/>
      <c r="I71" t="inlineStr">
        <is>
          <t>**Job Description**
****Be Part of What’s Next****
****Senior Applied Data Scientist, BI Engineering****
 Help shape the next evolution of Hearst Magazines’ analytics maturity—moving from descriptive reporting to predictive and prescriptive insights that power smarter decisions. In this role, you’ll bridge BI Engineering and Data Science to build scalable models, simulations, and optimization frameworks that drive revenue growth, audience engagement, and executive decision\-making.
****About Hearst Magazines (Why Us?)****
 Hearst Magazines’ portfolio of more than 30 iconic brands in the U.S.—including Cosmopolitan, ELLE, Esquire, Good Housekeeping, Harper’s BAZAAR, and Popular Mechanics — inspires, entertains, and builds new and bold experiences for an engaged and growing audience across digital, video, social and print, reaching nearly 130 million readers and site visitors each month. With sophisticated content creation, cutting\-edge technology, and industry\-leading data capabilities, we make media and products that move people across all platforms. We are a global media company that publishes nearly 200 magazine editions and 175 websites around the world—and together, we are shaping what’s next.
**Key Responsibilities (What You’re Doing)**
* Develop and maintain analytical and semantic layers and data models that integrate, clean, and transform data from multiple sources into unified, analytics\-ready datasets that enable fast querying for reporting and analysis.
* Contribute to the organization’s data maturity roadmap by evolving the BI foundation from descriptive toward predictive and prescriptive analytics.
* Partner with BI Engineering to leverage governed analytical and semantic layers in BigQuery.
* Collaborate with BI Engineers to operationalize model outputs as analytical tables or scheduled DBT/Airflow jobs.
* Develop and validate predictive and prescriptive models that translate business questions into actionable insights for strategic and operational decision\-making.
* Build “what\-if” simulations and optimization frameworks to evaluate business scenarios and guide planning.
* Conduct statistical analysis to assess the quality, consistency, and health of datasets, ensuring reliable inputs for modeling and decision support.
* Design and analyze controlled experiments to measure the impact of product, audience, or marketing initiatives.
* Present results and recommendations through clear visualizations, concise narratives, and executive\-facing summaries.
****Qualifications (What We’re Looking For)****
* 3–6 years of experience in applied data science, predictive analytics, or quantitative modeling.
* Proficiency in Python (Pandas, Scikit\-Learn, Statsmodels, Prophet) and SQL (BigQuery preferred).
* Hands\-on experience with statistical, forecasting, and optimization techniques applied to real\-world business challenges.
* Ability to perform data quality assessments and statistical diagnostics to monitor the health and stability of analytical datasets.
* Strong understanding of experimentation design, causal inference, and model evaluation methods.
* Familiarity with data orchestration and modeling tools such as DBT, Airflow, or similar.
* Comfortable working within a cloud data warehouse environment and collaborating closely with BI and Engineering teams.
* Excellent communication and data storytelling skills — able to translate complex models into clear business insights. Nice to have: experience in digital media, marketing analytics, or revenue optimization; familiarity with Looker or other semantic\-layer tools.
* In\-office requirement: New York\-based, hybrid role with 4 days per week in the office.
****Preferred Skills:****
* Exposure to marketing, media, or commerce analytics, including traffic, audience, or revenue optimization use cases.
* Understanding of Bayesian statistics, time\-series forecasting, or optimization methods for scenario simulation.
* Experience building forecast validation and monitoring frameworks to track model drift and accuracy over time.
* Working knowledge of data visualization and narrative storytelling best practices (e.g., Looker, Tableau, or custom Python visualizations).
* Familiarity with GCP tools (BigQuery, Cloud Composer, Vertex AI Workbench, etc.) or equivalent AWS/Azure environments.
* Interest in generative AI and LLM applications that enhance business intelligence (e.g., automated insights, natural\-language querying).
****Benefits (What We Offer)****
 At Hearst Magazines, we invest in your success and well\-being—professionally and personally. Benefits include:
* Work with the Best: Collaborate with top\-tier professionals across media, advertising, tech, fashion, lifestyle, and publishing, shaping the future of these dynamic industries.
* Grow Your Skills: Unlock your potential with access to innovative training programs, immersive workshops, and exclusive industry events.
* Work\-Life Harmony: Enjoy the flexibility of hybrid work, empowering you to balance professional success with personal priorities.
* Foster Connection \&amp; Belonging: Join our Employee Resource Groups and help create a welcoming workplace where everyone feels valued and empowered.
* Wellness First: Prioritize your well\-being with a comprehensive benefits package that includes medical, dental, and vision insurance from Day 1\.
* Plan for Your Financial Future: Enjoy competitive financial perks, including a 401(k) plan with a generous company match.
 The base salary for this role is between $133,000 \- $178,000\. The actual base pay offered is dependent upon many factors, such as: transferable skills, work experience, business needs and market demands. The base pay range is subject to change and may be modified in the future.
 Hearst is an Equal Opportunity Employer. All qualified applicants will receive consideration for employment without regard to race, color, religion, sex, sexual orientation, gender identity, national origin, disability, protected veteran status, or any other characteristic protected by law.</t>
        </is>
      </c>
    </row>
    <row r="72">
      <c r="A72" t="inlineStr">
        <is>
          <t>li-4367049840</t>
        </is>
      </c>
      <c r="B72" t="inlineStr">
        <is>
          <t>Data Scientist</t>
        </is>
      </c>
      <c r="C72" t="inlineStr">
        <is>
          <t>Safe-Guard Products International</t>
        </is>
      </c>
      <c r="D72" t="inlineStr">
        <is>
          <t>linkedin</t>
        </is>
      </c>
      <c r="E72">
        <f>HYPERLINK("https://www.linkedin.com/jobs/view/4367049840", "https://www.linkedin.com/jobs/view/4367049840")</f>
        <v/>
      </c>
      <c r="F72">
        <f>HYPERLINK("https://workforcenow.adp.com/mascsr/default/mdf/recruitment/recruitment.html?cid=6bffc68e-662d-4c02-8375-b102bf145f00&amp;ccId=19000101_000001&amp;type=JS&amp;lang=en_US&amp;selectedMenuKey=CurrentOpenings&amp;jobId=945525&amp;source=LI&amp;urlHash=ISaZ", "https://workforcenow.adp.com/mascsr/default/mdf/recruitment/recruitment.html?cid=6bffc68e-662d-4c02-8375-b102bf145f00&amp;ccId=19000101_000001&amp;type=JS&amp;lang=en_US&amp;selectedMenuKey=CurrentOpenings&amp;jobId=945525&amp;source=LI&amp;urlHash=ISaZ")</f>
        <v/>
      </c>
      <c r="G72" t="inlineStr">
        <is>
          <t>Atlanta, GA</t>
        </is>
      </c>
      <c r="H72" t="inlineStr"/>
      <c r="I72" t="inlineStr">
        <is>
          <t>**Please do not respond to direct messages with your personal information. All job applications and your sensitive, personal information should only be submitted via our official job platform.**
**Job Title:** 
 Data Scientist (hybrid\- onsite Monday\- Thursday)
**Location:** 
 US\-GA\-Atlanta (Sandy Springs)
**FLSA** 
 : Non\-exempt
**Job Overview** 
 :
 Safe\-Guard’s Risk Department is expanding and adding a new Data Scientist role within the Enterprise Analytics team. Safe\-Guard has claims and contract data on over 40 million vehicles, with thousands of vehicles added every day. We are the leading provider of automotive warranties in North America, providing warranties to a wide variety of clients. Our clients include BMW, Mercedes\-Benz, GM, and many more.
 As a Data Scientist at Safe\-Guard, you will be responsible for a wide variety of analytical tasks. This includes but is not limited to: deploying and monitoring machine learning solutions, gathering data from different systems using SQL/Python, and working with business partners to identify new analytical projects. The ideal candidate will be comfortable taking ownership of complex analytical projects and leading them from start (opportunity identification) to finish (deployment and monitoring).
**Job Responsibilities:**
* Collaborate with IT, Claims, Legal, and Sales teams to identify ways in which analytics can be leveraged to increase profitability
* Develop, deploy, and monitor enterprise\-wide AI and machine learning solutions to support both claims and sales analytics initiatives
* Provide guidance on AI and machine learning best practices
* Provide data insights to drive business outcomes, business decisions, and strategy
* Lead a small team of Data Engineers and Data Analysts
 The above statements are intended only to describe the general nature of the job and should not be construed as an all\-inclusive list of position responsibilities.
**Job Requirements:**
* 4\+ years working in analytical role (e.g., data scientist, data analyst, etc.)
* Proven track record of developing and deploying analytical solutions
* Foundational understanding of common data science techniques such as logistic regression, decision trees, clustering, A/B testing, design of experiments, hypothesis testing, and neural networks
* B.S. in mathematics, computer science, statistics, engineering, or equivalent
* M.S. in mathematics, computer science, statistics, engineering, or equivalent (preferred)
* Expert proficiency in SQL, Python, and Git
* Strong written and verbal communication skills
* Experience leading or mentoring Jr. Data professionals
**Company Benefits:**
* Medical, Dental, and Vision Insurance
* Flexible Spending Account
* Health Savings Account
* 401(k) Plan with Company Match
* Company\-paid Short\-Term and Long\-Term Disability
* Company\-paid Life Insurance
* Paid Holidays and Vacation
* Employee Referral Program
* Employee Assistance Program
* Wellness Programs
* Paid Community Service Opportunities
* Tuition Reimbursement
* Ongoing Training \&amp; Personal Development
* And More!
**About Safe\-Guard Products International:**
 Safe\-Guard serves Original Equipment Manufacturers (OEMs), top retailers, and independent agents in the automotive finance and insurance industry with the leading Protection Products Platform. Our platform delivers innovative protection products and solutions that protect consumers from the perils of ownership, while providing Finance \&amp;Insurance professionals the tools to ignite scalable and sustainable business growth. Safe\-Guard’s success is driven by over 850 employees, who serve more than 12,000 dealers and support contract holders across the U.S. and Canada.
 For 30 years and counting, our team continues to transform the motor vehicle space, earning a stellar reputation from our partners and peers by providing: 1\) the highest quality protection products in the industry, 2\) a broad platform of branded product, technology, marketing, and training solutions, and 3\) an unwavering commitment to uncomplicated care and customer service.
 Safe\-Guard Products International is an equal opportunity employer and gives consideration for employment to qualified applicants without regard to age, race, color, religion, creed, sex, sexual orientation, gender identity or expression, national origin, marital status, disability or protected veteran status, or any other status or characteristic protected by federal, state, or local law.</t>
        </is>
      </c>
    </row>
    <row r="73">
      <c r="A73" t="inlineStr">
        <is>
          <t>li-4367361127</t>
        </is>
      </c>
      <c r="B73" t="inlineStr">
        <is>
          <t>Sr. Data Scientist I - Rockerbox</t>
        </is>
      </c>
      <c r="C73" t="inlineStr">
        <is>
          <t>DoubleVerify</t>
        </is>
      </c>
      <c r="D73" t="inlineStr">
        <is>
          <t>linkedin</t>
        </is>
      </c>
      <c r="E73">
        <f>HYPERLINK("https://www.linkedin.com/jobs/view/4367361127", "https://www.linkedin.com/jobs/view/4367361127")</f>
        <v/>
      </c>
      <c r="F73">
        <f>HYPERLINK("https://grnh.se/mdbdnmx42us?source=LinkedIn&amp;urlHash=WCDu", "https://grnh.se/mdbdnmx42us?source=LinkedIn&amp;urlHash=WCDu")</f>
        <v/>
      </c>
      <c r="G73" t="inlineStr"/>
      <c r="H73" t="inlineStr"/>
      <c r="I73" t="inlineStr">
        <is>
          <t>Rockerbox with DoubleVerify empowers marketing executives to confidently make data\-driven decisions, helping brands such as Tula, Figs, and Burton with the strategic decision\-making that drives growth. To do so, Rockerbox offers a unique suite of product lines that centralize data and offer diversified measurement methodologies. The foundation of Rockerbox's solution is data centralization. Atop this foundation, the platform enables marketers to choose from a range of measurement methodologies, giving customers the flexibility to choose the most appropriate approach for their specific needs and questions. To learn more, visit https://doubleverify.com/products/advertisers/prove
 As a Senior Data Scientist, you will take full ownership of statistical modeling, ensuring that marketers have precise actionable insights into campaign effectiveness. This role includes opportunities for exploring new statistical methodologies and applying existing methodologies (with potential refinements) to new datasets. If you enjoy a combination of data wrangling, optimizing statistical models, and working at the intersection of data science and product, this is the role for you.
**Responsibilities** 
* Conduct exploratory data analysis, engineer features in order to build statistically sound models that are interpretable and aligning with domain knowledge
* Adapt, optimize, and iterate on the current modelling packages, modifying open source packages to adapt our need
* Stay up to date with the latest causal inference and experimental design techniques.
* Translate complex business asks into rigorous mathematical problems and, conversely, use data\-driven storytelling to communicate mathematical results as clear, actionable business insights to external stakeholders
* Provide code reviews and feedback on system/model design for team members
* Work closely with product and engineering to integrate data science projects into the Rockerbox platform.
**Requirements** 
* 5\+ years of industry experience with a BA or BSc in sciences or engineering or 2\+ years of industry experience with a MSc or PhD degree in sciences or engineering.
* Strong knowledge of regression modelling, statistical testing and experimental design
* Proficiency in scientific Python stack (NumPy, Pandas, Statsmodels, Matplotlib etc.)
**Nice to Haves** 
* SQL for data wrangling
* Applying Bayesian techniques to predictive modelling problems
* Working with AWS cloud technologies
* Experience using Probabilistic programming libraries, e.g. STAN, PyMC, numpyro
* Familiarity with marketing analytics concepts such as campaign allocation, measurement or budget optimization.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\[$107,000 \- $193,000]. This role will also be eligible for bonus/commission (as applicable), equity, and benefits.
 The range above is for the expectations as laid out in the job description; however, we are often open to a wide variety of profiles, and recognize that the person we hire may be more or less experienced than this job description as posted.
 Please note, there may be in\-person interviews at one of our offices.
 Why You’ll Love Rockerbox: At Rockerbox, you’ll find a fast\-paced, results\-driven environment where your work has a direct impact on our growth and the success of our clients. Our iterative development process means you’ll see your contributions come to life quickly. You’ll join a supportive, light\-hearted team that values collaboration and innovation. We are committed to professional growth and will actively support your development in both technical and business domains.</t>
        </is>
      </c>
    </row>
    <row r="74">
      <c r="A74" t="inlineStr">
        <is>
          <t>li-4359383246</t>
        </is>
      </c>
      <c r="B74" t="inlineStr">
        <is>
          <t>Applied Scientist [Short Term Assignment]</t>
        </is>
      </c>
      <c r="C74" t="inlineStr">
        <is>
          <t>Alto Pharmacy</t>
        </is>
      </c>
      <c r="D74" t="inlineStr">
        <is>
          <t>linkedin</t>
        </is>
      </c>
      <c r="E74">
        <f>HYPERLINK("https://www.linkedin.com/jobs/view/4359383246", "https://www.linkedin.com/jobs/view/4359383246")</f>
        <v/>
      </c>
      <c r="F74">
        <f>HYPERLINK("https://alto.wd1.myworkdayjobs.com/en-US/Alto_External_Career_Site/job/Remote\u002d\u002d-Texas/Applied-Scientist\u002d\u002dShort-Term-Assignment-_R200547?source=LinkedIn&amp;urlHash=DjYK", "https://alto.wd1.myworkdayjobs.com/en-US/Alto_External_Career_Site/job/Remote\u002d\u002d-Texas/Applied-Scientist\u002d\u002dShort-Term-Assignment-_R200547?source=LinkedIn&amp;urlHash=DjYK")</f>
        <v/>
      </c>
      <c r="G74" t="inlineStr">
        <is>
          <t>Texas, United States</t>
        </is>
      </c>
      <c r="H74" t="inlineStr"/>
      <c r="I74" t="inlineStr">
        <is>
          <t>**Job Summary**
 About Fuze Health
 At Fuze Health, we put patients first and tirelessly address the most pressing needs in healthcare. We empower millions to digitally connect with care providers, essential health resources and needed treatments – and enable care providers, employers, health plans and life sciences companies to meaningfully enhance quality, outcomes and value. We are dedicated to helping our partners evolve and modernize to meet emerging patient and marketplace needs.
 Fuze Health’s foundation is built upon the strategic combination of several proven, technology\-powered innovators in the digital health, diagnostics, and pharmacy sectors. Our growing portfolio brings together the capabilities of industry leaders including LetsGetChecked, Truepill, and Alto Pharmacy, to create a distinctive, unified force in healthcare. Together, we have the shared vision, advanced capabilities and talented teams to deliver next\-generation solutions that patients and healthcare partners need today and into the future.
 To achieve our vision, we are expanding our Data Science \&amp; Analytics team to further transform the pharmacy experience for patients and providers. Our Data Science team partners closely with Product and Engineering to solve the most complex and high\-impact problems in healthcare technology—driving breakthroughs in prescription processing efficiency, operational optimization, and dispensing accuracy. As a Applied Scientist, you will lead the end\-to\-end development of advanced machine learning solutions, guiding initiatives from ideation through production, and mentoring peers across the organization. Your deep expertise in NLP, large language models, and machine learning systems will accelerate innovation and shape the future of pharmacy operations.
 \-Short Term Assignments are Expected to Last No Longer Than 6 months\-
**Job Description**
 What You’ll Do
* Lead the design, development, deployment, and scaling of advanced ML models leveraging NLP, generative AI, and reinforcement learning to improve prescription and fulfillment workflows.
* Identify and prioritize high\-impact opportunities for ML and automation, collaborating with product, engineering, and operations leadership.
* Drive innovation in operational efficiency through algorithmic optimization, experimentation, and applied research.
* Partner with cross\-functional teams—product managers, engineers, data scientists, and pharmacists—to translate business challenges into data\-driven solutions.
* Establish and advocate for best practices in experimentation, model evaluation, and responsible AI within the Data Science organization.
* Mentor and provide technical guidance to Applied Scientists and Data Scientists across projects.
* Communicate technical findings and recommendations clearly to executives and non\-technical stakeholders to influence data\-driven decision\-making.
**Minimum Qualifications**
 A Bit About You
* Master’s or PhD in a quantitative field such as Computer Science, Mathematics, Engineering, or a related discipline.
* 6\+ years of experience as an Applied Scientist, Machine Learning Engineer, or Data Scientist, with a proven record of delivering ML/AI models to production.
* Demonstrated experience applying machine learning and statistical modeling techniques to complex real\-world problems with measurable business impact.
* Advanced proficiency in Python and SQL, with experience in ML frameworks (e.g., PyTorch, TensorFlow, Hugging Face).
* Strong analytical mindset with the ability to break down ambiguous problems into actionable solutions.
* Excellent communication skills with the ability to distill complex technical ideas into clear business insights.
**Preferred Qualifications**
* Deep experience in NLP, LLMs, Generative AI, and/or Reinforcement Learning.
* Experience in healthcare, pharmaceuticals, supply chain, or logistics optimization.
* Expertise in building and maintaining production\-grade ML pipelines using cloud platforms such as AWS, GCP, or Azure (e.g., Kubeflow, Vertex AI, SageMaker).
* Demonstrated ability to lead cross\-functional initiatives, influence strategy, and mentor junior scientists.
**Additional Information**
 Additional Physical Job Requirements
 Physical requirements for this role include the ability to work at a computer terminal with monitor, keyboard and mouse for extended periods of time, stoop, bend, and reach for equipment and supplies, make frequent repetitive motions required to operate a computer that include the wrists, hands and fingers, and lift, carry, push, pull, and move light objects up to 20 pounds. The role also requires the ability to effectively communicate through verbal interactions, discern auditory information, and visually perceive details to perform essential job functions.
*Consistent with the Americans with Disabilities Act (ADA) and similar applicable state laws, it is Alto’s policy to provide reasonable accommodation to enable qualified individuals with disabilities to perform essential job functions, unless such accommodation would cause an undue hardship.*
 Salary and Benefits
 Base Range: $ $136,000\.00$170,000\.00
 Commission Eligible: No
 Travel: No
 Location Requirement: Employment at Alto is limited to individuals residing in the following states: Arizona, Arkansas, California, Colorado, Florida, Kansas, Maryland, Missouri, Nevada, New Jersey, New York, North Carolina, Oregon, Pennsylvania, South Carolina, Tennessee, Texas, Washington (WA), and Wisconsin.
 Employment Authorization Requirement: Applicants must be authorized to work for any employer in the U.S. At this time, Alto is unable to sponsor or take over sponsorship of an employment Visa.
 Benefits: Full\-time employee benefits include: dental, vision, and multiple group medical plans to choose from, a 401(k) retirement savings plan, group life insurance, accidental death and dismemberment (AD\&amp;D) insurance, flexible spending account (FSA) and health savings account (HSA), commuter benefits, employer\-paid short\-term (STD) and long\-term disability (LTD) insurance, and additional supplemental insurance plans (spouse life insurance, legal insurance, an employee assistance program, and a fertility medication discount program). Employees are also provided flexible vacation time, accrued paid sick time, 11 paid holidays (seven for Pharmacy and Care team members), and eight weeks of paid parental leave for eligible employees.
 Application deadline: January 12, 2026
*Alto Pharmacy is an Equal Opportunity Employer. All qualified applicants will receive consideration for employment without regard to race, color, national origin, religion, sex, gender identity, sexual orientation, age, disability, veteran status, or any other legally protected basis. If you have a disability and require reasonable accommodation during any portion of the application or hiring process, please contact us at CandidateHelp@alto.com.*
*Alto Pharmacy considers qualified applicants with arrest or conviction records for employment and conducts background checks consistent with applicable law, including the California, Los Angeles County, San Francisco, and New York City Fair Chance laws. We are an E\-Verify participating company.*
*Alto Pharmacy recruiters and hiring managers may use automated decision\-making tools to assist with identifying candidates who match the stated job requirements, and to what extent. These tools are designed to help ensure fairness in all aspects of the hiring process by providing recruiters and hiring managers with data\-backed insights based on information provided in your resume, including work experience, education, and other skills. If you have any questions or would like to request an alternative process, please contact us at* 
*CandidateHelp@alto.com* 
*. To learn about Alto Pharmacy's privacy practices including compliance with applicable privacy laws, please* 
*click here* 
*.*</t>
        </is>
      </c>
    </row>
    <row r="75">
      <c r="A75" t="inlineStr">
        <is>
          <t>li-4366558401</t>
        </is>
      </c>
      <c r="B75" t="inlineStr">
        <is>
          <t>Senior Data Scientist</t>
        </is>
      </c>
      <c r="C75" t="inlineStr">
        <is>
          <t>Vanguard</t>
        </is>
      </c>
      <c r="D75" t="inlineStr">
        <is>
          <t>linkedin</t>
        </is>
      </c>
      <c r="E75">
        <f>HYPERLINK("https://www.linkedin.com/jobs/view/4366558401", "https://www.linkedin.com/jobs/view/4366558401")</f>
        <v/>
      </c>
      <c r="F75" t="inlineStr"/>
      <c r="G75" t="inlineStr">
        <is>
          <t>Philadelphia, PA</t>
        </is>
      </c>
      <c r="H75" t="inlineStr"/>
      <c r="I75" t="inlineStr">
        <is>
          <t>**Role Summary**
 This role leads and executes deep dive diagnostic, predictive, and prescriptive analytics to support data\-driven business decision making, while mentoring junior data scientists and analysts, and applying advanced data science and big data mining techniques to uncover trends, inform strategic initiatives, and drive innovation across diverse business functions.
**Responsibilities**
* Develops complex queries and performs extensive programming to access, transform, and prepare data for statistical modeling.
* Leads and executes deep dive diagnostic, predictive, and prescriptive analytics to support data\-driven business decision making. Mentors and develops junior data scientists and analysts.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leaders.
* Participates in special projects and performs other duties as assigned.
* Designs scalable data mining models and reporting protocols to identify trends and patterns in massive datasets.
* Applies modern and emerging data science techniques to solve business problems across functions such as marketing, economics, and operations.
* Contributes to the advancement of analytics through exploratory research and application of cutting\-edge statistical theory.
**Qualifications And Skills**
* Minimum 8 years of experience in data science, predictive analytics, or advanced statistical modeling roles
* Bachelor’s degree (B.E./B.Tech) in Analytics, Applied Mathematics, Economics, Statistics, or Computer Science, or a Master’s degree/Diploma in a related quantitative field
* Expertise in programming with Python, R, or SQL; hands\-on experience with machine learning libraries (e.g., Scikit\-learn, TensorFlow); strong understanding of data pipelines, data wrangling, and statistical techniques; experience in big data environments (Spark/Hadoop); familiarity with visualization tools like Tableau or Power BI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76">
      <c r="A76" t="inlineStr">
        <is>
          <t>li-4367037276</t>
        </is>
      </c>
      <c r="B76" t="inlineStr">
        <is>
          <t>Staff Data Scientist, Research, Applied AI</t>
        </is>
      </c>
      <c r="C76" t="inlineStr">
        <is>
          <t>Google</t>
        </is>
      </c>
      <c r="D76" t="inlineStr">
        <is>
          <t>linkedin</t>
        </is>
      </c>
      <c r="E76">
        <f>HYPERLINK("https://www.linkedin.com/jobs/view/4367037276", "https://www.linkedin.com/jobs/view/4367037276")</f>
        <v/>
      </c>
      <c r="F76" t="inlineStr"/>
      <c r="G76" t="inlineStr">
        <is>
          <t>Kirkland, WA</t>
        </is>
      </c>
      <c r="H76" t="inlineStr"/>
      <c r="I7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
 **Minimum qualifications:**
* Master's degree in Statistics, Data Science, Mathematics, Physics, Economics, Operations Research, Engineering, or a related quantitative field.
* 8 years of work experience using analytics to solve product or business problems, coding (e.g., Python, R, SQL), querying databases or statistical analysis, or 6 years of work experience with a PhD degree.
**Preferred qualifications:**
* 10 years of work experience using analytics to solve product or business problems, coding (e.g., Python, R, SQL), querying databases or statistical analysis, or 8 years of work experience with a PhD degree.
**About The Job**
 Google is and always will be an engineering company. We hire people with a broad set of technical skills who are ready to take on some of technology's greatest challenges and make an impact on users. At Google, data scientists not only revolutionize search, they routinely work on massive scalability and storage solutions, large\-scale applications, and entirely new platforms for developers around the world. From Google Ads to Chrome, Android to YouTube, Social to Local, Google engineers are changing the world one technological achievement after another.
 In this role, you will evaluate and improve Google's products. You will collaborate with a multi\-disciplinary team of engineers and analysts on a wide range of problems. You will bring scientific accuracy and statistical methods to the challenges of product creation, development, and improvement with an appreciation for the behaviors of the end user.
 As a Staff Data Scientist on the Applied AI team, you will be a key player in shaping the future of AI\-driven products at Google. You will be responsible for conducting research, developing novel methodologies, and applying your expertise to solve complex business problems. You will collaborate with a team of engineers and scientists to push the boundaries of what's possible with AI.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7">
      <c r="A77" t="inlineStr">
        <is>
          <t>li-4367369007</t>
        </is>
      </c>
      <c r="B77" t="inlineStr">
        <is>
          <t>Director, MIDD AI/ML Scientist</t>
        </is>
      </c>
      <c r="C77" t="inlineStr">
        <is>
          <t>GSK</t>
        </is>
      </c>
      <c r="D77" t="inlineStr">
        <is>
          <t>linkedin</t>
        </is>
      </c>
      <c r="E77">
        <f>HYPERLINK("https://www.linkedin.com/jobs/view/4367369007", "https://www.linkedin.com/jobs/view/4367369007")</f>
        <v/>
      </c>
      <c r="F77" t="inlineStr"/>
      <c r="G77" t="inlineStr">
        <is>
          <t>Collegeville, PA</t>
        </is>
      </c>
      <c r="H77" t="inlineStr"/>
      <c r="I77" t="inlineStr">
        <is>
          <t>**Site Name:** 
 UK \- Hertfordshire \- Stevenage, UK – London – New Oxford Street, Upper Providence, Waltham
**Posted Date:** 
 Jan 29 2026
**Director, MIDD AI/ML Scientist**
 Clinical Pharmacology Quantitative Medicine (CPQM) is accountable for both applying clinical pharmacology strategies and the principles of quantitative medicine across RIIRU (Respiratory, Immunology \&amp; Inflammation Research Unit) to enable efficient, end\-to\-end development of transformative medicines.
 A key component of the CPQM mission is to harness the power of AI/ML \&amp; mechanistic modelling, to drive robust Development Strategies including Dose, Endpoint \&amp; Population Selection; Smart Clinical Trials and deliver Model Informed Drug Development (MIDD) evidence.
 Hybrid AIML\-Pharmacometrics/QSP methodologies are a set of emerging approaches that combine the power and flexibility of AI/ML with the credibility of mechanistic modelling. This fusion has the potential to greatly enhance the predictive capabilities of CPQM by enabling the integration of novel data types (e.g. imaging, biomarkers, OMICs, digital endpoints, and real\-world data) to drive more predictive and impactful insights for decision\-making.
**Job Purpose**
 The Director, MIDD AI/ML Scientist will focus on the practical application of emerging AI/ML and hybrid AI/ML\-Pharmacometrics methodologies to projects on an asset and disease level supporting a wide range of clinical development decisions across RIIRU. The role will consist of collaborating with Clinical Pharmacology leads and cross\-functional teams to integrate diverse sets of biomedical data (e.g. clinical, imaging, biomarkers, OMICs, digital health, or real\-world data) into hybrid AI/ML\-Pharmacometrics approaches. It will consist of direct stakeholder engagement, identification of impactful hybrid AI/ML modelling opportunities, analysis planning, execution, interpretation and communication of results and impact.
 This position is an excellent entry point for experienced quantitative scientists with a background in AI/ML (e.g. PhDs in AI/ML or related fields), drug development and Pharmacometrics/QSP looking to apply those techniques to benefit patients at the frontier of medicine.
 We create a place where people can grow, be their best, be safe, and feel welcome, valued and included. We offer a competitive salary, an annual bonus based on company performance, healthcare and wellbeing programmes, pension plan membership, and shares and savings programme.
 We embrace modern work practises; our Performance with Choice programme offers a hybrid working model, empowering you to find the optimal balance between remote and in\-office work.
 Discover more about our company wide benefits and life at GSK on our webpage
 *Life at GSK \| GSK*
**In this role you will:**
* Manage stakeholder engagement: Proactively interact with stakeholders, line and middle management, staff and external contacts on a functional and tactical level. Tactically identify high impact opportunities for hybrid AI/ML\-pharmacometrics approaches on projects.
* Execute portfolio projects: Apply AI/ML and hybrid AI/ML\-pharmacometrics approaches to deliver analyses that inform drug development decisions (dose, regimen, endpoint, population, trial design).
* Work cross\-functionally: Collaborate with CPMS leads, QSP modellers, statisticians, and digital/imaging experts to integrate AI/ML analyses with existing modelling frameworks. This will cover developing analysis plans, conducting analyses and communicating interim/final results.
* Contribute to our capabilities: Engage with academic groups and external vendors supporting joint internal\-external projects and remaining abreast of cutting\-edge methods. Identify best practices, trends, learnings, etc from internal and external sources and disseminate.
* Drive awareness: Deliver training, seminars, and internal communications to increase literacy in AI/ML\-pharmacometrics across CPQM and RIIRU.
* Have external influence: Conference presentations, posters, and publications in scientific journals to represent GSK’s impact in AI/ML for drug development.
**Why you?**
**Basic Qualifications \&amp; Skills:**
 We are looking for a professional with these required skills to achieve our goals:
* PhD (or equivalent) in AI/ML or related quantitative fields or in Life Sciences.
* Strong foundation and experience in building and applying AI/ML models.
* Strong foundation and experience in statistics and/or pharmacometrics / quantitative clinical pharmacology.
* Strong industry drug development experience, working within teams.
* Experience coding AI/ML pipelines in Python/Pytorch or Julia/Pumas.
* Strong interest and experience in promoting hybrid AI/ML\-pharmacometrics expertise. Developing people and processes.
* Excellent collaboration and communication skills (written, verbal and presentation), with experience working in interdisciplinary teams.
**Preferred Qualifications \&amp; Skills:**
 If you have the following characteristics, it would be a plus:
* Direct pharmacometric project experience.
* Direct experience applying AIML approaches for longitudinal data and/or SciML approaches.
* Familiarity with the application of agentic AI to enhance novel process integration.
 \#
* If you are based in Cambridge, MA; Waltham, MA; Rockville, MD; or San Francisco, CA, the annual base salary for new hires in this position ranges $188,100 to $313,500\.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78">
      <c r="A78" t="inlineStr">
        <is>
          <t>li-4314082449</t>
        </is>
      </c>
      <c r="B78" t="inlineStr">
        <is>
          <t>Senior Data Scientist, Fraud Detection</t>
        </is>
      </c>
      <c r="C78" t="inlineStr">
        <is>
          <t>Crunchyroll</t>
        </is>
      </c>
      <c r="D78" t="inlineStr">
        <is>
          <t>linkedin</t>
        </is>
      </c>
      <c r="E78">
        <f>HYPERLINK("https://www.linkedin.com/jobs/view/4314082449", "https://www.linkedin.com/jobs/view/4314082449")</f>
        <v/>
      </c>
      <c r="F78" t="inlineStr"/>
      <c r="G78" t="inlineStr">
        <is>
          <t>Los Angeles, CA</t>
        </is>
      </c>
      <c r="H78" t="inlineStr"/>
      <c r="I78"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In the role of Data Scientist, you will report to the Director of Machine Learning and Data Science. We are considering applicants for the location(s) of Los Angeles, CA or San Francisco.
 We are seeking a Data Scientist with skills and experience in using User Behavior Analytics and Modeling to kick start our effort to detect and deter account sharing by leveraging platform\-collected data such as login patterns, device usage, IP addresses, and viewing behaviors. This position focuses on uncovering insights from large datasets to inform machine learning models that identify anomalous sharing activities, ultimately supporting revenue growth and subscriber retention strategies inspired by industry leaders like Netflix and Disney\+.
**Core Areas of Responsibility**
* Conduct exploratory data analysis on user session logs to establish baselines for normal and anomalous behaviors.
* Develop predictive models using statistical and machine learning techniques to forecast and segment user sharing patterns.
* Design and conduct experiments to validate the model accuracy and operations effectiveness.
* Collaborate with cross\-functional teams to define data requirements and create frameworks for ongoing behavioral monitoring.
* Build visualizations and reports to communicate insights on user engagement and potential sharing risks to stakeholders.
* Ensure data privacy compliance while optimizing data pipelines for efficient operations.
**About You**
 We get excited about candidates, like you, because you have the following:
* Experience: You have 5\+ years in data science roles focused on behavioral analytics, preferably in tech or streaming industries, with proven success in user behavior modeling, anomaly and fraud detection, and related applications.
* Technical Skills: Proficient in Python for data analysis and modeling, SQL for database querying, and tools like Tableau or matplotlib for visualization, with experience in machine learning libraries such as xgboost, scikit\-learn, and pytorch for modeling.
* Cross\-Functional Collaborations: Skilled at partnering with engineering, product, and legal teams to align analytics with business objectives and integrate findings into product features.
* Communication Skills: Adept at presenting complex behavioral insights in clear, actionable formats to non\-technical audiences through reports and visualizations.
**Education Background:** 
 Hold a master's degree in data science, statistics, computer science, or a related field, with coursework in behavioral economics or psychology being advantageous.
**About The Team**
 You will join an interdisciplinary team of Data Scientists, Machine Learning Engineers, and AI Engineers, united by a passion for leveraging data and ML/AI to create transformative solutions. Our team delivers both consumer\-facing product features that enhance the streaming experience for millions of users and stakeholder\-oriented solutions that empower internal teams with actionable insights. From building personalized recommendation systems to developing innovative tools like our stakeholder\-facing chatbot, we combine cutting\-edge machine learning, robust data pipelines, and advanced AI to drive impact across the organization. Collaboration, creativity, and a commitment to excellence define our team’s culture as we work together to push the boundaries of what’s possible in streaming and data\-driven decision\-making.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Los Angeles, CA
 $168,000—$210,000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79">
      <c r="A79" t="inlineStr">
        <is>
          <t>li-4367386587</t>
        </is>
      </c>
      <c r="B79" t="inlineStr">
        <is>
          <t>Applied Scientist, Stores Ads Science</t>
        </is>
      </c>
      <c r="C79" t="inlineStr">
        <is>
          <t>Amazon</t>
        </is>
      </c>
      <c r="D79" t="inlineStr">
        <is>
          <t>linkedin</t>
        </is>
      </c>
      <c r="E79">
        <f>HYPERLINK("https://www.linkedin.com/jobs/view/4367386587", "https://www.linkedin.com/jobs/view/4367386587")</f>
        <v/>
      </c>
      <c r="F79" t="inlineStr"/>
      <c r="G79" t="inlineStr">
        <is>
          <t>Seattle, WA</t>
        </is>
      </c>
      <c r="H79" t="inlineStr"/>
      <c r="I79" t="inlineStr">
        <is>
          <t>**Description**
 Amazon Stores Ads Science team is looking for a Senior Applied Scientist to help translate state\-of\-the\-art causal inference and machine learning research into production solutions. The individual will have the opportunity to shape the technical and strategic vision of a highly ambiguous problem space at the intersection of Amazon’s Stores and Advertising businesses, and deliver measurable business impacts via cross\-team and cross\-functional collaboration.
 Amazon is investing heavily in building a world\-class advertising business. Our advertising products are strategically important to Amazon’s Retail and Marketplace businesses for driving the long\-term growth. The mission of the Stores Ads Science team is to identify opportunities to jointly optimize Amazon’s Stores and Advertising business, by enhancing the usage of advertising signals in Stores’ decision\-making and vice versa to drive the long\-term economic value to shoppers, sellers/vendors, and Amazon. Some of our work include measuring ads impact and shopping content incrementality to improve shopper experience, developing the science of explaining seller/vendor inter\-related decisions between Stores and Ads (e.g.: pricing, Sponsored Ads participation) to optimize fees and incentives, and making Stores’ traffic acquisition strategies aware of shoppers’ and advertisers’ onsite advertising behavior.
 We partner closely with tech and product teams across Stores and Advertising, and are constantly advancing experimentation methodology to accelerate science development and quantify business impacts. We are highly motivated, collaborative, and fun\-loving with an entrepreneurial spirit and bias for action.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A3169664</t>
        </is>
      </c>
    </row>
    <row r="80">
      <c r="A80" t="inlineStr">
        <is>
          <t>li-4358488564</t>
        </is>
      </c>
      <c r="B80" t="inlineStr">
        <is>
          <t>Principal Applied Scientist</t>
        </is>
      </c>
      <c r="C80" t="inlineStr">
        <is>
          <t>Microsoft</t>
        </is>
      </c>
      <c r="D80" t="inlineStr">
        <is>
          <t>linkedin</t>
        </is>
      </c>
      <c r="E80">
        <f>HYPERLINK("https://www.linkedin.com/jobs/view/4358488564", "https://www.linkedin.com/jobs/view/4358488564")</f>
        <v/>
      </c>
      <c r="F80" t="inlineStr"/>
      <c r="G80" t="inlineStr">
        <is>
          <t>Redmond, WA</t>
        </is>
      </c>
      <c r="H80" t="inlineStr"/>
      <c r="I80" t="inlineStr">
        <is>
          <t>**Overview**
 Joining the CoreAI organization at Microsoft means becoming part of the team that builds the end\-to\-end AI stack powering Azure’s innovation. As a Principal Applied Scientist on the GenAI Infra and Solutions team within CoreAI, you will help develop the AI infrastructure that accelerates the creation of agentic AI systems across Microsoft. This role is dedicated to advancing scientific methods and scalable infrastructure for training agentic models to achieve frontier\-level performance. You will contribute to LLMs, SLMs, and agentic models using both proprietary and open\-source frameworks, all aimed at delivering reliable, enterprise\-grade agentic workflows.
 We are seeking a curious, independent, adaptable problem\-solver who thrives on continuous learning, embraces changing priorities, and is motivated by creating meaningful impact. Candidates must be self\-driven, able to write efficient code, debug complex training jobs, document findings, and demonstrate a track record in these fields. In addition, we value an agile, startup\-style mindset \- someone who can iterate quickly, pivot when needed, and collaborate effectively in fast\-paced, dynamic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Write efficient, production\-quality code and debug complex training jobs
* Build and maintain training pipelines and architectures across both proprietary and open\-source frameworks
* Collaborate effectively within interdisciplinary teams and communicate complex research concepts in clear, actionable ways
* Document findings and insights to enable effective cross\-team collaboration and knowledge sharing
* Drive innovations that power flagship Microsoft products and services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Computer Science, Electrical or Computer Engineering, or related field AND 5\+ year(s) related experience (e.g., statistics, predictive analytics, research) OR Master's Degree Computer Science, Electrical or Computer Engineering, or related field AND 7\+ years related experience (e.g., statistics, predictive analytics, research)
* 5\+ years of coding experience in Python and experience with ML frameworks such as PyTorch and Triton
* 3\+ years experience of large\-scale model training for LLMs, SLMs, and agentic models
* 3\+ years of proven ability to design and scale training infrastructure and pipelines in production environments
* Experience with agent training frameworks
* Leadership and influence with the ability to lead projects and influence others across teams and disciplines
* Hands\-on experience with large\-scale distributed training and/or serving with demonstrated ability to dive deep into complex systems, troubleshoot unconventional issues, and craft innovative solutions under real\-world constraints
* Extensive experience with large\-scale training, model inference, reinforcement learning, and reasoning models
* Demonstrated ability to work in cross\-functional teams and collaborate effectively with researchers, product managers, and other engineers to deliver complex ML solutions
* Startup\-style mindset: agile, solution\-oriented, and self\-driven
 \#coreai
 \#aiplatform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1">
      <c r="A81" t="inlineStr">
        <is>
          <t>li-4367044702</t>
        </is>
      </c>
      <c r="B81" t="inlineStr">
        <is>
          <t>Data Scientist</t>
        </is>
      </c>
      <c r="C81" t="inlineStr">
        <is>
          <t>Jobs via Dice</t>
        </is>
      </c>
      <c r="D81" t="inlineStr">
        <is>
          <t>linkedin</t>
        </is>
      </c>
      <c r="E81">
        <f>HYPERLINK("https://www.linkedin.com/jobs/view/4367044702", "https://www.linkedin.com/jobs/view/4367044702")</f>
        <v/>
      </c>
      <c r="F81">
        <f>HYPERLINK("https://click.appcast.io/t/AkeUUQR9UPtW235rMw9YAnsee5cUU9lF7wEXXA2rO6E=&amp;urlHash=SEG5", "https://click.appcast.io/t/AkeUUQR9UPtW235rMw9YAnsee5cUU9lF7wEXXA2rO6E=&amp;urlHash=SEG5")</f>
        <v/>
      </c>
      <c r="G81" t="inlineStr">
        <is>
          <t>Fremont, CA</t>
        </is>
      </c>
      <c r="H81" t="inlineStr"/>
      <c r="I81" t="inlineStr">
        <is>
          <t>Dice is the leading career destination for tech experts at every stage of their careers. Our client, Cynet Systems, is seeking the following. Apply via Dice today!
 We are looking for
 **Data Scientist** 
 for our client in
 **Fremont, CA**
**Job Title: Data Scientist**
**Job Location: Fremont, CA**
**Job Type: Contract**
**Job Description:**
**Pay Range: $65hr \- $70hr**
* The Data Scientist will be responsible for analyzing complex datasets, building statistical and machine learning models, and delivering data\-driven insights to support business decision\-making.
* This role involves developing scalable data solutions, collaborating with cross\-functional teams, and influencing strategic initiatives through advanced analytics.
**Responsibilities:**
* Perform exploratory data analysis to identify trends, patterns, and actionable insights.
* Apply statistical techniques to analyze datasets, validate hypotheses, and support business decisions.
* Build, evaluate, deploy, and maintain machine learning models to address business problems.
* Design, execute, and analyze experiments such as A/B testing to measure the impact of product or feature changes.
* Develop robust, scalable, and automated data pipelines for data ingestion, processing, and transformation.
* Ensure data integrity, consistency, and availability for analytics and modeling workflows.
* Monitor the health and performance of existing data solutions, pipelines, and services.
* Design and implement automated monitoring and alerting for data pipelines, model performance, and system reliability.
* Identify, troubleshoot, and resolve data or service anomalies in a timely manner.
* Participate in on\-call rotations to support the reliability and availability of data solutions.
* Create clear and effective data visualizations, dashboards, reports, and presentations for stakeholders.
* Collaborate with engineers, product teams, and business stakeholders to translate requirements into data\-driven solutions.
* Provide insights and recommendations to guide short\-term and long\-term business strategy.
* Promote best practices in data science, analytics, experimentation, and model deployment.
**Requirement/Must Have:**
* Hands\-on experience with data cleaning, preprocessing, exploratory data analysis, and statistical analysis.
* Proficiency in Python for data analysis, including experience with libraries such as pandas, NumPy, and visualization tools.
* Strong experience using SQL for data querying and analysis.
* Experience building, deploying, and maintaining data pipelines and machine learning models in production environments.
* Proficiency with version control systems, including Git and collaborative development workflows.
* Experience designing and analyzing experiments such as A/B testing.
**Experience:**
* Relevant professional experience in data science, analytics, or a related technical role.
**Skills:**
* Statistical analysis and predictive modeling.
* Machine learning model development and evaluation.
* Data pipeline design and automation.
* Data visualization and dashboard creation using industry\-standard tools.
* Strong problem\-solving, analytical, and critical thinking abilities.
* Effective communication and collaboration skills for cross\-functional environments.
**Qualification And Education:**
* Bachelor s degree in Computer Science or a related technical field.
**Should Have:**
* Experience working in large\-scale development or enterprise data environments.
* Experience with service monitoring, anomaly detection, and automated alerting for data and machine learning solutions.
* Strong understanding of machine learning algorithms such as regression, clustering, and decision trees.
* Experience building scalable and automated data pipelines.
* Ability to communicate complex data findings clearly to technical and non\-technical stakeholders.</t>
        </is>
      </c>
    </row>
    <row r="82">
      <c r="A82" t="inlineStr">
        <is>
          <t>li-4367371991</t>
        </is>
      </c>
      <c r="B82" t="inlineStr">
        <is>
          <t>Data Scientist</t>
        </is>
      </c>
      <c r="C82" t="inlineStr">
        <is>
          <t>Capgemini</t>
        </is>
      </c>
      <c r="D82" t="inlineStr">
        <is>
          <t>linkedin</t>
        </is>
      </c>
      <c r="E82">
        <f>HYPERLINK("https://www.linkedin.com/jobs/view/4367371991", "https://www.linkedin.com/jobs/view/4367371991")</f>
        <v/>
      </c>
      <c r="F82">
        <f>HYPERLINK("https://www.capgemini.com/jobs/403876-en_GB_SAPBTP/Data-Scientist&amp;urlHash=rBiA", "https://www.capgemini.com/jobs/403876-en_GB_SAPBTP/Data-Scientist&amp;urlHash=rBiA")</f>
        <v/>
      </c>
      <c r="G82" t="inlineStr">
        <is>
          <t>Chicago, IL</t>
        </is>
      </c>
      <c r="H82" t="inlineStr"/>
      <c r="I8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As an Associate Data Scientist , you will lead the development and implementation of advanced data engineering solutions to support the deployment and optimization of Generative AI models. Your role will involve leveraging your extensive experience to design robust, scalable, and innovative data architectures that align with the unique requirements of General Artificial Intelligence (GenAI) applications.
**Key Responsibilities**
* The Machine Learning Engineer will be responsible for architectural design and planning, advanced data pipelines, model integration and optimization, scalability, performance and research and innovation supporting production generative AI systems.
* Production level ML workloads for customers using Databricks platform, including end\-to\-end ML pipelines, training/inference optimization, integration with cloud\-native services and MLOps
* Build and maintain data engineering solutions on cloud platforms using hyperscaler services.
* Develop production\-grade cloud (AWS/Azure/GCP) infrastructure that supports the deployment of ML applications, including drift monitoring
* Design, develop, and maintain data pipelines to efficiently collect, process, and load data from various sources into data storage systems (e.g., data warehouses, data lakes).
* Understanding of indexing and vectorization to use with Generative AI prompt engineering.
* Strong understanding of fundamental data science concepts in NLP, including selection and understanding of embedding models.
* Use hyperscaler technologies to support data needs for expansion of Machine Learning/Data Science capabilities including generative AI.
* Design, develop, and implement scalable data pipelines and ETL/ELT processes using Python, PySpark and API integrations.
 The base compensation range for this role in the posted location is:$100,000\- $125,000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2026-01-30T03:10:43Z</dcterms:created>
  <dcterms:modified xsi:type="dcterms:W3CDTF">2026-01-30T03:10:43Z</dcterms:modified>
</cp:coreProperties>
</file>