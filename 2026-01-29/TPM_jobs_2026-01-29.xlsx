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in-4a3dda3dee43006b</t>
        </is>
      </c>
      <c r="B2" t="inlineStr">
        <is>
          <t>Program Manager - Day Hab Services -ID/DD(Manhasset, Long Island)</t>
        </is>
      </c>
      <c r="C2" t="inlineStr">
        <is>
          <t>ANIBIC</t>
        </is>
      </c>
      <c r="D2" t="inlineStr">
        <is>
          <t>indeed</t>
        </is>
      </c>
      <c r="E2" t="inlineStr"/>
      <c r="F2" t="inlineStr"/>
      <c r="G2" t="inlineStr">
        <is>
          <t>Manhasset, NY, US</t>
        </is>
      </c>
      <c r="H2" s="2" t="n">
        <v>46051</v>
      </c>
      <c r="I2" t="inlineStr">
        <is>
          <t>**THIS IS AN OPPORTUNITY TO LEVEL\-UP YOUR CAREER IN THE ID/DD FIELD!**
**ANIBIC, Inc. is a nonprofit organization that provides various quality services that enhance the lives of adults with intellectual disabilities.**
Our Day Habilitation Program is seeking a Program Manager at our Manhasset, Long Island location.
**This is the perfect opportunity for:**
* A DSP with leadership experience in a Day Hab Program and who wants an opportunity to positively impact the work environment in a higher level position!
* A current Day Hab Manager looking for a change!
**JOB SUMMARY**
The Day Hab Program Manager is responsible for overseeing and managing the daily operations and services that are provided to approximately 35 adults. The Day Hab Manager is responsible for the development, coordination, implementation and monitoring of program services and the supervision of staff.
**EMPLOYEE BENEFITS** 
* Low\-Cost, High\-Quality Healthcare Insurance PLUS a Supplemental Visa Cash Card to offset healthcare costs (ie. co\-pays and prescriptions).
* Various Employee Discounts through our healthcare program for wellness and physical fitness programs (and others!)
* Paid Time Off (Sick, Personal, Holidays) which advances work / life balance.
* Life Insurance
* Dental / Vision Insurance
* Retirement / 403B Employer Match
* Paid training and on\-site certifications
* An inclusive and diverse team environment
* Career Advancement Opportunities
**JOB RESPONSIBILITIES**
* Develop and design the individuals’ Program Staff Action Plans that complies with regulatory standards, and professional standards of practices.
* Supervise. lead and inspire Direct Support Professionals in the performance of all day\-to\-day activities and responsibilities.
* Conduct job appraisals and disciplinary actions when needed.
* Ensure that the individuals have a safe and clean environment, free of abuse and neglect.
* Ensure community inclusion activities are based on Individual interests, preferences and choice with an ongoing dialogue with staff regarding options for community activities, development in general community integration and engagement and participation in community life.
* Ensure individuals have the freedom to move from setting to setting, has access to community settings and choices regarding meals and meal times.
* Maintain contact with families, referral sources and care managers for consultation on progress to ensure appropriate delivery of services to the individuals.
* Provide ongoing in\-services/training to all staff members, and introductory training and in\-service to new employees to ensure appropriate delivery of services to the individuals.
* Ensure that all Waiver Staff Action Plans compy with OPWDD regulations
* Review all documentation to ensure regulatory compliance and optimal quality outcomes.
* Facilitate ongoing communication with the team members including, but not limited to the individual receiving services, Day Program Counselors, program nurse (when applicable), service Managers, family and residential providers (when applicable).
* Participation in the individual’s treatment team and service planning meetings.
**CORE COMPETENCIES**
* Excellent leadership and supervisory skills. Prior experience leading diverse groups of people and optimizing team engagement.
* Ability to use computer technology to complete various reports
* Ability to coach, teach and role model for employees
* Excellent communication skills
* Organizational skills
* Initiative and Problem Solving Skills
**QUALIFICATIONS**
* A Bachelor's Degree in the human services or related field.
* Driver's License is required.
* 3 or more years of experience working in a Day Hab Program setting with ID/DD population.
* Prior leadership experience (in the ID/DD field / OPWDD governed services preferred)
**ANIBIC's Commitment to Equal Opportunity in Employment:**
ANIBIC provides equal employment opportunities to all employees and applicants for employment without regard to race, color, national origin, ethnicity, gender, religion, sexual orientation, age, familial status, military status, disability and any other characteristic protected by federal, state, or local laws. This policy applies to all aspects of employment including hiring, promotion, demotion, compensation, training, working conditions, transfer, job assignments, benefits, layoff, and termination.
**ANIBIC's Commitment to Human\-Driven Hiring Processes:**
In alignment with our commitment to transparency and fair hiring practices, our hiring process is fully human driven. We do not use AI to screen, score, or select applicants. All candidate evaluations are conducted by human reviewers.
Job Type: Full\-time
Pay: $58,000\.00 \- $66,300\.00 per year
Benefits:
* 403(b)
* Dental insurance
* Employee discount
* Health insurance
* Life insurance
* Paid time off
* Professional development assistance
* Referral program
* Retirement plan
* Vision insurance
Application Question(s):
* Do you have experience working in a Day Habilitation Program?
* Do you have at least 3 or more years of experience working in a program that serves people with Developmental Disabilities?
* Driving is a requirement. Do you possess a valid Driver's license?
* Do you have prior supervisory experience in a program serving people with Developmental Disabilities?
Education:
* Bachelor's (Required)
Ability to Relocate:
* Manhasset, NY: Relocate before starting work (Required)
Work Location: In person</t>
        </is>
      </c>
    </row>
    <row r="3">
      <c r="A3" t="inlineStr">
        <is>
          <t>in-6d9d107adc11d750</t>
        </is>
      </c>
      <c r="B3" t="inlineStr">
        <is>
          <t>Senior Program Manager-ADA Compliance</t>
        </is>
      </c>
      <c r="C3" t="inlineStr">
        <is>
          <t>Sound Transit</t>
        </is>
      </c>
      <c r="D3" t="inlineStr">
        <is>
          <t>indeed</t>
        </is>
      </c>
      <c r="E3" t="inlineStr"/>
      <c r="F3" t="inlineStr"/>
      <c r="G3" t="inlineStr">
        <is>
          <t>Seattle, WA, US</t>
        </is>
      </c>
      <c r="H3" s="2" t="n">
        <v>46051</v>
      </c>
      <c r="I3" t="inlineStr">
        <is>
          <t>**Salary range is $81k to $180k with a midpoint of $129k. New hires typically receive between minimum and midpoint, however, we may go slightly higher based on experience, internal equity and market.**
**Sound Transit also offers a competitive** **benefits package** **with a wide range of offerings, including:**
* **Health Benefits: We offer two choices of medical plans, a dental plan, and a vision plan all at no cost for employee coverage; comprehensive benefits for employees and eligible dependents, including a spouse or domestic partner.**
* **Long\-Term Disability and Life Insurance.**
* **Employee Assistance Program.**
* **Retirement Plans: 401a – 10% of employee contribution with a 12% match by Sound Transit; 457b – up to IRS maximum (employee only contribution).**
* **Paid Time Off: Employees accrue 25 days of paid time off annually with increases at four, eight and twelve years of service. Employees at the director level and up accrue additional days. We also observe 12 paid holidays and provide up to 2 paid floating holidays and up to 2 paid volunteer days per year.**
* **Parental Leave: 12 weeks of parental leave for new parents.**
* **Pet Insurance.**
* **ORCA Card: All full\-time employees will receive an ORCA card at no cost.**
* **Tuition Reimbursement: Sound Transit will pay up to $5,000 annually for approved tuition expenses.**
* **Compensation Practices: We offer competitive salaries based on market rates and internal equity. In addition to compensation and benefits, you’ll find that we provide work\-life balance, opportunities for professional development and recognition from your colleagues.**
**GENERAL PURPOSE:**
Reporting to the Director – Civil Rights Compliance and under general direction, the Senior Program Manager – ADA Compliance (ADA) is responsible for management of the agency’s ADA program. The Senior Program Manager \- ADA is responsible for monitoring and implementing the Agency’s ADA program to ensure compliance with all applicable federal/state laws, applicable Federal Transit Administration guidelines and requirements, and other applicable regulatory agency guidelines. Supports and may lead the development of related policies and programs, oversees and may conduct complaints and investigations, prepares the ADA Program and reports, and creates and delivers training and technical assistance.
**ESSENTIAL FUNCTIONS:**
*The following duties are a representative summary of the primary duties and responsibilities. Incumbent(s) may not be required to perform all duties listed and may be required to perform additional, position\-specific duties.*
* Responsible for the development, management, and implementation of the Agency's ADA Program.
* Oversees and may lead ADA consultations and investigations.
* Supports the development of comprehensive ADA compliance processes and procedures.
* Prepares and submits Federal Transit Administration (FTA) reports including semi\-annual reports, ADA Program and Triennial Review.
* Serves as the Agency’s designated ADA compliance contact and ensures compliance with federal regulatory guidelines.
* Coordinates with departments on applicable federal requirements for reviews and audits, develops responses, and develops audit and review mitigation and corrective action plans.
* Develops, oversees, and may facilitate ADA training.
* Provides technical assistance on ADA issues to staff, contractors, and operating partners.
* Creates and conducts outreach programs that support and expand the mission of the ADA Program; coordinates with Marketing and Communications Department to create a communications strategy and message for the ADA Program.
* Translates ADA best practices into readily consumable resources and programs aligned to business needs.
* Conducts research into current rules and regulations, create new and modified policies, obtain legal guidance as required, analyze relevant information to compile reports, and advise management.
* May monitor and report Prime/General contractor, sub\-contractor, and sub\-recipient ADA compliance; recommend corrective action when appropriate; conducts ADA on\-site compliance reviews.
* Participates and attends meetings with interest groups, community\-based organizations and regional partners as appropriate.
* Supervises, trains, coaches, and motivates the ADA compliance team; coordinates and provides training and growth opportunities, assists in the management of the workflow and prioritization of projects.
* May lead and/or support special projects.
* Champions and models Sound Transit's core values and demonstrates values\-based behaviors in everyday interactions across the agency.
* Contributes to a culture of diversity, equity and inclusion in alignment with Sound Transit’s Equity \&amp; Inclusion Policy.
* It is the responsibility of all employees to follow the Agency safety rules, regulations, and procedures pertaining to their assigned duties and responsibilities, which could include systems, operations, and/or other employees.
* It is the responsibility of all employees to integrate sustainability into everyday business practices.
* Other duties as assigned.
**MINIMUM QUALIFICATIONS:**
**Education and Experience:** Bachelor’s degree in Public Administration, Business Administration, or a related field. Five years of experience in managing ADA and passenger accessibility in a non\-profit, public sector or service environment preferred; Or an equivalent combination of education and experience.
**Required Licenses and Certifications:**
* Valid drivers license. This position is responsible for field inspections and attending community events, when public transportation might not be available.
**Required Knowledge and Skills:**
* Advanced knowledge of ADA compliance requirements (ADA).
* Applicable Civil Rights laws, rules, regulations, and policies.
* Exceptional program/project management skills and a proven ability to manage a complex portfolio of work.
* Interpreting and administering policies and procedures sufficient to administer, discuss, resolve, and explain them to staff and other constituencies.
* Establishing and maintaining effective working relationships with other division staff, management, vendors, outside agencies, community groups, and the general public.
* Advanced knowledge of investigation processes including customer service methods, conflict management, and problem solving.
* State and federal regulations related to area of assignment.
* Utilizing necessary personal computer software programs to fulfill assigned work including compiling and preparing spreadsheets and a variety of specialized reports.
* Preparing and analyzing complex data and numerical computations.
* Effective oral and written communication.
* Team leadership and supervisory principles, methods, and techniques.
**Physical Demands / Work Environment:**
* Work is performed in a hybrid field, office environment.
* This position is responsible for conducting field inspections and attending community events; may be subject to working weekends and nights.
* Positions working in field may occasionally be exposed to dangerous machinery, extreme weather conditions, physical harm, hazardous chemicals, and/or extreme noise.
* The Agency promotes a safe and healthy work environment and provides appropriate safety and equipment training for all personnel as required.
***Sound Transit is an equal employment opportunity employer. No person is unlawfully excluded from employment action based on race, color, religion, national origin, sex (including gender identity, sexual orientation and pregnancy), age, genetic information, disability, veteran status or other protected class.***</t>
        </is>
      </c>
    </row>
    <row r="4">
      <c r="A4" t="inlineStr">
        <is>
          <t>in-aafd90bb413c2f7d</t>
        </is>
      </c>
      <c r="B4" t="inlineStr">
        <is>
          <t>AI Product Manager</t>
        </is>
      </c>
      <c r="C4" t="inlineStr">
        <is>
          <t>CommandLink</t>
        </is>
      </c>
      <c r="D4" t="inlineStr">
        <is>
          <t>indeed</t>
        </is>
      </c>
      <c r="E4" t="inlineStr"/>
      <c r="F4" t="inlineStr"/>
      <c r="G4" t="inlineStr">
        <is>
          <t>Remote, US</t>
        </is>
      </c>
      <c r="H4" s="2" t="n">
        <v>46051</v>
      </c>
      <c r="I4" t="inlineStr">
        <is>
          <t>**About Command\|Link**
Command\|Link is a global SaaS Platform providing network, voice services, and IT security solutions, helping corporations consolidate their core infrastructure into a single vendor and layering on a proprietary single pane of glass platform. Command\|Link has revolutionized the IT industry by tackling the problems our competitors create. In recognition for our unprecedented innovation and dedication, Command\|Link was recognized as the SD\-WAN Product of the Year, ITSM Visionary Spotlight, UCaaS Product of the Year, NaaS Product of the Year, Supplier of the Year, and the AT\&amp;T Strategic Growth Partner. Command\|Link has built the only IT platform for scale that solves ISP vendor sprawl and IT headaches. We make it easy for our customers to get more done, maximize uptime and improve the bottom line.
Learn more about us here!
 **This is a remote position open to candidates residing in the following states:** Alabama, Arizona, Arkansas, Florida, Georgia, Indiana, Kansas, Kentucky, Louisiana, Maryland, Michigan, Mississippi, Missouri, Nevada, New Hampshire, North Carolina, Ohio, Oklahoma, South Carolina, Tennessee, Texas, Utah, Virginia, Wisconsin
 **About your new role:**
We’re looking for a Technical Product Manager who sits at the intersection of product strategy, engineering execution, and AI\-accelerated development. This is not a “write tickets and run ceremonies” PM role. You’ll work directly with engineers using tools like Cursor, Claude Code, copilot, and internal agents to ship faster, validate ideas earlier, and get product into customers’ hands with real business impact.
You’ll be responsible for turning customer problems and revenue opportunities into clear, technically grounded product direction, while leveraging AI\-first workflows to increase velocity, quality, and learning speed across the team. This role is ideal for a PM who is deeply technical, comfortable reading code, and excited about how agentic tools are reshaping how products get built.
 **Key Responsibilities:**
* Own product outcomes from problem discovery to shipped product to revenue impact.
* Translate customer, sales, and market inputs into clear, technically actionable requirements.
* Partner tightly with engineering to define scope, tradeoffs, and sequencing.
* Actively use AI development tools (Cursor, Claude Code, copilots, internal agents) to:
	+ Prototype workflows and features.
	+ Validate technical approaches early.
	+ Reduce iteration cycles between idea and implementation.
* Drive fast feedback loops using MVPs, experiments, and real customer usage.
* Balance speed and quality while keeping the team focused on high\-leverage work.
* Align roadmap priorities to ARR growth, retention, and expansion opportunities.
* Serve as a strong technical voice in product discussions with leadership, sales, and customers.
 **What you'll need for success:**
* 5\+ years of Product Management experience in technical or platform\-heavy products
* Strong technical foundation comfortable with reading code, understanding system architecture and discussing tradeoffs with engineers.
* Hands\-on experience with AI\-assisted development tools (Cursor, Claude Code, GitHub Copilot, internal agents, etc.)
* Proven track record of shipping products that drive measurable business results
* Experience working in high\-growth, fast\-iteration environments
* Customer\-obsessed mindset with strong product intuition
* Clear communicator who can align engineering, sales, and leadership around outcomes
 **Why you'll love life at Command\|Link**
Join us at CommandLink, where you'll have the opportunity to shape the future of business communication. We value the innovative spirit and seek individuals ready to bring their unique vision and expertise to a team that values bold ideas and strategic thinking. Are you ready to make an impact?
* Room to grow at a high\-growth company
* An environment that celebrates ideas and innovation
* Your work will have a tangible impact
* Generous Medical, Dental, and Vision coverage for full\-time employees
* Flexible time off
* 401k to help you save for the future
* Fun events at cool locations
* Free DoorDash lunches on Fridays
* Employee referral bonuses to encourage the addition of great new people to the team
Commandlink hires individuals in a number of geographic regions and the pay ranges listed reflect the cost of labor across these regions. The base pay for this position as displayed at the bottom of the job description is a range based on our lowest geographic region, up to our highest geographic region. Pay is based on location among other factors, such as skill\-set, experience, and qualifications held.
At CommandLink, we’re committed to creating a fair, consistent, and efficient hiring experience. As part of our process, we use AI\-assisted tools to help review and analyze applications. These tools support our recruiting team by identifying qualifications and experience that align with the requirements of each role.
AI tools are used only to assist in the evaluation process — they do not make final hiring decisions. Every application is reviewed by a member of our recruiting or hiring team before any decisions are made.
 **The pay range for this role is:**  
100,000 \- 145,000 USD per year(Remote (United States))</t>
        </is>
      </c>
    </row>
    <row r="5">
      <c r="A5" t="inlineStr">
        <is>
          <t>in-8665d4533c1e19f8</t>
        </is>
      </c>
      <c r="B5" t="inlineStr">
        <is>
          <t>Program Manager, Lactation and Perinatal Education</t>
        </is>
      </c>
      <c r="C5" t="inlineStr">
        <is>
          <t>Triangle Area Parenting Support</t>
        </is>
      </c>
      <c r="D5" t="inlineStr">
        <is>
          <t>indeed</t>
        </is>
      </c>
      <c r="E5" t="inlineStr"/>
      <c r="F5" t="inlineStr"/>
      <c r="G5" t="inlineStr">
        <is>
          <t>Cary, NC, US</t>
        </is>
      </c>
      <c r="H5" s="2" t="n">
        <v>46051</v>
      </c>
      <c r="I5" t="inlineStr">
        <is>
          <t>**Why You’ll Love Working at TAPS**
In addition to salary, we offer a supportive and flexible work environment designed to promote sustainability, growth, and work‑life balance. Benefits include flexible scheduling, hybrid work options, generous paid time off, professional development funding (including support for lactation certification and continuing education), and opportunities for leadership growth as programs expand. We value lived experience and community‑based knowledge alongside professional expertise. Our family‑centered leadership intentionally builds a workplace that reflects the same values of care, authenticity, and respect that we promote in our programs.
**Position Overview:**
The TAPS Program Manager responsible for Lactation and Perinatal Education oversees the planning, coordination, and growth of our perinatal education programs and our breastfeeding support program. This role blends program management, relationship building, data \&amp; evaluation, and storytelling together so that families receive the culturally responsive, high\-quality support and education they desire in an inclusive and accessible way that provides a hand up, not a handout. The program manager works closely with our community\-based lactation support facilitators, community experts \&amp; consultants, as well as other community partners to strengthen maternal and infant health outcomes across our region.
**Key Responsibilities:**
Program Coordination \&amp; Delivery
* Plan, coordinate, and oversee lactation education classes, support groups, and related program offerings.
* Collaborate with and grow the team of community\-based lactation specialists, IBCLC consultants, peer counselors, and lactation students to ensure consistent, high\-quality service delivery.
* Provide or co\-facilitate lactation education and support groups as needed.
**Supervision \&amp; Team Support**
* Supervise and support TAPS lactation workforce development program including providing technical assistance and support to CBS students and peer facilitators.
* Supervise and coordination scheduling, communication, and mentorship for the team of educators and support providers.
* Serve as a point of contact for lactation consultants and contracted providers.
**Data \&amp; Program Management**
* Manage communication automations, client registrations, class/group attendance, and program evaluation data.
* Support continuous quality improvement through data\-informed decision\-making and reporting.
* Collect survey results and manage databases for program evaluation purposes and grant reporting.
**Outreach and Communications:**
* Work with staff and community partners to promote programs to target audiences, existing clients, and community partners.
* Support broad community outreach by engaging with public health departments, hospitals, pediatric offices and community health providers.
* Collaborate with leadership on program visibility and engagement efforts
**Partnerships and Relationship Management:**
* Maintain and grow relationships with community partners, health systems, and referral sources.
* Represent the organization and its mission with professionalism, warmth, and clarity.
**Storytelling \&amp; Impact**
* Collect participant stories and program highlights in collaboration with leadership and staff.
* Contribute to newsletters, donor communications, and community\-facing materials.
**Additional duties as assigned.**
**Qualifications/Skills:**
**Required / Strongly Preferred**
* Certification as a lactation counselor (CBS, CLC, or IBCLC preferred).
* Experience triaging feeding questions/issues and making referrals as needed.
* Experience leading lactation support groups and/or supervising peer\-support group leaders.
* Experience providing lactation education / prenatal lactation education in a classroom format.
* Passion for Maternal and infant health and mental health.
* Passion for reducing disparities and filling service gaps existing in maternal and infant health and mental health.
**Skills \&amp; Attributes**
* Detail oriented – able to keep up with details from multiple programs, clients, and partners.
* Strong relationship builder with a warm, people centered approach.
* Comfortable working Independently while collaborating with a team.
* Excellent verbal and written communication skills.
* Cross\-Cultural Collaborator \- fluently navigates communication with clients, families and professionals from multiple cultural backgrounds.
* Bilingual English / Spanish conversational fluency strongly preferred.
* Life\-long learner – eager to learn new skills and advance one’s knowledge to be able to better serve and support the community.
* Proficiency in WhatsApp, Zoom, Google Workspace and Microsoft office.
* Experience with MS Forms, MS Smart Sheets, SharePoint, MS Teams, MS Excel, MS Word.
Pay: $40,000\.00 \- $55,000\.00 per year
Benefits:
* Continuing education credits
* Flexible schedule
* Paid time off
* Professional development assistance
* Travel reimbursement
Language:
* English and Spanish fluently (Preferred)
Ability to Commute:
* Cary, NC 27511 (Preferred)
Work Location: In person</t>
        </is>
      </c>
    </row>
    <row r="6">
      <c r="A6" t="inlineStr">
        <is>
          <t>in-b61ed398b742d121</t>
        </is>
      </c>
      <c r="B6" t="inlineStr">
        <is>
          <t>Military Medicine Research Program Manager</t>
        </is>
      </c>
      <c r="C6" t="inlineStr">
        <is>
          <t>Knowesis Inc.</t>
        </is>
      </c>
      <c r="D6" t="inlineStr">
        <is>
          <t>indeed</t>
        </is>
      </c>
      <c r="E6" t="inlineStr"/>
      <c r="F6" t="inlineStr"/>
      <c r="G6" t="inlineStr">
        <is>
          <t>Frederick, MD, US</t>
        </is>
      </c>
      <c r="H6" s="2" t="n">
        <v>46051</v>
      </c>
      <c r="I6" t="inlineStr">
        <is>
          <t>**Position:** Military Medicine Research Program Manager  
**Location:** Frederick, MD
**Security Clearance:** Public Trust  
**Work Environment:** Hybrid  
**Status:** Funded
**Salary Range:** $110,000\-$140,000  
Knowesis is currently seeking an experienced Military Medicine Research Program Manager with subject matter and grants management expertise in multiple military medical research areas to support the Science and Technology (S\&amp;T) Portfolios for the Defense Health Agency (DHA) Research and Engineering Directorate. This hybrid position is in Frederick, MD.  
This position requires a Public Trust and U.S. Citizenship (applicants without proof of US citizenship will not be considered due to the position’s security clearance requirement).  
The Military Medicine Research Program Manager (PM) will provide execution management expertise in the management of S\&amp;T awards and will provide scientific input and support to various DHA S\&amp;T Portfolio Managers.
**The Job Duties and Responsibilities include, but are not limited to, the following:**
* Provide execution management support for a wide array of S\&amp;T awards of varying levels of complexity and across multiple research portfolios.
* Provide support to the Portfolio Manager of one or more of the DHA S\&amp;T Portfolios as a collaborative member of the Portfolio team in managing research budget and execution activities, and in the assessment of the scientific quality, merit, military programmatic relevance, and progress of funded research.
* Assist in composing funding opportunity announcements and drafting solicitations for research to support the Portfolio objectives.
* Review research proposals for scientific and programmatic merit
* Assist in monitoring progress, outcomes, changes, and issues related to funded research projects.
* Develop and maintain electronic master files to track the progress of research projects including briefings, spreadsheets, and databases.
* Attend meetings and coordinate activities with DoD, other Federal agencies, academic, and industry laboratories.
* Prepare information papers, special studies, and analyses in response to taskings.
* Communicate with intramural and extramural principal investigators on award status and progress.
* Prepare and submit research management and Congressional reports.
* Assist in planning and coordinating technical meetings, workshops, and peer reviews and attend briefings/meetings/conferences.
* Prepare reports documenting budgetary status, schedule, and technical progress of funded research.
**Required Qualifications:**
* Master's degree
* Minimum of 3 years of experience in performing or managing infectious disease, sensory systems, combat casualty care, psychological health, or related research in a federal or DOD research environment
* Minimum of 5 years of experience leading the management of one or more federal\-funded research portfolios with military relevance, including strategy development, budget management, investment planning, solicitation development, and scientific review of research proposals.
* Minimum of 3 years of experience managing the cost, schedule, and performance of funded scientific research to achieve program objectives, milestones and deliverables, ensuring timely execution of funds.
* Excellent oral and written communication skills and ability to depict complex systems and processes in logical, comprehensive, concise reports, presentations, or graphics.
* High degree of professionalism, ensuring that products and communications are technically accurate and of professional quality.
* Demonstrates leadership in activities, as appropriate.
* Highly flexible and adaptable in applying research program management skills to research portfolios with different subject matter focus.
* Uses innovative, creative approaches when necessary (to meet novel needs and/or solve problems).
* Proficiency using Microsoft Office (e.g., Teams, Outlook, PowerPoint, Excel, SharePoint).
* Must work effectively and collaboratively in a team environment.
**Preferred Qualifications:**
* Previous work in program management in the DoD scientific research environment.
* Experience with, or understanding of, DoD Research, Development, Test, and Evaluation (RDT\&amp;E) funding.
* Experience in oversight and management of science and technology research in support of DoD requirements, particularly related to military medicine.
* Experience in grants management.
**Benefits:**
* Health (PPO \&amp; HDHP) Paid Time Off
* Company Paid STD \&amp; LTD, and Basic Life Insurance
* 401k Company Match
* Paid Time Off
* Multiple Voluntary Products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7">
      <c r="A7" t="inlineStr">
        <is>
          <t>in-f9bb7c0b5cea5208</t>
        </is>
      </c>
      <c r="B7" t="inlineStr">
        <is>
          <t>Technical Program Manager</t>
        </is>
      </c>
      <c r="C7" t="inlineStr">
        <is>
          <t>Clark Construction</t>
        </is>
      </c>
      <c r="D7" t="inlineStr">
        <is>
          <t>indeed</t>
        </is>
      </c>
      <c r="E7" t="inlineStr"/>
      <c r="F7" t="inlineStr"/>
      <c r="G7" t="inlineStr">
        <is>
          <t>McLean, VA, US</t>
        </is>
      </c>
      <c r="H7" s="2" t="n">
        <v>46050</v>
      </c>
      <c r="I7" t="inlineStr">
        <is>
          <t>We are seeking an experienced and highly motivated Technical Program Manager to join our Enterprise Applications team. This role serves as the project management expert for a dynamic portfolio of IT initiatives, acting as the critical link between our business stakeholders and our technical development teams. The Technical Program Manager will be responsible for prioritizing incoming project requests, managing the full technical project lifecycle, and ensuring the efficient and timely delivery of high\-quality enterprise application solutions that support our evolving business needs.
This is an onsite role in our McLean, VA office.
**Responsibilities**
* Drive the end\-to\-end execution of multiple, complex technical projects within the Enterprise Applications portfolio, ensuring they are delivered on time, within scope, and on budget
* Collaborate with business stakeholders and IT leadership to intake, evaluate, and prioritize technical project requests, ensuring alignment with overall business strategy and IT roadmaps
* Oversee all stages of the full technical project lifecycle, from initial concept and requirements definition through planning, execution, deployment, and post\-implementation review
* Lead change management efforts across technical implementations, including developing communication plans and training to maximize user adoption and minimize business impact
* Drive cross\-functional problem\-solving, influencing diverse teams and stakeholders to diagnose complex issues and align on effective, sustainable technical resolutions
* Lead technical teams in the adoption and execution of Agile methodologies, including the facilitation of ceremonies such as sprint planning, daily stand\-ups, reviews, and retrospectives
* Act as the primary communication liaison between technical teams (developers, engineers, architects) and non\-technical stakeholders (business units, leadership)
* Proactively identify, track, and mitigate technical, schedule, and resource risks, escalating issues to leadership as necessary to ensure project momentum
* Develop and maintain program status reports and dashboards, tracking key performance indicators (KPIs) and Agile metrics (e.g., velocity, burn\-down charts) to provide clear visibility to all stakeholders
* Champion and contribute to the continuous improvement of program management, project delivery processes, and governance standards within the Enterprise Applications team
**Basic Qualifications**
* 4\+ years of dedicated experience in Technical Program Management, Technical Project Management, or a similar role managing the full lifecycle of technical projects
* Demonstrated experience guiding technical programs from initiation through delivery and closure, specifically with technical projects for a business or enterprise application team
* Proven expertise with Agile methodologies, including strong proficiency in sprint planning and backlog refinement
* Excellent verbal and written communication skills with the ability to effectively translate complex technical concepts for both technical and non\-technical audiences
* Strong analytical and problem\-solving skills with a track record of identifying risks and driving decisive action
* Alignment to Clark Standards of Excellence: Self\-Motivated, Results Oriented, Adaptable, Team Player, Accountable, Ethical, Innovative, Resilient, Builds Relationships, Builds People / Teams \&amp; Followership, Sets Direction \&amp; Executes
**Preferred Qualifications**
* Bachelor’s degree in Computer Science, Information Technology, Engineering, or a related field, or equivalent practical experience
* 4\+ years of experience in technical project management, IT project delivery, or technical leadership
* Experience serving as a Scrum Master for one or more technical teams
* Relevant professional certification (e.g., PMP, Certified ScrumMaster \- CSM, or a Scaled Agile Framework certification)
* Experience with project management and collaboration tools (e.g., JIRA, Confluence, Microsoft Project)
* Familiarity with systems related to the construction or engineering industries (e.g., ERP, Financial Systems, Field Applications)
The work environment and requirements described below are representative of those necessary for an employee to successfully perform the essential functions of this role.
**The Physical Side of the Role:** Given that a good portion of your day will be spent at a desk, you should be comfortable with prolonged periods of focused work, whether it's collaborating with colleagues, analyzing data, or developing strategies. The role demands effective communication and sharp visual acuity for reviewing complex documents and performing detailed computer work. While there are times for quiet concentration, you'll also be expected to move actively throughout the office and travel occasionally to various locations, including dynamic construction sites, utilizing different modes of transportation. The ability to lift and move objects up to 10 pounds regularly, and up to 25 pounds on occasion (think a box of files or small office equipment), is also required.
**Your Work Environment:** Your primary workspace will be in our professional office, which has a typical, quiet\-to\-moderate noise and light levels. As part of your work, you may also be required to visit active construction sites. These environments are naturally more dynamic and can include exposure to outdoor weather conditions, louder noise, and moving equipment. Your safety is our top priority, and you'll be expected to follow Clark Construction's safety policies and procedures, and all applicable laws, at all locations.
**Our High\-Performing Culture:** This is a demanding, high\-performance environment. We are looking for candidates who are energized by challenge, thrive under pressure, and are prepared to do what it takes to achieve exceptional results. Success in this role requires significant commitment, including flexibility to work extended hours, especially during critical project phases or client deadlines. Beyond regular working hours, there will be occasions where business needs require your attention, particularly for time\-sensitive matters or emergencies. You are expected to monitor and respond to communications (phone calls, emails, text messages) as required to address these situations effectively. Your ability to manage these expectations and be responsive when critical issues arise is key to your success in this role and our collective success as a team.  
**A Drug Free Workplace:** Clark promotes a drug free workplace. A pre\-employment drug “fitness for duty” screening is required, and the company conducts random quarterly drug “fitness for duty” tests.
\#LI\-CO2</t>
        </is>
      </c>
    </row>
    <row r="8">
      <c r="A8" t="inlineStr">
        <is>
          <t>in-e9c79bc25d31295e</t>
        </is>
      </c>
      <c r="B8" t="inlineStr">
        <is>
          <t>Technical Product Manager</t>
        </is>
      </c>
      <c r="C8" t="inlineStr">
        <is>
          <t>Sono Bello</t>
        </is>
      </c>
      <c r="D8" t="inlineStr">
        <is>
          <t>indeed</t>
        </is>
      </c>
      <c r="E8" t="inlineStr"/>
      <c r="F8" t="inlineStr"/>
      <c r="G8" t="inlineStr">
        <is>
          <t>Bellevue, WA, US</t>
        </is>
      </c>
      <c r="H8" s="2" t="n">
        <v>46050</v>
      </c>
      <c r="I8" t="inlineStr">
        <is>
          <t>Sono Bello is America's top cosmetic surgery specialist, with 185\+ board\-certified surgeons who have performed over 300,000 laser liposuction and body contouring procedures. A career at Sono Bello means being part of a dynamic and high\-energy work environment where every team member can make a difference. We love what we do, and it shows! We believe everyone deserves to have their best body today and pursue their best life now.
***This position is based on\-site in the Greater Seattle Area.***
A career at Sono Bello means being part of a dynamic, high\-energy work environment where every team member can make a difference. We love what we do, and it shows. As the national leader in providing cutting\-edge, personalized body transformations, we believe everyone deserves their best body today and the opportunity to pursue their best life now. With over 100 locations, Sono Bello is the largest and fastest\-growing cosmetic surgery practice in the nation.
The Technical Product Manager leads the definition, prioritization, and delivery of technology solutions that support Sono Bello's Patient Journey, including lead lifecycle, marketing platforms, and call center work flows. This role works closely with Technology, Marketing, and the Call Center to turn business needs into clear product requirements, user stories, and features.
The TPM helps evolve Sono Bello's marketing technology stack by ensuring systems and data are well integrated to support customer acquisition, lead conversion, and digital engagement
This role requires strong technical skills, experience in modern software development environments, and the ability to partner effectively with engineers, data teams, vendors, and business stakeholders.
**ESSENTIAL DUTIES AND RESPONSIBILTIES:**
* **Product Strategy \&amp; Road mapping**
	+ Develop and maintain the product roadmap for Sono Bello Patient Journey, including lead management, digital experience, automation, and call\-center systems.
	+ Translate business goals into actionable product initiatives grounded in data, customer insights, and operational needs.
	+ Define and measure success metrics/KPIs for product features.**User Stories \&amp; Requirements Development**
	+ Convert business requirements into detailed **user stories**, workflows, and acceptance criteria for engineering teams.
	+ Facilitate backlog grooming and feature prioritization across Technology, Marketing, and Call Center leadership.
	+ Ensure requirements reflect both business value and technical feasibility.**Cross\-Functional Collaboration**
	+ Partner closely with Engineering, Data Science, and DevOps to ensure seamless delivery of platform changes and enhancements.
	+ Work directly with Marketing and PAC to deeply understand user needs, pain points, and process requirements.
	+ Coordinate delivery across multiple teams, ensuring alignment on goals, dependencies, and timelines.  
**Technical Ownership \&amp; Execution**
	+ Maintain a deep understanding of integrated technology stacks: marketing automation, CRM, contact center systems, CDPs, APIs, and data pipelines
	+ Serve as the subject matter expert for system behavior, integrations, and workflows
	+ Validate features pre\- and post\-release to ensure quality, usability, and expected business outcomes
	+ Partner with third\-party vendors and engineering teams to scope work, manage deliverables, and evaluate new capabilities.
**REQUIRED SKILLS AND ABILITIES:**
* 5–8\+ years of experience as a Product Manager, Product Owner, Business Systems Analyst, or Technical Program Manager.
* Demonstrated experience working with **software engineering lifecycles**, agile methodologies, and backlog management.
* Strong technical skills and experience with modern marketing and CRM platforms, including marketing automation, CDPs, CRMs, and contact center tools
* Ability to define user stories, functional requirements, and acceptance criteria with clarity and precision.
* Experience working cross functional teams
* Excellent communication skillable to translate between business and technical audiences.
**EDUCATION AND EXPERIENCE REQUIRED:**
* Experience supporting call center operations, lead lifecycle management, or customer acquisition systems.
* Experience with workflow automation, customer data platforms (CDPs), and omnichannel marketing systems.
* Experience using data analytics tools such as SQL, Tableau, and Kusto
* Previous Experience as a software engineer is a plus
* Bachelor's degree or equivalent experience in a STEM subject such as Computer Science, Engineering, Information Systems, Analytics, Mathematics, Physics, Applied Sciences
**WORK ENVIRONMENT:**  
Work onsite at the Corporate Office in Bellevue, WA for a minimum of 3 days a week. May work in remote office locations on Wednesdays and Fridays.
**COMPENSATION:**
At Sono Bello, we believe that our team members are the keys to our success. The compensation range for this role is $108,000 \- $135,000 depending on experience.
**BENEFITS:**
* Medical
* Dental
* Vision
* Life Insurance
* 401K
* EAP
* PTO \&amp; Paid Holidays
Pay may vary by location, and actual compensation depends on factors like qualifications, experience, skills, and business needs. Sono Bello may adjust this range in the future. Full\-time employees may also receive benefits such as incentives, equity, health coverage, 401(k) matching, paid time off, and parental leave.
Benefits Package includes Medical, Dental, Vision, Life Insurance, 401K, EAP, PTO, and Paid Holidays.
For applicants located in CA: link</t>
        </is>
      </c>
    </row>
    <row r="9">
      <c r="A9" t="inlineStr">
        <is>
          <t>in-34ed9d108e5121a7</t>
        </is>
      </c>
      <c r="B9" t="inlineStr">
        <is>
          <t>Product Owner/Senior Product Owner</t>
        </is>
      </c>
      <c r="C9" t="inlineStr">
        <is>
          <t>AIPSO</t>
        </is>
      </c>
      <c r="D9" t="inlineStr">
        <is>
          <t>indeed</t>
        </is>
      </c>
      <c r="E9" t="inlineStr"/>
      <c r="F9" t="inlineStr"/>
      <c r="G9" t="inlineStr">
        <is>
          <t>Johnston, RI, US</t>
        </is>
      </c>
      <c r="H9" s="2" t="n">
        <v>46050</v>
      </c>
      <c r="I9" t="inlineStr">
        <is>
          <t>AIPSO is a management organization and service provider for various insurance industry groups responsible for administering the residual market. We are a national organization that serves local customer needs. Centralization and standardization are key to many AIPSO services because of the inherent economies of scale and other efficiencies. However, our organization is based on customer focus and recognizes the need for flexibility in serving customer groups with diverse interests.  
**Essential Duties \&amp; Responsibilities**
* Refine the backlog; ensure the product backlog items are clearly defined and properly estimated with sizing; follow up with key stakeholders to confirm and clarify understanding of requirements.
* Act as a customer advocate and as the primary link to the business and technology strategy; work with stakeholders to assess value, develop cases, and prioritize epics, features, and stories to ensure work aligns with product strategy; evaluate options especially in the areas of risk and issue resolution, and functionality needed to address capability gaps.
* Work closely with the internal teams to track and identify dependencies and coordinate data releases with software releases when needed.
* Develop user stories and acceptance criteria using accepted business analysis standards and incorporate into the product roadmap.
* Make decisions for the features to include in each sprint release based on the value delivered to customers; monitor and make decisions on test failures; as well as resolving any resource assignment conflicts.
* Facilitate regular communications with stakeholders and remediate any disconnects; regularly share status with cross functional teams.
* Facilitate regular standups and track release burndown at the story, feature, and epic level. Resolve issues and blockers for the team; communicate and escalate issues appropriately through all applicable channels when issues arise.
* Refine our agile methodology based on results and feedback.
**Education**  
Bachelor's degree (BA/BS) from four\-year college or university preferred. Additional appropriate experience will be considered in lieu of a degree.
**Experience**  
3 or more years of experience as a Product Owner/Product Manager role. Insurance industry experience and an understanding of Policy Administration Systems required. Commercial automobile insurance experience and/or familiarity with the residual market preferred.
**Skills/Knowledge**
* Working knowledge of Agile Frameworks, preferably Scrum and/or SAFe.
* Ability to effectively manage conflicting needs of stakeholders.
* Effective problem\-solving and critical thinking skills, including ability to analyze and break down complex issues, find the root cause of the problem, and consider a wide range of alternatives before acting.
* Demonstrate strong verbal and written communication skills, including ability to effectively present information and respond to questions from groups or individuals.
* Ability to multi\-task and demonstrate flexibility while maintaining attention to detail within established timeframe.
* Demonstrate excellent organizational and customer service skills.
* Ability to work independently and interact professionally and effectively in a team environment.
* Provide leadership by example through feedback and input in group meetings and discussions.
* Proficient in the use of Microsoft Office productivity tools (e.g. Outlook, Word, Excel, Visio) to manage work.
**Salary Range****: $82,000 \- $131,000/$97,900 \- $156,300 Annual**. Actual salary for this position will be determined by a number of factors, including the scope, complexity, and location of the role as well as the cost of labor in the market; the skills, education, training, credentials, and experience of the candidate; internal equity and other conditions of employment.  
*AIPSO is an equal opportunity employer. To this end, all employment related decisions are made on a non\-discriminatory basis and in full compliance with federal, state, and local laws prohibiting discrimination in employment.*</t>
        </is>
      </c>
    </row>
    <row r="10">
      <c r="A10" t="inlineStr">
        <is>
          <t>in-8950f3a1845752cd</t>
        </is>
      </c>
      <c r="B10" t="inlineStr">
        <is>
          <t>Program Manager - Part Time</t>
        </is>
      </c>
      <c r="C10" t="inlineStr">
        <is>
          <t>Vision Centric Inc.</t>
        </is>
      </c>
      <c r="D10" t="inlineStr">
        <is>
          <t>indeed</t>
        </is>
      </c>
      <c r="E10" t="inlineStr"/>
      <c r="F10" t="inlineStr"/>
      <c r="G10" t="inlineStr">
        <is>
          <t>Washington, DC, US</t>
        </is>
      </c>
      <c r="H10" s="2" t="n">
        <v>46050</v>
      </c>
      <c r="I10" t="inlineStr">
        <is>
          <t>Administrative / General Clerk II  
Part\-Time \| Onsite \| Camp Spring, MD \| SECRET Clearance  
The Program Manager provides overall leadership, oversight, and operational management for administrative, clerical, mail, records, and program support services delivered to agency headquarters offices. This role serves as the primary on\-site point of contact between the Government and the Contractor for performance, staffing, and operational matters.  
The Program Manager ensures contract compliance, service quality, and continuity of operations while directly overseeing staff performing administrative support functions. The position requires a strong working knowledge of administrative, records, and mail operations and the ability to step in and perform or direct those functions as mission needs require.  
KEY RESPONSIBILITIES:  
**Program \&amp; Contract Management**
* Provide overall management and direction of administrative and operational support services to ensure contract requirements, performance standards, and service\-level expectations are met.
* Actively manage staffing to prevent service disruptions and ensure adequate coverage across all functional areas.
* Identify performance issues, operational risks, and resource gaps; implement timely corrective actions.
* Assign tasks and prioritize work to ensure timely resolution of contractual and operational matters.
* Oversee subcontractor performance (if applicable), ensuring compliance with contract terms and agency requirements.
* Prepare, review, and submit required reports, deliverables, and performance updates to Government stakeholders.
* Ensure compliance with agency policies, procedures, records management standards, and security requirements.
**On\-Site Lead \&amp; Government Liaison**
* Serve as the primary point of contact for face\-to\-face communication between the Contracting Officer’s Representative (COR) and the Contractor regarding performance, staffing, and operational concerns.
* Maintain regular communication with Government leadership to address issues, clarify requirements, and support mission objectives.
* Perform On\-Site Lead duties as a primary function of the role while maintaining oversight of day\-to\-day operational responsibilities.
* Support multiple locations while being physically located at the primary duty site.
**Oversight of Administrative, Clerical \&amp; Operational Functions**
* Provide leadership and oversight of daily administrative, clerical, and office support operations.
* Oversee mailroom, file, and records management functions to ensure accuracy, timeliness, and compliance.
* Ensure proper handling, safeguarding, tracking, and accountability of sensitive, PII, FOUO, and classified information.
* Supervise workflows related to correspondence control, document preparation, records tracking, and information management.
* Oversee executive and program support functions, including scheduling, calendar management, meeting coordination, and travel support.
* Monitor administrative processes supporting time and attendance, property tracking, inventory management, and logistics.
* Ensure staff use agency systems and databases accurately and in accordance with established procedures.
* Provide hands\-on support or direct task execution during surge periods, absences, or mission\-critical events, as needed.
**Personnel Management**
* Supervise and support administrative and clerical staff, ensuring performance expectations are clearly communicated and met.
* Provide guidance, mentoring, and task direction to staff to support professional performance and contract success.
* Ensure staff training requirements are met, including security, systems, and procedural training.
* Maintain accountability for employee conduct, professionalism, and adherence to agency standards.
**Compliance, Security \&amp; Risk Management**
* Ensure compliance with COOP, EOP, security plans, and incident reporting requirements.
* Report suspected fraud, waste, abuse, security incidents, or data breaches in accordance with agency procedures.
* Ensure all staff adhere to nondisclosure agreements and confidentiality requirements.
* Monitor proper use and care of Government\-furnished equipment and property.
EDUCATION AND EXPERIENCE:  
**Education:** Bachelor’s degree in related field (required).  
**Experience:**
* Minimum of four (4\) years oof project or program management experience within the past five (5\) years.
* Experience supervising 25 or more employees supporting a high value project or contract.
* Experience supporting a federal agency or government contractor is preferred.
* Experience handling sensitive information and working in secure environments.
**Security \&amp; Clearance Requirement:**
* Active Secret Clearance required (must be able to obtain and maintain)
* Must sign and adhere to nondisclosure and confidentiality agreement.
SKILLS AND QUALIFICATIONS:
* Strong leadership, organizational, and problem\-solving skills.
* Demonstrated ability to manage personnel, workflows, and competing priorities in a fast\-paced environment.
* Working knowledge of administrative, clerical, mail, and records management operations.
* Ability to analyze performance issues and implement corrective actions.
* Excellent written and verbal communication skills, including interaction with senior Government stakeholders.
* Proficiency with Microsoft Office (Word, Excel, Outlook, PowerPoint, Teams).
* Ability to learn and oversee use of agency systems and databases.
* High level of professionalism, discretion, and attention to detail.
Our benefits package includes medical, dental, vision, Long Term Disability, Life Insurance, Short Term Disability, paid time off, paid holidays, flexible spending account, health savings account, health advocates, employee assistance program, tuition assistance program, 401k Plan ,as well as a fun and enthusiastic work environment that promotes a work/life balance!  
To Apply:  
VCI offers a team\-oriented work environment and a competitive compensation and employee benefits package. If you have a commitment to excellence and want to join our team of top caliber professionals, we invite you to submit your resume electronically.</t>
        </is>
      </c>
    </row>
    <row r="11">
      <c r="A11" t="inlineStr">
        <is>
          <t>in-9a738adc28d3c9dd</t>
        </is>
      </c>
      <c r="B11" t="inlineStr">
        <is>
          <t>Senior Technical Program Manager - Connected Warfare</t>
        </is>
      </c>
      <c r="C11" t="inlineStr">
        <is>
          <t>Anduril</t>
        </is>
      </c>
      <c r="D11" t="inlineStr">
        <is>
          <t>indeed</t>
        </is>
      </c>
      <c r="E11" t="inlineStr"/>
      <c r="F11" t="inlineStr"/>
      <c r="G11" t="inlineStr">
        <is>
          <t>Seattle, WA, US</t>
        </is>
      </c>
      <c r="H11" s="2" t="n">
        <v>46050</v>
      </c>
      <c r="I1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Are you ready to lead product development and critical test campaigns for some of the most advanced warfighter systems on the planet? Anduril's Connected Warfare team is seeking an exceptional Senior Technical Program Manager to lead test campaigns across Eagle Eye, the Army's Next Generation Command \&amp; Control (NGC2\) system, Menace of Family of Systems, and related cutting\-edge products.
**Overview**
------------
As a key leader on our team, you'll manage cross\-functional test initiatives—spanning both software and hardware—in dynamic lab and field environments. Your role is critical to ensuring our systems perform flawlessly in the modern battlespace. You'll work closely with engineering, program management, test and evaluation, and military partners, and to validate the performance of systems that are redefining defense capabilities.
**What You'll Do**
------------------
**Lead Test Campaigns:**
* Manage test planning, execution, and reporting for Eagle Eye, Next Generation Command Control, and other Connected Warfare products. Provide technical leadership to a team of test engineers through system integration, developmental, operational, and customer acceptance tests.
**Develop \&amp; Execute Verification Strategies:**
* Define robust verification protocols using requirements\-based, scenario\-based, and operationally relevant methodologies, incorporating customer standards and metrics.
**Coordinate Cross\-Functional Activities:**
* Collaborate with Program Management, Engineering, SEIT, test ranges, and external agencies. Oversee Test Readiness Reviews (TRRs), manage test incidents, and track deficiencies.
**Drive Data\-Driven Test Evaluations:**
* Supervise data analysis of system performance and mission outcomes in both lab and field settings. Establish and monitor measurable test coverage metrics ensuring traceability from requirements to validation.
**Stakeholder Engagement:**
* Represent the program at customer reviews, readiness boards, and milestone decision points, ensuring disciplined execution in both controlled and austere environments.
**Required Qualifications**
---------------------------
* Highly organized and detail\-oriented with excellent verbal and written communication skills.
* Bachelor's degree in a related field (Advanced degree preferred).
* 8\+ years of experience in system\-level test and evaluation of integrated hardware/software systems.
* Proven leadership in test teams ( 5 engineers/technicians) and management of complex multi\-site test campaigns.
* Hands\-on experience executing both developmental and operational test events in lab and field settings.
* Strong expertise in requirements development, test planning, verification/validation, and test reporting with traceability management.
* Experience with RF communications, tactical datalinks, and networked C2 systems in a DoD operational environment.
* Familiarity with industry and DoD test processes including MIL\-STD protocols.
* Proficient in test metrics definition and reporting.
* Understands customer/military use cases from first hand experience and can guide engineer team members to design and test around those related uses cases.
* Ability to travel up to 50% for test execution.
* Must be able to obtain and maintain a U.S. Secret clearance.
**Preferred Qualifications**
----------------------------
* Master's degree in a related field.
* Experience on DoD ACAT I/II programs or equivalent.
* Knowledge of EMI/EMC, environmental testing (MIL\-STD\-810\), and power/avionics standards (MIL\-STD\-1275, MIL\-STD\-1553/1760, etc.).
* Familiarity with test automation frameworks, data analysis tools, and test instrumentation.
* Experience in CI/CD pipelines, software integration, and hardware\-in\-the\-loop test environments.
* Prior experience in remote, austere, or tactical operational settings.
* Eligible for Top Secret/SCI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
      <c r="A12" t="inlineStr">
        <is>
          <t>in-19e1ff13f0090881</t>
        </is>
      </c>
      <c r="B12" t="inlineStr">
        <is>
          <t>Senior Product Manager | Specialty Legal</t>
        </is>
      </c>
      <c r="C12" t="inlineStr">
        <is>
          <t>8am</t>
        </is>
      </c>
      <c r="D12" t="inlineStr">
        <is>
          <t>indeed</t>
        </is>
      </c>
      <c r="E12" t="inlineStr"/>
      <c r="F12" t="inlineStr"/>
      <c r="G12" t="inlineStr">
        <is>
          <t>Austin, TX, US</t>
        </is>
      </c>
      <c r="H12" s="2" t="n">
        <v>46050</v>
      </c>
      <c r="I12" t="inlineStr">
        <is>
          <t>**It's a new day with a new opportunity at 8am!**
**About the role:**
We are seeking an exceptional Senior Product Manager to join 8am's specialty legal practice management group. In this role, you will leverage artificial intelligence and automation to transform how attorneys in specialized practice areas such as Immigration and Personal Injury manage cases from initial client intake through resolution, delivering greater clarity, organization, and efficiency in their daily work. This is a strategic and hands\-on role, ideal for someone who can quickly develop a strong understanding of specialty legal workflows and attorney pain points, even without a legal background, by partnering closely with domain experts and subject matter specialists while leading product strategy, customer discovery, and cross\-functional collaboration.
As Senior Product Manager, you will drive product strategy for specialty\-focused capabilities, including workflow automation, deadline tracking, case management, document handling, and client collaboration tools. You will lead cross\-functional teams within an empowered team model, working in a triad partnership with a UX Designer and Tech Lead to deliver solutions that maximize case outcomes while minimizing administrative burden. The ideal candidate is passionate about creating customer value, learns new domains quickly, and has a track record of delivering AI\-powered solutions that improve how people work. Experience in legal tech, regulatory environments, or other compliance\-heavy industries is a plus; however, a willingness to deeply engage with the specialty legal space and advocate for practitioners is essential.
**About us:**
At 8am, our vision is to power a world where professionals thrive. We start every day on a mission to empower professionals with the most trusted, innovative technology to deliver world\-class outcomes for their clients and exceptional financial results for their business. They count on our purpose\-built solutions to simplify operations, ensure compliance, and fuel profitable growth, so they can focus on their clients and do more of the work that matters.
Founded in 2005, 8am™ (formerly AffiniPay) is the professional business platform built to help legal, accounting, and other client\-focused professionals run stronger, more profitable businesses. Today, more than 250,000 professionals across the U.S. trust 8am to help them work smarter, serve clients better, and unlock their full potential. We have been recognized as one of Inc 5000's fastest growing companies in the U.S. for 13 years in a row, and as a result, our teams continue to grow as well!
**What you'll do:**
* **Product Strategy \&amp; Leadership**
	+ Develop a deep understanding of the specialty legal practice management market and the needs of attorneys, paralegals, and their clients. This includes research and quantitative data analysis to identify high\-value opportunities that increase 8am's competitive advantage.
	+ Lead collaborative discovery with your design and engineering partners to gain a deep understanding of customers' pain points. These may include complex case type management, form preparation and filing, tracking deadlines and expirations, collecting documents from clients, and coordinating with external agencies and parties. You will co\-own the identification of problems, shaping of solutions, and delivery of outcomes.
	+ Drive the strategy and vision for initiatives, defining business cases and ROI of automating routine processes, such as document intake, status tracking, deadline management, and client notifications.
	+ Leverage an understanding of bringing AI\-powered solutions to market by partnering with the AI infrastructure team to align roadmaps. This includes intelligent intake, document extraction, and workflow automation assistance.
* **Outcome\-Driven Execution**
	+ Drive continuous problem\-solving through data analysis, user feedback, and outcome measurement that directly measure customer value and outcomes created, such as case cycle times, document processing time, and client satisfaction.
	+ Lead cross\-functional alignment around outcomes, ensuring product success is measured, progress is tracked, and corrective action is taken to reach goals.
	+ Collaborate with Product Operations, Data Intelligence, and Analytics teams to establish proper measurement frameworks and dashboards.
	+ Champion customer empathy while making strategic trade\-offs when business and customer priorities conflict.
* **Cross\-Functional Leadership \&amp; Influence**
	+ Effectively influence, negotiate, and articulate strategy with stakeholders at all levels to build organizational alignment around your vision.
	+ Collaborate with Product Marketing and GTM teams to develop commercialization strategies that optimize business outcomes and enhance customer value across solo practitioners, boutique firms, and high\-volume practices.
	+ Partner with Customer Success and GTM to drive adoption and change management, ensuring customers realize measurable efficiency gains and ROI from automated workflows.
	+ Leverage AI to accelerate discovery, validation, and delivery cycles across the product team.
	+ Understand and influence the 8am product vision and strategy across the organization.
**About you:**
* 6\-8\+ years of product management experience in B2B SaaS environments, with a track record of taking complex products to market, including CRM management, CRM automation, and AI initiatives, in high\-growth, scaling organizations.
* Demonstrated ability to learn complex domains quickly and become an effective advocate for users in specialized or technical fields. Experience in legal tech, regulatory technology, compliance software, or other industries with complex workflows and regulatory requirements is a plus.
* Strong experience in customer discovery methodologies, with demonstrated ability to synthesize qualitative and quantitative insights into actionable product strategies.
* Significant hands\-on experience in discovering and delivering technology products collaboratively with UX designers and engineers.
* Proven experience leading cross\-functional initiatives without formal authority, with the ability to influence and align senior stakeholders.
* Strategic mindset with the ability to identify, create, and deliver growth initiatives in ambiguous environments.
* Business acumen with the ability to build business cases and prioritize customer needs within a business context.
* Strong analytical and communication skills. You should be able to develop clear, testable hypotheses and communicate complex strategies clearly to technical and non\-technical audiences.
* Experience with agile development methodologies and modern product tools (Jira, Confluence, Figma, analytics platforms).
* Demonstrated experience leveraging AI tools and technologies to improve workflows, enhance decision\-making, or drive innovation.
**Preferred Qualifications:**
* Experience in Legal B2B SaaS or legal technology products.
* Deep familiarity with specialty legal practice workflows, including case management, document preparation, compliance requirements, and agency or court interactions.
**Additional Information**  
The annual salary range for this position is $140,000 to $160,000\. The salary range for performing this role outside of the US / Austin / California may differ. 8am is committed to offering competitive, fair and commensurate compensation and has provided an estimated pay range for this role. Actual compensation may vary based on job\-related knowledge, skills, experience and education.  
**Why 8am:**
At 8am, our culture is shaped by the people who bring it to life every day. Together, we build a company rooted in continuous learning, genuine community, holistic wellness, and meaningful engagement—values that empower us as individuals and unite us as a team. Our culture is grounded in our core values: *Work Smart, Win Fast*; *Outshine Ordinary*, and *We Find a Way*. These values drive how we serve our customers and work with each other in a collaborative, inspiring, and empowering environment, every day.
**Here's how we support our 8Team:**
* **Health Insurance Coverage:** We offer our 8Team a variety of medical, dental, and vision plans, designed to fit your needs, including a 100% company\-paid HDHP plan for employees.
* **Financial perks:** We offer a competitive compensation and benefits package including annual bonuses, equity options and 401(k) or RRSP if in Canada, with a company match for all team members.
* **Time for what matters:** Flexible Time Off, paid holidays, and a parental leave program for our new parents.
* **Wellness:** Wellness stipends, mental health support, and one\-on\-one nutrition coaching.
* **Learning and Development:** Continuous learning through 8am.edu, leadership programs, professional development funds, and individually focused talent development.
* **Giving back to the communities around us:** Participate in our charitable matching gift program, paid time off for volunteer service, and company\-sponsored volunteer events (both local and virtually).
* **Engagement:** Virtual and in\-person team\-building events, quarterly award recognition through our Rise \&amp; Shine Award of Excellence Program, and our peer\-to\-peer appreciation platform.
At 8am, we don't just offer benefits \- we create an environment where people can thrive, grow, and make a real impact every day.
**Diversity, equity \&amp; inclusion at 8am:**
At 8am, we recognize that innovation occurs with a strong team of people who are diverse in background, personality, talent and ideas. Experience comes in many forms and ensuring a diverse and inclusive workplace where we continue to learn from each other is an integral part of our culture. We are committed to creating a welcoming and transparent environment for all that embraces those differences through education, equal access to opportunities and information, inclusionary programs, and community outreach.
**Security advisory:**
Our hiring teams at 8am are dedicated to recruiting top talent that share our passion for serving the professional services industry through innovative financial technology. As such, our Talent Acquisition Team only follows legitimate hiring practices. We will always communicate with our candidates using emails with the 8am domain and will never ask for sensitive/personal data during the application process. All interviews take place over phone call, Zoom/Google Meet or in person. All offers are communicated verbally by our Talent Acquisition Specialists with a written offer letter as a follow up.</t>
        </is>
      </c>
    </row>
    <row r="13">
      <c r="A13" t="inlineStr">
        <is>
          <t>in-9bd69f343eb07829</t>
        </is>
      </c>
      <c r="B13" t="inlineStr">
        <is>
          <t>Product Manager, Acquisition &amp; Onboarding</t>
        </is>
      </c>
      <c r="C13" t="inlineStr">
        <is>
          <t>PrizePicks</t>
        </is>
      </c>
      <c r="D13" t="inlineStr">
        <is>
          <t>indeed</t>
        </is>
      </c>
      <c r="E13" t="inlineStr"/>
      <c r="F13" t="inlineStr"/>
      <c r="G13" t="inlineStr">
        <is>
          <t>Atlanta, GA, US</t>
        </is>
      </c>
      <c r="H13" s="2" t="n">
        <v>46050</v>
      </c>
      <c r="I13"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We're looking for a sharp, mission\-driven Product Manager to report into the Player Account Management domain and own the Holistic Onboarding Journey—the critical Zero\-to\-One phase of the PrizePicks user lifecycle.
In this role, you are the Product Leader for Acquisition. You are not just building a funnel; you are architecting the first impression that defines a user's lifetime value. You own the Pipe (conversion engine) and help shape the Spark (emotional hook). Your mission is to guide users from Anonymous Visitor Verified Excited Player, ensuring they see the value proposition immediately and convert into loyal, retained customers.
**What you'll do:**
===================
* **Onboarding Strategy \&amp; Orchestration:**
	+ **Architect the Loyalty Narrative:** Go beyond getting a user Ready to Deposit. Stitch together disparate steps (Sign\-Up, KYC, Terms, Promo Entry) into a cohesive narrative that proves *why* PrizePicks is the best place to play. Create the spark that turns a registrant into a loyal, long\-term player.
	+ **Drive Personalization at Scale:** Partner with Marketing, Engagement, and Analytics to tailor the experience based on user intent. Ensure that a user arriving from a specific referral or sports vertical sees a customized path that maximizes their chance of converting.
* **End\-to\-End Funnel Execution:**
	+ **Web \&amp; Landing Architecture:** Partner with Marketing and UX on the creative strategy for the PrizePicks landing experience (.com and non\-logged\-in). Define the Web\-to\-App bridge to drive traffic into the app with minimal drop\-off.
	+ **Identity \&amp; Compliance UX:** Manage the user\-facing side of account creation and verification. Own the delicate balance of Compliance vs. Conversion—ensuring we capture necessary risk data without killing the excitement or motivation.
* **Cross\-Functional Leadership:**
	+ **Strategic Voice for Growth:** Actively define how we get people in the door. Partner with Marketing and Engagement to align the UX with the advertised value prop, ensuring a seamless match between the Ad and the App.
	+ **Lead Fraud \&amp; Security Strategy:** Analyze and normalize funnel data to help the Fraud team distinguish Signal from Noise. Define product logic that keeps out bad actors while creating a fast lane for good users.
* **Experimentation \&amp; Optimization:**
	+ **High\-Velocity Testing:** Drive high\-velocity experimentation. You represent the scientific lead for the funnel, designing A/B tests on UI elements, copy, and flow logic to systematically improve Visitor\-to\-Reg and Reg\-to\-KYC throughput.
**What Success Looks Like**
* **Onboarding Velocity:** Reducing the Time\-to\-Value (TTV) from App Open to First Entry Placed, ensuring users see the value prop right away.
* **Funnel Throughput:** Improving the conversion rate of legitimate users through the full onboarding funnel (Visitor\-to\-Verified).
* **Seamless Handoffs:** Zero errors or friction in passing new users from the Onboarding flow to the Payments/First\-Time Deposit (FTD) experience.
* **Data Integrity:** Establishing trusted baselines for funnel performance that accurately normalize bot traffic to provide clean executive reporting.
**What you have:**
==================
* 3\+ years of experience in product management, specifically in Onboarding, Registration, or Growth funnels.
* Strong Data Literacy: You understand how to separate signal from noise (e.g., filtering bot spikes from conversion analysis).
* Experience with Identity Verification (KYC) flows and the trade\-offs between regulatory requirements and UX.
* Ability to partner with technical teams (Fraud/Engineering) without needing to own the backend security stack yourself.
* Experience building products across web and mobile apps (Apple and Android app stores).
**What makes you stand out:**
=============================
* Background in real\-money gaming, fintech, or regulated industries where Account Creation is complex.
* Familiarity with risk\-adjusted metrics and analyzing funnels in high\-bot environments.
* Deep empathy for users experiencing a product for the first time.
* Obsessive about sports and/or sports betting/fantasy.
**Where you'll live:**
======================
* This is a hybrid position (approx. 3 days/week) based out of our brand new offices in Atlanta, GA.
**Benefits you'll receive:**
============================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14">
      <c r="A14" t="inlineStr">
        <is>
          <t>in-858f0062aa5c1ed2</t>
        </is>
      </c>
      <c r="B14" t="inlineStr">
        <is>
          <t>Talent Management Program Manager</t>
        </is>
      </c>
      <c r="C14" t="inlineStr">
        <is>
          <t>STERIS</t>
        </is>
      </c>
      <c r="D14" t="inlineStr">
        <is>
          <t>indeed</t>
        </is>
      </c>
      <c r="E14" t="inlineStr"/>
      <c r="F14" t="inlineStr"/>
      <c r="G14" t="inlineStr">
        <is>
          <t>Mentor, OH, US</t>
        </is>
      </c>
      <c r="H14" s="2" t="n">
        <v>46050</v>
      </c>
      <c r="I14" t="inlineStr">
        <is>
          <t>At STERIS, we help our Customers create a healthier and safer world by providing innovative healthcare and life science product and service solutions around the globe.
**Position Summary**
--------------------
The Talent Management Program Manager will support the development, implementation and continuous improvement of global Talent Management strategies, programs, processes, tools and solutions to ensure STERIS has the talent needed to meet current and future business needs.
Reporting to the Director, Talent Management, this position will help create and implement an integrated talent management framework and approach to talent management at STERIS and will lead key project management, communication/training, user adoption and change management activities.
This individual will use a blend of best practices, innovation, and data\-driven decision making to analyze, identify and coordinate practical talent management solutions that deliver results.
**Location:** This position is a hybrid Mentor\-based position, 1 day in office, 4 days work from home. Limited Domestic travel required.
**What You Will Do as Talent Program Manager**
----------------------------------------------
* Serves as the process lead and subject\-matter expert (SME) for the following talent management processes, programs and tools:
	+ Performance Management
	+ Talent Review/Succession Planning
	+ Employee Engagement Survey
	+ Intern/Co\-Op Program
	+ Rotational and Leadership Development Programs
	+ New Leader Assimilation
* Key responsibilities include process/program/tool design, development and deployment.
* Leads new and ongoing global deployment and execution of key talent management processes and programs, including project planning, change management, communication, training and assessment of user adoption and effectiveness.
* Develops strong relationships and partners closely with HRBPs and business leaders to understand talent program needs, while considering organizational readiness and capacity for change.
* Partners with HR and business leaders to achieve strategic talent objectives.
* Establishes and maintains a strong working relationship with the Talent System Administrator to ensure talent modules within SuccessFactors are effectively designed and deployed to support desired outcomes of talent processes and programs.
* Assesses, measures and analyzes the effectiveness and user adoption of key talent management processes and tools.
* Continually identifies and implements improvements.
* Measures and analyzes relevant key performance indicators/metrics for key talent management activities.
* Prepares executive summary presentations and makes recommendations based on analysis.
* Supports the identification of assessment tools and methodologies to ensure effective assessment, selection and development of talent.
* Manages existing vendor relationships and supports the evaluation of new external vendors and offerings as needed.
* Maintains strong working knowledge and familiarity with talent management trends and best practices.
* Researches best practices, tools and methodologies and makes recommendations for enhancements to current processes, programs and/or tools.
* Partners closely with Talent Acquisition and Learning \&amp; Development leads to ensure alignment and integration of talent management and development philosophies, processes, programs and tools.
**The Experience, Skills and Abilities Needed**
-----------------------------------------------
Required
* Bachelor’s Degree in Business Management, Human Resources, Organizational Development, Organizational Psychology, or related field required.
* 8 years of progressively responsible HR experience in a multi\-national, geographically dispersed organization with a minmum of 3 years in performance management, talent reviews, succession planning, and talent development required.
Skills
* Strong organizational and project leadership skills, including multi\-stream project planning and resource deployment.
* Strong analytical skills to interpret complex data and translate insights into actionable strategies.
* Demonstrated excellence in verbal and written communication with an emphasis on influence, consultation, and the creation of compelling business cases at all levels of the organization.
* Demonstrated ability to build strong relationships with HR colleagues, stakeholders, and external partners.
* Strong problem\-solving and critical thinking skills to assess and continuously improve processes, practices, and tools in areas of responsibility.
* Skilled in facilitation for small and large groups.
* Comfortable with complexity, ambiguity, and change; demonstrates learning agility.
* Technical proficiency, including Microsoft Office and advanced Excel skills.
**What STERIS Offers**
----------------------
We value our employees and are committed to providing a comprehensive benefits package that supports your health, well\-being, and financial future.
*Here is just a brief overview of what we offer:*
* Market Competitive Pay
* Extensive Paid Time Off and (9\) added holidays
* Excellent Healthcare, Dental and Vision Benefits
* Long/Short Term disability coverage
* 401(k) with company match
* Maternity \&amp; Paternal Leave
* Additional add\-on benefits/discounts for programs such as Pet Insurance
* Tuition Reimbursement and continued educations programs
* Excellent opportunities for advancement and stable long\-term career
**\#LI\-SA2**
=============
\#ZRSA\-1
\#LI\-Hybrid
Pay range for this opportunity is $105,400\.00 \- $130,200\. This position is eligible for bonus participation.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offers a comprehensive and competitive benefits portfolio. Click here for a complete list of benefits: STERIS Benefits
Open until position is filled.
STERIS is a leading global provider of products and services that support patient care with an emphasis on infection prevention. WE HELP OUR CUSTOMERS CREATE A HEALTHIER AND SAFER WORLD by providing innovative healthcare and life sciences products and services around the globe. For more information, visit www.steris.com.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row>
    <row r="15">
      <c r="A15" t="inlineStr">
        <is>
          <t>in-cd3803884b4c8976</t>
        </is>
      </c>
      <c r="B15" t="inlineStr">
        <is>
          <t>Principle Product Manager, AVC (Audio, Video &amp; Communications)</t>
        </is>
      </c>
      <c r="C15" t="inlineStr">
        <is>
          <t>Roblox</t>
        </is>
      </c>
      <c r="D15" t="inlineStr">
        <is>
          <t>indeed</t>
        </is>
      </c>
      <c r="E15" t="inlineStr"/>
      <c r="F15" t="inlineStr"/>
      <c r="G15" t="inlineStr">
        <is>
          <t>San Mateo, CA, US</t>
        </is>
      </c>
      <c r="H15" s="2" t="n">
        <v>46050</v>
      </c>
      <c r="I1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Product Manager on the Audio, Video and Communications (AVC) team, you will define and drive the vision, strategy, and roadmap for immersive audio technologies, video encoding and playback, and the core technology enabling voice communication on the platform. You will collaborate with a diverse team of engineers, designers, data scientists and other product leaders to deliver industry leading solutions.
**You will:**
* Define and execute the product roadmap for the Audio, Video, and Communications team, ensuring alignment with company goals.
* Drive business outcomes \- increasing the quality of user experience and engagement.
* Steer cross\-functional teams (engineering, design, product marketing, etc.) to deliver innovative features that delight our users and streamline creator workflows.
* Partner with internal and external stakeholders to gather feedback, prioritize improvements, and ensure our systems meet evolving user needs.
* Leverage deep user empathy, UX insight, and a data\-informed approach to identify opportunities for product optimization, iteration, and long\-term growth.
**You have:**
* Over 5 years of experience as a product manager, preferably in the areas of audio, video, or communication software.
* A Bachelor's degree in Computer Science, Engineering, or a similar technical field.
* Demonstrated technical knowledge in one of the following areas: interactive audio, content creation workflows, video streaming, and voice communication protocols.
* Expertise in presenting clear business cases, creating detailed product specs, and helping design scalable solutions.
* A passion for driving user\-centric product decisions that are backed by data and insights.
* A history of successfully collaborating with engineering, design, and other stakeholders to deliver complex, technical products on time.
* A hands on approach. You use the product daily and can clearly express what does/doesn't work well.
\#LI\-FO1  
\#LI\-Onsite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6">
      <c r="A16" t="inlineStr">
        <is>
          <t>in-c4719f2c60a8d974</t>
        </is>
      </c>
      <c r="B16" t="inlineStr">
        <is>
          <t>Sr Technical Program Manager, Rider Mobility</t>
        </is>
      </c>
      <c r="C16" t="inlineStr">
        <is>
          <t>Uber</t>
        </is>
      </c>
      <c r="D16" t="inlineStr">
        <is>
          <t>indeed</t>
        </is>
      </c>
      <c r="E16" t="inlineStr"/>
      <c r="F16" t="inlineStr"/>
      <c r="G16" t="inlineStr">
        <is>
          <t>San Francisco, CA, US</t>
        </is>
      </c>
      <c r="H16" s="2" t="n">
        <v>46050</v>
      </c>
      <c r="I16" t="inlineStr">
        <is>
          <t>**About the Role**
The Uber Technical Program Management (TPM) team plays a critical role in structuring and executing impactful org\-wide initiatives to increase the effectiveness of our product and engineering organizations.
As a senior TPM on the Rider team, you will help ensure that the Rider team's engineering work will serve other parts of the Uber organization in years to come. Teams throughout Uber integrate with the Rider platform to offer services, share data, and improve user experiences. This role will be central in setting the path for future integration capabilities, facilitating current work, and maintaining functionality.
TPMs move fluidly from the big picture to details so that the team can deliver complex and strategic cross\-functional projects, often with tight deadlines. You are a bridge and a connector for the company, thrive in a dynamic work environment, and are able to juggle and prioritize multiple projects with ease. You are intuitive, focused, driven, organized, insightful and productive. You break through communication issues and effectively develop relationships with stakeholders at all levels of the organization. You build trust across the organization. You are not afraid to be direct, but you strive to act with empathy and integrity.
Join our team where we build Uber's flagship app. Directly see how your work impacts millions of users on a daily basis!
**What the Candidate Will Do:**
* Work closely with engineering/product leads to conceptualize strategic initiatives and solutions and develop those into detailed program / project plans.
* Project manage technical, complex, large scale, cross\-team, cross\-functional initiatives from planning to execution.
* Organize/align multiple engineering and cross\-functional teams for delivery and drive execution and results proactively.
* Set accountability by tracking progress, resolving dependencies, identifying issues, evaluating risks, and communicating status to upper management and project stakeholders
* Understand technical implementation at the architecture level and propose technical alternatives when necessary. Ask questions that clarify priorities and push the team to be highly effective. Develop broad domain and technical knowledge.
* Accelerate the execution velocity of large product initiatives. Continuously improve and scale the organization. Implement continuous improvements to the engineering organization and the program management process.
**Basic Qualifications:**
* Proven experience of 4\+ years as a TPM or Engineering Manager in a software, SaaS, or systems development environment with an overall experience of 8\+ years.
* Strong technical experience in platform development at scale.
* Solid technical aptitude and an ability to understand technical designs, challenges, and risks. Engineers enjoy working closely with you.
* Excellent written and verbal communication skills and exceptional emotional intelligence.
* Proven strong cross\-team and cross\-org stakeholder management. Ability to influence, motivate, and align people across a broad variety of job functions through your relationships.
* Strong organizational skills to juggle many tasks without losing sight of the highest priority items.
* Analytical and truth seeking. Ability to understand complex concepts and make reasoned decisions objectively.
* Data driven: Experience determining effective program KPI's and using them to measure program success and issues. Strong technical, analytical, and quantitative skills with the ability to use data and metrics to backup assumptions, recommendations, and drive decisions.
* Experienced in project management. Familiar with both Agile and Waterfall methodologies and able to apply them where best suited.
* Be good at facilitating discussions. You get the right people in the room, let conversations run their course while they are productive, move them toward consensus when possible, and make hard decisions or escalate, as required.
**Preferred Qualifications:**
* Computer Science degree, or related field
* Worked at a high paced, fast growing, creative tech startup
* Experience at an established company with a strong TPM team
Developer experience, including writing, testing and deploying code  
* 
For San Francisco, CA\-based roles: The base salary range for this role is USD$180,000 per year \- USD$200,000 per year. For Seattle, WA\-based roles: The base salary range for this role is USD$180,000 per year \- USD$200,000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7">
      <c r="A17" t="inlineStr">
        <is>
          <t>in-08538ad770273509</t>
        </is>
      </c>
      <c r="B17" t="inlineStr">
        <is>
          <t>Sr Technical Program Manager, Rider Mobility</t>
        </is>
      </c>
      <c r="C17" t="inlineStr">
        <is>
          <t>Uber</t>
        </is>
      </c>
      <c r="D17" t="inlineStr">
        <is>
          <t>indeed</t>
        </is>
      </c>
      <c r="E17" t="inlineStr"/>
      <c r="F17" t="inlineStr"/>
      <c r="G17" t="inlineStr">
        <is>
          <t>Seattle, WA, US</t>
        </is>
      </c>
      <c r="H17" s="2" t="n">
        <v>46050</v>
      </c>
      <c r="I17" t="inlineStr">
        <is>
          <t>**About the Role**
The Uber Technical Program Management (TPM) team plays a critical role in structuring and executing impactful org\-wide initiatives to increase the effectiveness of our product and engineering organizations.
As a senior TPM on the Rider team, you will help ensure that the Rider team's engineering work will serve other parts of the Uber organization in years to come. Teams throughout Uber integrate with the Rider platform to offer services, share data, and improve user experiences. This role will be central in setting the path for future integration capabilities, facilitating current work, and maintaining functionality.
TPMs move fluidly from the big picture to details so that the team can deliver complex and strategic cross\-functional projects, often with tight deadlines. You are a bridge and a connector for the company, thrive in a dynamic work environment, and are able to juggle and prioritize multiple projects with ease. You are intuitive, focused, driven, organized, insightful and productive. You break through communication issues and effectively develop relationships with stakeholders at all levels of the organization. You build trust across the organization. You are not afraid to be direct, but you strive to act with empathy and integrity.
Join our team where we build Uber's flagship app. Directly see how your work impacts millions of users on a daily basis!
**What the Candidate Will Do:**
* Work closely with engineering/product leads to conceptualize strategic initiatives and solutions and develop those into detailed program / project plans.
* Project manage technical, complex, large scale, cross\-team, cross\-functional initiatives from planning to execution.
* Organize/align multiple engineering and cross\-functional teams for delivery and drive execution and results proactively.
* Set accountability by tracking progress, resolving dependencies, identifying issues, evaluating risks, and communicating status to upper management and project stakeholders
* Understand technical implementation at the architecture level and propose technical alternatives when necessary. Ask questions that clarify priorities and push the team to be highly effective. Develop broad domain and technical knowledge.
* Accelerate the execution velocity of large product initiatives. Continuously improve and scale the organization. Implement continuous improvements to the engineering organization and the program management process.
**Basic Qualifications:**
* Proven experience of 4\+ years as a TPM or Engineering Manager in a software, SaaS, or systems development environment with an overall experience of 8\+ years.
* Strong technical experience in platform development at scale.
* Solid technical aptitude and an ability to understand technical designs, challenges, and risks. Engineers enjoy working closely with you.
* Excellent written and verbal communication skills and exceptional emotional intelligence.
* Proven strong cross\-team and cross\-org stakeholder management. Ability to influence, motivate, and align people across a broad variety of job functions through your relationships.
* Strong organizational skills to juggle many tasks without losing sight of the highest priority items.
* Analytical and truth seeking. Ability to understand complex concepts and make reasoned decisions objectively.
* Data driven: Experience determining effective program KPI's and using them to measure program success and issues. Strong technical, analytical, and quantitative skills with the ability to use data and metrics to backup assumptions, recommendations, and drive decisions.
* Experienced in project management. Familiar with both Agile and Waterfall methodologies and able to apply them where best suited.
* Be good at facilitating discussions. You get the right people in the room, let conversations run their course while they are productive, move them toward consensus when possible, and make hard decisions or escalate, as required.
**Preferred Qualifications:**
* Computer Science degree, or related field
* Worked at a high paced, fast growing, creative tech startup
* Experience at an established company with a strong TPM team
Developer experience, including writing, testing and deploying code  
* 
For San Francisco, CA\-based roles: The base salary range for this role is USD$180,000 per year \- USD$200,000 per year. For Seattle, WA\-based roles: The base salary range for this role is USD$180,000 per year \- USD$200,000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8">
      <c r="A18" t="inlineStr">
        <is>
          <t>in-6c7529fe12c81e07</t>
        </is>
      </c>
      <c r="B18" t="inlineStr">
        <is>
          <t>Senior Program Manager</t>
        </is>
      </c>
      <c r="C18" t="inlineStr">
        <is>
          <t>Thomson Reuters</t>
        </is>
      </c>
      <c r="D18" t="inlineStr">
        <is>
          <t>indeed</t>
        </is>
      </c>
      <c r="E18" t="inlineStr"/>
      <c r="F18" t="inlineStr"/>
      <c r="G18" t="inlineStr">
        <is>
          <t>Eagan, MN, US</t>
        </is>
      </c>
      <c r="H18" s="2" t="n">
        <v>46050</v>
      </c>
      <c r="I18" t="inlineStr">
        <is>
          <t>**Senior Program Manager – CIO Strategy and Operations \- CPSP**
================================================================
We are seeking a dynamic and strategic Senior Program Manager to join the CIO Strategy and Operations team. This role is ideal for a seasoned leader who thrives in complex, cross\-functional environments and is passionate about driving transformation across commercial systems. You will lead high\-impact programs that span multiple business domains and technologies, enabling simplification, standardization, and technology\-enabled modernization of commercial systems.
This is a high\-visibility role that requires strong leadership, stakeholder engagement, and program execution skills. While your initial assignment would be within the Commercial Processes and Systems Program (CPSP), this position is designed to flex across strategic initiatives as business needs evolve.  
**About the Role**
------------------
As a Senior Program Manager, you will:
* Lead strategic programs from initiation through execution, ensuring alignment with enterprise goals and measurable outcomes.
* Drive cross\-functional collaboration across a wide range of business functions, engaging stakeholders from across the organization to ensure alignment and successful program execution
* Translate business strategy into actionable program plans, managing scope, timelines, budgets, risks, and benefits realization.
* Champion system and process simplification and standardization, ensuring outcomes are automation\-ready and customer\-centric.
* Establish and maintain governance structures, operating rhythms, and stakeholder communication plans.
* Monitor program performance using KPIs such as cycle time, quality metrics, customer experience, and financial impact.
* Guide and mentor project managers and workstream leads, fostering a culture of accountability and continuous improvement.
* Ensure compliance with enterprise standards, policies, and design principles.
**About You**
-------------
You’re a fit for the Senior Program Manager role if you bring:
* A bachelor’s degree in business, technology, or equivalent experience.
* 8\+ years of progressive experience in program or portfolio management, ideally in a matrixed, global organization.
* Proven success leading large\-scale transformation initiatives within a complex, global, matrixed organization.
* Deep understanding of project and program management methodologies (e.g., Agile, Waterfall, hybrid).
* Strong business acumen and ability to connect strategy to execution.
* Exceptional communication, influence, and stakeholder management skills.
* Experience with software development life cycles and technology\-enabled process design.
* Ability to navigate ambiguity and drive clarity in complex environments.
**\#LI\-SM2**
-------------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$100,100 USD \- $185,900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9">
      <c r="A19" t="inlineStr">
        <is>
          <t>in-7c5ec72994b127ed</t>
        </is>
      </c>
      <c r="B19" t="inlineStr">
        <is>
          <t>LEC Program Manager</t>
        </is>
      </c>
      <c r="C19" t="inlineStr">
        <is>
          <t>University of Wisconsin-Milwaukee</t>
        </is>
      </c>
      <c r="D19" t="inlineStr">
        <is>
          <t>indeed</t>
        </is>
      </c>
      <c r="E19" t="inlineStr"/>
      <c r="F19" t="inlineStr"/>
      <c r="G19" t="inlineStr">
        <is>
          <t>Milwaukee, WI, US</t>
        </is>
      </c>
      <c r="H19" s="2" t="n">
        <v>46050</v>
      </c>
      <c r="I19" t="inlineStr">
        <is>
          <t>***Current Employees: If you are currently employed at any of the Universities of Wisconsin, log in to Workday to apply through the internal application process.***
--------------------------------------------------------------------------------------------------------------------------------------------------------------------
**Position Title:**
-------------------
LEC Program Manager
**Job Category:**
-----------------
Academic Staff
**Employment Type:**
--------------------
Regular
**Job Profile:**
----------------
Administrative Manager
**Job Duties:**
---------------
The Program Manager for the Lubar Entrepreneurship Center plays a key role in designing, executing, and evaluating innovative programs that advance the center’s mission. This position oversees strategic program development, internal operations, and policy creation while ensuring equity and accessibility across all initiatives. The Program Manager builds and maintains strong relationships with students, faculty, campus partners, community organizations, and external collaborators, representing the LEC at events and co ‑ creating impactful programming. The role includes supervising student interns, guiding cross ‑ functional teamwork, and managing program budgets and financial processes. Additionally, the Program Manager supports fundraising efforts, engages with donors and sponsors, and leads the development of reports, impact summaries, and data ‑ driven insights. This is a highly collaborative, strategic, and creative position that helps shape the entrepreneurial and innovative culture at UWM.
**Key Job Responsibilities:**
-----------------------------
* Creates functional plans, relationships, and connections that are instrumental in transforming the campus culture, improving access to resources and shepherding innovations and projects toward commercialization
* Forms and manages networks of people and other resources to support campus leaders with policy and strategy development and to support innovators and entrepreneurs who are being helped and mentored
* Assists campus leaders and affiliated organizations in the development of strategies that further innovation and commercialization success in their specific segment
* Provides instruction, coaching, inspiration, and subject matter expertise to faculty, staff, and students on a variety of topics including technology management, value proposition, and business model development, team formation, funding, and governance
**UWM Description:** **The University of Wisconsin\-Milwaukee (** **UWM** **) is Wisconsin’s second\-largest university, with a unique dual mission of access and research to provide high\-quality education for students from all backgrounds.** **UWM** **is one of** **146** **top research universities recognized as “R1” by the Carnegie Classification of Institutions of Higher Education. Along with its main campus in Milwaukee,** **UWM** **has branch campuses in Waukesha and Washington County.**
**UWM** **celebrates,** **values** **and promotes the diverse voices and experiences of its students and employees and our community partners. We believe diversity enriches and strengthens our institution.** **UWM** **is committed to providing** **equitable** **access to opportunities for students and employees from every background. We aspire to create a campus climate that is welcoming to all. Learn more here:** **https://uwm.edu/diversity\-equity\-inclusion/about\-dei/**
-----------------------------------------------------------------------------------------------------------------------------------------------------------------------------------------------------------------------------------------------------------------------------------------------------------------------------------------------------------------------------------------------------------------------------------------------------------------------------------------------------------------------------------------------------------------------------------------------------------------------------------------------------------------------------------------------------------------------------------------------------------------------------------------------------------------------------------------------------------------------------------------------------------------------------------------------------------------------------------------------------------------
School/College/Division Des c ription:  
The Lubar Entrepreneurship Center ( LEC) at the University of Wisconsin–Milwaukee is a dynamic hub that empowers students, faculty, and staff to nurture ideas, build confidence, and grow as entrepreneurs, innovators, and change makers. As a cornerstone of both UWM’s and Milwaukee’s innovation ecosystem, the center delivers multidisciplinary programming that strengthens creativity, design thinking, and real\-world problem\-solving skills. It serves as a resource for emerging ventures, offers experiential learning opportunities, and hosts key programs that help develop a strong regional talent pipelineuwm.edu. The center’s collaborative innovation spaces \- including open commons, co working areas, and maker labs \- are intentionally designed to spark creativity and support experimentation, prototyping, and teamwork
**Compensation:**
-----------------
$ 55,000 \- $70,000 /annually . Salary will be determined by finalist's experience, training, education, and equity\-based factors .
**Required Qualifications:**
----------------------------
* Bachelor of Science or equivalent
* At least o ne year of r elevant work experience in academic environment
**Preferred Qualifications:**
-----------------------------
* Master of Science or equivalent
* Three years of relevant work experience in academic environment
* Experience developing academic programs or curriculum
* Experience managing operations in large organizations
* Fundraising experience
**How to Apply:**
-----------------
Applicants will be expected to provide:
* A cover letter that addresses the candidate’s professional level work experience as it relates to all required and preferred qualifications.
* A Resume
Finalist candidate(s) being considered for hire will be required to provide three professional/supervisor references through an external reference checking tool. References will not be contacted prior to candidates being notified.  
***Note: Applicants must complete all required fields and attach all required documents prior to*** ***submitting*** ***the online application to ensure full consideration.*** ***Additional*** ***documents*** ***submitted*** ***aside from a cover letter and resume/CV will not be considered.***
*In instances where the Search and Screen Committee is unable to* *ascertain* *from the candidates’ application materials whether they meet any of the qualifications, they may be evaluated as not meeting such qualifications.*
**Additional Information:**
This position does not offer visa sponsorship. Applicants must be legally authorized to work in the United States at the time of hire. Selected candidates will be required to verify eligibility to work in the United States by completing the required I\-9 form upon hire.  
Apply electronically by the application deadline date of March 1, 2026\. Questions about this position should be directed to Jackson Prowse at prowse@uwm.edu.
**Reasonable Accommodations**  
Pursuant to university policy , UWM provides reasonable accommodations to qualified individuals with disabilities who are employees or applicants for employment. Employment opportunities will not be denied because of the need to make reasonable accommodations for a qualified individual with a disability. If you need assistance or accommodation in applying because of a disability, please contact **uwm\-jobs@uwm.edu** or 414\-229\-4463\. This job announcement and other material on this site will be made available in alternate formats upon request to an individual with a disability.
**Confidentiality of Applicant Materials**  
UWM is a State agency and subject to Wisconsin’s Open Records Law. UWM will not, however, reveal the identities of applicants who request confidentiality in writing except as may be required by Wisconsin’s Open Records law. In certain circumstances, the identities of “final candidates” and/or the identity of the appointed applicant must be revealed upon request.
**CBC and Reference Check Policy**  
Employment will require a criminal background check. UWM takes the prevention of sexual misconduct seriously. As such, you and your references will be required to answer questions regarding any past findings of sexual violence and sexual harassment or any pending allegations of sexual violence or sexual harassment.
**Annual Security and Fire Safety Report (Clery Act)**  
For the UWM Annual Security and Fire Safety Reports (i.e., Clery Report), which includes statistics about reported crimes and information about campus security policies, see **http://www.cleryact.uwm.edu/** , or call UWM’s Dean of Students Office, Student Union 345 at (414\) 229\-4632 for a paper copy.
**Employment Authorization**  
In compliance with federal law, all persons at the time of their start date will be required to verify identity and eligibility to work in the United States and to complete the required employment eligibility verification form upon hire.
**UW is an Equal Opportunity Employer**  
Qualified applicants will receive consideration for employment without regard to race, color, religion, sex, sexual orientation, gender identity, national origin, age, pregnancy, disability, status as a protected veteran, or any other bases protected by applicable federal or State law and UW System policies. We are committed to building a workforce that represents a variety of backgrounds, perspectives, and skills, and encourage all qualified individuals to apply.</t>
        </is>
      </c>
    </row>
    <row r="20">
      <c r="A20" t="inlineStr">
        <is>
          <t>in-8d95dccc83de327e</t>
        </is>
      </c>
      <c r="B20" t="inlineStr">
        <is>
          <t>Staff Development Program Manager</t>
        </is>
      </c>
      <c r="C20" t="inlineStr">
        <is>
          <t>Moog, Inc</t>
        </is>
      </c>
      <c r="D20" t="inlineStr">
        <is>
          <t>indeed</t>
        </is>
      </c>
      <c r="E20" t="inlineStr"/>
      <c r="F20" t="inlineStr"/>
      <c r="G20" t="inlineStr">
        <is>
          <t>Buffalo, NY, US</t>
        </is>
      </c>
      <c r="H20" s="2" t="n">
        <v>46050</v>
      </c>
      <c r="I20"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Staff Development Program Manager
Reporting To:
GM, OE Development Programs
Work Schedule:
Onsite – Buffalo, NY
The Commercial Aircraft Group in East Aurora, NY is looking for a Staff Program Manager to manage and coordinate their Airbus program. You will report to the Program Director. We’re seeking a motivated leader to collaborate externally with our customers and internally with our teams and management to meet or exceed program expectations.
To be considered for the Staff Program Manager, here’s what you’ll need to bring with you:* Bachelor of Science (BS) degree, with a minimum of ten (10\) years of professional work experience, preferably in aerospace and engineering.
* Minimum six (6\) years of Program Management work experience is required
* Experience working in a fast pace environment with a strong focus on delivery, quality and financial performance.
* Demonstrated experience developing, maintaining, and communicating program budgets, plans and schedules for multiple initiatives
* Demonstrated knowledge in understanding contractual requirements and scope adherence.
* Proven ability to operate under pressure while managing multiple priorities simultaneously.
* Ability to lead, organize, and influence people through outstanding communication and facilitation skills.
* Project Management Professional certificate is a plus.
* Experience working with Commercial Aftermarket is desired.
* Ability to access U.S. export controlled information.
As a Staff Program Manager, you will:* Ensure compliance with contract requirements through coordination and management of all program activities.
* Achieve program/project objectives through effective application of program management principles within the confines of scope, schedule, and budget.
* Support process improvements and standard work implementation within Program Management.
* Sustain and expand the organizations book of business through the leadership and/or support of proposal teams and business capture campaigns.
* Ensure proper coordination between all program elements by developing program plans with detailed schedules and to ensure compliance by monitoring the status of cost, schedule, and task completion.
* Achieve timely resolution of outstanding issues through the conductance of effective day\-to\-day communications with the customer, Moog management, and Moog functional organizations.
* Optimize the program likelihood of success through collaboration with OE Program Managers and other stakeholders across the organization.
How we care for you:* Financial Rewards: great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Additional site\-specific benefits may be offered
Salary Range Transparency:
Buffalo, NY $128,000\.00–$190,000\.00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21">
      <c r="A21" t="inlineStr">
        <is>
          <t>in-de78843e3a219afe</t>
        </is>
      </c>
      <c r="B21" t="inlineStr">
        <is>
          <t>Program Manager, Journeyman - Secret</t>
        </is>
      </c>
      <c r="C21" t="inlineStr">
        <is>
          <t>DCS Corp</t>
        </is>
      </c>
      <c r="D21" t="inlineStr">
        <is>
          <t>indeed</t>
        </is>
      </c>
      <c r="E21" t="inlineStr"/>
      <c r="F21" t="inlineStr"/>
      <c r="G21" t="inlineStr">
        <is>
          <t>Oklahoma City, OK, US</t>
        </is>
      </c>
      <c r="H21" s="2" t="n">
        <v>46050</v>
      </c>
      <c r="I21" t="inlineStr">
        <is>
          <t>DCS has an exciting opportunity for a **Journeyman Program Manager** providing support to the Air Force Life Cycle Management Center/PEO Digital Directorate (AFLCMC/HB). The Air Force Program Execution Office for PEO Digital (AFPEO/HB) has the collective Air Force Materiel Command (AFMC) mission responsibility to manage and execute the modernization, development, testing, production, fielding, and sustainment of the PEO Digital portfolio, which includes over 130 programs for the United States Air Force (USAF) and foreign allies. AFLCMC/PEO Digital Directorate is headquartered at Hanscom Air Force Base, MA with geographically separated operating units CONUS and OCONUS.
This is a full time position located at Tinker AFB, OK.**\*\*\*This position is contingent upon contract award\*\*\*** **Essential Job Functions:**
**Program \&amp; Acquisition Management**
Provide program\-level acquisition support to the Program Manager (PM) and Integrated Product Team (IPT) Leads to ensure disciplined execution, acquisition battle rhythm, and delivery of warfighter capability.
Advise program leadership on overall program health and options to maintain cost, schedule, and performance objectives.
Interpret, coordinate, and execute acquisition project assignments; identify and resolve issues with significant impact to acquisition and sustainment efforts.
Compare program direction and plans for alignment and consistency across stakeholders.
Monitor and assess program integration plans and interface control between systems.
**Acquisition Strategy \&amp; Policy Compliance**
Assist with planning, evaluating, and implementing acquisition strategies, including traditional, Middle Tier of Acquisition (MTA), and Urgent Capability pathways.
Provide non\-technical acquisition expertise and guidance in accordance with DoD and Air Force acquisition policies, directives, and instructions.
Identify and resolve policy disconnects; provide policy interpretation and recommendations to program leadership.
Track acquisition reform initiatives and recommend updates to programs impacted by policy changes.
**Contracting, RFP \&amp; Source Selection Support**
Provide program management inputs to RFPs, including system requirements, SOWs, SRDs, CDRLs, and evaluation criteria.
Assist with development of source selection strategies and provide administrative and evaluation support.
Review and track prime contractor deliverables, schedules, and contractual performance.
Assist with drafting contractual correspondence related to program management issues.
**Program Reporting \&amp; Senior Leadership Briefings**
Develop, prepare, and review acquisition reports and statutory documentation in support of milestone decisions and program oversight.
Support preparation of senior\-level briefings, graphics, schedules, and program status updates.
Maintain recurring program documentation such as MARs, APBs, DAES inputs, SARs, and supplemental acquisition reports.
Utilize DoD\-mandated and specialized systems to support reporting, documentation, and execution.
**Risk, Schedule \&amp; Performance Management**
Develop, maintain, and execute program risk management plans; facilitate risk identification, analysis, handling, and monitoring.
Support risk management boards and working groups; document outcomes and action items.
Analyze contractor and subcontractor risk management processes.
Coordinate with program scheduling personnel and correlate EVM cost performance data with Integrated Master Schedule (IMS) CDRLs.
**Financial \&amp; Funding Support**
Provide direct support for preparation and submission of funding documents, including purchase requests, MIPRs, and obligation/spend plans.
Support cost and schedule reduction initiatives across acquisition and development efforts.
Evaluate funding realism and cost impacts in support of acquisition strategies and execution decisions.
**Advisory \&amp; Leadership Support**
Provide expert acquisition and program management guidance to division chiefs and program/project managers.
Advise PMs on best\-practice program management principles to improve processes, increase efficiency, and achieve cost avoidance.
Support life\-cycle logistics considerations and operational supportability planning.
**Required Skills:**
Due to the sensitivity of customer related requirements, U.S. Citizenship is required.
Must have an Active Secret Clearance.
Bachelor's degree from an accredited educational program and at least 7 years of experience in the respective professional discipline being performed, 5 of which must be in the DoD.
Functional knowledge of principles, policies and practices of systems acquisition and program management, as defined in DoDI 5000\.02 and 5000\.75, as well as knowledge of roles and relationships within the DoD and the Air Force.
Possess knowledge of qualitative and quantitative techniques for gathering, analyzing, and measuring the effectiveness, efficiency and productivity of acquisition programs.
Possesses the ability to effectively communicate orally and in writing, providing quality acquisition and program documentation including but not limited to briefings, documents, and plans.
**Desired Skills****:**
Master's degree in a professional engineering discipline from an ABET\-accredited educational program along with at least 5 years of experience in the respective technical/professional discipline being performed, 3 of which must be in the DoD.</t>
        </is>
      </c>
    </row>
    <row r="22">
      <c r="A22" t="inlineStr">
        <is>
          <t>in-aa5db47f524d4fc2</t>
        </is>
      </c>
      <c r="B22" t="inlineStr">
        <is>
          <t>Product Owner</t>
        </is>
      </c>
      <c r="C22" t="inlineStr">
        <is>
          <t>Capgemini</t>
        </is>
      </c>
      <c r="D22" t="inlineStr">
        <is>
          <t>indeed</t>
        </is>
      </c>
      <c r="E22" t="inlineStr"/>
      <c r="F22" t="inlineStr"/>
      <c r="G22" t="inlineStr">
        <is>
          <t>New York, NY, US</t>
        </is>
      </c>
      <c r="H22" s="2" t="n">
        <v>46050</v>
      </c>
      <c r="I22" t="inlineStr">
        <is>
          <t>New York, NY
Product Owner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Role Summary
As a Senior Product Owner Annuity you will be responsible for defining and driving product roadmaps integrating customer research and ensuring compliance with data 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 to market readiness activities as the team prepares for release including reviewing the release plan with the PDM
Bachelors degree or equivalent work experience
Must Have
A minimum of 5 to 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 functional teams  
Excellent communication and teamwork skills  
Ability to manage multiple tasks and meet deadlines
Required skills
Objectives and Key Results OKR  
Product Requirements  
Product Backlog Management  
Root Cause Analysis RCA  
Solution Delivery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Salary Information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$75716 to $132762/yearly.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
Ref. code
402683\-en\_US
Posted on
29 Jan 2026
Experience level
Experienced Professionals
Contract type
Permanent
Location
New York, NY
Business unit
FS
Brand
Capgemini
Professional communities
Business Analysis</t>
        </is>
      </c>
    </row>
    <row r="23">
      <c r="A23" t="inlineStr">
        <is>
          <t>in-fa9dd2df6aa1a825</t>
        </is>
      </c>
      <c r="B23" t="inlineStr">
        <is>
          <t>Program Manager, Full Time, On Site Hanford Admin, Exempt</t>
        </is>
      </c>
      <c r="C23" t="inlineStr">
        <is>
          <t>Adventist Health</t>
        </is>
      </c>
      <c r="D23" t="inlineStr">
        <is>
          <t>indeed</t>
        </is>
      </c>
      <c r="E23" t="inlineStr"/>
      <c r="F23" t="inlineStr"/>
      <c r="G23" t="inlineStr">
        <is>
          <t>Hanford, CA, US</t>
        </is>
      </c>
      <c r="H23" s="2" t="n">
        <v>46050</v>
      </c>
      <c r="I23" t="inlineStr">
        <is>
          <t>Central to all that California has to offer, Adventist Health Bakersfield has been providing an extraordinary team of world\-class physicians, top\-notch medical technology, caring professionals and award\-winning quality since 1910\. We are comprised of a 254\-bed acute care hospital and 20 primary and specialty care medical offices. As one of America's fastest growing cities, Bakersfield offers affordable housing on the West Coast, beautiful weather, high\-quality education and it is just a few hours away from Yosemite and Sequoia National Parks, the Central California Coast and Southern California's great sports, theaters, concerts and amusement parks.
Job Summary:
Manages programs directly impacting the company, developing workstream leads and business analysts. Manages relationships with multiple stakeholders and executives while overseeing the quality of delivery of the team's assigned projects. Leads large and complex programs/projects in a cross\-functional environment. Directs the activities of various levels of assigned personnel using both professional and supervisory discretion and independent judgment.
Job Requirements:
Education and Work Experience:
* Bachelor’s Degree or equivalent combination of education/related experience: Required
* Master's Degree in health administration: Preferred
* Five years' related experience: Preferred
* Two years' healthcare experience: Preferred
* One year leadership experience: Preferred
Licenses/Certifications:
* Project Management Professional (PMP) Certification: Preferred
Essential Functions:
* Collects, measures, reports, and communicates program progress. Ensures requirements are documented and delivered, and that project deliverables are created, reviewed, and completed on time. Ensures project is managed with strong adherence to on\-time and on\-budget guidelines.
* Leads organizational change management methodology by designing and implementing specific change management initiatives associated with the strategic pillars of Adventist Health long term goals.
* Guides the creation of scope and detailed requirements for programs and projects, including facilitating requirements gathering sessions with key stakeholders, ensuring requirements are documented, and managing the requirements through the life of the project. Develops project plans for schedule, resources, and budget through collaboration with team/resource managers and executive stakeholders.
* Prepares program materials (agenda, status reports, initiative\-specific documents) for key cross\-functional meetings, and manages formal project documentation (decision documents, change requests, charters, program management plan, etc.) Conducts quality control and review of project status and progress reports. Collects, measures, reports, and communicates projects' progress with project stakeholders.
* Monitors and tracks program/project progress and performance against project plans. Reports status to project stakeholders through structured communication (written status reports, steering committee meeting/documents, etc.) as well as informal approaches (ad\-hoc requests and email).
* Performs other job\-related duties as assigned.
Organizational Requirements:
Adventist Health is committed to the safety and wellbeing of our associates and patients. Therefore, we require that all associates receive all required vaccinations as a condition of employment and annually thereafter, where applicable. Medical and religious exemptions may apply.
Adventist Health participates in E\-Verify. Visit https://adventisthealth.org/careers/everify/ for more information about E\-Verify. By choosing to apply, you acknowledge that you have accessed and read the E\-Verify Participation and Right to Work notices and understand the contents therein.</t>
        </is>
      </c>
    </row>
    <row r="24">
      <c r="A24" t="inlineStr">
        <is>
          <t>in-0977e49f1ed7bf97</t>
        </is>
      </c>
      <c r="B24" t="inlineStr">
        <is>
          <t>Product Owner, Salesforce</t>
        </is>
      </c>
      <c r="C24" t="inlineStr">
        <is>
          <t>Kestra Financial</t>
        </is>
      </c>
      <c r="D24" t="inlineStr">
        <is>
          <t>indeed</t>
        </is>
      </c>
      <c r="E24" t="inlineStr"/>
      <c r="F24" t="inlineStr"/>
      <c r="G24" t="inlineStr">
        <is>
          <t>Tempe, AZ, US</t>
        </is>
      </c>
      <c r="H24" s="2" t="n">
        <v>46050</v>
      </c>
      <c r="I24" t="inlineStr">
        <is>
          <t>Kestra Holdings offers industry\-leading wealth management platforms for independent wealth management professionals nationwide. Kestra is dedicated to empowering independent financial professionals—including traditional and hybrid RIAs—to grow their businesses and deliver exceptional client service. We combine advanced business management technology with personalized consulting to provide unmatched scale, efficiency, and support. Our advisor\-focused culture is built on innovation and advocacy, enabling advisors to offer comprehensive securities and investment advisory solutions to their clients.
Lead with Purpose. Partner with Impact.
Kestra Financial is in the midst of a multi\-year transformation to modernize and scale its Salesforce ecosystem across Sales Cloud, Service Cloud, Financial Services Cloud (FSC), Marketing Cloud, and AI\-enabled capabilities. We are seeking a Salesforce Product Owner to translate business priorities into actionable user stories and ensure delivery of high\-value features that drive advisor growth, operational efficiency, and Kestra’s enterprise transformation goals.
In this role, you will serve as the voice of the business within Agile teams, own a defined product domain, and collaborate closely with stakeholders, architects, and developers to deliver solutions that elevate the advisor and client experience. You will play a critical role in shaping backlog priorities, clarifying requirements, and ensuring alignment with Kestra’s strategic objectives.
**What you’ll Do:**  
* Act as the primary liaison between business stakeholders and delivery teams, ensuring clarity of requirements and alignment to strategic goals.
* Own and refine the product backlog for Salesforce capabilities across Sales Cloud, Service Cloud, FSC, workflow automation, integrations, and AI\-driven features.
* Translate business objectives into high\-quality user stories, epics, success metrics, acceptance criteria, and backlog items.
* Partner with business stakeholders to understand pain points, define business value, and inform prioritization decisions.
* Participate in discovery sessions, journey mapping, and data analysis to validate requirements and enhance user experience.
* Collaborate with Solution Architects and Technical Leads to ensure scalable, best\-practice solutions.
* Drive Agile ceremonies (backlog grooming, sprint planning, reviews) and ensure timely delivery of high\-quality features.
* Support UAT planning and execution, ensuring delivered functionality meets business expectations.
* Monitor KPIs and adoption metrics to assess platform performance and inform continuous improvement.
* Champion platform standards related to data quality, security, and integration patterns.
* Partner with enablement teams to support training, release communications, and adoption initiatives.
* Maintain comprehensive functional documentation for Salesforce platform features, workflows, and integrations.
* Understand, analyze, and document end\-to\-end business processes to ensure alignment with platform.
**What You Bring:**  
* 5\+ years of experience in product ownership, business analysis, or Salesforce\-focused delivery roles.
* Strong knowledge of Salesforce Sales Cloud and Service Cloud; familiarity with FSC and Advisor/Client 360 models.
* Proven ability to manage and prioritize backlogs in Agile/Scrum environments.
* Skilled in translating business strategy into actionable user stories and functional requirements.
* Excellent communication skills, with experience engaging senior stakeholders and cross\-functional teams.
* Analytical mindset with experience defining KPIs and measuring product success.
* Exposure to financial services or other regulated industries preferred.
* Understanding of Salesforce governance, DevOps pipelines, and scalable architecture principles.
* Familiarity with MarTech stacks, enterprise integrations, and automation tools.
* Experience with AI/ML concepts, predictive analytics, or workflow intelligence is a plus.
* Salesforce certifications (Admin, Business Analyst, or Platform App Builder) strongly preferred.
**Internal Application Policy:**  
Internal applicants must be in good standing and have a minimum of 1 year of service with Kestra. Internal applicants must also have a minimum of 1 year service in current role unless approved by EVP.
**Benefits to support you:**  
* Competitive pay and benefits with a large employer (over 1600 employees nationwide)
* 401(k), health insurance, and a competitive benefits package
* Work in a supportive, collaborative environment committed to professional excellence
* Help clients navigate meaningful financial decisions with confidence
* Opportunities for training, development, and long\-term growth within the firm
* Tuition reimbursement for qualified expenses
**Kestra Values:**  
Our Mission is Powering Financial Independence, enabling the growth and success of investing clients and the advisors who serve them. We do that by living our values: Serve, Make it Happen, and One team.
Explore Life at Kestra
**Kestra Holdings Website:** https://www.kestrafinancial.com/
**Careers Portal:** https://jobs.dayforcehcm.com/en\-US/kestra/KESTRACAREERSITE
**LinkedIn:** https://www.linkedin.com/company/kestra\-financial
Apply Today
Lead with purpose. Apply now and help shape the future of Kestra.
Disclosure By applying to a job at Kestra Financial, Inc., you are agreeing to the following statements:
* You acknowledge that if hired, Kestra Financial, Inc. may, obtain and use background information concerning your credit, character, general reputation, personal characteristics, work habits, performance and experience for evaluation for your potential employment.
* It is the policy of Kestra Financial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Kestra Financial prohibits any such discrimination or harassment.</t>
        </is>
      </c>
    </row>
    <row r="25">
      <c r="A25" t="inlineStr">
        <is>
          <t>in-ffa56bb4a18e752c</t>
        </is>
      </c>
      <c r="B25" t="inlineStr">
        <is>
          <t>Sr Product Manager - AI Program - Division of Information Technology</t>
        </is>
      </c>
      <c r="C25" t="inlineStr">
        <is>
          <t>Board of Governors of the Federal Reserve System</t>
        </is>
      </c>
      <c r="D25" t="inlineStr">
        <is>
          <t>indeed</t>
        </is>
      </c>
      <c r="E25" t="inlineStr"/>
      <c r="F25" t="inlineStr"/>
      <c r="G25" t="inlineStr">
        <is>
          <t>Washington, DC, US</t>
        </is>
      </c>
      <c r="H25" s="2" t="n">
        <v>46050</v>
      </c>
      <c r="I25" t="inlineStr">
        <is>
          <t>**Minimum Education**  
Bachelor's degree or equivalent experience  
**Minimum Experience**  
6  
**Summary**
Serves to align and organize Product Owners and cross\-functional teams throughout the product lifecycle to identify and deliver solutions that customers find valuable and engaging. Possesses advance to expert knowledge of the client's strategies, functions, issues, and relationships that drive day\-to\-day operations, decisions, and workforce dynamics. Applies this knowledge to better meet the client's business needs and requirements. Leads coordination with product team members designers to translate roadmap into technical requirements to ensure successful build and delivery across the product life cycle. Manages business and technology roadmaps and implementation plans based upon a current vs. future state perspective. Identifies key opportunities for improvement based on industry best practices and trends, develops technical or process enhancements to increase operational efficiencies, or reduce costs associated with the use of internal tools. Leads coordination with business relations, delivery team leads, and Organizational Leaders to ensure strategic alignment with product goals and requirements and to and help them understand how business and technology tradeoffs influence strategy. Serves as the primary point of contact for customers, staff, project team members, project sponsors and/or stakeholders to manage expectations, communicate or gather project information, and/or ensure customer satisfaction. Keeps abreast of cutting\-edge evolving information technologies in areas relevant to division or Board needs and communicates the results of these activities to others.
**Duties and Responsibilities**
* With limited guidance, serves as product manager over large, complex efforts for one or multiple agile team(s) following industry standards and best practices (e.g., Agile, DevOps, ITIL). Serves to align and organize Product Owners and cross\-functional teams throughout the product lifecycle to identify and deliver solutions that customers find valuable and engaging. Leads communication of portfolio and product updates to managers and stakeholders, creating buy\-in on product vision and ensuring strategic alignment. Articulates core value proposition of the solution, identifying individual feature benefits to support value proposition fulfillment. Represent product value proposition and business viability to inform and influences senior\-level support for fulfilling product vision. Manages and serves as the primary point of contact (POC) for supporting budget activities aligned to a product. With limited guidance, engages in Agile resource planning and management to monitor resource utilization, forecast future resource needs, and support business growth.
* Acts as the primary point of intake for product improvements and requirements from internal stakeholders and customers. Leads collaboration with clients and stakeholders to discuss needs, research and collect information about business operations, and define requirements and use cases. Possesses advanced expert knowledge of the client's strategies, functions, issues, and relationships that drive day\-to\-day operations, decisions, and workforce dynamics. Applies this knowledge to better meet the client's business needs and requirements. Leads coordination with product team members to translate roadmap into requirements to ensure successful delivery across the product life cycle. Coaches others on identifying user research and leveraging secondary research to better understand customer needs.
* Produces business and technology roadmaps and implementation plans based upon a current vs. future state perspective for the collection of products for which they are responsible. Oversees multiple projects by integrating dependent schedules and deliverables and related activities (e.g., benefits management, life cycle management, and program governance). Defines, implements, and tracks measurable individual and team objectives that are aligned with business and organizational goals, using a data\-driven approach to iterate on delivery plans and roadmaps based on key metrics captured.
* Crafts product strategy that communicates and evangelizes the value of the product or platform across the broader organization. Identifies key opportunities for improvement based on industry best practices and trends, develops technical or process enhancements to increase operational efficiencies, or reduce costs associated with the use of internal tools. Develops strategies to improve performance of data through advice on technology selection; data structure or layout; architectural choices; or other best practices.
* Leads coordination with business relations, delivery team leads, and Organizational Leaders to ensure strategic alignment with product goals and requirements to help them understand how business and technology tradeoffs influence strategy. Leads efforts to contribute to the strategic direction of the Division by identifying gaps between the current and desired end\-states by researching best practices and assessing trade\-offs among options.
* Establish and maintain relationships with key business and technology stakeholders to generate agreement, set priorities, and drive alignment. Serves as the primary point of contact for customers, staff, product team members, product sponsors and/or stakeholders to manage expectations, communicate or gather product information, and/or ensure customer satisfaction. Expert at explaining processes and concepts to technical and non\-technical audiences. Represents unit, branch, or division in stakeholder meetings, coordinates with stakeholders to resolve questions, and participates on task forces and committees, both internal and external to the Board. Supervises the development of communication strategies, plans and messages for various audiences. Ensure customer\-driven design, consider user pain points, and leverage market and industry knowledge to deliver a well\-positioned product.
* Keeps abreast of cutting\-edge evolving information and business trends and technologies in areas relevant to division or Board needs and communicates the results of these activities to others. Assesses current and future requirements and proactively plans for and implements new technology and business adoption, transformation, consolidation, and/or incremental improvements. Possesses expert knowledge of technology business options available in the market and skilled at assessing their viability for meeting Division and/or Board needs.
**Position Requirements****Position requirements:**
**Bachelor's**
 **Master's/PhD**
FR\-27
6 years
4 years
FR\-28
8 years
6 years
 **Remarks:**
The AI Program Product Manager leads enterprise technical AI initiatives, bridging cutting\-edge AI capabilities with enterprise business needs. This role requires both technical expertise to evaluate emerging AI technologies and the strategic vision to guide organizational AI maturity. In this influential position, the successful candidate will build alignment across technical and business stakeholders while managing AI governance, vendor relationships, and product portfolio prioritization. Required skills include but are not limited to:
* **Demonstrated knowledge and competence in artificial intelligence technologies and enterprise AI systems,** achieved by completion of a degree(s) with the associated minimum years of related experience:
* **Deep technical experience in modern AI/ML capabilities** including prototyping and deploying LLMs, generative AI, and emerging AI systems (FR\-28: expert\-level knowledge of agentic AI, multimodal systems, reasoning models); understanding of AI deployment architectures and implementation techniques; hands\-on experience with programming, data science, machine learning, NLP, and AI integration with analytics and business operations; proven ability to evaluate emerging AI capabilities.
* **Demonstrated expertise in product management and delivery using established methodologies for AI products, platforms, or research initiatives** including roadmap development, cross\-functional alignment, and translating business needs into technical requirements; demonstrated ability managing complex initiatives with data\-driven prioritization and measurable outcomes; experience guiding cross\-functional teams and product owners without formal supervisory authority. (FR\-28: deep understanding of portfolio development, program governance, and organizational maturity).
* Strategic thinking and planning capabilities with ability to synthesize complex information, apply systems thinking to enterprise challenges, and develop long\-term AI strategies with actionable short\- and medium\-term execution (FR\-28: proven ability to advise senior leadership on AI strategic direction and innovation decisions).
* Exceptional communication and stakeholder management with proven ability to articulate AI’s value and potential to technical and non\-technical audiences at all levels; clear, concise verbal and written communication; proven ability building organizational buy\-in and influencing without authority.
* AI governance and risk management knowledge including compliance frameworks, responsible AI practices, and model evaluation; understanding of risk management in complex contexts; stays current on AI trends and emerging capabilities.
* Ability to work independently on complex assignments and collaborate effectively across technical and business teams.
**Preferred Qualifications:**  
* Experience with cloud platforms (e.g., AWS, Azure, GCP), enterprise AI platforms (e.g., Domino, Databricks), and infrastructure management
* Vendor management including acquisitions, contract management, and relationship management
* Platform and infrastructure knowledge including DevOps, deployment pipelines, and data lifecycle management
* Experience working on a program using Scaled Agile Framework (SAFe)
* Experience working with Gitlab and Jira tools for product and project management
* Experience in regulated environments (government, financial services, or similar)
* Experience coordinating technical teams (FR\-28: 15\-20\+ staff across workstreams)
 **U.S. citizenship required. Position is located in Washington DC, and on\-site presence is required.**
**We are an Equal Opportunity Employer and do not discriminate against any employee or applicant for employment on the basis of race, color, religion, sex, pregnancy, national origin, age, disability, genetic information, or application, membership, or service in the uniformed services.**</t>
        </is>
      </c>
    </row>
    <row r="26">
      <c r="A26" t="inlineStr">
        <is>
          <t>in-c9a7db036a40ab68</t>
        </is>
      </c>
      <c r="B26" t="inlineStr">
        <is>
          <t>Operations Program Manager III</t>
        </is>
      </c>
      <c r="C26" t="inlineStr">
        <is>
          <t>BAE Systems USA</t>
        </is>
      </c>
      <c r="D26" t="inlineStr">
        <is>
          <t>indeed</t>
        </is>
      </c>
      <c r="E26" t="inlineStr"/>
      <c r="F26" t="inlineStr"/>
      <c r="G26" t="inlineStr">
        <is>
          <t>Dallas, TX, US</t>
        </is>
      </c>
      <c r="H26" s="2" t="n">
        <v>46050</v>
      </c>
      <c r="I26" t="inlineStr">
        <is>
          <t>**Job Description**  
Become part of the leadership team at BAE Systems' Dallas Eclipse facility! We are looking for an Operations Program Manager III to join our team. This person will serve as the liaison between program management, the factory management team and the supply chain team. As an Operations Program Manager, you will perform cost account management activities for the commercial product business, oversee factory execution, and ensure material procurement is supporting the factory needs. Additionally, you will prepare project execution plans, identify technical and business resources needed. Evaluate and report on cost, delivery schedule, and quality.  
**Required Education, Experience, \&amp; Skills**  
* Bachelor's Degree
* 8 years work experience or equivalent experience
**Preferred Education, Experience, \&amp; Skills**  
* Cost Account Management experience
* Strong relationship building skills
* Experience working with supply chain
* Factory / Manufacturing experience
* Data analysis and reporting skills
* Customer interface experience
**Pay Information**  
Full\-Time Salary Range: $120874 \- $205486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7">
      <c r="A27" t="inlineStr">
        <is>
          <t>in-6866f57ff5da7675</t>
        </is>
      </c>
      <c r="B27" t="inlineStr">
        <is>
          <t>Program Manager- NWMO-MYDAY</t>
        </is>
      </c>
      <c r="C27" t="inlineStr">
        <is>
          <t>Life Unlimited</t>
        </is>
      </c>
      <c r="D27" t="inlineStr">
        <is>
          <t>indeed</t>
        </is>
      </c>
      <c r="E27" t="inlineStr"/>
      <c r="F27" t="inlineStr"/>
      <c r="G27" t="inlineStr">
        <is>
          <t>Saint Joseph, MO, US</t>
        </is>
      </c>
      <c r="H27" s="2" t="n">
        <v>46050</v>
      </c>
      <c r="I27" t="inlineStr">
        <is>
          <t>Job Title: PROGRAM MANAGER\- Day Program  
Department: Day Program  
Reports To: Director of Day Services  
FLSA: Exempt
SUMMARY  
The Program Manager coordinates supports for people attending/change to day service. He/she manages  
a caseload and monitors for program quality, client and family satisfaction, fiscal responsibility, and  
compliance with funding source and accreditation standards.
BASIC FUNCTIONS AND GENERAL RESPONSIBILITIES:  
* Designing, implementing, coordinating, supervising and evaluating programs for all assigned
people supported by Life Unlimited My Day Program.  
* Assuring the quality of habilitative support services at Day Program.
* Participating in workshops and training conferences to enhance personal growth and
development.  
* Develop ISP goals in a timely manner based on input from the person supported, My Day staff,
family, other staff, and personal observations.  
* Facilitate the Individual Support Plan (ISP) meeting, with Support Coordinator, according to the
desires of the person supported and guardian, when applicable.  
* Provide support staff with sufficient information, training support for delegated tasks\- RN
(Oversight), external resources, training, plan information, and other requirements for the  
successful implementation of each program.  
* Submit required forms/summaries and monitor program entries in Therap as needed, so they are
correct and complete. Forms/summaries include, but not limited to, event reports and monthly  
summaries to analyze ISP outcome data.  
* Participate in ongoing group and individualized support staff training, evaluation, and
development.  
* Maintain familiarity with and follow Life Unlimited policies and procedures.
* Enhance public relations, as requested, for Life Unlimited, including representing the agency at
community meetings, conferences, and meetings with other agencies, as needed.  
* Maintain program records.
* Demonstrate ability to relate effectively with co\-workers and guardians; give and receive
feedback in a positive, supportive manner.  
* Safeguard confidentiality, privacy, dignity, safety, health, and the civil rights of the people we
support and our co\-workers. Accomplish this through education, monitoring, and evaluation of  
services, staff, and programs.  
* Communicate directly and clearly in verbal and written form.
* Show initiative and creativity in problem solving.
* Carry a phone to respond to program situations during the regular work schedule and after hours
for emergencies.  
* Participate in on\-call rotation for morning staffing support.
* Actively attend and participate in QA, Health Team and Administrative Team, as well as any
other required meetings.  
* The ability to effectively and efficiently use computers or mobile devices to input, access,
modify, or output information. This includes the ability to quickly access, store and retrieve  
data.  
* Other duties as assigned.
Staff Management  
* Supervise volunteers and community service volunteers; monitor work performance and provide
ongoing feedback to improve productivity and employee job satisfaction.  
* Provide inspirational leadership to staff and volunteers, setting operational performance standards
and offering training.  
* Engage in progressive discipline procedures when needed; write performance improvement plans
that put corrective action in place to ensure staff is in compliance when necessary.  
* Conduct investigations should allegations of misconduct arise,
* Maintain confidentiality regarding all personnel matters.
* Develop schedules for paid staff and volunteers to ensure appropriate levels of staff and volunteer
coverage to both reach the store’s financial goals and be able to provide excellent customer service.  
* Lead and supervise the retail job training program; oversee the development of the curriculum;
recruit volunteers to assist; and mentor students.  
* Maintain current knowledge of agency policies and procedures as they relate to personnel; monitor
staff for adherence to policies and procedures;  
* Conduct regularly scheduled communication with staff /volunteers to provide direction, guidance
and oversight to personnel. Host staff/volunteer meetings as needed to share information and engage  
in team building.  
* Provide timely direction and feedback to appropriate authorities
* All Other Duties as Assigned
Working Conditions  
Office/home environment with noises from those we support, appliances, and telephones. May be  
exposed to bloodborne pathogens and/or infectious diseases.
QUALIFICATIONS  
* Bachelor’s Degree in position related field or eight years related experience.
* Must obtain and maintain training and certification in all required areas such as
Abuse/Neglect, CPR, First Aid, Level I Medication Administration and Positive Behavior  
Supports.  
* Minimum of one year supervisory experience with individuals with developmental
disabilities.  
* Ability to develop, implement, and evaluate treatment plans.
* Must be at least 18 years of age.
* Must have reliable personal vehicle for transporting clients.
* Must obtain a Class E driver’s license during new hire orientation– must carry minimum
coverage applicable by law for auto insurance  
* Must Receive Seasonal Flu Vaccination
Equal Opportunity Employer</t>
        </is>
      </c>
    </row>
    <row r="28">
      <c r="A28" t="inlineStr">
        <is>
          <t>in-2b6b1e6060995f6a</t>
        </is>
      </c>
      <c r="B28" t="inlineStr">
        <is>
          <t>TikTok Shop - Product Manager - Transaction Product</t>
        </is>
      </c>
      <c r="C28" t="inlineStr">
        <is>
          <t>TikTok</t>
        </is>
      </c>
      <c r="D28" t="inlineStr">
        <is>
          <t>indeed</t>
        </is>
      </c>
      <c r="E28" t="inlineStr"/>
      <c r="F28" t="inlineStr"/>
      <c r="G28" t="inlineStr">
        <is>
          <t>Seattle, WA, US</t>
        </is>
      </c>
      <c r="H28" s="2" t="n">
        <v>46050</v>
      </c>
      <c r="I28" t="inlineStr">
        <is>
          <t>Product manager
TikTok Shop \- Product Manager \- Transaction Product
Location
:
Seattle
Employment Type
:
Regular
Job Code
:
A65347
Responsibilities
About the team
As the Customer Product Team, our mission is to provide our customers with entertaining shopping experience in TikTok. We are looking for experienced Product Manager to join our team.
**Responsibilities:**  
* Be responsible for product roadmap and product strategy design and providing TikTok users with great shopping experience and product solution.
* Be responsible for daily team management and cooperation with key stakeholders.
Qualifications
Minimum Qualifications
* Bachelor's degree or above.
* 5\+ years work experience in customer products.
* Experience as a product manager or product developer.
* Excellent communication skills, data driven ability, and be able to flexibly adjust strategies in complex situations.
* Collaborate with cross function teams to define business strategy and product roadmap; provide localized shopping experience.
**Preferred Qualifications:**  
* Have a good understanding of e\-commerce platforms, business and customers, and the ability to understand the new business models.
Job Information
【For Pay Transparency】Compensation Description (Annually)
The base salary range for this position in the selected city is $156864 \- $296020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9">
      <c r="A29" t="inlineStr">
        <is>
          <t>in-0c2eddd0e2242fb4</t>
        </is>
      </c>
      <c r="B29" t="inlineStr">
        <is>
          <t>Program Manager, IT</t>
        </is>
      </c>
      <c r="C29" t="inlineStr">
        <is>
          <t>Hibbett</t>
        </is>
      </c>
      <c r="D29" t="inlineStr">
        <is>
          <t>indeed</t>
        </is>
      </c>
      <c r="E29" t="inlineStr"/>
      <c r="F29" t="inlineStr"/>
      <c r="G29" t="inlineStr">
        <is>
          <t>Birmingham, AL, US</t>
        </is>
      </c>
      <c r="H29" s="2" t="n">
        <v>46050</v>
      </c>
      <c r="I29" t="inlineStr">
        <is>
          <t>00015 Store Support Center
LE\_301 Hibbett Retail, Inc.SUMMARYThe Program Manager, IT will be responsible for complex infrastructure projects and program management assignments. The Program Manager, IT is responsible for the success of all projects in the portfolio. This position will be responsible for directing the efforts of multiple departments to achieve clearly defined results operating within the agreed upon time, budget, and specifications of each project. This position is responsible for managing the expectations, deliverables, and results of all project resources, internal and external, as related to the specific roles and activities. The Project Manager organizes, plans, and directs all project work activities; communicates project status to all roles and levels of project stakeholders; and provides specific performance feedback to the respective resource managers. The incumbent will lead large projects that have enterprise level strategic importance. ESSENTIAL DUTIES AND RESPONSIBILITIESExtensive IT project management experience or demonstrated project management skills \- including project planning, project control and risk management
Responsible for one to three IT projects at any time, executing PM methodology and delivering desirable outcomes (from prepare to transition)
Ability to develop project plan, gain consensus and commitment
Ensures project stays on schedule and meets the requirements established in the project scope and charter
Excellent facilitation, collaboration, negotiation, and presentation skills
Facilitate all reporting and documentation for the project
Excellent negotiation skills, ability to manage priorities
Ability to plan, execute, and control a project
Strong knowledge of business objectives
Consults with management and reviews project proposals to determine goals, time frame, funding limitations, and procedures for accomplishing project, staffing requirements, and allotment of resources.
Continually seeks and capitalizes upon opportunities to increase customer satisfaction and deepen client relationships
Protect the company's assets and financial information by ensuring the accuracy and effectiveness of internal control procedures and informing management and/or appropriate officials of potential fraud risk.
SUPERVISORY RESPONSIBILITIESThis position is responsible for supervising Sr Project Managers, Project Managers and Project Coordinators.
QUALIFICATIONSBachelor's degree in business or a related field or equivalent experience preferred
5\+ years of related experience. 2\-3 years of management experience.
Proven track record of project delivery
Trained project management discipline
Demonstrated leadership Skills, especially without direct management responsibility
Excellent organizational skills, prioritization, communication
Strong business acumen with the ability to work with people from diverse functional backgrounds
Hibbett's Privacy Policy
Candidates will have an option during the application process to withdraw their application prior to completion of the application. Throughout this online job application process, you will be asked to provide personal information about yourself. Please review Hibbett’s Privacy Policy to understand how the information you provide will be utilized and safeguarded.
By clicking the Apply button, I acknowledge that I have read and understand the Hibbett's Privacy Policy. Further, I consent to the use of the same as my Electronic Agreement for purposes hereof. I acknowledge that I have a right to withdraw such consent at any time by contacting Hibbett.</t>
        </is>
      </c>
    </row>
    <row r="30">
      <c r="A30" t="inlineStr">
        <is>
          <t>in-4ae791faa7c13896</t>
        </is>
      </c>
      <c r="B30" t="inlineStr">
        <is>
          <t>Product Manager-Large Gas Turbine</t>
        </is>
      </c>
      <c r="C30" t="inlineStr">
        <is>
          <t>Siemens Energy</t>
        </is>
      </c>
      <c r="D30" t="inlineStr">
        <is>
          <t>indeed</t>
        </is>
      </c>
      <c r="E30" t="inlineStr"/>
      <c r="F30" t="inlineStr"/>
      <c r="G30" t="inlineStr">
        <is>
          <t>Orlando, FL, US</t>
        </is>
      </c>
      <c r="H30" s="2" t="n">
        <v>46050</v>
      </c>
      <c r="I30" t="inlineStr">
        <is>
          <t>**A Snapshot of Your Day**
Lead a large fleet of operating gas fired turbines with lifecycle responsibility for 8000H on reliability and profitability. Collaborate with global teams in research and development, project execution and sales organizations supporting customer base and fleet.
**How You’ll Make an Impact**
* Collaborate with multiple organizations to understand market requirements, evaluate regulatory and energy transition trends as well as the competitive environment in order to identify product needs, looking for new features and capabilities to improve the competitive position of the 8000H gas turbine portfolio.
* Drive and lead key development projects from concept through commercial rollout
* Drive frame specific internal communication: R\&amp;D project pipeline, business impacts, customer benefits.
* Maintain the external view on the 8000H: performance data and communication material including SE Homepage, GT World Handbook, Sales Presentations, Brochures
* Contribute to strategic product roadmaps to assure life cycle success of the portfolio.
* Collaborate with various teams to prioritize, drive, guide and involvement in 8000H issues, root causes, and customer communication strategy
* Support new unit sales regarding project specific strategy, load planning and customer meetings
 **What You Bring**
* Bachelor's degree or equivalent experience in Engineering is required; an advanced degree or equivalent experience in Business or Engineering is preferred.
* 8\+ years of professional experience in gas turbine design, power plant engineering, manufacturing, field service, project management or proposals
* Leadership skills with a proactive customer\-centric approach with creative and out\-of\-the\-box thinking
* A developed sense of personal accountability when it comes to decision\-making and working with global development teams.
* A clear understanding of project management processes, strategies, and methods with experience managing complex projects.
* Applicants must be legally authorized for employment in the United States without the need for current or future employer\-sponsored work authorization. Siemens Energy employees with current visa sponsorship may be eligible for internal transfers.
 **About the Team**
Siemens Energy invests $400\+ million yearly in Gas Services Product Management (GS PRM) evaluates technologies, develops strategies and assures competitive product portfolio.
Join a team dedicated to developing innovative products that meet customer needs every single day.
**Gas Services**
Our Gas Services Business Area offers low emission power generation through service and decarbonization. Zero or low emission power generation and all gas turbines are under one umbrella, along with steam turbines and generators. Decarbonization opportunities are made real through service offerings, modernizations, and digitalization of the operating fleet.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supportive work culture
* Company paid Health and wellness benefits
* Paid Time Off and paid holidays
* 401K savings plan with company match
* Family building benefits
* Parental leave
https://jobs.siemens\-energy.com/jobs</t>
        </is>
      </c>
    </row>
    <row r="31">
      <c r="A31" t="inlineStr">
        <is>
          <t>in-fbe60c2f5ba89a5a</t>
        </is>
      </c>
      <c r="B31" t="inlineStr">
        <is>
          <t>Clinical Placement Program Manager</t>
        </is>
      </c>
      <c r="C31" t="inlineStr">
        <is>
          <t>Victor Valley College</t>
        </is>
      </c>
      <c r="D31" t="inlineStr">
        <is>
          <t>indeed</t>
        </is>
      </c>
      <c r="E31" t="inlineStr"/>
      <c r="F31" t="inlineStr"/>
      <c r="G31" t="inlineStr">
        <is>
          <t>Victorville, CA, US</t>
        </is>
      </c>
      <c r="H31" s="2" t="n">
        <v>46049</v>
      </c>
      <c r="I31" t="inlineStr">
        <is>
          <t>Victor Valley College
**Salary:** $100,644\.00 \- $141,624\.00 Annually
**Job Type:** Full\-Time (Exempt)
**Job Number:** 2026\-608 CPPMNGR
**Location:** CA 92395, CA
**Department:**  
**Closing:** 2/25/2026 11:59 PM Pacific
Basic Functions
FIRST DATE OF REVIEW IS SCHEDULED FOR FEBRUARY 25, 2026
FAIR LABOR STANDARDS ACT (FLSA) POSITION STATUS IS EXEMPT
EMPLOYEE BENEFITS \- Comprehensive benefit package which includes:
District paid medical, dental and vision insurance for the employee and dependents.
District paid $100,000 life insurance policy for the employee.
Classified Administrators participation in CalPERS Retirement System.
20 paid holidays; 22 vacation days
DEFINITION
Under the direct supervision of the Director of the Associate Degree Nursing Program and Allied Health. The Clinical Placement Program Manager is responsible for acquiring, contracting, monitoring, and evaluating all clinical sites for nursing courses and student experiences in coordination with the Director. This individual is responsible for preparing, modifying and updating clinical schedules for the Nursing Program and documentation for the Board of Registered Nursing (BRN); modifying the clinical placement needs of the Department of Nursing, when appropriate, to meet BRN, California Community College Chancellor's Office (CCCCO) and the District requirements. The Clinical Placement Program Manager assists the department chairperson and nursing faculty in assigning faculty to their clinical rotations each semester. The Clinical Placement Program Manager is the liaison and advocate between VVC Nursing program and contracted clinical sites. The Clinical Placement Program Manager tracks all required documents, test results, vaccines, certifications, and their due dates for students in the Associate Degree of Nursing courses following deadlines of clinical sites.
The Clinical Placement Program ensures that faculty meets the credentialing requirements of assigned facilities and that required documents are submitted to the clinical facilities within required timeframes. The Clinical Placement Program Manager coordinates an orientation program for all new clinical faculty to ensure that the program outcomes are met.
SUPERVISION RECEIVED AND EXERCISED
Receives general direction from the Director of the Associate Degree Nursing Program and Allied Health. Collaborates with technical and administrative staff.
CLASS CHARACTERISTICS
This classification is responsible for a program related to ongoing District operations, initiatives, and services ensuring alignment with the attraction, retention, and academic success of students. Incumbents are responsible for designing, planning, implementing, evaluating, and modifying the program, including short\- and long\-term planning activities; supporting and analyzing programmatic practices and procedures; and developing and implementing recommendations for program operational or procedural improvements. Incumbents serve as a specialist, liaison, and advocate for the assigned program requiring the use of initiative and resourcefulness, considerable independent judgment, and regular contact with program stakeholders.
Representative Duties
EXAMPLES OF TYPICAL JOB FUNCTIONS (Illustrative Only)
Management reserves the right to add, modify, change, or rescind the work assignments of different positions and to make reasonable accommodations so that qualified employees can perform the essential functions of the job.
Creates, updates, and modifies clinical assignment schedules for the Associate Degree Nursing (ADN) Program to maintain a current clinical rotation schedule.
Requests clinical site rotations 6 to 12 months in advance.
Submits the final, updated, clinical rotation schedules to clerical staff and department chairperson at least three weeks prior to the start of each semester.
Obtains list of required documents, tests, vaccines, and certifications for each clinical site for students and faculty.
Monitors compliance for required documents, tests, vaccines and certifications for all faculty and students at clinical facility sites.
Notifies student and/or faculty deficiencies in required documents, tests, vaccines or certifications to clerical assistant and the Director of the Associate Degree Nursing Program and Allied Health. Counsels and refers deficient students to the Director.
Communicates facility information and updates to faculty and students.
Ensures student and faculty required documents, records, tests, vaccines, and certifications are current, completed and sent to appropriate clinical sites before the start of clinical rotations.
Ensures compliance of faculty and students with mandatory clinical site orientation and documentation orientation for specific sites they are assigned to.
Collaborates with department chairperson, lead faculty and the Director of the Associate Degree Nursing Program and Allied Health in facilitating faculty and student orientation to clinical sites, assessing health and safety requirements, and reviewing student/faculty/facility evaluations utilizing various software platforms, as appropriate.
Maintains collegial and professional relationship with each clinical facility through regular visits to each facility.
Cooperates, collaborates and engages in special projects or assignments that faculty are required to participate such as Every five year Self\-Study of Nursing Department for the BRN, Annual Advisory Committee Meeting.
Participates in conferences, meetings, projects, and special assignments as mandated.
Participates in Professional Development, as offered or requested, to remain current with duties and standard procedures for fulfilling role.
Maintain required BRN and Nursing Department certifications and documents: Basic Life Support (BLS) healthcare provider course, flu shot, vaccine record or titers, tuberculosis (TB) test and all others required by the clinical sites, BRN, and California Department of Public Health (CDPH).
In collaboration with clerical staff, assures all clinical contracts are up to date and renewed prior to expiration dates.
Collaborates with the Director of the Associate Degree Nursing Program and Allied Health to establish clinical placement needs.
Works productively and cooperatively with others by demonstrating respect, patience, and equitable treatment of all internal and external customers.
Performs other duties as assigned.
Requirements
**EDUCATION AND EXPERIENCE:**  
Any combination of training and experience that would provide the required knowledge, skills, and abilities is qualifying. A typical way to obtain the required qualifications would be:
**EDUCATION:**  
Associate's Degree in Nursing
Bachelor's Degree in Nursing is desired
**EXPERIENCE:**  
Three (3\) years of clinical experience in acute care
**LICENSES AND CERTIFICATIONS:**  
Valid RN license to practice professional registered nursing in the state of California, as required by law.
Possession of a valid California Driver's License to be maintained throughout employment.
PHYSICAL DEMANDS
Must possess mobility to work in a standard office setting and use standard office equipment, including a computer; to operate a motor vehicle and visit various clinical sites; vision to read printed materials and a computer screen; and hearing and speech to communicate in person and over the telephone. This is primarily a sedentary office classification although standing in work areas and walking between work areas may be required. Finger dexterity is needed to access, enter, and retrieve data using a computer keyboard or calculator and to operate standard office equipment. Positions in this classification occasionally bend, stoop, kneel, reach, push, and pull drawers open and closed to retrieve and file information. Employees must possess the ability to lift, carry, push, and pull materials and objects up to 10 pounds.
ENVIRONMENTAL CONDITIONS
Employees work in an office environment with moderate noise levels, controlled temperature conditions, and no direct exposure to hazardous physical substances. Employees may interact with upset staff, students and/or public and private representatives in interpreting and enforcing departmental policies and procedures.
Knowledge and Abilities
QUALIFICATIONS
**KNOWLEDGE OF:**  
Computer software programs including Word, Excel, PowerPoint, Outlook, Adobe, Zoom.
Basic medical terminology and types of nursing.
Basic hospital organization and hospital/clinic systems.
Requirement/regulations related to immunization.
Techniques of providing a high level of customer service by effectively interacting with students, staff, faculty, representatives of outside organizations, and members of the public, including individuals of diverse academic, socio\-economic, ethnic, religious, and cultural backgrounds, physical ability, and sexual orientation.
**ABILITY TO:**  
Work logistics involving complex operations with several people, facilities and/or supplies.
Demonstrate excellent computer based organizational skills.
Demonstrate excellent public relations skills using proper etiquette both electronic and interpersonally.
Collaborate, develop and maintain excellent working relationships with multiple faculty, administrators, staff, and coordinator/nurses at many institutions.
Communicate clearly, professionally, and calmly with people expressing frustration.
Keep updated records and attend to details despite much change.
Create and improve systems for organization of many variables (e.g., maintain accurate and detailed reports and records).
Remain flexible and effectively perform job during unexpected situations or changing conditions.
Show a high level of dedication by following through with commitment, in a reliable and communicative manner.
Take the initiative to solve or improve problems and situations proactively without needing supervision.
Manage time to accomplish tasks efficiently and effectively (e.g., multi\-task).
Reach out to appropriate sources to get the resources or find information needed to be successful.
Think critically and possess decision\-making skills.
Demonstrate sensitivity to, and understanding of, the diverse academic, socio\-economic, ethnic, religious, and cultural backgrounds of community college students.
**APPLICATION PROCEDURES:**  
VISA
Victor Valley Community College does not sponsor Visas such as H1B Visas.
To be considered a candidate for this position, all materials required should be received in the Victor Valley College Office of Human Resources by the First Review Date. Application materials may be accepted after this date, however, if a file is not complete by the First Review Date, the application may not be considered by the Screening Committee.
It is the applicant's responsibility to ensure that all requested materials are received. All material included in the application packet become District property, will not be returned, and will not be copied.
All information qualifying an applicant for the position must be included on the Victor Valley College application. If it is unclear whether an applicant meets the minimum qualifications for the position from the application, that applicant will be disqualified.
Candidates wishing to apply for more than one position must apply for each position separately.
Applicants may be notified by email during any phase of this recruitment regarding status. This recruitment may be used to fill future vacancies.
You may check your status at any time by logging into Victor Valley College Online Application Site click here to open link: School Jobs with your username and password.
To request a reasonable accommodation due to a disability to assist with completing an application, please contact the Human Resources Department before the listed closing date at (760\) 245\-4271, extension 2500, or by email at jobs@vvc.edu .
**A complete file consists of all of the following:**  
1\. A completed Victor Valley College application electronic form
2\. A letter expressing interest in the position
3\. A current resume
4\. Copies of transcripts showing college degrees and coursework. NOTE: Degrees must be from an accredited institution. Applicants with foreign transcripts must have transcripts evaluated for U.S. equivalency by one of the following agencies. Open the link below for a list of agencies that have been approved by the Commission on Teacher Credentialing to provide evaluation of college or university course work completed at an institution in a country other than the United States: Commission Approved Foreign Transcript Evaluating Agencies This evaluation must be completed and submitted prior to your application being included in the application pool. A copy of the evaluation must be attached to each application package. Please note there is a fee for the evaluation service.
Victor Valley College is an Equal Opportunity Employer. The Board of Trustees is committed to supporting recruitment activities that are intentional, professional development opportunities that are meaningful, and instructional processes that support the goals of equal opportunity, equity, and diversity by providing equal consideration for all qualified candidates including but not limited to federally and state protected class, race, color, national origin, disability (mental and physical, including HIV/AIDS, cancer, and genetic characteristics), ancestry, sex/gender (includes pregnancy, childbirth, breastfeeding and/or related medical conditions), gender identity, gender expression, sexual orientation, religion (includes religious dress and grooming practices), age (over 40\), marital status, medical condition (genetic characteristics, cancer or a record or history of cancer), military or veteran status, and genetic information.
To apply, please visit https://www.schooljobs.com/careers/vvc/jobs/5214828/clinical\-placement\-program\-manager
jeid\-e35004889737c84c85f8cc9b13101958</t>
        </is>
      </c>
    </row>
    <row r="32">
      <c r="A32" t="inlineStr">
        <is>
          <t>in-be4908479ac0dba6</t>
        </is>
      </c>
      <c r="B32" t="inlineStr">
        <is>
          <t>Sr. Supply Chain Product Manager, Amazon Custom Modules</t>
        </is>
      </c>
      <c r="C32" t="inlineStr">
        <is>
          <t>Amazon.com</t>
        </is>
      </c>
      <c r="D32" t="inlineStr">
        <is>
          <t>indeed</t>
        </is>
      </c>
      <c r="E32" t="inlineStr"/>
      <c r="F32" t="inlineStr"/>
      <c r="G32" t="inlineStr">
        <is>
          <t>Austin, TX, US</t>
        </is>
      </c>
      <c r="H32" s="2" t="n">
        <v>45935</v>
      </c>
      <c r="I3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in-5a2a1727d9ed836c</t>
        </is>
      </c>
      <c r="B33" t="inlineStr">
        <is>
          <t>Sr. Supply Chain Product Manager, Amazon Custom Modules</t>
        </is>
      </c>
      <c r="C33" t="inlineStr">
        <is>
          <t>Amazon.com</t>
        </is>
      </c>
      <c r="D33" t="inlineStr">
        <is>
          <t>indeed</t>
        </is>
      </c>
      <c r="E33" t="inlineStr"/>
      <c r="F33" t="inlineStr"/>
      <c r="G33" t="inlineStr">
        <is>
          <t>Cupertino, CA, US</t>
        </is>
      </c>
      <c r="H33" s="2" t="n">
        <v>45935</v>
      </c>
      <c r="I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in-7e151133ac866ca1</t>
        </is>
      </c>
      <c r="B34" t="inlineStr">
        <is>
          <t>Sr. Supply Chain Product Manager, Amazon Custom Modules</t>
        </is>
      </c>
      <c r="C34" t="inlineStr">
        <is>
          <t>Amazon.com</t>
        </is>
      </c>
      <c r="D34" t="inlineStr">
        <is>
          <t>indeed</t>
        </is>
      </c>
      <c r="E34" t="inlineStr"/>
      <c r="F34" t="inlineStr"/>
      <c r="G34" t="inlineStr">
        <is>
          <t>Seattle, WA, US</t>
        </is>
      </c>
      <c r="H34" s="2" t="n">
        <v>45935</v>
      </c>
      <c r="I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in-fed38995b973ea7d</t>
        </is>
      </c>
      <c r="B35" t="inlineStr">
        <is>
          <t>Sr. Program Manager, Same Day Programs,</t>
        </is>
      </c>
      <c r="C35" t="inlineStr">
        <is>
          <t>Amazon.com</t>
        </is>
      </c>
      <c r="D35" t="inlineStr">
        <is>
          <t>indeed</t>
        </is>
      </c>
      <c r="E35" t="inlineStr"/>
      <c r="F35" t="inlineStr"/>
      <c r="G35" t="inlineStr">
        <is>
          <t>Nashville, TN, US</t>
        </is>
      </c>
      <c r="H35" s="2" t="n">
        <v>45931</v>
      </c>
      <c r="I3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in-d79e2ae7174cbef8</t>
        </is>
      </c>
      <c r="B36" t="inlineStr">
        <is>
          <t>Sr. Program Manager, Same Day Programs</t>
        </is>
      </c>
      <c r="C36" t="inlineStr">
        <is>
          <t>Amazon.com</t>
        </is>
      </c>
      <c r="D36" t="inlineStr">
        <is>
          <t>indeed</t>
        </is>
      </c>
      <c r="E36" t="inlineStr"/>
      <c r="F36" t="inlineStr"/>
      <c r="G36" t="inlineStr">
        <is>
          <t>Nashville, TN, US</t>
        </is>
      </c>
      <c r="H36" s="2" t="n">
        <v>45931</v>
      </c>
      <c r="I3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in-dda9fd3649c4cb7d</t>
        </is>
      </c>
      <c r="B37" t="inlineStr">
        <is>
          <t>Sr. Program Manager, Same Day Programs,</t>
        </is>
      </c>
      <c r="C37" t="inlineStr">
        <is>
          <t>Amazon.com</t>
        </is>
      </c>
      <c r="D37" t="inlineStr">
        <is>
          <t>indeed</t>
        </is>
      </c>
      <c r="E37" t="inlineStr"/>
      <c r="F37" t="inlineStr"/>
      <c r="G37" t="inlineStr">
        <is>
          <t>Bellevue, WA, US</t>
        </is>
      </c>
      <c r="H37" s="2" t="n">
        <v>45931</v>
      </c>
      <c r="I3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in-2473541d767fbe34</t>
        </is>
      </c>
      <c r="B38" t="inlineStr">
        <is>
          <t>Sr. Program Manager, Same Day Programs</t>
        </is>
      </c>
      <c r="C38" t="inlineStr">
        <is>
          <t>Amazon.com</t>
        </is>
      </c>
      <c r="D38" t="inlineStr">
        <is>
          <t>indeed</t>
        </is>
      </c>
      <c r="E38" t="inlineStr"/>
      <c r="F38" t="inlineStr"/>
      <c r="G38" t="inlineStr">
        <is>
          <t>Bellevue, WA, US</t>
        </is>
      </c>
      <c r="H38" s="2" t="n">
        <v>45931</v>
      </c>
      <c r="I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in-d3b90d456ef7478b</t>
        </is>
      </c>
      <c r="B39" t="inlineStr">
        <is>
          <t>Amazon Last Mile Fleet Program Manager, In Life Services-Recalls, Retrofits, and Tires</t>
        </is>
      </c>
      <c r="C39" t="inlineStr">
        <is>
          <t>Amazon.com</t>
        </is>
      </c>
      <c r="D39" t="inlineStr">
        <is>
          <t>indeed</t>
        </is>
      </c>
      <c r="E39" t="inlineStr"/>
      <c r="F39" t="inlineStr"/>
      <c r="G39" t="inlineStr">
        <is>
          <t>Arlington, VA, US</t>
        </is>
      </c>
      <c r="H39" s="2" t="n">
        <v>45911</v>
      </c>
      <c r="I3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in-52c02326164b223d</t>
        </is>
      </c>
      <c r="B40" t="inlineStr">
        <is>
          <t>Amazon Last Mile Fleet Program Manager, In Life Services-Recalls, Retrofits, and Tires</t>
        </is>
      </c>
      <c r="C40" t="inlineStr">
        <is>
          <t>Amazon.com</t>
        </is>
      </c>
      <c r="D40" t="inlineStr">
        <is>
          <t>indeed</t>
        </is>
      </c>
      <c r="E40" t="inlineStr"/>
      <c r="F40" t="inlineStr"/>
      <c r="G40" t="inlineStr">
        <is>
          <t>Bellevue, WA, US</t>
        </is>
      </c>
      <c r="H40" s="2" t="n">
        <v>45911</v>
      </c>
      <c r="I4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in-1f88c14edc1af6fc</t>
        </is>
      </c>
      <c r="B41" t="inlineStr">
        <is>
          <t>Amazon Last Mile Fleet Program Manager, In Life Services-Recalls, Retrofits, and Tires</t>
        </is>
      </c>
      <c r="C41" t="inlineStr">
        <is>
          <t>Amazon.com</t>
        </is>
      </c>
      <c r="D41" t="inlineStr">
        <is>
          <t>indeed</t>
        </is>
      </c>
      <c r="E41" t="inlineStr"/>
      <c r="F41" t="inlineStr"/>
      <c r="G41" t="inlineStr">
        <is>
          <t>Nashville, TN, US</t>
        </is>
      </c>
      <c r="H41" s="2" t="n">
        <v>45911</v>
      </c>
      <c r="I4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in-80d4b369aba131eb</t>
        </is>
      </c>
      <c r="B42" t="inlineStr">
        <is>
          <t>Senior Product Manager - Tech, Fire TV</t>
        </is>
      </c>
      <c r="C42" t="inlineStr">
        <is>
          <t>Amazon.com</t>
        </is>
      </c>
      <c r="D42" t="inlineStr">
        <is>
          <t>indeed</t>
        </is>
      </c>
      <c r="E42" t="inlineStr"/>
      <c r="F42" t="inlineStr"/>
      <c r="G42" t="inlineStr">
        <is>
          <t>Seattle, WA, US</t>
        </is>
      </c>
      <c r="H42" s="2" t="n">
        <v>45855</v>
      </c>
      <c r="I4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in-669227c731fef131</t>
        </is>
      </c>
      <c r="B43" t="inlineStr">
        <is>
          <t>Senior Product Manager - Tech, Fire TV</t>
        </is>
      </c>
      <c r="C43" t="inlineStr">
        <is>
          <t>Amazon.com</t>
        </is>
      </c>
      <c r="D43" t="inlineStr">
        <is>
          <t>indeed</t>
        </is>
      </c>
      <c r="E43" t="inlineStr"/>
      <c r="F43" t="inlineStr"/>
      <c r="G43" t="inlineStr">
        <is>
          <t>Sunnyvale, CA, US</t>
        </is>
      </c>
      <c r="H43" s="2" t="n">
        <v>45855</v>
      </c>
      <c r="I4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in-d5bbdb90d7c0907f</t>
        </is>
      </c>
      <c r="B44" t="inlineStr">
        <is>
          <t>Principal Product Manager Tech - Devices, Fire TV Devices</t>
        </is>
      </c>
      <c r="C44" t="inlineStr">
        <is>
          <t>Amazon.com</t>
        </is>
      </c>
      <c r="D44" t="inlineStr">
        <is>
          <t>indeed</t>
        </is>
      </c>
      <c r="E44" t="inlineStr"/>
      <c r="F44" t="inlineStr"/>
      <c r="G44" t="inlineStr">
        <is>
          <t>Seattle, WA, US</t>
        </is>
      </c>
      <c r="H44" s="2" t="n">
        <v>45844</v>
      </c>
      <c r="I44"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in-acf8353b37666ec1</t>
        </is>
      </c>
      <c r="B45" t="inlineStr">
        <is>
          <t>Principal Product Manager Tech - Devices, Fire TV Devices</t>
        </is>
      </c>
      <c r="C45" t="inlineStr">
        <is>
          <t>Amazon.com</t>
        </is>
      </c>
      <c r="D45" t="inlineStr">
        <is>
          <t>indeed</t>
        </is>
      </c>
      <c r="E45" t="inlineStr"/>
      <c r="F45" t="inlineStr"/>
      <c r="G45" t="inlineStr">
        <is>
          <t>Sunnyvale, CA, US</t>
        </is>
      </c>
      <c r="H45" s="2" t="n">
        <v>45844</v>
      </c>
      <c r="I4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in-97da7834282ce762</t>
        </is>
      </c>
      <c r="B46" t="inlineStr">
        <is>
          <t>Principal Product Manager-Technical, AGI, Artificial General Intellgence</t>
        </is>
      </c>
      <c r="C46" t="inlineStr">
        <is>
          <t>Amazon.com</t>
        </is>
      </c>
      <c r="D46" t="inlineStr">
        <is>
          <t>indeed</t>
        </is>
      </c>
      <c r="E46" t="inlineStr"/>
      <c r="F46" t="inlineStr"/>
      <c r="G46" t="inlineStr">
        <is>
          <t>Sunnyvale, CA, US</t>
        </is>
      </c>
      <c r="H46" s="2" t="n">
        <v>45824</v>
      </c>
      <c r="I4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in-feac000df935b597</t>
        </is>
      </c>
      <c r="B47" t="inlineStr">
        <is>
          <t>Principal Product Manager-Technical, AGI, Artificial General Intellgence</t>
        </is>
      </c>
      <c r="C47" t="inlineStr">
        <is>
          <t>Amazon.com</t>
        </is>
      </c>
      <c r="D47" t="inlineStr">
        <is>
          <t>indeed</t>
        </is>
      </c>
      <c r="E47" t="inlineStr"/>
      <c r="F47" t="inlineStr"/>
      <c r="G47" t="inlineStr">
        <is>
          <t>Boston, MA, US</t>
        </is>
      </c>
      <c r="H47" s="2" t="n">
        <v>45824</v>
      </c>
      <c r="I4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in-5c66e7f649a9962c</t>
        </is>
      </c>
      <c r="B48" t="inlineStr">
        <is>
          <t>Principal Product Manager-Technical, AGI, Artificial General Intellgence</t>
        </is>
      </c>
      <c r="C48" t="inlineStr">
        <is>
          <t>Amazon.com</t>
        </is>
      </c>
      <c r="D48" t="inlineStr">
        <is>
          <t>indeed</t>
        </is>
      </c>
      <c r="E48" t="inlineStr"/>
      <c r="F48" t="inlineStr"/>
      <c r="G48" t="inlineStr">
        <is>
          <t>Bellevue, WA, US</t>
        </is>
      </c>
      <c r="H48" s="2" t="n">
        <v>45824</v>
      </c>
      <c r="I4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in-fdb85f3a282fc6d5</t>
        </is>
      </c>
      <c r="B49" t="inlineStr">
        <is>
          <t>Director, Product Owner – Applied AI Data Integration</t>
        </is>
      </c>
      <c r="C49" t="inlineStr">
        <is>
          <t>BMO Financial Group</t>
        </is>
      </c>
      <c r="D49" t="inlineStr">
        <is>
          <t>indeed</t>
        </is>
      </c>
      <c r="E49" t="inlineStr"/>
      <c r="F49" t="inlineStr"/>
      <c r="G49" t="inlineStr">
        <is>
          <t>Chicago, IL, US</t>
        </is>
      </c>
      <c r="H49" s="2" t="n">
        <v>46050</v>
      </c>
      <c r="I49" t="inlineStr">
        <is>
          <t>320 S Canal Street Chicago Illinois,60606
Please note this role is Hybrid (3 days per week in office) subject to company policy changes.
We accelerate BMO’s AI journey by building enterprise\-grade, cloud\-native AI solutions. Our team combines engineering excellence with cutting\-edge AI to deliver scalable, secure, and responsible solutions that power business innovation across the bank. We enable and accelerate our partners on their AI journeys across the enterprise, helping teams across BMO unlock value at scale. We are engineers, AI practitioners, platform builders, thought leaders, multipliers, and coders. Above all, we are a global team of diverse individuals who enjoy working together to create smart, secure, and scalable solutions that make an impact across the enterprise. Our ambition is bold: deploy our capital and resources to their highest and most profitable use through a digital\-first operating model, powered by data and AI\-driven decisions.
**About the Role**
As **Director, Product Owner – Applied AI Data Integration**, you will play a senior leadership role within **BMO’s ARC/Applied AI organization**, accountable for shaping and delivering data integration and platform capabilities, accelerating scalable and responsible AI solutions that enable strategic value creation. This role blends hands\-on Product Ownership with strategic leadership, ensuring data is accessible, governed, and fit\-for\-purpose to unlock measurable business value.
You will lead one or more cross\-functional pods of engineers, data engineers, and data scientists while partnering closely with other ARC/Applied AI Product Owners and delivery stakeholders. You will be a key driver product market fit, adoption, and commercialization, operating in a highly regulated financial services environment.
**Key Responsibilities**
**Product Ownership \&amp; Delivery (Primary Accountability)**
* Own the end\-to\-end product lifecycle for Applied AI data integration capabilities, from strategy and roadmap through delivery, scaling, and optimization.
* Lead cross\-functional teams to design, build, and operate data pipelines, feature stores, and integration services that support AI/ML and GenAI use cases.
* Ensure data is “fit for purpose”, enabling superior results as measured by contextual evaluation standards and thresholds.
* Translate business and analytic needs into clear product requirements, epics, and prioritized backlogs.
* Ensure platforms are designed for scalability, reliability, security, and reuse across the ARC/Applied AI product, feature, and service portfolio.
* Embed Agile and modern product management practices to enable rapid iteration and continuous improvement.
**Responsible AI, Data Governance \&amp; Risk**
* Champion responsible AI and data practices, ensuring compliance with BMO’s data governance, privacy, security, and ethical AI standards.
* Partner with Risk, Compliance, Legal, and Data Governance teams to ensure data integration solutions meet regulatory and audit expectations.
* Design products with explainability, lineage, quality, and controls by default.
**Strategy, Roadmap \&amp; Value Realization**
* Define and continuously evolve a clear product vision and multi\-year roadmap for Applied AI data integration capabilities.
* Identify, validate, and scale high\-impact use cases aligned with BMO’s strategic priorities.
* Establish success metrics and OKRs tied to outcomes spanning customer, financial, data, risk, and a winning culture.
* Communicate progress and outcomes to senior executives, translating technical capabilities into business value narratives.
**People \&amp; Leadership**
* Recruit, lead, and develop high\-performing, multidisciplinary teams across data engineering, platform engineering, and data product management.
* Foster a culture of collaboration, inclusion, accountability, and continuous learning aligned with BMO’s Winning Culture.
* Provide coaching, mentorship, and succession planning to ensure sustainable team performance and growth.
**Partner \&amp; Vendor Management**
* Collaborate with internal technology teams and external vendors to deliver platform capabilities while effectively managing supplier risk.
* Ensure appropriate governance, financial stewardship, and performance management of third\-party solutions.
**Key Success Measures**
* Scalable, reliable data integration platforms enabling AI/GenAI delivery at enterprise scale.
* Measurable acceleration of AI product delivery and business value realization.
* Strong adoption of data platforms across Applied AI use cases.
* High team engagement, capability growth, and talent retention.
* Demonstrated leadership in responsible data and AI practices.
**Required Skills \&amp; Competencies**
* Deep expertise in data integration, data platforms, and AI/ML enablement within large, complex environments.
* Strong product management and Agile delivery experience.
* Executive\-level stakeholder engagement and influence skills.
* Ability to translate complex technical concepts into clear business outcomes.
* Experience with cloud platforms and data services (e.g., Microsoft Azure, AWS).
* Strong understanding of data governance, security, and regulatory considerations in financial services.
* Exceptional communication, collaboration, and leadership skills.
**Qualifications \&amp; Experience**
* 10\+ years of progressive experience in technology, data, or AI product leadership, including senior management roles.
* Proven track record delivering enterprise\-scale data and AI platforms in regulated industries (financial services strongly preferred).
* Experience operating within modern data architectures and cloud ecosystems.
* University degree in Computer Science, Engineering, Information Systems, or related field; advanced degree (PhD) considered an asset.
Please note this role is Hybrid (3 days per week in office) subject to company policy changes.
**Salary:**
$164,400\.00 \- $285,600\.00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**About Us**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50">
      <c r="A50" t="inlineStr">
        <is>
          <t>in-3102584576e42cd9</t>
        </is>
      </c>
      <c r="B50" t="inlineStr">
        <is>
          <t>Sr. Product Manager Technical, Deal Tooling &amp; Insights, Strategic Customer Engagements</t>
        </is>
      </c>
      <c r="C50" t="inlineStr">
        <is>
          <t>Amazon Web Services</t>
        </is>
      </c>
      <c r="D50" t="inlineStr">
        <is>
          <t>indeed</t>
        </is>
      </c>
      <c r="E50" t="inlineStr"/>
      <c r="F50" t="inlineStr"/>
      <c r="G50" t="inlineStr">
        <is>
          <t>New York, NY, US</t>
        </is>
      </c>
      <c r="H50" s="2" t="n">
        <v>45994</v>
      </c>
      <c r="I5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1">
      <c r="A51" t="inlineStr">
        <is>
          <t>in-74e4b4db85e891fa</t>
        </is>
      </c>
      <c r="B51" t="inlineStr">
        <is>
          <t>Sr. Product Manager Technical, Deal Tooling &amp; Insights, Strategic Customer Engagements</t>
        </is>
      </c>
      <c r="C51" t="inlineStr">
        <is>
          <t>Amazon Web Services</t>
        </is>
      </c>
      <c r="D51" t="inlineStr">
        <is>
          <t>indeed</t>
        </is>
      </c>
      <c r="E51" t="inlineStr"/>
      <c r="F51" t="inlineStr"/>
      <c r="G51" t="inlineStr">
        <is>
          <t>Herndon, VA, US</t>
        </is>
      </c>
      <c r="H51" s="2" t="n">
        <v>45994</v>
      </c>
      <c r="I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2">
      <c r="A52" t="inlineStr">
        <is>
          <t>in-74d004a47394b22d</t>
        </is>
      </c>
      <c r="B52" t="inlineStr">
        <is>
          <t>Sr. Product Manager Technical, Deal Tooling &amp; Insights, Strategic Customer Engagements</t>
        </is>
      </c>
      <c r="C52" t="inlineStr">
        <is>
          <t>Amazon Web Services</t>
        </is>
      </c>
      <c r="D52" t="inlineStr">
        <is>
          <t>indeed</t>
        </is>
      </c>
      <c r="E52" t="inlineStr"/>
      <c r="F52" t="inlineStr"/>
      <c r="G52" t="inlineStr">
        <is>
          <t>Arlington, VA, US</t>
        </is>
      </c>
      <c r="H52" s="2" t="n">
        <v>45994</v>
      </c>
      <c r="I5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3">
      <c r="A53" t="inlineStr">
        <is>
          <t>in-f6c0f8c3d10975e0</t>
        </is>
      </c>
      <c r="B53" t="inlineStr">
        <is>
          <t>Sr. Product Manager Technical, Deal Tooling &amp; Insights, Strategic Customer Engagements</t>
        </is>
      </c>
      <c r="C53" t="inlineStr">
        <is>
          <t>Amazon Web Services</t>
        </is>
      </c>
      <c r="D53" t="inlineStr">
        <is>
          <t>indeed</t>
        </is>
      </c>
      <c r="E53" t="inlineStr"/>
      <c r="F53" t="inlineStr"/>
      <c r="G53" t="inlineStr">
        <is>
          <t>Austin, TX, US</t>
        </is>
      </c>
      <c r="H53" s="2" t="n">
        <v>45994</v>
      </c>
      <c r="I5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4">
      <c r="A54" t="inlineStr">
        <is>
          <t>in-30b8ac8dc49817e9</t>
        </is>
      </c>
      <c r="B54" t="inlineStr">
        <is>
          <t>Sr. Product Manager Technical, Deal Tooling &amp; Insights, Strategic Customer Engagements</t>
        </is>
      </c>
      <c r="C54" t="inlineStr">
        <is>
          <t>Amazon Web Services</t>
        </is>
      </c>
      <c r="D54" t="inlineStr">
        <is>
          <t>indeed</t>
        </is>
      </c>
      <c r="E54" t="inlineStr"/>
      <c r="F54" t="inlineStr"/>
      <c r="G54" t="inlineStr">
        <is>
          <t>Seattle, WA, US</t>
        </is>
      </c>
      <c r="H54" s="2" t="n">
        <v>45994</v>
      </c>
      <c r="I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5">
      <c r="A55" t="inlineStr">
        <is>
          <t>in-49e0bc3263adbe01</t>
        </is>
      </c>
      <c r="B55" t="inlineStr">
        <is>
          <t>Sr. Product Manager Technical, Deal Tooling &amp; Insights, Strategic Customer Engagements</t>
        </is>
      </c>
      <c r="C55" t="inlineStr">
        <is>
          <t>Amazon Web Services</t>
        </is>
      </c>
      <c r="D55" t="inlineStr">
        <is>
          <t>indeed</t>
        </is>
      </c>
      <c r="E55" t="inlineStr"/>
      <c r="F55" t="inlineStr"/>
      <c r="G55" t="inlineStr">
        <is>
          <t>Dallas, TX, US</t>
        </is>
      </c>
      <c r="H55" s="2" t="n">
        <v>45994</v>
      </c>
      <c r="I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6">
      <c r="A56" t="inlineStr">
        <is>
          <t>in-dcb23079e9a974f1</t>
        </is>
      </c>
      <c r="B56" t="inlineStr">
        <is>
          <t>Sr. Product Manager - Tech, WHS Data-Tech</t>
        </is>
      </c>
      <c r="C56" t="inlineStr">
        <is>
          <t>Amazon.com</t>
        </is>
      </c>
      <c r="D56" t="inlineStr">
        <is>
          <t>indeed</t>
        </is>
      </c>
      <c r="E56" t="inlineStr"/>
      <c r="F56" t="inlineStr"/>
      <c r="G56" t="inlineStr">
        <is>
          <t>Arlington, VA, US</t>
        </is>
      </c>
      <c r="H56" s="2" t="n">
        <v>45836</v>
      </c>
      <c r="I5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7">
      <c r="A57" t="inlineStr">
        <is>
          <t>in-b81c623bf19a7ec0</t>
        </is>
      </c>
      <c r="B57" t="inlineStr">
        <is>
          <t>Sr. Product Manager - Tech, WHS Data-Tech</t>
        </is>
      </c>
      <c r="C57" t="inlineStr">
        <is>
          <t>Amazon.com</t>
        </is>
      </c>
      <c r="D57" t="inlineStr">
        <is>
          <t>indeed</t>
        </is>
      </c>
      <c r="E57" t="inlineStr"/>
      <c r="F57" t="inlineStr"/>
      <c r="G57" t="inlineStr">
        <is>
          <t>Nashville, TN, US</t>
        </is>
      </c>
      <c r="H57" s="2" t="n">
        <v>45836</v>
      </c>
      <c r="I5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8">
      <c r="A58" t="inlineStr">
        <is>
          <t>in-20bdeb99aa1f3471</t>
        </is>
      </c>
      <c r="B58" t="inlineStr">
        <is>
          <t>Sr. Product Manager - Tech, WHS Data-Tech</t>
        </is>
      </c>
      <c r="C58" t="inlineStr">
        <is>
          <t>Amazon.com</t>
        </is>
      </c>
      <c r="D58" t="inlineStr">
        <is>
          <t>indeed</t>
        </is>
      </c>
      <c r="E58" t="inlineStr"/>
      <c r="F58" t="inlineStr"/>
      <c r="G58" t="inlineStr">
        <is>
          <t>Bellevue, WA, US</t>
        </is>
      </c>
      <c r="H58" s="2" t="n">
        <v>45836</v>
      </c>
      <c r="I5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9">
      <c r="A59" t="inlineStr">
        <is>
          <t>in-1031224ef9355aba</t>
        </is>
      </c>
      <c r="B59" t="inlineStr">
        <is>
          <t>Principal Product Manager - Tech, Recommender Systems, Prime Video Personalization &amp; Discovery</t>
        </is>
      </c>
      <c r="C59" t="inlineStr">
        <is>
          <t>Amazon.com</t>
        </is>
      </c>
      <c r="D59" t="inlineStr">
        <is>
          <t>indeed</t>
        </is>
      </c>
      <c r="E59" t="inlineStr"/>
      <c r="F59" t="inlineStr"/>
      <c r="G59" t="inlineStr">
        <is>
          <t>Washington, DC, US</t>
        </is>
      </c>
      <c r="H59" s="2" t="n">
        <v>45753</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in-674b89a38f2841f9</t>
        </is>
      </c>
      <c r="B60" t="inlineStr">
        <is>
          <t>Principal Product Manager - Tech, Recommender Systems, Prime Video Personalization &amp; Discovery</t>
        </is>
      </c>
      <c r="C60" t="inlineStr">
        <is>
          <t>Amazon.com</t>
        </is>
      </c>
      <c r="D60" t="inlineStr">
        <is>
          <t>indeed</t>
        </is>
      </c>
      <c r="E60" t="inlineStr"/>
      <c r="F60" t="inlineStr"/>
      <c r="G60" t="inlineStr">
        <is>
          <t>Seattle, WA, US</t>
        </is>
      </c>
      <c r="H60" s="2" t="n">
        <v>45753</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in-34f1718877c9fbd7</t>
        </is>
      </c>
      <c r="B61" t="inlineStr">
        <is>
          <t>Principal Product Manager Technical, Creative X - RAPID</t>
        </is>
      </c>
      <c r="C61" t="inlineStr">
        <is>
          <t>Amazon.com</t>
        </is>
      </c>
      <c r="D61" t="inlineStr">
        <is>
          <t>indeed</t>
        </is>
      </c>
      <c r="E61" t="inlineStr"/>
      <c r="F61" t="inlineStr"/>
      <c r="G61" t="inlineStr">
        <is>
          <t>New York, NY, US</t>
        </is>
      </c>
      <c r="H61" s="2" t="n">
        <v>45939</v>
      </c>
      <c r="I6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62">
      <c r="A62" t="inlineStr">
        <is>
          <t>in-661e0919372c1861</t>
        </is>
      </c>
      <c r="B62" t="inlineStr">
        <is>
          <t>Principal Product Manager Technical, Creative X - RAPID</t>
        </is>
      </c>
      <c r="C62" t="inlineStr">
        <is>
          <t>Amazon.com</t>
        </is>
      </c>
      <c r="D62" t="inlineStr">
        <is>
          <t>indeed</t>
        </is>
      </c>
      <c r="E62" t="inlineStr"/>
      <c r="F62" t="inlineStr"/>
      <c r="G62" t="inlineStr">
        <is>
          <t>Seattle, WA, US</t>
        </is>
      </c>
      <c r="H62" s="2" t="n">
        <v>45939</v>
      </c>
      <c r="I6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63">
      <c r="A63" t="inlineStr">
        <is>
          <t>in-d098a77d4efce0d6</t>
        </is>
      </c>
      <c r="B63" t="inlineStr">
        <is>
          <t>Part Time Program Manager - Federal Way School District</t>
        </is>
      </c>
      <c r="C63" t="inlineStr">
        <is>
          <t>Right at School</t>
        </is>
      </c>
      <c r="D63" t="inlineStr">
        <is>
          <t>indeed</t>
        </is>
      </c>
      <c r="E63">
        <f>HYPERLINK("https://www.indeed.com/viewjob?jk=d098a77d4efce0d6", "https://www.indeed.com/viewjob?jk=d098a77d4efce0d6")</f>
        <v/>
      </c>
      <c r="F63">
        <f>HYPERLINK("https://rightatschool.sensehq.cloud/careers/jobs?jobId=5656&amp;utm_source=Indeed&amp;utm_medium=JOB_PORTAL", "https://rightatschool.sensehq.cloud/careers/jobs?jobId=5656&amp;utm_source=Indeed&amp;utm_medium=JOB_PORTAL")</f>
        <v/>
      </c>
      <c r="G63" t="inlineStr">
        <is>
          <t>Federal Way, WA, US</t>
        </is>
      </c>
      <c r="H63" s="3" t="n">
        <v>46051</v>
      </c>
      <c r="I63"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Federal Way School District
**Program Manager Pay Rate:** $24\-26/hr (based on education and experience)
**Schedule: ;**
* **Before School:** Mon\- Fri 6:15\-9:30am ;
* **After School:** Mon\-Thurs ;3\-6pm, Fri 2\-6pm **;**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12 credits minimum of an 100\+ level college courses
* Cleared background check with fingerprinting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64">
      <c r="A64" t="inlineStr">
        <is>
          <t>in-e07244af7024067c</t>
        </is>
      </c>
      <c r="B64" t="inlineStr">
        <is>
          <t>Principal Technical Program Manager - Studio in the Cloud</t>
        </is>
      </c>
      <c r="C64" t="inlineStr">
        <is>
          <t>Oracle</t>
        </is>
      </c>
      <c r="D64" t="inlineStr">
        <is>
          <t>indeed</t>
        </is>
      </c>
      <c r="E64">
        <f>HYPERLINK("https://www.indeed.com/viewjob?jk=e07244af7024067c", "https://www.indeed.com/viewjob?jk=e07244af7024067c")</f>
        <v/>
      </c>
      <c r="F64">
        <f>HYPERLINK("https://eeho.fa.us2.oraclecloud.com/hcmUI/CandidateExperience/en/sites/CX_1/job/322711", "https://eeho.fa.us2.oraclecloud.com/hcmUI/CandidateExperience/en/sites/CX_1/job/322711")</f>
        <v/>
      </c>
      <c r="G64" t="inlineStr">
        <is>
          <t>Nashville, TN, US</t>
        </is>
      </c>
      <c r="H64" s="3" t="n">
        <v>46051</v>
      </c>
      <c r="I64" t="inlineStr">
        <is>
          <t>**Location of Role: (No Exception)**
* Nashville, TN
* Austin, TX
* Broomfield, CO
We are looking for a driven, highly organized Senior Principle Technical Program Manager who excels at driving critical large\-scale, cross\-organizational programs and projects to play a critical role in driving product delivery across multiple teams. The ideal candidate will come with a history of leading large end\-to\-end projects, a well\-rounded technical innovation background, experience driving stakeholder accountability, and be an exceptionally strong communicator.
**Responsibilities**
* Establish and own product execution frameworks across the product lifecycle (ideation, build, release,
scale, operate).
* Drive roadmap operationalization, including dependency tracking, milestone planning, and cross\-service
alignment.
* Partner with Product to translate strategy into executable plans with clear delivery signals and success
metrics.
* Drive customer intake and prioritization frameworks that balance customer commitments, strategic
initiatives, and operational constraints across the platform portfolio.
* In collaboration with engineering, drive the cross\-functional execution of product release requirements,
managing dependencies, risks, and decision points from development through GA and post\-launch.
* Establish consistent operating rhythms (QBRs, MBRs, exec readouts,).
* Gather, analyze, and report on product and operational metrics (KPIs, OKRs, etc.) to support data\-driven
decision\-making.
* Manage inter\-team dependencies, risks, and tradeoffs; surface issues early with clear options and
recommendations.
* Prepare executive\-level presentations, reports, and organizational updates to communicate progress and
support strategic planning.
* Track and drive completion of action items and deliverables arising from leadership and cross\-team
meetings.
* dentify and address organizational or process bottlenecks, recommending and implementing
improvements.
**Qualifications**
* Bachelor’s degree in Computer Science, Engineering, Business, or a related field; advanced degree a plus.
* 7\+ years of relevant professional experience in technical program management, product operations, or
* Chief of Staff roles (preferably in cloud, SaaS, or media technology environments).Proven ability to drive complex, cross\-functional initiatives from concept through execution.
* Exceptional organizational, analytical, and problem\-solving skills.
* Strong written and verbal communication skills, including experience with executive\-level reporting.
* Deep understanding of product management tools and best practices.
* Ability to influence and coordinate diverse teams in a dynamic, fast\-paced environment.
* Familiarity with cloud and media services is strongly preferred. High degree of integrity and commitment to upholding organizational security and compliance
standard.
* Communicate effectively with executive stakeholders through concise, actionable narratives.</t>
        </is>
      </c>
    </row>
    <row r="65">
      <c r="A65" t="inlineStr">
        <is>
          <t>in-be4b9db293fd8d2f</t>
        </is>
      </c>
      <c r="B65" t="inlineStr">
        <is>
          <t>Principal Product Manager (Korean Market)</t>
        </is>
      </c>
      <c r="C65" t="inlineStr">
        <is>
          <t>Super Micro Computer, Inc.</t>
        </is>
      </c>
      <c r="D65" t="inlineStr">
        <is>
          <t>indeed</t>
        </is>
      </c>
      <c r="E65">
        <f>HYPERLINK("https://www.indeed.com/viewjob?jk=be4b9db293fd8d2f", "https://www.indeed.com/viewjob?jk=be4b9db293fd8d2f")</f>
        <v/>
      </c>
      <c r="F65">
        <f>HYPERLINK("https://jobs.supermicro.com/job/San-Jose-Principal-Product-Manager-%28Korean-Market%29-Cali/1360601900/", "https://jobs.supermicro.com/job/San-Jose-Principal-Product-Manager-%28Korean-Market%29-Cali/1360601900/")</f>
        <v/>
      </c>
      <c r="G65" t="inlineStr">
        <is>
          <t>San Jose, CA, US</t>
        </is>
      </c>
      <c r="H65" s="3" t="n">
        <v>46051</v>
      </c>
      <c r="I65" t="inlineStr">
        <is>
          <t>Principal Product Manager (Korean Market)
**Date:** Jan 30, 2026
**Location:** San Jose, California, United States
**Company:** Super Micro Computer
**Job Req ID: 28308**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We are seeking a commercially driven leader to own and accelerate the market growth of our AI server and integrated solutions portfolio within Korea. This senior role is fundamentally a business development position with product strategy ownership for the Korean market. Your primary mission is to directly secure major design wins, close large\-scale strategic deals, and drive the commercial adoption of our advanced, AI\-optimized server and infrastructure solutions with key Korean hyperscalers, conglomerates, enterprises, and AI innovators. You will combine deep technical expertise with sharp commercial acumen and in\-depth cultural fluency to architect winning customer solutions and translate them into measurable revenue growth. Professional proficiency in the Korean language is mandatory to build deep trust, navigate complex negotiations, and understand nuanced local customer requirements.**Essential Duties and Responsibilities:**
* **Own Commercial Execution \&amp; Market Penetration for Korea:** Directly drive the adoption and revenue growth of the AI server portfolio across the Korean market. Lead the pursuit and closure of complex, high\-value strategic deals for AI cluster solutions with major domestic enterprises, hyperscale customers, and emerging AI leaders. Develop and execute targeted account and channel partner strategies specifically designed for net\-new logo acquisition within Korea.
* **Lead End\-to\-End AI Solution Development for Deal Closure:** Translate Korean customer AI/HPC workload and business requirements into compelling, customized AI server and cluster proposals that address specific local market challenges such as power density, cooling efficiency, and regulatory standards. Architect total solutions—encompassing GPU platforms, high\-speed interconnect, power, cooling, and rack\-scale design—to win strategic bids and secure long\-term design wins.
* **Define Korea Market\-Backed AI Product Strategy:** Shape the AI server and infrastructure roadmap based on direct field intelligence from the Korean market, local competitive analysis, and a proven understanding of domestic customer procurement drivers and AI/ML workload trends. Prioritize initiatives that deliver clear competitive advantage and address immediate market opportunities in Korea.
* **Cultivate \&amp; Manage Strategic Executive Relationships in Korea:** Build and leverage multi\-threaded, executive\-level relationships with key decision\-makers at target accounts and ecosystem partners across the domestic market. Act as a strategic advisor to influence long\-term AI infrastructure plans and position our company as the preferred AI solutions provider in Korea.
* **Champion Cross\-Functional GTM Leadership for Korea:** Orchestrate Global and Regional Engineering, Sales, Rack Integration, and Sales Engineering teams to align AI server development with Korean market demand and ensure flawless execution of strategic deals from qualification through to delivery.
**Qualifications:**
* **Education:** Bachelor’s degree in Computer Engineering, Electrical Engineering, Business Administration, or a related technical field. MBA or advanced degree is a strong plus.
* **Experience:**
	+ 15\+ years in a hybrid role with significant, direct business development, technical sales, or strategic account management responsibility within data center and AI infrastructure, with a substantial portion focused on the **Korean market**.
	+ A documented track record of personally closing large, complex deals ($10M\+ value) for AI server hardware, clusters, or integrated infrastructure solutions with leading **Korean customers**.
	+ Hands\-on experience and deep technical knowledge of AI data center infrastructure, with a clear understanding of **Korea's specific data center standards, regulations, and operational constraints**.
	+ Must possess comprehensive expertise in AI/HPC server architecture, GPU platforms (NVIDIA/AMD), accelerated computing, InfiniBand/Ethernet networking, and associated workload requirements prevalent in the **Korean market**.
* **Skills \&amp; Requirements:**
	+ **Professional proficiency in the Korean language is mandatory.**
	+ Outstanding commercial negotiation and executive presentation skills, with the ability to articulate business value and craft winning proposals within the **Korean business context**.
	+ Strategic thinker with a results\-oriented mindset, **deeply familiar with Korean business culture, corporate hierarchy (chaebol dynamics), and market dynamics**.
	+ Adept at leveraging local market data, competitive intelligence, and customer feedback to drive both AI product and sales strategy for **Korea**.
	+ A self\-motivated driver who thrives in a dynamic, cross\-functional environment and is measured by commercial outcomes in the **Korean territory**.
**Salary Range**
$200,000 \- $230,000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66">
      <c r="A66" t="inlineStr">
        <is>
          <t>in-02f650399081f498</t>
        </is>
      </c>
      <c r="B66" t="inlineStr">
        <is>
          <t>Senior Product Manager, Planner</t>
        </is>
      </c>
      <c r="C66" t="inlineStr">
        <is>
          <t>Waymo</t>
        </is>
      </c>
      <c r="D66" t="inlineStr">
        <is>
          <t>indeed</t>
        </is>
      </c>
      <c r="E66">
        <f>HYPERLINK("https://www.indeed.com/viewjob?jk=02f650399081f498", "https://www.indeed.com/viewjob?jk=02f650399081f498")</f>
        <v/>
      </c>
      <c r="F66">
        <f>HYPERLINK("https://careers.withwaymo.com/jobs/senior-product-manager-planner-mountain-view-california-united-states-san-francisco?source=Indeed", "https://careers.withwaymo.com/jobs/senior-product-manager-planner-mountain-view-california-united-states-san-francisco?source=Indeed")</f>
        <v/>
      </c>
      <c r="G66" t="inlineStr">
        <is>
          <t>Mountain View, CA, US</t>
        </is>
      </c>
      <c r="H66" s="3" t="n">
        <v>46050</v>
      </c>
      <c r="I6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you will report to a Group Product Manager.*
**You will:**
* Develop a road\-map and determine product requirements for planner, leveraging product insight and drive alignment across the company
* Work on Planner, AI/ML technologies that enable Waymo’s Driver to scale in domestic and international markets, and across many hardware platforms
* Work with other PMs and cross functional teams to identify the long term product focus areas, and steer technology and engineering efforts to address them
* Thoroughly investigate data from real\-world miles collected by our fleet, define requirements and guide the team to make the right trade\-offs between capability, engineering complexity and other factors
* Align and work cross\-functionally with Product Managers, Operations, System Engineering, and other Waymo teams to bring to market products that save lives and transform transportation
**You have:**
* A Bachelor's degree in Computer Science, Engineering, similar technical field or equivalent practical experience
* 5\+ years of relevant product management experience.
* The ability to gather and dissect large quantities of information, identify issues and trends and turn them into a thoughtful and compelling product vision and technical strategy/decisions
* Proven ability to dig deep into a problem by utilizing technical tools and deep technical understanding
* Strong written and verbal communication skills with demonstrated ability to work in cross\-functional teams
* Experience setting own goals and effectively delivering to them in a very fast\-changing environment as well as flourish in ambiguity
**We prefer:**
* A Master’s degree in a technical or engineering discipline, MBA, or equivalent experience in Robotics or Machine Learning
* Prior product experience in AV, ML or Robotics
* Experience delivering products with new technology introduction
* Passion and motivation by making the world a better place through technology, and wanting to be part of a team that makes this happen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67">
      <c r="A67" t="inlineStr">
        <is>
          <t>in-8c67c99b773ffd69</t>
        </is>
      </c>
      <c r="B67" t="inlineStr">
        <is>
          <t>Senior Product Manager, Planner</t>
        </is>
      </c>
      <c r="C67" t="inlineStr">
        <is>
          <t>Waymo</t>
        </is>
      </c>
      <c r="D67" t="inlineStr">
        <is>
          <t>indeed</t>
        </is>
      </c>
      <c r="E67">
        <f>HYPERLINK("https://www.indeed.com/viewjob?jk=8c67c99b773ffd69", "https://www.indeed.com/viewjob?jk=8c67c99b773ffd69")</f>
        <v/>
      </c>
      <c r="F67">
        <f>HYPERLINK("https://careers.withwaymo.com/jobs/senior-product-manager-planner-mountain-view-california-united-states-san-francisco?source=Indeed", "https://careers.withwaymo.com/jobs/senior-product-manager-planner-mountain-view-california-united-states-san-francisco?source=Indeed")</f>
        <v/>
      </c>
      <c r="G67" t="inlineStr">
        <is>
          <t>San Francisco, CA, US</t>
        </is>
      </c>
      <c r="H67" s="3" t="n">
        <v>46050</v>
      </c>
      <c r="I6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you will report to a Group Product Manager.*
**You will:**
* Develop a road\-map and determine product requirements for planner, leveraging product insight and drive alignment across the company
* Work on Planner, AI/ML technologies that enable Waymo’s Driver to scale in domestic and international markets, and across many hardware platforms
* Work with other PMs and cross functional teams to identify the long term product focus areas, and steer technology and engineering efforts to address them
* Thoroughly investigate data from real\-world miles collected by our fleet, define requirements and guide the team to make the right trade\-offs between capability, engineering complexity and other factors
* Align and work cross\-functionally with Product Managers, Operations, System Engineering, and other Waymo teams to bring to market products that save lives and transform transportation
**You have:**
* A Bachelor's degree in Computer Science, Engineering, similar technical field or equivalent practical experience
* 5\+ years of relevant product management experience.
* The ability to gather and dissect large quantities of information, identify issues and trends and turn them into a thoughtful and compelling product vision and technical strategy/decisions
* Proven ability to dig deep into a problem by utilizing technical tools and deep technical understanding
* Strong written and verbal communication skills with demonstrated ability to work in cross\-functional teams
* Experience setting own goals and effectively delivering to them in a very fast\-changing environment as well as flourish in ambiguity
**We prefer:**
* A Master’s degree in a technical or engineering discipline, MBA, or equivalent experience in Robotics or Machine Learning
* Prior product experience in AV, ML or Robotics
* Experience delivering products with new technology introduction
* Passion and motivation by making the world a better place through technology, and wanting to be part of a team that makes this happen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68">
      <c r="A68" t="inlineStr">
        <is>
          <t>in-c3683e1fa9370164</t>
        </is>
      </c>
      <c r="B68" t="inlineStr">
        <is>
          <t>Technical Product Manager - AI Agents</t>
        </is>
      </c>
      <c r="C68" t="inlineStr">
        <is>
          <t>CDW</t>
        </is>
      </c>
      <c r="D68" t="inlineStr">
        <is>
          <t>indeed</t>
        </is>
      </c>
      <c r="E68">
        <f>HYPERLINK("https://www.indeed.com/viewjob?jk=c3683e1fa9370164", "https://www.indeed.com/viewjob?jk=c3683e1fa9370164")</f>
        <v/>
      </c>
      <c r="F68">
        <f>HYPERLINK("https://jsv3.recruitics.com/redirect?rx_cid=3031&amp;rx_jobId=R26_00000061&amp;rx_url=https%3A%2F%2Fwww.cdwjobs.com%2Fen%2Fjobs%2F17280865-technical-product-manager-ai-agents%3Fbid%3D326%26rx_campaign%3Dindeed0%26rx_ch%3Djobp4p%26rx_group%3D109109%26rx_id%3D2ea38105-fd30-11f0-be34-bbb378a4bd7f%26rx_job%3DR26_00000061%26rx_r%3Dnone%26rx_source%3DIndeed%26rx_ts%3D20260130T000057Z%26rx_vp%3Dcpc%26tm_company%3D2376%26tm_event%3Dview%26tm_job%3DR26%25255F00000061", "https://jsv3.recruitics.com/redirect?rx_cid=3031&amp;rx_jobId=R26_00000061&amp;rx_url=https%3A%2F%2Fwww.cdwjobs.com%2Fen%2Fjobs%2F17280865-technical-product-manager-ai-agents%3Fbid%3D326%26rx_campaign%3Dindeed0%26rx_ch%3Djobp4p%26rx_group%3D109109%26rx_id%3D2ea38105-fd30-11f0-be34-bbb378a4bd7f%26rx_job%3DR26_00000061%26rx_r%3Dnone%26rx_source%3DIndeed%26rx_ts%3D20260130T000057Z%26rx_vp%3Dcpc%26tm_company%3D2376%26tm_event%3Dview%26tm_job%3DR26%25255F00000061")</f>
        <v/>
      </c>
      <c r="G68" t="inlineStr">
        <is>
          <t>Remote, US</t>
        </is>
      </c>
      <c r="H68" s="3" t="n">
        <v>46050</v>
      </c>
      <c r="I68"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**Job summary**
We are seeking a Product Manager \- AI Agents to serve in a consultant\-like role embedded within business units. In this position, you will partner directly with business stakeholders to discover high\-value opportunities, build version\-one AI agents, and train coworkers to use and create AI solutions themselves. This is a hands\-on role designed to accelerate adoption of AI across the enterprise through real\-world use cases, rapid experimentation, and direct enablement.
The ideal candidate is a forward\-thinking innovator who experiments fearlessly with new AI models and tools, learns quickly, and brings curiosity and creativity to solving business problems. You’ll act as both a builder and an educator — ensuring business units not only get impactful AI solutions but also gain the skills to continue innovating on their own.
**What you will do**
**Key Responsibilities**
Business Engagement
* Partner with business units to surface pain points and opportunities for AI agents.
* Translate business needs into clear requirements and prototypes.
* Act as a trusted consultant and guide for stakeholders on AI possibilities.
Agent Building \&amp; Delivery
* Rapidly design and deliver version\-one AI agents tailored to business unit needs.
* Collaborate with AI Engineers, data teams, and platform teams to ensure scalable solutions.
* Document, test, and refine agent solutions based on feedback and adoption.
Enablement \&amp; Training
* Train and mentor coworkers within business units to become AI agent builders themselves.
* Develop playbooks, best practices, and lightweight training materials.
* Foster a culture of curiosity, experimentation, and continuous learning.
Experimentation \&amp; Innovation
* Explore emerging AI models, tools, and frameworks; bring forward innovative applications.
* Continuously evaluate how new AI capabilities can solve real\-world business challenges.
* Advocate for responsible and scalable use of AI across the enterprise.
**What we expect of you**
* Bachelor’s degree and 7 years of product management, consulting, or technology experience; OR
* 11 years of product management, consulting, or technology experience.
* Strong background in solution discovery and rapid prototyping.
* Proven experience building and delivering AI\-powered solutions (agents, workflows, AI integrated software), including hands\-on work with LLMs and AI agent platforms (e.g., Microsoft 365 Copilot Studio, Azure AI Foundry, N8N, Claude Code, others).
* Strong background in product lifecycle management, solution discovery, and agile development methodologies.
* Demonstrated history of partnering with business units to identify opportunities, facilitate solution discovery, and translate stakeholder needs into actionable requirements for technology initiatives.
* Proven track record of acting as a consultant to internal teams, guiding the adoption of new technologies and leading workshops or consultations to explore use cases for AI
* Curiosity and passion for experimenting with AI models and tools; quick learner who thrives in ambiguity.
* Strong skills in communication, influence, stakeholder management, and relationship\-building to drive consensus and adoption of AI\-driven solutions.
* Working knowledge of AI and machine learning concepts, frameworks, and tools, with the ability to evaluate and experiment with emerging models and technologies for practical use.
Pay range: $132,600 \- $160,000 depending on experience and skill set  
Annual bonus target of 10% subject to terms and conditions of plan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69">
      <c r="A69" t="inlineStr">
        <is>
          <t>in-0cb517a7dae48725</t>
        </is>
      </c>
      <c r="B69" t="inlineStr">
        <is>
          <t>Skilled Trades Program Manager</t>
        </is>
      </c>
      <c r="C69" t="inlineStr">
        <is>
          <t>Goodwill Industries of Middle Tennessee</t>
        </is>
      </c>
      <c r="D69" t="inlineStr">
        <is>
          <t>indeed</t>
        </is>
      </c>
      <c r="E69">
        <f>HYPERLINK("https://www.indeed.com/viewjob?jk=0cb517a7dae48725", "https://www.indeed.com/viewjob?jk=0cb517a7dae48725")</f>
        <v/>
      </c>
      <c r="F69">
        <f>HYPERLINK("https://goodwillmiddletn.wd5.myworkdayjobs.com/en-US/goodwill/job/Nashville-TN/Skilled-Trades-Program-Manager_17033", "https://goodwillmiddletn.wd5.myworkdayjobs.com/en-US/goodwill/job/Nashville-TN/Skilled-Trades-Program-Manager_17033")</f>
        <v/>
      </c>
      <c r="G69" t="inlineStr">
        <is>
          <t>Nashville, TN, US</t>
        </is>
      </c>
      <c r="H69" s="3" t="n">
        <v>46050</v>
      </c>
      <c r="I69" t="inlineStr">
        <is>
          <t>Job Location
Lifsey Building \- Career Solutions
Job Summary:
The Skilled Trades Training Program Manager is responsible for the design, implementation, delivery, and continuous improvement of Goodwill’s construction, welding, and solar training programs. This individual leads all instructional and support staff, oversees NCCER Core and related curricula, and ensures alignment with industry standards, safety regulations, and employer expectations.  
The Program Manager will organize and facilitate both classroom and hands\-on instruction in Goodwill’s training facilities, ensuring that trainees receive high\-quality, industry\-relevant skill development. As a subject matter expert, mentor, and leader, this role cultivates a culture of excellence, professional growth, and continuous learning.  
The ideal candidate will have significant field experience, demonstrated success training and leading crews in skilled trades environments, and strong familiarity with multiple disciplines such as carpentry, plumbing, electrical, concrete, or related fields.
Job Description
Leadership \&amp; Program Oversight* Lead, manage, and continually improve Goodwill’s skilled trades programs, including construction, welding, solar installation and other GCTA programs
* Develop and execute strategic plans that align training programs with organizational goals and labor market needs.
* Ensure instructional consistency, quality, and adherence to NCCER, OSHA, and Goodwill standards.
* Provide directions to the instructional team regarding curriculum execution, training methods, safety practices, and performance expectations.
* Monitor overall program effectiveness and implement continuous improvement strategies.
Curriculum, Instruction \&amp; Management* Oversee the delivery of NCCER Core Curriculum, supplemental trades content, welding and solar training modules, and OSHA 10 instruction.
* Manage curriculum development, updates, and enhancements to ensure alignment with industry trends and employer requirements.
* Coordinate classroom teaching and hands\-on training activities within Goodwill’s training facility.
* Ensure all instructors maintain compliance with NCCER, OSHA, and internal instructional standards.
* Support instructors through coaching, professional development, and performance feedback.
Employer, Industry \&amp; Community Engagement* Maintain and expand relationships with employers, contractors, trade organizations, unions, regulatory bodies, and community partners.
* Collaborate with employers to identify skills gaps, hiring needs, and expectations to ensure training aligns with workforce demands.
* Represent Goodwill at community meetings, trade events, career fairs, and industry advisory groups.
* Serve as the primary point of contact for stakeholders seeking program information, partnerships, or training collaboration.
Participant Outcomes \&amp; Data Management* Oversee trainee enrollment, assessment, progression, certification achievement, and program completion.
* Track performance indicators such as retention, certifications, job placements, and employer feedback.
* Use data to evaluate program effectiveness, identify improvement areas, and support organizational reporting requirements.
* Ensure accurate submission of NCCER documentation, OSHA training records, and internal reporting materials.
* Collaborate with Career Navigators and support services to address barriers (transportation, childcare, housing) and ensure trainee success.
Safety, Compliance \&amp; Quality Assurance* Ensure all training activities meet OSHA safety standards, NCCER requirements, and regulatory guidelines.
* Conduct regular safety inspections, audits, and risk assessments in training labs and classrooms.
* Enforce safety policies and model best\-practice workplace procedures for trainees and staff.
* Maintain Goodwill’s accreditation and compliance documentation for all relevant training programs.
Funding, Budget \&amp; Resource Management* Oversee program budgets, ensuring responsible use of resources and adherence to financial guidelines.
* Track expenditures related to equipment, instructional materials, certifications, and facility needs.
* Support grant compliance and reporting in partnership with internal finance and workforce development teams.</t>
        </is>
      </c>
    </row>
    <row r="70">
      <c r="A70" t="inlineStr">
        <is>
          <t>in-a1edd5c767e119d7</t>
        </is>
      </c>
      <c r="B70" t="inlineStr">
        <is>
          <t>Program Manager Population Health: Hoag Clinic Quality Improvement</t>
        </is>
      </c>
      <c r="C70" t="inlineStr">
        <is>
          <t>Hoag Health System</t>
        </is>
      </c>
      <c r="D70" t="inlineStr">
        <is>
          <t>indeed</t>
        </is>
      </c>
      <c r="E70">
        <f>HYPERLINK("https://www.indeed.com/viewjob?jk=a1edd5c767e119d7", "https://www.indeed.com/viewjob?jk=a1edd5c767e119d7")</f>
        <v/>
      </c>
      <c r="F70">
        <f>HYPERLINK("https://iaucqy.fa.ocs.oraclecloud.com/hcmUI/CandidateExperience/en/sites/CX_1/requisitions/preview/127933", "https://iaucqy.fa.ocs.oraclecloud.com/hcmUI/CandidateExperience/en/sites/CX_1/requisitions/preview/127933")</f>
        <v/>
      </c>
      <c r="G70" t="inlineStr">
        <is>
          <t>Newport Beach, CA, US</t>
        </is>
      </c>
      <c r="H70" s="3" t="n">
        <v>46050</v>
      </c>
      <c r="I70" t="inlineStr">
        <is>
          <t>The Program Manager for Population Health is responsible for leading, coordinating, and optimizing value‑based care initiatives that improve quality outcomes across Hoag Clinic. This role requires a deep clinical understanding of ambulatory workflows, care management processes, and operational practices to effectively partner with providers, medical assistants, nurses, and operational leaders. The ideal candidate possesses strong expertise in HEDIS measures, CMS value‑based programs, and quality performance methodologies, with the ability to translate complex regulatory requirements into actionable strategies.  
The Program Manager will oversee teams responsible for obtaining medical records from operations to support gap‑closure efforts and ensure accurate quality reporting. They will also collaborate closely with operational leaders to identify and strategize around the tools, education, and resources needed for program success, driving adoption and continuous improvement. Success in this role requires exceptional attention to detail, strong analytical and communication skills, and the ability to lead cross‑functional collaboration in a fast‑paced, outcomes‑driven environment.
**Some critical skills for the role:*** Strong clinical understanding of in\-clinic workflows, care coordination processes, and clinic operations
* Demonstrated experience working with HEDIS measures, CMS value‑based programs, and quality performance improvement
* Proven ability to interpret regulatory and payer requirements and translate them into actionable operational strategies
* Experience leading or overseeing teams responsible for **medical record retrieval** , documentation validation, or gap‑closure support
* Ability to collaborate with operational leaders to assess needs and implement effective tools, workflows, education, and resources
* Ability to monitor performance dashboards, identify trends, and drive data‑informed decision‑making
* Exceptional attention to detail and organizational skills, with the ability to manage multiple high‑priority initiatives simultaneously
* Excellent communication and relationship‑building skills across clinical, operational, and administrative teams
* Experience driving cross‑functional initiatives in a fast‑paced, outcomes‑oriented environment
* Proficiency with population health platforms, EMRs, and quality reporting tools (e.g., Epic, hea lth plan portals, risk \&amp; quality
**Education and Experience** **Required:*** 3 to 5 years of experience with application support of physician practice systems
* Bachelor of Science degree in Computer Science, Business, Healthcare or related field or equivalent years of work experience
**Preferred:*** Certificaiton(s) in Epic Ambulatory modules
* Database administrator experience
* Experience with CMS, HEDIS, Population Health and Quality Improvement programs
**License Required:**N/A
**License Preferred:**N/A
**Certifications Required**N/A
**Certifications Preferred**N/A</t>
        </is>
      </c>
    </row>
    <row r="71">
      <c r="A71" t="inlineStr">
        <is>
          <t>in-090ff6f3ef6fbb51</t>
        </is>
      </c>
      <c r="B71" t="inlineStr">
        <is>
          <t>Sales - Product Manager</t>
        </is>
      </c>
      <c r="C71" t="inlineStr">
        <is>
          <t>BlueLinx</t>
        </is>
      </c>
      <c r="D71" t="inlineStr">
        <is>
          <t>indeed</t>
        </is>
      </c>
      <c r="E71">
        <f>HYPERLINK("https://www.indeed.com/viewjob?jk=090ff6f3ef6fbb51", "https://www.indeed.com/viewjob?jk=090ff6f3ef6fbb51")</f>
        <v/>
      </c>
      <c r="F71">
        <f>HYPERLINK("https://jobs.dayforcehcm.com/en-US/bluelinx/CANDIDATEPORTAL/jobs/17580", "https://jobs.dayforcehcm.com/en-US/bluelinx/CANDIDATEPORTAL/jobs/17580")</f>
        <v/>
      </c>
      <c r="G71" t="inlineStr">
        <is>
          <t>Grand Rapids, MI, US</t>
        </is>
      </c>
      <c r="H71" s="3" t="n">
        <v>46050</v>
      </c>
      <c r="I71" t="inlineStr">
        <is>
          <t>Build your Career with BlueLinx as a Materials Buyer \- Engineered Wood Products!
Are you a specialist in building products with a passion for sales and relationship building? BlueLinx is growing, and we’re looking for a Materials Buyer to join our dynamic team. This role offers the opportunity to advance your career while working alongside sales management and growth\-minded customers. If you are confident in your product and analytical knowledge and comfortable working across the organization, with customers and suppliers, we want to hear from you!
Why BlueLinx?
* Competitive Salary \+ Bonus
* Comprehensive Benefits:
* Medical, Dental, Vision, Prescription
* 401(k) with company match
* Tuition reimbursement
* Life Insurance
* Generous Paid Time Off (PTO) and 8 Company Holidays
* Career Growth: Opportunity to develop and advance your career with a leading building products distributor.
**What You’ll Do:**  
* Build lasting client relationships to drive sales and long\-term profitability.
* Identify and capitalize on new sales opportunities with existing and prospective customers.
* Optimize profitability, product mix, and inventory turnover for assigned products.
* Ensure effective product performance while fostering strong customer and supplier relations.
* Provide sales and technical support, resolving customer service issues.
* Develop competitive pricing strategies and sales solutions.
* Communicate value propositions and refine sales approaches as needed.
* Promote existing products and introduce new opportunities to maximize revenue.
* Monitor sales performance and profitability, crafting strategic pricing models.
* Collaborate with internal teams, including branches, supply chain, and product management.
**What We’re Looking For:**  
* 4\+ years of experience with a bachelor’s degree; equivalent industry experience preferred.
* Proven ability to grow and maintain a large book of business.
* Strong organizational skills and ability to work cross\-functionally.
* Expertise in customer support, inventory management, and consultative sales.
**Our Values:** With every decision and action, we put people first, keep the future in mind, and work as a team toward shared progress:
* Customer Centric • Respect • Collaboration • Integrity • Grit
**About Us:**  
BlueLinx is one of America’s largest distributors of building products, with over 70,000 branded and private\-label SKUs. Headquartered in Marietta, Georgia, we have over 2,000 associates and distribute our comprehensive range of structural and specialty products to approximately 15,000 national, regional, and local dealers, as well as specialty distributors, national home centers, industrial, and manufactured housing customers.
The salary range provided is a good faith estimate based on the position requirements and market data. Actual compensation will depend on factors including experience, qualifications, skills, geographic location, and other job\-related considerations. BlueLinx also offers a comprehensive benefits package including health care, dental, vision, life and disability insurance starting the first day of the month, 15 days of paid time off that start accruing your first day, and 8 paid holidays per year.
To report any issues with this job posting, please contact talent@bluelinxco.com</t>
        </is>
      </c>
    </row>
    <row r="72">
      <c r="A72" t="inlineStr">
        <is>
          <t>in-ed6285b2db22368f</t>
        </is>
      </c>
      <c r="B72" t="inlineStr">
        <is>
          <t>Sales - Product Manager</t>
        </is>
      </c>
      <c r="C72" t="inlineStr">
        <is>
          <t>BlueLinx</t>
        </is>
      </c>
      <c r="D72" t="inlineStr">
        <is>
          <t>indeed</t>
        </is>
      </c>
      <c r="E72">
        <f>HYPERLINK("https://www.indeed.com/viewjob?jk=ed6285b2db22368f", "https://www.indeed.com/viewjob?jk=ed6285b2db22368f")</f>
        <v/>
      </c>
      <c r="F72">
        <f>HYPERLINK("https://jobs.dayforcehcm.com/en-US/bluelinx/CANDIDATEPORTAL/jobs/17576", "https://jobs.dayforcehcm.com/en-US/bluelinx/CANDIDATEPORTAL/jobs/17576")</f>
        <v/>
      </c>
      <c r="G72" t="inlineStr">
        <is>
          <t>Cincinnati, OH, US</t>
        </is>
      </c>
      <c r="H72" s="3" t="n">
        <v>46050</v>
      </c>
      <c r="I72" t="inlineStr">
        <is>
          <t>Build your Career with BlueLinx as a Product Sales Manager!
Are you a specialist in building products with a passion for sales and relationship building? BlueLinx is growing, and we’re looking for a Product Sales Manager to join our dynamic team. This role offers the opportunity to advance your career while working alongside sales management and growth\-minded customers. If you are confident in your product and analytical knowledge and comfortable working across the organization, with customers and suppliers, we want to hear from you!
Why BlueLinx?
* Competitive Salary \+ Bonus
* Comprehensive Benefits:
* Medical, Dental, Vision, Prescription
* 401(k) with company match
* Tuition reimbursement
* Life Insurance
* Generous Paid Time Off (PTO) and 8 Company Holidays
* Career Growth: Opportunity to develop and advance your career with a leading building products distributor.
**What You’ll Do:**  
* Build lasting client relationships to drive sales and long\-term profitability.
* Identify and capitalize on new sales opportunities with existing and prospective customers.
* Optimize profitability, product mix, and inventory turnover for assigned products.
* Ensure effective product performance while fostering strong customer and supplier relations.
* Provide sales and technical support, resolving customer service issues.
* Develop competitive pricing strategies and sales solutions.
* Communicate value propositions and refine sales approaches as needed.
* Promote existing products and introduce new opportunities to maximize revenue.
* Monitor sales performance and profitability, crafting strategic pricing models.
* Collaborate with internal teams, including branches, supply chain, and product management.
**What We’re Looking For:**  
* 4\+ years of experience with a bachelor’s degree; equivalent industry experience preferred.
* Proven ability to grow and maintain a large book of business.
* Strong organizational skills and ability to work cross\-functionally.
* Expertise in customer support, inventory management, and consultative sales.
**Our Values:** With every decision and action, we put people first, keep the future in mind, and work as a team toward shared progress:
* Customer Centric • Respect • Collaboration • Integrity • Grit
**About Us:**  
BlueLinx is one of America’s largest distributors of building products, with over 70,000 branded and private\-label SKUs. Headquartered in Marietta, Georgia, we have over 2,000 associates and distribute our comprehensive range of structural and specialty products to approximately 15,000 national, regional, and local dealers, as well as specialty distributors, national home centers, industrial, and manufactured housing customers.
The salary range provided is a good faith estimate based on the position requirements and market data. Actual compensation will depend on factors including experience, qualifications, skills, geographic location, and other job\-related considerations. BlueLinx also offers a comprehensive benefits package including health care, dental, vision, life and disability insurance starting the first day of the month, 15 days of paid time off that start accruing your first day, and 8 paid holidays per year.
To report any issues with this job posting, please contact talent@bluelinxco.com</t>
        </is>
      </c>
    </row>
    <row r="73">
      <c r="A73" t="inlineStr">
        <is>
          <t>in-34c3cfbe6820a6f5</t>
        </is>
      </c>
      <c r="B73" t="inlineStr">
        <is>
          <t>Sales - Product Manager</t>
        </is>
      </c>
      <c r="C73" t="inlineStr">
        <is>
          <t>BlueLinx</t>
        </is>
      </c>
      <c r="D73" t="inlineStr">
        <is>
          <t>indeed</t>
        </is>
      </c>
      <c r="E73">
        <f>HYPERLINK("https://www.indeed.com/viewjob?jk=34c3cfbe6820a6f5", "https://www.indeed.com/viewjob?jk=34c3cfbe6820a6f5")</f>
        <v/>
      </c>
      <c r="F73">
        <f>HYPERLINK("https://jobs.dayforcehcm.com/en-US/bluelinx/CANDIDATEPORTAL/jobs/17576", "https://jobs.dayforcehcm.com/en-US/bluelinx/CANDIDATEPORTAL/jobs/17576")</f>
        <v/>
      </c>
      <c r="G73" t="inlineStr">
        <is>
          <t>Independence, KY, US</t>
        </is>
      </c>
      <c r="H73" s="3" t="n">
        <v>46050</v>
      </c>
      <c r="I73" t="inlineStr">
        <is>
          <t>Build your Career with BlueLinx as a Product Sales Manager!
Are you a specialist in building products with a passion for sales and relationship building? BlueLinx is growing, and we’re looking for a Product Sales Manager to join our dynamic team. This role offers the opportunity to advance your career while working alongside sales management and growth\-minded customers. If you are confident in your product and analytical knowledge and comfortable working across the organization, with customers and suppliers, we want to hear from you!
Why BlueLinx?
* Competitive Salary \+ Bonus
* Comprehensive Benefits:
* Medical, Dental, Vision, Prescription
* 401(k) with company match
* Tuition reimbursement
* Life Insurance
* Generous Paid Time Off (PTO) and 8 Company Holidays
* Career Growth: Opportunity to develop and advance your career with a leading building products distributor.
**What You’ll Do:**  
* Build lasting client relationships to drive sales and long\-term profitability.
* Identify and capitalize on new sales opportunities with existing and prospective customers.
* Optimize profitability, product mix, and inventory turnover for assigned products.
* Ensure effective product performance while fostering strong customer and supplier relations.
* Provide sales and technical support, resolving customer service issues.
* Develop competitive pricing strategies and sales solutions.
* Communicate value propositions and refine sales approaches as needed.
* Promote existing products and introduce new opportunities to maximize revenue.
* Monitor sales performance and profitability, crafting strategic pricing models.
* Collaborate with internal teams, including branches, supply chain, and product management.
**What We’re Looking For:**  
* 4\+ years of experience with a bachelor’s degree; equivalent industry experience preferred.
* Proven ability to grow and maintain a large book of business.
* Strong organizational skills and ability to work cross\-functionally.
* Expertise in customer support, inventory management, and consultative sales.
**Our Values:** With every decision and action, we put people first, keep the future in mind, and work as a team toward shared progress:
* Customer Centric • Respect • Collaboration • Integrity • Grit
**About Us:**  
BlueLinx is one of America’s largest distributors of building products, with over 70,000 branded and private\-label SKUs. Headquartered in Marietta, Georgia, we have over 2,000 associates and distribute our comprehensive range of structural and specialty products to approximately 15,000 national, regional, and local dealers, as well as specialty distributors, national home centers, industrial, and manufactured housing customers.
The salary range provided is a good faith estimate based on the position requirements and market data. Actual compensation will depend on factors including experience, qualifications, skills, geographic location, and other job\-related considerations. BlueLinx also offers a comprehensive benefits package including health care, dental, vision, life and disability insurance starting the first day of the month, 15 days of paid time off that start accruing your first day, and 8 paid holidays per year.
To report any issues with this job posting, please contact talent@bluelinxco.com</t>
        </is>
      </c>
    </row>
    <row r="74">
      <c r="A74" t="inlineStr">
        <is>
          <t>in-1bb5446df7e974bc</t>
        </is>
      </c>
      <c r="B74" t="inlineStr">
        <is>
          <t>Supply Chain Program Manager</t>
        </is>
      </c>
      <c r="C74" t="inlineStr">
        <is>
          <t>Joby Aviation</t>
        </is>
      </c>
      <c r="D74" t="inlineStr">
        <is>
          <t>indeed</t>
        </is>
      </c>
      <c r="E74">
        <f>HYPERLINK("https://www.indeed.com/viewjob?jk=1bb5446df7e974bc", "https://www.indeed.com/viewjob?jk=1bb5446df7e974bc")</f>
        <v/>
      </c>
      <c r="F74">
        <f>HYPERLINK("https://careers-jobyaviation.icims.com/jobs/4653/supply-chain-program-manager/job", "https://careers-jobyaviation.icims.com/jobs/4653/supply-chain-program-manager/job")</f>
        <v/>
      </c>
      <c r="G74" t="inlineStr">
        <is>
          <t>San Carlos, CA, US</t>
        </is>
      </c>
      <c r="H74" s="3" t="n">
        <v>46050</v>
      </c>
      <c r="I74" t="inlineStr">
        <is>
          <t>**Company Overview**
--------------------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
In this role, you will function as a key liaison between the Supply Chain organization and internal stakeholders including Joby's Executive Teams, Engineering and Manufacturing. Program Managers will collaborate closely with their Supply Chain team members including Global Supply Managers and Supplier Industrialization Engineers across all commodities on behalf of Supply Chain leadership. The Program Manager will work closely with the core Program/Project team to manage high visibility and high value programs, applying program/project management skills to assure the timely and efficient execution of projects.
**Responsibilities**
--------------------
* Define, implement, and drive execution of project requirements, workflows, and plans
* Analyze the complete supply chain for the projects by defining and measuring performance criteria (milestone adherence, sourcing progress, cost savings opportunities, operational efficiency, etc.) to support strategic decision making
* Manage project timelines and resources and ensure risk mitigation actions are identified and in place to ensure successful program launches
* Continuously monitor and measure project processes and activities to ensure no delays to the project and that potential risks are identified in a timely manner
* Develop robust systems to track progress of critical path readiness across our global supply chain
* Develop and maintain dashboards to track program status and to communicate key project metrics to the broader organization including Engineering, Finance and Manufacturing
* Connect and coordinate activities between Programs, Engineering, Global Supply Management, Supplier Industrialization, Planning, Logistics, New Program Introduction and Finance to ensure seamless component and product launch, while also limiting exposure to supplier liability/excess inventory during coordinated program phase\-out
* Collect information and generate presentations to clearly and concisely communicate risk to executive team
* Develop timelines to plan out part readiness against program timing and develop relationships with cross\-functional stakeholders to ensure steady flow of information
* Understand a broad range of manufacturing processes, both at suppliers and internally to better identify and mitigate potential risks
* Represent Supply Chain team for risk mitigation and escalation discussions with Executive team, in collaboration with commodity Group Manager
* Understand sourcing process, and drive team for timing and execution accountability
**Required**
------------
* Bachelor’s Degree or relevant experience in Mechanical Engineering, Electrical Engineering, Industrial Engineering, Business, Supply Chain, or Operations Management (MBA or other advanced degree is a plus)
* At least 5 years of project / program management or strategic, supply chain experience in a fast paced, highly fluid environment; experience in a manufacturing organization strongly preferred
* Demonstrated, applied experience delivering complex programs and projects
* Superior analytical skills and the ability to use data and metrics to justify business decisions; knowledge of Microsoft PowerBI is a plus
* Experience developing succinct, crisp executive summaries and presenting to leadership
* Demonstrated ability to work in a team environment to achieve business objectives. Ability to work independently in an ambiguous environment
* Open\-minded self\-starter with the ability to adapt, improvise and problem solve
* Excellent communications skills with ability to influence cross functional stakeholders: Programs, Design, Global Supply Management, Supplier Industrialization, Planning, Logistics, New Program Introduction and Finance
**Additional Information**
--------------------------
Compensation at Joby is a combination of base pay and Restricted Stock Units (RSUs). The target base pay for this position is $124,600 \- $213, 800 per year.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75">
      <c r="A75" t="inlineStr">
        <is>
          <t>in-640e47a9f901d2cc</t>
        </is>
      </c>
      <c r="B75" t="inlineStr">
        <is>
          <t>Lead Engineering Program Manager</t>
        </is>
      </c>
      <c r="C75" t="inlineStr">
        <is>
          <t>ST Engineering</t>
        </is>
      </c>
      <c r="D75" t="inlineStr">
        <is>
          <t>indeed</t>
        </is>
      </c>
      <c r="E75">
        <f>HYPERLINK("https://www.indeed.com/viewjob?jk=640e47a9f901d2cc", "https://www.indeed.com/viewjob?jk=640e47a9f901d2cc")</f>
        <v/>
      </c>
      <c r="F75">
        <f>HYPERLINK("https://careers.stengg.us/MRAS/job/Baltimore-Lead-Engineering-Program-Manager-MD-21220/1360501800/", "https://careers.stengg.us/MRAS/job/Baltimore-Lead-Engineering-Program-Manager-MD-21220/1360501800/")</f>
        <v/>
      </c>
      <c r="G75" t="inlineStr">
        <is>
          <t>Baltimore, MD, US</t>
        </is>
      </c>
      <c r="H75" s="3" t="n">
        <v>46050</v>
      </c>
      <c r="I75" t="inlineStr">
        <is>
          <t>**Date:** Jan 29, 2026
**Location:** Baltimore, MD, US, 21220
**Company:** STENA  
**Who YOU are and what YOU can become**
You would be leading the engineering team and managing new and existing Nacelle and Engine Build Up programs. It includes providing leadership and coordination of the engineering team assigned to the programs to support new designs and improving existing designs. You would be providing support for internal investigations of field issues and determining if design changes can provide relief for certain supply chain challenges are also part of the job. In addition, you would be interfacing with customers and internal senior staff.
 **Who WE are and where WE are going**
At ST Engineering MRAS, our employees have amazing opportunities to work on advanced technologies and systems that support thousands of customers and millions of people worldwide every day. From the first flight across the Pacific Ocean to developing highly complex structures for the most popular aircraft in the world, we have come a long way always with a can\-do approach to problem solving while delighting customers with our high say\-do ratio. We are looking for people with innovative ideas and the drive to help us grow into the future.
A pioneer in the production and assembly of complex aerostructures including aircraft and rocket components, engine nacelle systems, thrust reversers and advanced composite products, we apply the latest digital technologies and automation in composite design and manufacturing that are second to none. At ST Engineering MRAS, we are also rapidly augmenting our maintenance, repair and overhaul (MRO) capabilities leveraging the company’s expanded aircraft nacelle portfolio as well as it’s materials and processing expertise.
**What YOU will do**
* Responsible for developing and managing cross\-functional product focused programs.
* Manages the project and interfaces with partners, contractors, suppliers, customers and internal functions.
* Manages program resource and budget allocation/integration.
* Engineering lead and focal for the program.
* Responsible for the planning and execution of all Engineering deliverables to support qualification, certification, and production of Nacelle hardware to agree technical specifications, schedule, and budget.
* Develops, maintains, and communicates; priorities and executable plans for a diverse domestic and global team to support internal business and Customer requirements.
* Supports monthly Engineering Operations reviews with variance assessments, corrective action, updated Forecast (budget and resource), key risks/abatements, and help needed.
* Manage an integrated master schedule (IMS) with inputs from the team and provide assessment of multiple critical path(s).
* Develop action plans with guidance to respond to issues/problems.
**What YOU must bring to Succeed**
* Bachelor’s degree in engineering or equivalent technical degree from an accredited university or college.
* Minimum of 5 years of engineering work experience.
* This position involves access to export\-controlled technology which requires U.S. Person status or government authorization. A ‘U.S. Person,’ as defined by 22 C.F.R. §120\.62, includes U.S. citizens, U.S. nationals, individuals lawfully admitted for permanent residence (green card holders), and individuals granted asylum or refugee status in the United States. To be considered for this position, you must either be a U.S. Person or fall within a legally recognized export control exception or authorization. If hired, you will be required to provide valid proof of such status.
**Desired Characteristics**
* Experience in leading technical programs in the Aerospace industry.
* Strong oral and written communication skills.
* Strong interpersonal and leadership skills.
* Ability to influence others and lead small teams.
* Ability to coordinate several projects simultaneously.
* Effective problem identification and solution skills.
* Proven analytical and organizational ability.
* Project Management Professional (PMP) Certification.
At ST Engineering, we offer **great rewards**, **competitive pay**, **career advancement** and **growth opportunities**.
Estimate salary range for this role: $92,000 to $138,100 per year. ST Engineering considers several factors with extending job offers, including but not limited to candidates’ key skills, relevant work experience, education/training/certification, job level, and work location. Base salary is only one component of our competitive Total Rewards package.
**ST Engineering \- MRAS Benefits:**
As a full\-time employee of ST Engineering\- MRAS, you are eligible for our benefits package including:
* Medical, Dental, and Vision coverage starting from start date
* Health Flexible Spending Accounts
* Free Onsite Gym with weekly fitness classes
* Immediate 401k vesting!!!
* Educational Assistance
* Life Insurance
* Paid Time off (Permissive for exempt staff)
**Employment Notice: Background and Drug Screening Requirements**
As part of our commitment to maintaining a safe and secure workplace, successful completion of a background check and drug screening is a mandatory condition for employment. All offers of employment are contingent upon satisfactory results from these screenings.
 ***It takes diverse talent to solve real\-world problems. ST Engineering is deeply committed to building a workplace community where inclusion is valued, and everyone feels welcomed.*** We’re proud to consider all qualified applicants for employment without regard to race, color, religion, sex, pregnancy, family status, marital status, sexual orientation, national origin, disability, age, or veteran status, or any other legally protected grounds. ***So, bring us your personal experience, your perspectives, and your background. It’s through our differences that innovative changes are made.***
ST Engineering is committed to providing reasonable accommodations to qualified individuals with disabilities in the employment application process. To request an accommodation, please contact our Talent Strategies team at 571\-771\-0101, or by email at stena.careers@stengg.us.
**Nearest Major Market:** Baltimore</t>
        </is>
      </c>
    </row>
    <row r="76">
      <c r="A76" t="inlineStr">
        <is>
          <t>in-34d45ce496fd8ab3</t>
        </is>
      </c>
      <c r="B76" t="inlineStr">
        <is>
          <t>IT Program Manager- TS/SCI with Polygraph</t>
        </is>
      </c>
      <c r="C76" t="inlineStr">
        <is>
          <t>General Dynamics Information Technology</t>
        </is>
      </c>
      <c r="D76" t="inlineStr">
        <is>
          <t>indeed</t>
        </is>
      </c>
      <c r="E76">
        <f>HYPERLINK("https://www.indeed.com/viewjob?jk=34d45ce496fd8ab3", "https://www.indeed.com/viewjob?jk=34d45ce496fd8ab3")</f>
        <v/>
      </c>
      <c r="F76">
        <f>HYPERLINK("https://www.gdit.com/careers/job/ac9d6075b/it-program-manager-tssci-with-polygraph", "https://www.gdit.com/careers/job/ac9d6075b/it-program-manager-tssci-with-polygraph")</f>
        <v/>
      </c>
      <c r="G76" t="inlineStr">
        <is>
          <t>Chantilly, VA, US</t>
        </is>
      </c>
      <c r="H76" s="3" t="n">
        <v>46050</v>
      </c>
      <c r="I76" t="inlineStr">
        <is>
          <t>Your Impact
Own your opportunity to serve as a critical component of our nation’s safety and security. Make an impact by using your expertise to protect our country from threats.
Job Description
Own the opportunity as an IT Program Manager and help ensure the mission is never interrupted. At GDIT, we deliver clarity with our cloud solutions and provide meaningful work. Your work will be an important part of transforming our clients for the modern age and help them face any obstacle
At GDIT, people are our differentiator. As an IT Program Manager supporting the customer, you will be trusted to solve complex IT issues while delivering outstanding customer service.
HOW BEING AN IT PROGRAM MANAGER MAKE AN IMPACT?
Ensure the safety and security of our nation as an IT Program Manager at GDIT. You’ll apply the latest technology and provide operational support to deliver actionable intelligence for the Intelligence Community. Here, your work will have meaning and impact as you deliver your best every day.
Daily Functions
* Architecture \&amp; Engineering Review Board (AERB)
	+ Schedule and facilitate regular AERB review sessions
	+ Advise technical leads on presentation requirements and review readiness
	+ Maintain Confluence documentation for architectural decisions and standards
* Program Delivery Oversight
	+ Monitor team roadmaps and delivery milestones
	+ Identify blockers and risks impacting delivery
	+ Conduct root cause analysis when teams miss objectives
* Process Improvement
	+ Lead ServiceNow workflow optimization for requirements management
	+ Identify and implement process improvements
* Stakeholder Communication \&amp; Governance
	+ Weekly meetings with division leadership (technical strategy and program status)
	+ Monthly Program Management Reviews (PMRs) \- delivery health and risk reporting
	+ Bi\-weekly PMO sessions \- program alignment and cross\-cutting concerns
	+ Translate technical issues into executive\-level communications
* Metrics \&amp; Program Analytics
	+ Track AWS cost metrics for optimization opportunities
	+ Monitor Jira velocity metrics to assess team delivery health
	+ Manage pilot programs (completion\-based contract pilot, AI implementation pilot)
	+ Gather and analyze pilot data for program decisions
* Technical Advisory
	+ Serve as technical advisor to division leadership on strategic initiatives
	+ Participate in executive meetings requiring deep technical expertise
	+ Bridge communication between technical and non\-technical stakeholders
Required Experience:
* Education: Bachelor’s degree in Computer Science, Engineering, or a related technical discipline, or the equivalent combination of education, technical certifications or training, or work experience.
* Years experience: 11 years related experience
* Security Clearance Level: Top Secret/SCI with Polygraph
* Location: Chantilly, VA
\#GDITCareers  
\#WeAreGDIT  
\#JET  
\#VA\_2025Alumni  
\#GDITEnhanced2026
Work Requirements
Years of Experience
8 \+ years of related experience* may vary based on technical training, certification(s), *or* degree
Certification
Travel Required
Less than 10%
Citizenship
U.S. Citizenship Required
Salary and Benefit Information
The likely salary range for this position is $143,485 \- $194,127\.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77">
      <c r="A77" t="inlineStr">
        <is>
          <t>in-9c5408db36e4ed7b</t>
        </is>
      </c>
      <c r="B77" t="inlineStr">
        <is>
          <t>Part Time Program Manager - Peninsula School District</t>
        </is>
      </c>
      <c r="C77" t="inlineStr">
        <is>
          <t>Right at School</t>
        </is>
      </c>
      <c r="D77" t="inlineStr">
        <is>
          <t>indeed</t>
        </is>
      </c>
      <c r="E77">
        <f>HYPERLINK("https://www.indeed.com/viewjob?jk=9c5408db36e4ed7b", "https://www.indeed.com/viewjob?jk=9c5408db36e4ed7b")</f>
        <v/>
      </c>
      <c r="F77">
        <f>HYPERLINK("https://rightatschool.sensehq.cloud/careers/jobs?jobId=5642&amp;utm_source=Indeed&amp;utm_medium=JOB_PORTAL", "https://rightatschool.sensehq.cloud/careers/jobs?jobId=5642&amp;utm_source=Indeed&amp;utm_medium=JOB_PORTAL")</f>
        <v/>
      </c>
      <c r="G77" t="inlineStr">
        <is>
          <t>Gig Harbor, WA, US</t>
        </is>
      </c>
      <c r="H77" s="3" t="n">
        <v>46050</v>
      </c>
      <c r="I77" t="inlineStr">
        <is>
          <t>Right At School – a place to be a kid!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***Toll reimbursement offered!***
 **Program Manager Pay Rate:** $23\-25/hr (based on education and experience)
**Schedule: ;**
Before School 5:45\-9:05am Mon/Tue/Thu/Fri, 5:45am\-10am Wed
After School 3\-6pm Mon\-Fri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 18\+ years of age
* 12 credits minimum of an 100\+ level college courses ;
* Cleared background check with fingerprinting ;
**Benefits Offered with Right At School:**
* **Toll reimbursement offered in Peninsula School District ;**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78">
      <c r="A78" t="inlineStr">
        <is>
          <t>in-0642b46384975195</t>
        </is>
      </c>
      <c r="B78" t="inlineStr">
        <is>
          <t>Part Time Floating Program Manager - Santa Clara School District</t>
        </is>
      </c>
      <c r="C78" t="inlineStr">
        <is>
          <t>Right at School</t>
        </is>
      </c>
      <c r="D78" t="inlineStr">
        <is>
          <t>indeed</t>
        </is>
      </c>
      <c r="E78">
        <f>HYPERLINK("https://www.indeed.com/viewjob?jk=0642b46384975195", "https://www.indeed.com/viewjob?jk=0642b46384975195")</f>
        <v/>
      </c>
      <c r="F78">
        <f>HYPERLINK("https://rightatschool.sensehq.cloud/careers/jobs?jobId=5655&amp;utm_source=Indeed&amp;utm_medium=JOB_PORTAL", "https://rightatschool.sensehq.cloud/careers/jobs?jobId=5655&amp;utm_source=Indeed&amp;utm_medium=JOB_PORTAL")</f>
        <v/>
      </c>
      <c r="G78" t="inlineStr">
        <is>
          <t>Santa Clara, CA, US</t>
        </is>
      </c>
      <c r="H78" s="3" t="n">
        <v>46050</v>
      </c>
      <c r="I78"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$26 \- $29/ per hour (based on education and experience)  
Program Hours: 1:30pm \- 6pm Monday \- Friday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**California Requirements:**
* Ability to meet state\-specific requirements;
* EMSA First Aid and CPR\-in\-person
* Cleared tuberculosis test
* 18\+ years of age
* Proof of High School diploma/GED required
* Authorized to work in the US
* LiveScan Fingerprint background check cleared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79">
      <c r="A79" t="inlineStr">
        <is>
          <t>in-d58c986f883804be</t>
        </is>
      </c>
      <c r="B79" t="inlineStr">
        <is>
          <t>Deputy Program Manager</t>
        </is>
      </c>
      <c r="C79" t="inlineStr">
        <is>
          <t>Peraton</t>
        </is>
      </c>
      <c r="D79" t="inlineStr">
        <is>
          <t>indeed</t>
        </is>
      </c>
      <c r="E79">
        <f>HYPERLINK("https://www.indeed.com/viewjob?jk=d58c986f883804be", "https://www.indeed.com/viewjob?jk=d58c986f883804be")</f>
        <v/>
      </c>
      <c r="F79">
        <f>HYPERLINK("https://www.careers.peraton.com/jobs/deputy-program-manager-herndon-virginia-163164-jobs--project-management--", "https://www.careers.peraton.com/jobs/deputy-program-manager-herndon-virginia-163164-jobs--project-management--")</f>
        <v/>
      </c>
      <c r="G79" t="inlineStr">
        <is>
          <t>Herndon, VA, US</t>
        </is>
      </c>
      <c r="H79" s="3" t="n">
        <v>46050</v>
      </c>
      <c r="I7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Overview**Improves sustainment efforts for new enhancements and capabilities while maintaining operational applications and their authority to operate. Program supports research, development, testing, and evaluation based on customer requirements and agile processes, while assisting with intelligence missions and global integration efforts.  
**About The Role**  
Peraton's National Programs Business Intelligence Systems \&amp; Applications Operating Unit has a need for an experienced Software Project Manager to support its SITE III DO contract charged with the orchestration, sustainment, and evolution of a portfolio of mission critical applications and services supporting a major Directorate within the U.S. Intelligence Community (IC). The SITE III DO contract is designed to establish and ensure a multi\-discipline approach to requirements engineering, solutions engineering, scheduling, reliability, resiliency, services development, integration, test and evaluation, maintainability and analysis across the National apparatus of Defense Intelligence, Combatant Commands, supporting Partner Nations and other Federal Agencies to ensure timely and accurate Human Intelligence (HUMINT) collection, correlation and dissemination. Our support team applies best practices in architecture design, data science, cloud services, DevSecOps and platform integration to develop, sustain and continually evolve the global U.S. human intelligence apparatus and supporting partners.  
The Software Project Manager will serve as the Deputy Program Manager reporting directly to the SITE III DO Program Manager. In this role the Deputy Program Manager will oversee multiple software development efforts, oversee O\&amp;M of deployed software applications, and participate in all levels of planning for future applications and projects. The Software Project Manager will coordinate with multiple project leads to gather and access status, ensure timelines are met and take proactive corrective actions as necessary. Responsibilities include resource planning, interviewing and hiring, extensive interaction with customer leadership to include briefings, presentations and real\-time technical exchange meetings. Additional responsibilities include creating cost estimates based on a strong understanding of resources levels and capabilities, and creating detailed technical approaches to customer tasking. The Software Project Manager will be responsible for oversight and review of the Integrated Management Schedule (IMS) delivered to the customer on a monthly basis. Other deliverables include creating the monthly Program Management Review in coordination with the SITE III DO Program Manager, as well as weekly progress reviews for the customer. Participation in Quality Assurance and Risk Management tasks is also required.  
As the Deputy Program Manager, this role serves as the backup to the SITE III DO program manager for all inquiries from the customer to include financial and contractual topics. As such the Deputy PM must have a complete understanding of the contract deliverables (weekly, monthly, annual) and full understanding of contract funding at the contract level and at the individual applications levels.  
Problem solving, flexibility and the ability to collaborate on engineering tasks are key to successfully executing this role. Must be able to take and incorporate feedback, and make adjustments to plans as options are developed. Must be able to listen and generate consensus among teams and must be able to convey vision.  
**Qualifications**  
**Required Qualifications**  
* Requires Bachelor's degree in information technology, or information management, with a minimum of 10 years of experience in software development and managing software development teams/projects.
* Active TS/SCI with ability to pass a polygraph
* Experience with Agile development and AWS architecture and hosting, general knowledge database design, webservices, and UI design
* Experience planning, scheduling and tracking software development
* Strong presentation skills
* Proven expertise in PowerPoint, Excel and MS Project
* Ability to multitask across multiple efforts
* Past experience managing program cost and funding
* Ability to work in a fast\-paced, Agile environment
* Fulltime work in a SCIF is required, but hours are flexible
**Desired Qualifications**  
* PMP
* Security\+
* Certified Scrum Master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**SCA / Union / Intern Rate or Range**  
**Details**  
Target Salary Range: $146,000 \- $234,000\.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80">
      <c r="A80" t="inlineStr">
        <is>
          <t>in-25df41a926051407</t>
        </is>
      </c>
      <c r="B80" t="inlineStr">
        <is>
          <t>NMRLC - Program Manager</t>
        </is>
      </c>
      <c r="C80" t="inlineStr">
        <is>
          <t>Solution One Industries</t>
        </is>
      </c>
      <c r="D80" t="inlineStr">
        <is>
          <t>indeed</t>
        </is>
      </c>
      <c r="E80">
        <f>HYPERLINK("https://www.indeed.com/viewjob?jk=25df41a926051407", "https://www.indeed.com/viewjob?jk=25df41a926051407")</f>
        <v/>
      </c>
      <c r="F80">
        <f>HYPERLINK("https://www.paycomonline.net/v4/ats/web.php/jobs/ViewJobDetails?job=6513&amp;clientkey=E166511E5C4A779B71C7CB4478090A09&amp;source=Indeed", "https://www.paycomonline.net/v4/ats/web.php/jobs/ViewJobDetails?job=6513&amp;clientkey=E166511E5C4A779B71C7CB4478090A09&amp;source=Indeed")</f>
        <v/>
      </c>
      <c r="G80" t="inlineStr">
        <is>
          <t>Williamsburg, VA, US</t>
        </is>
      </c>
      <c r="H80" s="3" t="n">
        <v>46050</v>
      </c>
      <c r="I80" t="inlineStr">
        <is>
          <t>Do you envision a workplace where every team member works together to create an amazing workplace experience? Do you want to be part of a dedicated team of professionals who consistently deliver excellence to reach our common goal of the best in class working environment? If you have a positive can\-do attitude and a drive for success, Solution One is looking for you!
We are seeking a Program Manager for our client site in Williamsburg, VA. The successful candidate will have outstanding skills and will be committed to working with others to deliver best\-in\-class, unparalleled excellence in customer service and satisfaction. For opportunities in your area, check out our Careers page at www.1soi.com/careers.
**About the position**
The Program Manager (PM) is responsible for the overall performance of the contract and has full authority to act for the contractor on all matters related to daily operations. The PM ensures contractual compliance, mission success, and customer satisfaction by providing strong leadership, sound decision\-making, and effective communication.
The PM must be available Monday through Friday, 6:30 AM to 5:00 PM, excluding Federal holidays or government facility closures.
**Key Responsibilities****Leadership and Program Oversight*** Provide strategic direction and leadership to ensure the successful execution of all contract requirements.
* Foster a culture of teamwork, accountability, and continuous improvement.
* Maintain open communication with leadership and clients to proactively address challenges and develop effective solutions.
* Develop and maintain succession planning for key personnel.
**Operational Management*** Ensure adherence to site safety protocols and enforce compliance with established procedures.
* Oversee daily logistics operations, preventive and predictive maintenance programs, and workflow efficiency.
* Establish and monitor key performance indicators (KPIs), taking corrective action when performance is outside target thresholds.
* Manage subcontractors, ensuring quality, timeliness, and compliance with contractual obligations.
**Personnel Management*** Lead, mentor, and evaluate program personnel to ensure high performance and engagement.
* Coordinate hiring, onboarding, and training activities.
* Conduct performance evaluations and administer disciplinary actions as necessary.
* Promote career development and employee retention initiatives.
**Client and Stakeholder Relations*** Serve as the primary liaison with the Contracting Officer (KO) and customer representatives.
* Conduct formal presentations and status briefings as required.
* Collaborate with Business Development to identify opportunities for service expansion and scope growth.
**Financial and Contract Management*** Develop and manage annual operating budgets, forecasts, and cost\-control measures.
* Support contract negotiations and modifications.
* Identify and implement cost savings initiatives across all project areas.
**Required Skills and Competencies*** Proven leadership and management experience in logistics, maintenance, or engineering environments.
* Exceptional communication and interpersonal skills with the ability to manage client relationships effectively.
* Proficiency in Microsoft Office Suite (Word, Excel, Outlook, SharePoint).
* Strong analytical and problem\-solving skills.
* Ability to balance multiple priorities in a fast\-paced, dynamic setting.
* Bachelor’s degree in Business, Logistics, Engineering, or a related discipline.
* Minimum 5 years of experience in program, logistics, or maintenance management (or an equivalent combination of education and experience).
* Ability to obtain and maintain a security access badge at the client’s site.
* Must possess and retain a Secret Clearance.
**Physical and Special Requirements*** Frequent walking, bending, stooping, kneeling, and reaching throughout the worksite.
* Ability to work at an accelerated pace under emergencies or operational demands.
* Must wear appropriate personal protective equipment (PPE) such as safety shoes, glasses, gloves, and hard hats.
**Job Type:** Full\-time, Exempt**Work Location**: Williamsburg, Va
**Benefits:*** Medical Insurance
* Dental Insurance
* Vision Insurance
* 401(k)
* Life Insurance
* Employee Assistance Program
* Employee Referral Program
* Employee Award Program
Solution One Industries is proud to be an Affirmative Action/Equal Opportunity Employer. Solution One Industries is committed to treating all employees and applicants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Solution One Industries maintains a drug\-free workplace and performs preemployment drug testing and background checks, where permitted by law.
Solution One Industries is an E\-Verify Employer.</t>
        </is>
      </c>
    </row>
    <row r="81">
      <c r="A81" t="inlineStr">
        <is>
          <t>in-5ca8f162eaf6174c</t>
        </is>
      </c>
      <c r="B81" t="inlineStr">
        <is>
          <t>Senior Product Manager, Planner</t>
        </is>
      </c>
      <c r="C81" t="inlineStr">
        <is>
          <t>Waymo</t>
        </is>
      </c>
      <c r="D81" t="inlineStr">
        <is>
          <t>indeed</t>
        </is>
      </c>
      <c r="E81">
        <f>HYPERLINK("https://www.indeed.com/viewjob?jk=5ca8f162eaf6174c", "https://www.indeed.com/viewjob?jk=5ca8f162eaf6174c")</f>
        <v/>
      </c>
      <c r="F81">
        <f>HYPERLINK("https://careers.withwaymo.com/jobs/senior-product-manager-planner-mountain-view-california-united-states-san-francisco", "https://careers.withwaymo.com/jobs/senior-product-manager-planner-mountain-view-california-united-states-san-francisco")</f>
        <v/>
      </c>
      <c r="G81" t="inlineStr">
        <is>
          <t>Mountain View, CA, US</t>
        </is>
      </c>
      <c r="H81" s="3" t="n">
        <v>46050</v>
      </c>
      <c r="I81" t="inlineStr">
        <is>
          <t>MOUNTAIN VIEW, CALIFORNIA, UNITED STATES. SAN FRANCISCO, CALIFORNIA, UNITED STATES
FULL\-TIME
PRODUCT
4481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you will report to a Group Product Manager.*
**You will:**
* Develop a road\-map and determine product requirements for planner, leveraging product insight and drive alignment across the company
* Work on Planner, AI/ML technologies that enable Waymo’s Driver to scale in domestic and international markets, and across many hardware platforms
* Work with other PMs and cross functional teams to identify the long term product focus areas, and steer technology and engineering efforts to address them
* Thoroughly investigate data from real\-world miles collected by our fleet, define requirements and guide the team to make the right trade\-offs between capability, engineering complexity and other factors
* Align and work cross\-functionally with Product Managers, Operations, System Engineering, and other Waymo teams to bring to market products that save lives and transform transportation
**You have:**
* A Bachelor's degree in Computer Science, Engineering, similar technical field or equivalent practical experience
* 5\+ years of relevant product management experience.
* The ability to gather and dissect large quantities of information, identify issues and trends and turn them into a thoughtful and compelling product vision and technical strategy/decisions
* Proven ability to dig deep into a problem by utilizing technical tools and deep technical understanding
* Strong written and verbal communication skills with demonstrated ability to work in cross\-functional teams
* Experience setting own goals and effectively delivering to them in a very fast\-changing environment as well as flourish in ambiguity
**We prefer:**
* A Master’s degree in a technical or engineering discipline, MBA, or equivalent experience in Robotics or Machine Learning
* Prior product experience in AV, ML or Robotics
* Experience delivering products with new technology introduction
* Passion and motivation by making the world a better place through technology, and wanting to be part of a team that makes this happen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82">
      <c r="A82" t="inlineStr">
        <is>
          <t>in-8ead1a584f5a31ad</t>
        </is>
      </c>
      <c r="B82" t="inlineStr">
        <is>
          <t>Product-Oriented Project Manager / Product Owner</t>
        </is>
      </c>
      <c r="C82" t="inlineStr">
        <is>
          <t>DigitalSuits</t>
        </is>
      </c>
      <c r="D82" t="inlineStr">
        <is>
          <t>indeed</t>
        </is>
      </c>
      <c r="E82">
        <f>HYPERLINK("https://www.indeed.com/viewjob?jk=8ead1a584f5a31ad", "https://www.indeed.com/viewjob?jk=8ead1a584f5a31ad")</f>
        <v/>
      </c>
      <c r="F82">
        <f>HYPERLINK("https://digitalsuits.co/careers/product-oriented-project-manager/", "https://digitalsuits.co/careers/product-oriented-project-manager/")</f>
        <v/>
      </c>
      <c r="G82" t="inlineStr">
        <is>
          <t>Miami, FL, US</t>
        </is>
      </c>
      <c r="H82" s="3" t="n">
        <v>46050</v>
      </c>
      <c r="I82" t="inlineStr">
        <is>
          <t>**About the project**
---------------------
DigitalSuits provides development services across various industries and domains. We work with startups, small businesses, and medium\-sized enterprises from the US, Canada, the UK, Japan, and Israel, while remaining open to partnerships worldwide.
Our Project Management team consists of 3 Project Managers and the Head of the PM Department. We work across multiple domains, including ecommerce (Shopify) and custom application development. Our projects range from retainer\-based support to full\-cycle development from scratch. We collaborate with other departments and their representatives as needed, including UI/UX designers, backend developers, and other specialists.
We are looking for a product\-minded leader who will take ownership of the product, not just manage tasks and processes.
This role goes beyond classic project management \- you will be deeply involved in product strategy, priorities, business value, and execution.
This position is ideal for someone with a startup mindset who enjoys building and growing products, understands business goals, and knows how to turn them into clear priorities and actionable plans for the team.
### **Requirements**
* 5\+ years of experience in web development projects in a Project Manager role, with hands\-on commercial experience performing Product Owner / Product Manager responsibilities
* Strong product ownership mindset: ability to think in terms of goals, value, and impact
* Proven experience to:
* Define product goals and roadmap
* Define and manage product priorities
* Perform deep requirements analysis
* Startup product development experience (this is critical); experience in developing AI\-powered products will be a plus
* Strong understanding of SDLC and practical delivery in fast\-changing environments
* Experience working with custom web solutions (APIs, client\-server architecture, CI/CD)
* Using AI and LLMs daily to improve efficiency
* Solid understanding of QA processes and quality ownership
* Advanced written and spoken English
* Ability to work independently and take responsibility for decisions
* Strong collaboration skills with cross\-functional teams (BA, developers, DevOps, QA, business stakeholders)
### **Responsibilities**
* Take end\-to\-end ownership of the product: from understanding business goals to execution and delivery
* Define product goals, vision, and roadmap together with stakeholders
* Define and continuously refine product priorities based on business value, user needs, and constraints
* Conduct deep requirements analysis: ask the right questions, challenge assumptions, clarify “why” before “how”
* Translate product goals into a clear, prioritized backlog with well\-defined requirements
* Focus on execution and outcomes, not bureaucracy and over\-engineered processes
* Work closely with the development team to ensure smooth delivery and shared understanding
* Act as a bridge between business and team, ensuring alignment on goals, priorities, and expectations
* Proactively identify risks, blockers, and dependencies and resolve them with a solution\-oriented mindset
* Manage stakeholder communication in a constructive, respectful, and positive way
* Continuously evaluate product progress and adjust priorities when goals or context change
* Contribute to product improvement ideas, not just delivery of predefined tasks
### **What We Explicitly Value**
* Startup mindset over corporate mindset
* Focus on execution, not just process
* Ability to understand business value, not only requirements
* Flexibility in priorities and comfort with change
* Positive, respectful, and solution\-oriented communication
* Openness to feedback and willingness to learn
* Readiness to challenge ideas \- with arguments and dialogue, not defensiveness
Competitive compensation
We offer competitive work compensation to reward your contribution. Salary reviews are conducted regularly.
Professional growth
Opportunities for continuous professional growth through training, mentorship, and skill development initiatives.
Paid time off
We offer 18 working days of paid vacation per year. And we also provide 10 working paid sick leave days to our employees.
Pleasant environment
Enjoy a vibrant work culture with regular online celebrations, team activities, and corporate gifts. We create a pleasant environment where fun and connection thrive.
Flexible working hours
Enjoy a work\-life balance and work remotely on a flexible schedule, starting between 9\-11 am. We observe all bank holidays in Ukraine to let you recharge.
Clear communication
We value clear communication with minimal bureaucracy. Your requests are resolved quickly, and regular feedback from colleagues ensures smooth collaboration.
Innovate with experts
Join us to work on cutting\-edge projects from Europe, Canada, and the U.S., pushing the boundaries of technology and innovation.
Annual training budget
An individual annual budget for education, training, and seminars, including English language learning.
Referral program
Earn rewards through our referral program — bring a new talent to our team and receive a generous bonus.</t>
        </is>
      </c>
    </row>
    <row r="83">
      <c r="A83" t="inlineStr">
        <is>
          <t>in-730bd3ddc1c8d0ac</t>
        </is>
      </c>
      <c r="B83" t="inlineStr">
        <is>
          <t>Sr. Workplace EHS Operations Program Manager, AMER &amp; EMEA</t>
        </is>
      </c>
      <c r="C83" t="inlineStr">
        <is>
          <t>PlayStation</t>
        </is>
      </c>
      <c r="D83" t="inlineStr">
        <is>
          <t>indeed</t>
        </is>
      </c>
      <c r="E83">
        <f>HYPERLINK("https://www.indeed.com/viewjob?jk=730bd3ddc1c8d0ac", "https://www.indeed.com/viewjob?jk=730bd3ddc1c8d0ac")</f>
        <v/>
      </c>
      <c r="F83">
        <f>HYPERLINK("https://careers.playstation.com/sr-workplace-ehs-operations-program-manager-amer-emea/job/5786211004", "https://careers.playstation.com/sr-workplace-ehs-operations-program-manager-amer-emea/job/5786211004")</f>
        <v/>
      </c>
      <c r="G83" t="inlineStr">
        <is>
          <t>San Mateo, CA, US</t>
        </is>
      </c>
      <c r="H83" s="3" t="n">
        <v>46050</v>
      </c>
      <c r="I83" t="inlineStr">
        <is>
          <t>Position Type:
Location(s):
United States, San Mateo, CA
Date Posted:
Job ID:
R\-122986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**Sr. Workplace EHS Operations Program Manager, AMER \&amp; EMEA**
**San Diego or San Mateo, CA / Hybrid**
As the Senior Workplace EHS Operations Program Manager, AMER \&amp; EMEA, you will be responsible for the implementation of Environmental Health and Safety (EHS) standards across SIE’s footprint. This role reports to the Senior Manager, Workplace Center of Excellence, AMER \&amp; EMEA, and will collaborate closely with the SIE ESG team, Workplace Facilities teams and vendors, as well as other partner and stakeholder teams.
**Responsibilities:**
* Implement a central Workplace EHS operations program for SIE facilities that operationalizes ESG goals into actionable Workplace programs and initiatives. Work towards implementing SIE’s standardized approaches in accordance with Sony and SIE rules and procedures determined by SIE’s EHS officer and team within the ESG function to operationalize and monitor against safety or environmental risks. Serve as the Workplace point of contact for the ESG team, coordinating, validating, and consolidating EHS data collected by sites aligned with Sony Green Management plans.
* Organize, update, and where needed, create facilities management SOPs and playbooks that each location can leverage to reduce environmental and safety risks, while promoting safe workplace behaviors.
* Ensure adherence to government regulations and SIE EHS policies, procedures, and industry standards, and support the Workplace team in implementing new requirements to maintain safety\-conscious operations
* Support AMER \&amp; EMEA region office emergency evacuation program, including the development and maintenance of facility procedures, coordination with key partners (e.g., ESG, Facilities, Security, Site Leads) and management of evacuation drill schedules.
* Identify improvement opportunities to mitigate business interruption and other risks SIE may face. Incorporate continuous improvement processes identified during exercises or incidents (e.g., power outages, natural disasters and health emergencies) in accordance with rules and instructions set by ESG Team.
* Evaluate operational feasibility and ROI for proposed Workplace EHS initiatives and capital investments in partnership with ESG and Workplace leadership.
* Support broader Workplace initiatives as business needs evolve, including program management, operational readiness, and cross\-functional coordination in a global, multi\-site environment.
**Qualifications:**
* 8\+ years’ experience Environmental Health and Safety\-related job experience, preferably in a gaming or tech environment.
* Strong understanding of core environmental health and safety standards, such as (but not limited to) OSHA, EPA, and any State programs.
* Experience in project management and thinking through hypothetical scenarios and concepts to identify risks and/or weaknesses in various business processes.
* Excellent analytical and problem\-solving abilities to identify inefficiencies or gaps and recommend effective solutions.
* Ability to work collaboratively with various stakeholders to drive a consistent EHS and business continuity approach.
* Certifications for EHS (ASP/CSP, CHMM, IOSH, DSE, NEBOSH) are an added benefit but not required.
\#LI\-SV1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$194,200—$291,400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84">
      <c r="A84" t="inlineStr">
        <is>
          <t>in-3e5ba2aa76a2a489</t>
        </is>
      </c>
      <c r="B84" t="inlineStr">
        <is>
          <t>Journeyman Program Manager</t>
        </is>
      </c>
      <c r="C84" t="inlineStr">
        <is>
          <t>Astrion</t>
        </is>
      </c>
      <c r="D84" t="inlineStr">
        <is>
          <t>indeed</t>
        </is>
      </c>
      <c r="E84">
        <f>HYPERLINK("https://www.indeed.com/viewjob?jk=3e5ba2aa76a2a489", "https://www.indeed.com/viewjob?jk=3e5ba2aa76a2a489")</f>
        <v/>
      </c>
      <c r="F84">
        <f>HYPERLINK("https://careers.astrion.us/jobs/23009/job?utm_source=indeed_integration&amp;iis=Job%20Board&amp;iisn=Indeed&amp;indeed-apply-token=73a2d2b2a8d6d5c0a62696875eaebd669103652d3f0c2cd5445d3e66b1592b0f", "https://careers.astrion.us/jobs/23009/job?utm_source=indeed_integration&amp;iis=Job%20Board&amp;iisn=Indeed&amp;indeed-apply-token=73a2d2b2a8d6d5c0a62696875eaebd669103652d3f0c2cd5445d3e66b1592b0f")</f>
        <v/>
      </c>
      <c r="G84" t="inlineStr">
        <is>
          <t>Tinker AFB, OK, US</t>
        </is>
      </c>
      <c r="H84" s="3" t="n">
        <v>46050</v>
      </c>
      <c r="I84" t="inlineStr">
        <is>
          <t>Overview:
**Journeyman** **Program Manager** **WORK LOCATION**:Tinker AFB, OK **JOB STATUS:** Full\-time; salaried **SECURITY CLEARANCE:** MUST have an active US Secret clearance  
Astrion has an exciting opportunity for a **Journeyman Program Manager** to directly support the Airborne Warning and Control Systems (AWACS) Division, which is within the USAF Digital Directorate. **REQUIRED QUALIFICATIONS / SKILLS:*** **Clearance****:** Must currently hold and be able to maintain an active Secret Clearance.
* **Citizenship**: Must be a US citizen
* **Education:** Bachelor’s Degree from an accredited educational program and at least 7 years of experience in the respective professional discipline being performed, 5 of which must be in the DoD
	+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**RESPONSIBILITIES****:** **Program \&amp; Acquisition Management*** Provide program\-level acquisition support to the Program Manager (PM) and Integrated Product Team (IPT) Leads to ensure disciplined execution, acquisition battle rhythm, and delivery of warfighter capability
* Advise program leadership on overall program health and options to maintain cost, schedule, and performance objectives
* Interpret, coordinate, and execute acquisition project assignments; identify and resolve issues with significant impact to acquisition and sustainment efforts
* Compare program direction and plans for alignment and consistency across stakeholders
* Monitor and assess program integration plans and interface control between systems
**Acquisition Strategy \&amp; Policy Compliance*** Assist with planning, evaluating, and implementing acquisition strategies, including traditional, Middle Tier of Acquisition (MTA), and Urgent Capability pathways
* Provide non\-technical acquisition expertise and guidance in accordance with DoD and Air Force acquisition policies, directives, and instructions
* Identify and resolve policy disconnects; provide policy interpretation and recommendations to program leadership
* Track acquisition reform initiatives and recommend updates to programs impacted by policy changes
**Contracting, RFP \&amp; Source Selection Support*** Provide program management inputs to RFPs, including system requirements, SOWs, SRDs, CDRLs, and evaluation criteria
* Assist with development of source selection strategies and provide administrative and evaluation support
* Review and track prime contractor deliverables, schedules, and contractual performance
* Assist with drafting contractual correspondence related to program management issues
**Program Reporting \&amp; Senior Leadership Briefings*** Develop, prepare, and review acquisition reports and statutory documentation in support of milestone decisions and program oversight
* Support preparation of senior\-level briefings, graphics, schedules, and program status updates
* Maintain recurring program documentation such as MARs, APBs, DAES inputs, SARs, and supplemental acquisition reports
* Utilize DoD\-mandated and specialized systems to support reporting, documentation, and execution
**Risk, Schedule \&amp; Performance Management*** Develop, maintain, and execute program risk management plans; facilitate risk identification, analysis, handling, and monitoring
* Support risk management boards and working groups; document outcomes and action items
* Analyze contractor and subcontractor risk management processes
* Coordinate with program scheduling personnel and correlate EVM cost performance data with Integrated Master Schedule (IMS) CDRLs
**Financial \&amp; Funding Support*** Provide direct support for preparation and submission of funding documents, including purchase requests, MIPRs, and obligation/spend plans
* Support cost and schedule reduction initiatives across acquisition and development efforts
* Evaluate funding realism and cost impacts in support of acquisition strategies and execution decisions
**Advisory \&amp; Leadership Support*** Provide expert acquisition and program management guidance to division chiefs and program/project managers
* Advise PMs on best\-practice program management principles to improve processes, increase efficiency, and achieve cost avoidance
* Support life\-cycle logistics considerations and operational supportability planning
\#CJ
\#LI\-ST1
Air Force
EPASS HB</t>
        </is>
      </c>
    </row>
    <row r="85">
      <c r="A85" t="inlineStr">
        <is>
          <t>in-787ab49e76b0319a</t>
        </is>
      </c>
      <c r="B85" t="inlineStr">
        <is>
          <t>Senior Program Manager – CO&amp;P Program Management Organization (PMO)</t>
        </is>
      </c>
      <c r="C85" t="inlineStr">
        <is>
          <t>SAS</t>
        </is>
      </c>
      <c r="D85" t="inlineStr">
        <is>
          <t>indeed</t>
        </is>
      </c>
      <c r="E85">
        <f>HYPERLINK("https://www.indeed.com/viewjob?jk=787ab49e76b0319a", "https://www.indeed.com/viewjob?jk=787ab49e76b0319a")</f>
        <v/>
      </c>
      <c r="F85">
        <f>HYPERLINK("https://careers-sas.icims.com/jobs/41076/job?utm_source=indeed_integration&amp;iis=Job%20Board&amp;iisn=Indeed&amp;indeed-apply-token=73a2d2b2a8d6d5c0a62696875eaebd669103652d3f0c2cd5445d3e66b1592b0f", "https://careers-sas.icims.com/jobs/41076/job?utm_source=indeed_integration&amp;iis=Job%20Board&amp;iisn=Indeed&amp;indeed-apply-token=73a2d2b2a8d6d5c0a62696875eaebd669103652d3f0c2cd5445d3e66b1592b0f")</f>
        <v/>
      </c>
      <c r="G85" t="inlineStr">
        <is>
          <t>Cary, NC, US</t>
        </is>
      </c>
      <c r="H85" s="3" t="n">
        <v>46050</v>
      </c>
      <c r="I85" t="inlineStr">
        <is>
          <t>:
**Senior Program Manager – CO\&amp;P PMO – Hybrid, Cary, North Carolina**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Corporate Operations \&amp; Planning Program Management Organization (CO\&amp;P PMO) is looking for a Senior Program Manager to lead high\-impact, cross\-divisional initiatives and programs that drive strategic transformation and operational excellence across SAS. The CO\&amp;P addresses four critical challenges for SAS: ensuring the right strategy, enabling better decisions, improving operational effectiveness, and strengthening our competitive advantage. The CO\&amp;P PMO accelerates SAS’s strategic vision and addresses those four challenges by transforming prioritized initiatives into measurable results through program alignment, governance, and business impact. Through disciplined execution, we ensure strategic initiatives and programs are delivered on time, within scope, and with measurable value, fostering a culture of accountability and continuous improvement that drives long\-term business success. This position is a critical part of the team working to secure SAS’s future. **Work Location:** Cary, NC Headquarters **As a Senior Corporate Operations \&amp; Planning Program Manager, you will:**
Collaborate with the PMO, executive sponsors, business leaders, and cross\-functional teams to deliver initiatives and programs that advance SAS’s strategic goals and initiatives with the following guiding areas of focus:* **Initiative \&amp; Program Leadership:** Manage and support the initiation, planning, execution, and closure of initiatives and programs to ensure they align with strategic goals and the CO\&amp;P PMO charter. Serve as the primary point of contact for all initiative\- or program\-related matters, liaising with interested parties throughout the company to ensure successful outcomes. Demonstrate strong analytical abilities to assess solutions for both program and business operation needs.
* + Provide guidance and direction to teams to ensure alignment with established goals, objectives, and deadlines.
	+ Develop detailed initiative and program plans to effectively track and monitor progress, ensuring scope is aligned with broader business strategies.
	+ Orchestrate a consistent cadence of meetings and working sessions with colleagues and team members to manage deliverables and monitor progress.
* **Stakeholder Engagement \&amp; Alignment:** By cultivating and sustaining strong working relationships, you will translate high\-level initiatives into executable programs by partnering with key stakeholders to define scope, identify objectives with measurable outcomes, and lead initiatives or programs that enhance the effectiveness of strategic goals. Collaborate with partner organizations responsible for shared success to identify and track key performance metrics related to stakeholder priorities, satisfaction, and achievement of objectives, ensuring collective initiative or program success.
* **Governance \&amp; Reporting:** Abide by the PMO methodology by developing and maintaining comprehensive initiative or program documentation including plans, schedules, and status updates; facilitate clear communication across teams to drive alignment, transparent reporting, and realization of intended benefits. Including preparing and delivering tailored reports for various stakeholder groups, outlining initiative or program status, challenges, and solutions.
* **Program Delivery:** Plan, prioritize, implement, and adjust delivery schedules, scope, resourcing, and program quality requirements as needed. Facilitate status meetings, coordinate cross\-divisional resources, and facilitate clear communication among stakeholders to keep programs on track. Proactively manage action items, formulate mitigation strategies, and resolve issues in partnership with stakeholders to maintain initiative or program delivery within defined scope and timelines.
* **Continuous Improvement:** Foster a culture of innovation, agility, and adherence to program management best practices.
* **Operational Excellence:** Apply rigorous operational oversight to monitor, sustain, and continuously evolve initiatives and programs to secure ongoing success. Ensure continuous alignment between program scope and overarching organizational goals and objectives.
* **Promote Innovation:** Engage in ongoing professional development through educational opportunities, reading industry publications, networking, and actively participating in relevant organizations to ensure up\-to\-date expertise.
* Embrace curiosity, passion, authenticity and accountability. These are our values and influence everything we do.
 **Required qualifications*** Minimum 8 years of experience in program or project management, preferably in a cross\-divisional or enterprise environment.
* Bachelor’s degree in Business Administration, Program or Project Management, or related field.
* Proven ability to work independently, with guidance in only the most complex situations. Manage multiple programs or a portfolio with cross\-functional impact. Perform effectively under pressure, manage shifting priorities, prioritize changing deadlines, and maintain performance standards.
* Proven excellent organizational and problem\-solving capabilities; meticulous attention to detail and accuracy.
* Demonstrated exceptional interpersonal, written, oral, and visual communication abilities, with experience engaging audiences including executives.
* Proven ability to lead program teams and build consensus among senior stakeholders.
* Proven ability to apply change management methodologies to effectively manage people, processes, and technology transitions systematically, minimizing disruption, scope creep, timeline delays, stakeholder resistance, and misalignment.
* Demonstrated understanding of business and technical concepts to evaluate strategic initiatives and their impacts.
* Proven experience in designing and supporting process improvements aligned with a PMO’s frameworks and methodologies.
* Demonstrated ability to apply innovative and creative thinking to design tailored solutions for complex and unique challenges.
* Proven significant experience with program management tools (e.g., MS Project, Jira) and extensive knowledge of Microsoft Office 365\.
* Proven experience working in technology or at a data, analytics or AI software/service provider.
* Willingness and flexibility to travel 15%, when necessary.
* Equivalent combination of related education, training and experience may be considered in place of the above qualifications.
 **Additional competencies, knowledge and skills*** Communication: Conveying information and ideas clearly and concisely to individuals or groups in an engaging manner that helps them understand and retain the message; listening actively to others.
* Decision Making: Identifying and understanding problems and opportunities by gathering, analyzing, and interpreting quantitative and qualitative information; choosing the best course of action by establishing clear decision criteria, generating and evaluating alternatives, making timely decision; taking action that is consistent with available facts and constraints and optimizes probable consequences.
* Planning and Organizing: Establishing an action plan for self and others to complete work efficiently and on time by setting priorities, establishing timelines, and leveraging resources.
* Driving Execution: Translating strategic priorities into operational reality; aligning communication, accountabilities, resource capabilities, internal processes, and ongoing measurement systems to ensure that strategic priorities yield measurable and sustainable results.
* Influencing: Using effective involvement and persuasion strategies to gain acceptance of ideas and commitment to actions that support specific work outcomes.
* Global Perspective: Demonstrating an awareness of, and sensitivity to, the international market, cultural, technological, political, and legal factors that impact individual work group priorities and results; leveraging own understanding of the organization’s global strategy, global business trends, and regional differences to enhance individual and work group results.
* Project Management Professional (PMP), Program Management Professional (PgMP) or Agile certification or equivalent, demonstrable professional development and working toward certification.
* Proven experience in strategic planning, governance, or enterprise transformation.
* Demonstrated familiarity with SAS software, analytics, or cloud technologies.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
 \#SAS</t>
        </is>
      </c>
    </row>
    <row r="86">
      <c r="A86" t="inlineStr">
        <is>
          <t>in-5620dd4dc002d279</t>
        </is>
      </c>
      <c r="B86" t="inlineStr">
        <is>
          <t>Digital Sales Program Manager</t>
        </is>
      </c>
      <c r="C86" t="inlineStr">
        <is>
          <t>Truist</t>
        </is>
      </c>
      <c r="D86" t="inlineStr">
        <is>
          <t>indeed</t>
        </is>
      </c>
      <c r="E86">
        <f>HYPERLINK("https://www.indeed.com/viewjob?jk=5620dd4dc002d279", "https://www.indeed.com/viewjob?jk=5620dd4dc002d279")</f>
        <v/>
      </c>
      <c r="F86">
        <f>HYPERLINK("https://careers.truist.com/us/en/job/TBJTBFUSR0110576EXTERNALENUS/Digital-Sales-Program-Manager?utm_source=indeed&amp;utm_medium=phenom-feeds", "https://careers.truist.com/us/en/job/TBJTBFUSR0110576EXTERNALENUS/Digital-Sales-Program-Manager?utm_source=indeed&amp;utm_medium=phenom-feeds")</f>
        <v/>
      </c>
      <c r="G86" t="inlineStr">
        <is>
          <t>Charlotte, NC, US</t>
        </is>
      </c>
      <c r="H86" s="3" t="n">
        <v>46050</v>
      </c>
      <c r="I8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Provides oversight and leadership on digital sales and marketing program performance and routines.
Influences and leads sales funnel health analysis and optimization opportunities. Key contributor in developing performance measures and goals.  
Evaluates investment opportunities to meet strategic objectives and optimize the program or project portfolio.**ESSENTIAL DUTIES AND RESPONSIBILITIES**
Following is a summary of the essential functions for this job. Other duties may be performed, both major and minor, which are not mentioned below. Specific activities may change from time to time.
1\. Plans and coordinates closely with LOB/function managers and subject matter experts. Ensures that business cases are developed for budgeting, planning, and tracking revenue and/or expense.
2\. Works closely with, and provides direction to technology leads to support program needs.
3\. Ensures that program activities are on a path to deliver benefits realization.
4\. Installs an appropriate risk management plan for the program and ensures adherence to company and unit requirements.
5\. Proactively challenge the performance of current systems and processes and identifies risks and develops solutions and/or processes and ensures necessary risk mitigation steps are built into the processes. Readily recognizes solution and determines at what point issues require escalation to management.
7\. Leads teams or multiple teams of internal and/or external resources on a project basis.
8\. Provides project\-related performance evaluations on project resources.
8\. Analyzes and collectively manages variances to the program plan and overall portfolio and makes recommendation and/or creates action plan to mitigate negative variances or to resolve issues.
9\. Prepares dashboard reporting to identify and communicate the health of the project portfolio for use by key executives.
**QUALIFICATIONS**
**Required Qualifications:**
The requirements listed below are representative of the knowledge, skill and/or ability required. Reasonable accommodations may be made to enable individuals with disabilities to perform the essential functions.
1\. Bachelor’s degree in a relevant field, or an equivalent combination of education and work experience
2\. Ten years progressive related experience in either a consulting, project management or process improvement related role
3\. Strong skills and experience in issue resolution, influencing team members and other stakeholders, conducting difficult negotiations and managing to stringent timelines for project deliverables
4\. Demonstrated superior understanding of business and technology organization, resources, priorities, needs and policies
5\. Demonstrated leadership in the implementation of complex programs and projects
6\. Ability to bring clarity to ambiguous assignments
7\. Demonstrated executive level verbal and written communication skills
8\. Superior working knowledge of business matters, finance, planning, and forecasting
9\. Strong skills in MS Office Suite (PowerPoint, Excel, Word, Visio, Project)
**Preferred Qualifications:**
1\. Advanced degree in a relevant field of work (e.g., MBA). PMP and/or PgMP
2\. Experience with digital sales organizations and reporting platforms
3\. Experience implementing large/complex initiatives across a matrix organization
4\. In\-depth knowledge of management and planning systems theory and practical application to complex initiatives
5\. Experience with financial measurements and metrics
6\. Financial Services experience
7\. Knowledge of business unit’s mission and processes
8\. Experience implementing large/complex initiatives across a matrix organization.
**OTHER JOB REQUIREMENTS / WORKING CONDITIONS**
**Sitting**
Constantly (More than 50% of the time)
**Standing**
Occasionally (Less than 25% of the time)
**Walking**
Occasionally (Less than 25%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7">
      <c r="A87" t="inlineStr">
        <is>
          <t>in-5eb3201ece13e8ea</t>
        </is>
      </c>
      <c r="B87" t="inlineStr">
        <is>
          <t>Program Manager, Strategic Initiatives</t>
        </is>
      </c>
      <c r="C87" t="inlineStr">
        <is>
          <t>Blackfoot Telephone Cooperative</t>
        </is>
      </c>
      <c r="D87" t="inlineStr">
        <is>
          <t>indeed</t>
        </is>
      </c>
      <c r="E87">
        <f>HYPERLINK("https://www.indeed.com/viewjob?jk=5eb3201ece13e8ea", "https://www.indeed.com/viewjob?jk=5eb3201ece13e8ea")</f>
        <v/>
      </c>
      <c r="F87">
        <f>HYPERLINK("https://workforcenow.adp.com/mascsr/default/mdf/recruitment/recruitment.html?cid=ad3c4dbc-c216-48d0-b074-78ff1d7461e4&amp;ccId=19000101_000001&amp;jobId=580201&amp;source=IN&amp;lang=en_US", "https://workforcenow.adp.com/mascsr/default/mdf/recruitment/recruitment.html?cid=ad3c4dbc-c216-48d0-b074-78ff1d7461e4&amp;ccId=19000101_000001&amp;jobId=580201&amp;source=IN&amp;lang=en_US")</f>
        <v/>
      </c>
      <c r="G87" t="inlineStr">
        <is>
          <t>Missoula, MT, US</t>
        </is>
      </c>
      <c r="H87" s="3" t="n">
        <v>46050</v>
      </c>
      <c r="I87" t="inlineStr">
        <is>
          <t>**About Us:** Blackfoot Communications reliably connects business of all sizes across the nation using the latest telecommunication technology in voice, network, and managed services. With focus on strong connections, we also provide dedicated account management with a goal to get to know our clients so we can help advise on the best solution.
**What We Offer:** We offer opportunities in the telecommunications and technology sectors with positions in Western Montana and Eastern Idaho. Blackfoot is proud to offer a competitive salary and a fantastic benefits package that includes; comprehensive medical benefits plan, LTD, life insurance, an outstanding retirement pension plan *plus* a 401k plan that includes employer match, along with other employer paid benefits. We are proud to have received awards and recognition that highlight our strong company culture. These include "Employer of Choice" from the Missoula Job Service Employer's Council, "Top Tech Employer" from the Montana High Tech Business Alliance, and the "Heart Award" from the United Way of Missoula County in recognition of our ongoing community efforts.
**Job Summary:** This position is responsible for driving the execution of cross\-functional strategic initiatives across the business, including network expansion and field deployments, customer migrations, systems implementations, and internal process improvements. The Program Manager, Strategic Initiatives owns the execution cadence, project controls, and transparent reporting required to move key initiatives forward on time and with quality.
Work includes building and maintaining delivery plans, coordinating stakeholders across departments, surfacing and resolving risks and dependencies, and ensuring leadership has timely, accurate status, decisions needed, and clear next steps. Success requires strong facilitation, disciplined follow\-through, and the ability to influence outcomes across the organization.
 **Essential Job Duties and Responsibilities:**
* Own and maintain the strategic initiatives portfolio: intake, scope definition, sequencing support, and alignment with executive sponsors and functional leaders.
* Translate initiatives into actionable delivery plans including milestones, workstreams, resourcing assumptions, dependencies, and acceptance criteria.
* Drive weekly execution cadence: facilitate delivery reviews, workstream check\-ins, and action tracking; ensure next steps, owners, and due dates are explicit.
* Maintain disciplined project controls (schedule, RAID log, decision log, action items, and change control) to keep delivery predictable and auditable.
* Publish concise initiative reporting for leaders and stakeholders (progress, health, wins, risks, decisions needed, and upcoming milestones).
* Proactively identify and manage cross\-department dependencies; coordinate sequencing and handoffs to prevent delays and rework.
* Escalate blockers and risks early with clear options, tradeoffs, and recommendations; drive timely decisions and follow\-through.
* Coordinate cutovers, migrations, and high\-impact changes, including communications planning, readiness checks, and go/no\-go gates.
* Partner with operational owners to ensure effective handoff into steady\-state operations (documentation, training, runbooks, support readiness, and ownership clarity).
* Lead post\-implementation reviews and lessons learned; implement improvements to templates, cadence, and delivery standards.
* Standardize and continuously improve PMO practices, tooling, and reporting methods to increase organizational velocity and clarity.
* Support planning cycles by providing visibility into initiative load, capacity assumptions, and delivery risk.
 **Additional Job Duties and Responsibilities:**
* Perform other duties and responsibilities as required to fulfill job function or as assigned.
 **Knowledge, Skills, and Abilities:**
Knowledge of:
* Program/project management methodologies and delivery controls.
* ISP/telecom and MSP delivery concepts such as field deployments, service activation, customer migrations, maintenance windows, and cutovers is a plus.
* Cross\-functional operating models and how to coordinate work across Network, Field Ops, IT, NOC, Service Delivery, Customer Care, and Sales/Provisioning.
* Change management and stakeholder communication practices for high\-impact customer and internal transitions.
* Common collaboration and reporting tools (Microsoft 365/Teams/SharePoint) and project tools (Smartsheet, MS Project, Jira, ServiceNow, or equivalent).
* Sufficient technical fundamentals to coordinate technical stakeholders and interpret risk.
Skill to:
* Facilitate meetings that produce decisions, clarity, and action; keep teams aligned and moving.
* Build clear plans, timelines, and executive\-ready updates that drive accountability.
* Influence without direct authority; negotiate priorities, sequencing, and resourcing with multiple stakeholders.
* Identify risk early and present practical options, tradeoffs, and recommendations.
* Create and maintain organized documentation, dashboards, and status reporting as a single source of truth.
* Maintain composure and effectiveness under pressure, ambiguity, and tight deadlines
Ability to:
* Manage multiple concurrent initiatives and shifting priorities while maintaining delivery discipline.
* Communicate effectively, in writing and verbally, with executives, peers, and frontline teams.
* Analyze information, identify bottlenecks and patterns, and drive corrective action.
* Work independently with sound judgment and partner effectively across diverse teams.
* Travel locally as needed for field deployments, site visits, and stakeholder sessions.
* Work in a safe and effective manner.
**Education and Experience:**
Any combination equivalent to the following education and experience that would provide the required knowledge, skills and abilities would qualify. A typical way to obtain the knowledge, skills and abilities would be: Bachelor’s degree in business, information systems, engineering, or related field and/or four (4\) to seven (7\) years of progressive project or program management experience in telecom, ISP, MSP, or related technology environments.
Professional certifications are desirable.</t>
        </is>
      </c>
    </row>
    <row r="88">
      <c r="A88" t="inlineStr">
        <is>
          <t>in-ea90caa49975a175</t>
        </is>
      </c>
      <c r="B88" t="inlineStr">
        <is>
          <t>Program Manager</t>
        </is>
      </c>
      <c r="C88" t="inlineStr">
        <is>
          <t>Kindering</t>
        </is>
      </c>
      <c r="D88" t="inlineStr">
        <is>
          <t>indeed</t>
        </is>
      </c>
      <c r="E88">
        <f>HYPERLINK("https://www.indeed.com/viewjob?jk=ea90caa49975a175", "https://www.indeed.com/viewjob?jk=ea90caa49975a175")</f>
        <v/>
      </c>
      <c r="F88">
        <f>HYPERLINK("https://www.paycomonline.net/v4/ats/web.php/jobs/ViewJobDetails?job=283094&amp;clientkey=2AF24E20AC067D1DB8F1F53926BCD041&amp;source=Indeed", "https://www.paycomonline.net/v4/ats/web.php/jobs/ViewJobDetails?job=283094&amp;clientkey=2AF24E20AC067D1DB8F1F53926BCD041&amp;source=Indeed")</f>
        <v/>
      </c>
      <c r="G88" t="inlineStr">
        <is>
          <t>Bellevue, WA, US</t>
        </is>
      </c>
      <c r="H88" s="3" t="n">
        <v>46050</v>
      </c>
      <c r="I88" t="inlineStr">
        <is>
          <t>**Purpose**
Plan, direct, and coordinate the Speech and Language Department. Plan and maintain systems and procedures for operating efficiency. Manage staff for optimum performance. Collaborate with other managers, Leadership Team, Early Intervention Senior Manager and Chief Program Officer to develop and maintain quality early intervention services to children and their families. Oversee the development, coordination, and implementation speech and language programs at Kindering.
**Principal Duties \&amp; Responsibilities**
Duties and responsibilities may include, but are not limited to the following:
* Ensure appropriate department coverage for agency needs
* Seek and hire new staff, with an “as appropriate” interview with Early Intervention Senior Manager or Chief Program Officer for the final candidate(s)
* Oversee training and evaluate new staff (department orientation, mentoring, training plan, 30\-60\- 90 day reviews)
* Monitor staff performance, including annual performance reviews and set employee goals and objectives
* Supervise department job performance and quality of work – track and manage parent and staff complaints, caseloads, quality indicators; develop and monitor learning goals of staff; understand morale level
* Develop staff to maximize potential (monitor consistent required skill level within department and address or provide opportunities for growth)
* Ensure staff are in compliance with Part C of IDEA, King County DDD, ESIT
* Participate in program planning processes
* Organize and manage department staff meetings
* Delegate work duties to staff
* Coordinate department budget activities for maximum operational efficiency
* Plan and implement procedures and systems to maximize operating efficiency
* Participate as a part of Kindering’s Leadership Team
* Create, measure, and report department goals and objectives aligned with Kindering’s mission and goals, including productivity and quality goals
* Oversee specialty programs as needed
* Communicate and collaborate with Bellevue Early Intervention Senior Manager
* Communicate to department regarding specific items as well as Leadership Team direction, mission, vision
* Serve as the “go\-to person” for departmental issues and needs both from within and between departments (examples: added staffing, equipment, space, assistance and volunteers)
* Complete other duties as assigned by Early Intervention Senior Manager
* Provide or support outreach, intensive informing, care planning, coordination, anticipatory guidance for complex health needs, assistance to access services, consultation, resource development, interagency coordination, training, program planning, quality management, and administration to support Medicaid programs.
**Key Competencies**
* Clinical knowledge
* Judgment
* Decision\-making
* Information management
* Planning and organizing
* Program analysis and problem solving
* Delegating tasks and responsibility
* Motivating staff
* Communication
* Coaching
* Teamwork
* Flexibility
**Required Education \&amp; Experience**
* Masters degree in Speech\-Language Pathology or related field such as Special Education, Occupational/Physical therapy or Social Work
* Ability to maintain a partial early intervention caseload while acting as a Manager
* Clinical supervision experience
* Computer software skills (excel, word, outlook) and ability to navigate and perform necessary computer functions to perform job duties
* WA DOH license
**Minimum Prerequisites**
* Pass Washington State DSHS criminal history and background check and FBI fingerprint check
* Strictly maintain the confidentiality of all client information in accordance with privacy regulations and organizational policies
* Have access to a dependable personal vehicle for transportation purposes
* Possess a valid Washington State driver's license and maintain valid automobile insurance coverage
* Be able to lift 40 pounds
* Pass tuberculosis test
* Be CPR/First Aid certified or willing to become certified
* Provide documentation of a negative tuberculosis test result
* Provide proof of current immunizations, including COVID\-19 and Measles, Mumps, and Rubella (MMR) vaccines, or submit a titer test result demonstrating immunity\*
* Kindering requires those supervising and providing in\-person services to children to be vaccinated/ or apply and be approved for a sincerely held religious belief or medical exemption.</t>
        </is>
      </c>
    </row>
    <row r="89">
      <c r="A89" t="inlineStr">
        <is>
          <t>in-34fe42fb0e2130c0</t>
        </is>
      </c>
      <c r="B89" t="inlineStr">
        <is>
          <t>Program Manager - Proud</t>
        </is>
      </c>
      <c r="C89" t="inlineStr">
        <is>
          <t>Advantage Behavioral Health Systems</t>
        </is>
      </c>
      <c r="D89" t="inlineStr">
        <is>
          <t>indeed</t>
        </is>
      </c>
      <c r="E89">
        <f>HYPERLINK("https://www.indeed.com/viewjob?jk=34fe42fb0e2130c0", "https://www.indeed.com/viewjob?jk=34fe42fb0e2130c0")</f>
        <v/>
      </c>
      <c r="F89">
        <f>HYPERLINK("https://www.paycomonline.net/v4/ats/web.php/jobs/ViewJobDetails?job=335220&amp;clientkey=E4582EB95A43461B4E96C7422F215F24&amp;source=Indeed", "https://www.paycomonline.net/v4/ats/web.php/jobs/ViewJobDetails?job=335220&amp;clientkey=E4582EB95A43461B4E96C7422F215F24&amp;source=Indeed")</f>
        <v/>
      </c>
      <c r="G89" t="inlineStr">
        <is>
          <t>Athens, GA, US</t>
        </is>
      </c>
      <c r="H89" s="3" t="n">
        <v>46050</v>
      </c>
      <c r="I89" t="inlineStr">
        <is>
          <t>**Position Summary****:**
Contributes to the successful achievement of Advantage Behavioral Health Systems’ mission and strategic initiatives by providing leadership, oversight, evaluation, and management of a Certified Peer Specialist (CPS)\-led Office\-Based Opioid Treatment (OBOT). Assures tasks are completed, schedules are maintained, and programmatic requirements are met in accordance with applicable oversight and funding entities, including DBHDD, CMS, ASO, and CARF. Provides oversight and monitoring of daily operations, staffing, training, and outcomes, and supports development and monitoring of programmatic and financial performance. Ensure staff are appropriately trained and current in required training.
**Job Responsibilities and Performance Standards:**
* Provides leadership, supervision, and planning for assigned CPS and other staff.
* Ensure compliance with all federal, state, and local regulations, licensing, and operating standards.
* Develops, implements, and maintains policies, procedures, and workflows consistent with OBOT and MOUD best practices.
* Continuously evaluates service delivery effectiveness in meeting the needs of individuals served.
* Monitors operations, staffing patterns, schedules, and service capacity to ensure accessibility and continuity of care.
* Oversee PROUD service delivery and coordination.
* Ensures effective integration of Medication for Opioid Use Disorder (MOUD) with peer recovery support, counseling, and medical services.
* Collaborates with medical providers, nursing staff, behavioral health clinicians, and external partners to support coordinated, whole\-person care.
* Monitors screening, admissions, referrals, engagement, retention, discharges, and transitions of care.
* Manages human resources and employee relations functions.
* Participate in recruitment, interviewing, hiring, training, supervision, evaluation, and discipline of staff in collaboration with Human Resources.
* Communicates clear job expectations and performance standards.
* Conducts regular supervision, team meetings, and performance evaluations.
* Identifies training needs and ensures staff maintain required credentials and competencies related to peer support, SUDs, MOUD, documentation, and compliance.
* Establishes and maintains collaborative relationships with internal departments, community partners, referral sources, and medical providers.
* May represents Advantage and PROUD in community meetings, coalitions, and stakeholder initiatives.
* Works to prevent duplication of services and improve access to care.
* Oversees quality assurance, data collection, and performance monitoring.
* Reviews documentation and chart audits to ensure compliance with agency, payer, and regulatory standards.
* Collects and reviews programmatic and outcome data related to access, engagement, and recovery outcomes.
* Utilizes data to guide quality improvement efforts and workflow development.
* Oversee fiscal and operational performance with support from Director of Addictive Disease
* Monitors expenditures relative to budget expectations and identifies opportunities for efficiency.
* Assists with development and monitoring of programmatic and financial outcome reports.
* Promotes a recovery\-oriented, trauma\-informed, and peer\-driven culture.
* Models peer support values, ethical standards, and professional boundaries.
* Fosters a collaborative, supportive team environment aligned with Advantage’s mission, vision, and values.
* Demonstrates flexibility and adaptability in a dynamic and evolving healthcare environment.
* Attends agency, community, and external meetings and training as assigned.
**Minimum Qualifications**:
Certified Peer Specialist (CPS) credential required and maintained in good standing. Bachelor’s degree (BA/BS) in a related field (e.g., Human Services, Psychology, Social Work, Addiction Studies, or similar). Minimum of one (1\) year of experience in a leadership or supervisory role. Strong organizational, leadership, and communication skills. Demonstrated ability to adapt effortlessly in a changing environment.
**Preferred Qualifications:**
Training and/or education specific to substance use disorders (SUDs). Training toward or interest in obtaining an Addictions Counselor credential. Training, education, or experience utilizing Medication for Opioid Use Disorder (MOUD) within an OBOT or integrated care model. Experience supervising Certified Peer Specialists or peer\-led services. Experience using Netsmart or similar Electronic Health Record (EHR) systems.
**Certificates, Licenses, Registrations****:**
Certified Peer Specialist (CPS) – Required.</t>
        </is>
      </c>
    </row>
    <row r="90">
      <c r="A90" t="inlineStr">
        <is>
          <t>in-c56c4f815006d6cc</t>
        </is>
      </c>
      <c r="B90" t="inlineStr">
        <is>
          <t>Program Manager Crisis Stabilization</t>
        </is>
      </c>
      <c r="C90" t="inlineStr">
        <is>
          <t>Comprehensive Healthcare</t>
        </is>
      </c>
      <c r="D90" t="inlineStr">
        <is>
          <t>indeed</t>
        </is>
      </c>
      <c r="E90">
        <f>HYPERLINK("https://www.indeed.com/viewjob?jk=c56c4f815006d6cc", "https://www.indeed.com/viewjob?jk=c56c4f815006d6cc")</f>
        <v/>
      </c>
      <c r="F90">
        <f>HYPERLINK("https://www.paycomonline.net/v4/ats/web.php/jobs/ViewJobDetails?job=457446&amp;clientkey=19D9D2EBCE0A34CBC7B47FD6059715AF&amp;source=Indeed", "https://www.paycomonline.net/v4/ats/web.php/jobs/ViewJobDetails?job=457446&amp;clientkey=19D9D2EBCE0A34CBC7B47FD6059715AF&amp;source=Indeed")</f>
        <v/>
      </c>
      <c r="G90" t="inlineStr">
        <is>
          <t>Kennewick, WA, US</t>
        </is>
      </c>
      <c r="H90" s="3" t="n">
        <v>46050</v>
      </c>
      <c r="I90"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Crisis Stabilization Unit.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**Crisis Evaluation/Intervention:*** Utilizes appropriate crisis intervention techniques for client stabilization.
* Accurately screens for risk to self, others, property and the presence of grave disability and makes appropriate referrals.
* Documents and reports and/or notifies as required by law.
* Applies QPRT (Question, Persuade, Refer or Treat) principles in assessing risk and in safety and treatment planning.
* Develops and documents appropriate safety plans.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1">
      <c r="A91" t="inlineStr">
        <is>
          <t>in-869c4068d8f5e601</t>
        </is>
      </c>
      <c r="B91" t="inlineStr">
        <is>
          <t>Program Manager Secure Withdrawal/E&amp;T</t>
        </is>
      </c>
      <c r="C91" t="inlineStr">
        <is>
          <t>Comprehensive Healthcare</t>
        </is>
      </c>
      <c r="D91" t="inlineStr">
        <is>
          <t>indeed</t>
        </is>
      </c>
      <c r="E91">
        <f>HYPERLINK("https://www.indeed.com/viewjob?jk=869c4068d8f5e601", "https://www.indeed.com/viewjob?jk=869c4068d8f5e601")</f>
        <v/>
      </c>
      <c r="F91">
        <f>HYPERLINK("https://www.paycomonline.net/v4/ats/web.php/jobs/ViewJobDetails?job=457357&amp;clientkey=19D9D2EBCE0A34CBC7B47FD6059715AF&amp;source=Indeed", "https://www.paycomonline.net/v4/ats/web.php/jobs/ViewJobDetails?job=457357&amp;clientkey=19D9D2EBCE0A34CBC7B47FD6059715AF&amp;source=Indeed")</f>
        <v/>
      </c>
      <c r="G91" t="inlineStr">
        <is>
          <t>Yakima, WA, US</t>
        </is>
      </c>
      <c r="H91" s="3" t="n">
        <v>46050</v>
      </c>
      <c r="I91"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Secure Withdrawal Management and Evaluation and Treatment Facility.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2">
      <c r="A92" t="inlineStr">
        <is>
          <t>in-6888a40e99f2734d</t>
        </is>
      </c>
      <c r="B92" t="inlineStr">
        <is>
          <t>Program Manager Triage &amp; Crisis Relief Center</t>
        </is>
      </c>
      <c r="C92" t="inlineStr">
        <is>
          <t>Comprehensive Healthcare</t>
        </is>
      </c>
      <c r="D92" t="inlineStr">
        <is>
          <t>indeed</t>
        </is>
      </c>
      <c r="E92">
        <f>HYPERLINK("https://www.indeed.com/viewjob?jk=6888a40e99f2734d", "https://www.indeed.com/viewjob?jk=6888a40e99f2734d")</f>
        <v/>
      </c>
      <c r="F92">
        <f>HYPERLINK("https://www.paycomonline.net/v4/ats/web.php/jobs/ViewJobDetails?job=457410&amp;clientkey=19D9D2EBCE0A34CBC7B47FD6059715AF&amp;source=Indeed", "https://www.paycomonline.net/v4/ats/web.php/jobs/ViewJobDetails?job=457410&amp;clientkey=19D9D2EBCE0A34CBC7B47FD6059715AF&amp;source=Indeed")</f>
        <v/>
      </c>
      <c r="G92" t="inlineStr">
        <is>
          <t>Yakima, WA, US</t>
        </is>
      </c>
      <c r="H92" s="3" t="n">
        <v>46050</v>
      </c>
      <c r="I92"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Crisis Relief Center and connected Triage Activites.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**Crisis Evaluation/Intervention:*** Utilizes appropriate crisis intervention techniques for client stabilization.
* Accurately screens for risk to self, others, property and the presence of grave disability and makes appropriate referrals.
* Documents and reports and/or notifies as required by law.
* Applies QPRT (Question, Persuade, Refer or Treat) principles in assessing risk and in safety and treatment planning.
* Develops and documents appropriate safety plans.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3">
      <c r="A93" t="inlineStr">
        <is>
          <t>in-446694cf5df32148</t>
        </is>
      </c>
      <c r="B93" t="inlineStr">
        <is>
          <t>Program Manager Co Occurring Residential</t>
        </is>
      </c>
      <c r="C93" t="inlineStr">
        <is>
          <t>Comprehensive Healthcare</t>
        </is>
      </c>
      <c r="D93" t="inlineStr">
        <is>
          <t>indeed</t>
        </is>
      </c>
      <c r="E93">
        <f>HYPERLINK("https://www.indeed.com/viewjob?jk=446694cf5df32148", "https://www.indeed.com/viewjob?jk=446694cf5df32148")</f>
        <v/>
      </c>
      <c r="F93">
        <f>HYPERLINK("https://www.paycomonline.net/v4/ats/web.php/jobs/ViewJobDetails?job=457490&amp;clientkey=19D9D2EBCE0A34CBC7B47FD6059715AF&amp;source=Indeed", "https://www.paycomonline.net/v4/ats/web.php/jobs/ViewJobDetails?job=457490&amp;clientkey=19D9D2EBCE0A34CBC7B47FD6059715AF&amp;source=Indeed")</f>
        <v/>
      </c>
      <c r="G93" t="inlineStr">
        <is>
          <t>Kennewick, WA, US</t>
        </is>
      </c>
      <c r="H93" s="3" t="n">
        <v>46050</v>
      </c>
      <c r="I93"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Co\-Occurring Residential Facility.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Substance Use Disorder Professional Certification with a Bachelor’s degree in a related field, and previous leadership experience, can be considered in lieu of a Master’s Degree.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4">
      <c r="A94" t="inlineStr">
        <is>
          <t>in-bb59cfe795eede4c</t>
        </is>
      </c>
      <c r="B94" t="inlineStr">
        <is>
          <t>Program Manager Crisis Stabilization</t>
        </is>
      </c>
      <c r="C94" t="inlineStr">
        <is>
          <t>Comprehensive Healthcare</t>
        </is>
      </c>
      <c r="D94" t="inlineStr">
        <is>
          <t>indeed</t>
        </is>
      </c>
      <c r="E94">
        <f>HYPERLINK("https://www.indeed.com/viewjob?jk=bb59cfe795eede4c", "https://www.indeed.com/viewjob?jk=bb59cfe795eede4c")</f>
        <v/>
      </c>
      <c r="F94">
        <f>HYPERLINK("https://www.paycomonline.net/v4/ats/web.php/jobs/ViewJobDetails?job=457446&amp;clientkey=19D9D2EBCE0A34CBC7B47FD6059715AF&amp;source=Indeed", "https://www.paycomonline.net/v4/ats/web.php/jobs/ViewJobDetails?job=457446&amp;clientkey=19D9D2EBCE0A34CBC7B47FD6059715AF&amp;source=Indeed")</f>
        <v/>
      </c>
      <c r="G94" t="inlineStr">
        <is>
          <t>Yakima, WA, US</t>
        </is>
      </c>
      <c r="H94" s="3" t="n">
        <v>46050</v>
      </c>
      <c r="I94"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Crisis Stabilization Unit.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**Crisis Evaluation/Intervention:*** Utilizes appropriate crisis intervention techniques for client stabilization.
* Accurately screens for risk to self, others, property and the presence of grave disability and makes appropriate referrals.
* Documents and reports and/or notifies as required by law.
* Applies QPRT (Question, Persuade, Refer or Treat) principles in assessing risk and in safety and treatment planning.
* Develops and documents appropriate safety plans.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5">
      <c r="A95" t="inlineStr">
        <is>
          <t>in-661a617e9b831e19</t>
        </is>
      </c>
      <c r="B95" t="inlineStr">
        <is>
          <t>Program Manager Secure Withdrawal/E&amp;T</t>
        </is>
      </c>
      <c r="C95" t="inlineStr">
        <is>
          <t>Comprehensive Healthcare</t>
        </is>
      </c>
      <c r="D95" t="inlineStr">
        <is>
          <t>indeed</t>
        </is>
      </c>
      <c r="E95">
        <f>HYPERLINK("https://www.indeed.com/viewjob?jk=661a617e9b831e19", "https://www.indeed.com/viewjob?jk=661a617e9b831e19")</f>
        <v/>
      </c>
      <c r="F95">
        <f>HYPERLINK("https://www.paycomonline.net/v4/ats/web.php/jobs/ViewJobDetails?job=457357&amp;clientkey=19D9D2EBCE0A34CBC7B47FD6059715AF&amp;source=Indeed", "https://www.paycomonline.net/v4/ats/web.php/jobs/ViewJobDetails?job=457357&amp;clientkey=19D9D2EBCE0A34CBC7B47FD6059715AF&amp;source=Indeed")</f>
        <v/>
      </c>
      <c r="G95" t="inlineStr">
        <is>
          <t>Kennewick, WA, US</t>
        </is>
      </c>
      <c r="H95" s="3" t="n">
        <v>46050</v>
      </c>
      <c r="I95"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Secure Withdrawal Management and Evaluation and Treatment Facility.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6">
      <c r="A96" t="inlineStr">
        <is>
          <t>in-6c0efafd0e43ae2b</t>
        </is>
      </c>
      <c r="B96" t="inlineStr">
        <is>
          <t>Program Manager Co Occurring Residential</t>
        </is>
      </c>
      <c r="C96" t="inlineStr">
        <is>
          <t>Comprehensive Healthcare</t>
        </is>
      </c>
      <c r="D96" t="inlineStr">
        <is>
          <t>indeed</t>
        </is>
      </c>
      <c r="E96">
        <f>HYPERLINK("https://www.indeed.com/viewjob?jk=6c0efafd0e43ae2b", "https://www.indeed.com/viewjob?jk=6c0efafd0e43ae2b")</f>
        <v/>
      </c>
      <c r="F96">
        <f>HYPERLINK("https://www.paycomonline.net/v4/ats/web.php/jobs/ViewJobDetails?job=457490&amp;clientkey=19D9D2EBCE0A34CBC7B47FD6059715AF&amp;source=Indeed", "https://www.paycomonline.net/v4/ats/web.php/jobs/ViewJobDetails?job=457490&amp;clientkey=19D9D2EBCE0A34CBC7B47FD6059715AF&amp;source=Indeed")</f>
        <v/>
      </c>
      <c r="G96" t="inlineStr">
        <is>
          <t>Yakima, WA, US</t>
        </is>
      </c>
      <c r="H96" s="3" t="n">
        <v>46050</v>
      </c>
      <c r="I96"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Co\-Occurring Residential Facility.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Substance Use Disorder Professional Certification with a Bachelor’s degree in a related field, and previous leadership experience, can be considered in lieu of a Master’s Degree.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7">
      <c r="A97" t="inlineStr">
        <is>
          <t>in-016ec49aa9a28da1</t>
        </is>
      </c>
      <c r="B97" t="inlineStr">
        <is>
          <t>Program Manager Triage &amp; Crisis Relief Center</t>
        </is>
      </c>
      <c r="C97" t="inlineStr">
        <is>
          <t>Comprehensive Healthcare</t>
        </is>
      </c>
      <c r="D97" t="inlineStr">
        <is>
          <t>indeed</t>
        </is>
      </c>
      <c r="E97">
        <f>HYPERLINK("https://www.indeed.com/viewjob?jk=016ec49aa9a28da1", "https://www.indeed.com/viewjob?jk=016ec49aa9a28da1")</f>
        <v/>
      </c>
      <c r="F97">
        <f>HYPERLINK("https://www.paycomonline.net/v4/ats/web.php/jobs/ViewJobDetails?job=457410&amp;clientkey=19D9D2EBCE0A34CBC7B47FD6059715AF&amp;source=Indeed", "https://www.paycomonline.net/v4/ats/web.php/jobs/ViewJobDetails?job=457410&amp;clientkey=19D9D2EBCE0A34CBC7B47FD6059715AF&amp;source=Indeed")</f>
        <v/>
      </c>
      <c r="G97" t="inlineStr">
        <is>
          <t>Kennewick, WA, US</t>
        </is>
      </c>
      <c r="H97" s="3" t="n">
        <v>46050</v>
      </c>
      <c r="I97"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This role oversees the daily operations of the Crisis Relief Center and connected Triage Activites. This is a 24/7 Facility and may require the Program Manager to provide after\-hours support and shift coverage. The Program Manager is responsible for hiring, training performance reviews, and ensuring adequate shift coverage for assigned staff, and monitoring for adherence approved workflows and agency policies. They are also responsible for ensuring compliance with Department of Health, Joint Commission and other regulatory body requirements. The Program Manager monitors the financial performance of the program, to include census, clients without coverage and insurance denials. Ensures monthly and quarterly reporting per agency and contract requirements is completed.
**Program Manager duties may include:****Employment Practices***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Participates in the development and implementation of clinical, and administrative policies and procedures. Maintains current knowledge of applicable WAC and RCW requirements to ensure ongoing compliance and alignment with regulatory changes.
**Crisis Evaluation/Intervention:*** Utilizes appropriate crisis intervention techniques for client stabilization.
* Accurately screens for risk to self, others, property and the presence of grave disability and makes appropriate referrals.
* Documents and reports and/or notifies as required by law.
* Applies QPRT (Question, Persuade, Refer or Treat) principles in assessing risk and in safety and treatment planning.
* Develops and documents appropriate safety plans.
* Ensures a skilled and sustainable workforce by providing staff with training, development, and support resources. Promotes engagement and morale to enhance retention and maintain the capacity to deliver high\-quality, effective services. Monitors workforce KPIs such as turnover, retention, training completion, and employee engagement scores.
**Clinical Supervision***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**Program Manager***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**Qualifications:*** Master’s degree in Social Work or related degree in Behavioral Health, Business Administration, Public Health, or a closely related field
* 1 year of experience required working in a behavioral health setting required.
* Previous leadership experience preferred.
* Experience collaborating across disciplines and programs to meet the needs of varied client populations is desired.
* Washington State Agency affiliated Counselor Registration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98">
      <c r="A98" t="inlineStr">
        <is>
          <t>in-9be04a64e89f8e08</t>
        </is>
      </c>
      <c r="B98" t="inlineStr">
        <is>
          <t>Naval Aviation Program Manager</t>
        </is>
      </c>
      <c r="C98" t="inlineStr">
        <is>
          <t>Booz Allen Hamilton</t>
        </is>
      </c>
      <c r="D98" t="inlineStr">
        <is>
          <t>indeed</t>
        </is>
      </c>
      <c r="E98">
        <f>HYPERLINK("https://www.indeed.com/viewjob?jk=9be04a64e89f8e08", "https://www.indeed.com/viewjob?jk=9be04a64e89f8e08")</f>
        <v/>
      </c>
      <c r="F98">
        <f>HYPERLINK("https://careers.boozallen.com/careers/JobDetail?jobId=120176", "https://careers.boozallen.com/careers/JobDetail?jobId=120176")</f>
        <v/>
      </c>
      <c r="G98" t="inlineStr">
        <is>
          <t>Lexington Park, MD, US</t>
        </is>
      </c>
      <c r="H98" s="3" t="n">
        <v>46050</v>
      </c>
      <c r="I98" t="inlineStr">
        <is>
          <t>Naval Aviation Program Manager**The Opportunity:**  
As an expert in defense missions, your unique background inspires you to think bigger, push further, and ask questions others don’t. We need your extensive industry knowledge and advisory skills to guide teams as they solve some of our clients’ most complex problems—and find solutions that keep our nation safe.
As a Naval Aviation Program Manager, you’ll bring your technical expertise to work alongside thought leaders in unmanned systems and autonomy on projects for Naval Aviation. You’ll use your skills and expertise as you develop and market solutions in support of Naval Aviation program offices and fleet users.
Join us. The world can’t wait.
**You Have:**
* 20\+ years of experience in military, government, or industry executive work with Naval Aviation
* Experience in NAVAIR Program Offices with leadership roles spanning all elements of operations
* Experience with unmanned aviation systems
* Knowledge of NAVAIR operating principles and operations
* Knowledge of innovative technical approaches for rapid client delivery
* Ability to lead people, interface with senior leadership, and drive new business in the market space
* Ability to apply technical innovation and unique acquisition approaches to solve challenging problems
* Top Secret clearance
* Bachelor’s degree in a Science field
 **Nice If You Have:**
* Experience with the Navy Collaborative Combat Aircraft (CCA) program
* Ability to drive market engagement and work capture and shape efforts to secure new work within the market
* Master’s degree in a Science field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$112,900\.00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9">
      <c r="A99" t="inlineStr">
        <is>
          <t>in-d2264b41c202d317</t>
        </is>
      </c>
      <c r="B99" t="inlineStr">
        <is>
          <t>AI Program Manager</t>
        </is>
      </c>
      <c r="C99" t="inlineStr">
        <is>
          <t>Booz Allen Hamilton</t>
        </is>
      </c>
      <c r="D99" t="inlineStr">
        <is>
          <t>indeed</t>
        </is>
      </c>
      <c r="E99">
        <f>HYPERLINK("https://www.indeed.com/viewjob?jk=d2264b41c202d317", "https://www.indeed.com/viewjob?jk=d2264b41c202d317")</f>
        <v/>
      </c>
      <c r="F99">
        <f>HYPERLINK("https://careers.boozallen.com/careers/JobDetail?jobId=120151", "https://careers.boozallen.com/careers/JobDetail?jobId=120151")</f>
        <v/>
      </c>
      <c r="G99" t="inlineStr">
        <is>
          <t>San Diego, CA, US</t>
        </is>
      </c>
      <c r="H99" s="3" t="n">
        <v>46050</v>
      </c>
      <c r="I99" t="inlineStr">
        <is>
          <t>AI Program Manager**Key Role:**
Designs, implements, and maintains strategic, multi\-disciplinary artificial intelligence (AI) programs in support of client strategy. Applies specific functional, working, and general industry knowledge. Develops or contributes to solutions to a variety of problems of moderate scope and complexity. Works independently with some guidance. May review or guide the activities of more junior employees.
**Basic Qualifications:**
* 3\+ years of experience with supporting, planning, scheduling, coordinating, or delivering AI, Data Science, or Machine Learning projects
* Experience with Agile methodologies or software project management tools, including ServiceNow, Jira, or Confluence
* Experience with stakeholder engagement and interacting with senior executives or Flag Officers
* Ability to work independently with minimal direction, and help lead a team
* Ability to anticipate, mitigate, and resolve risks and conflicts across workstreams
* Ability to obtain a Secret clearance
* Bachelor's degree
**Additional Qualifications:**
* Experience with the development and writing of Performance Work Statements (PWS) or Statements of Work (SOW)
* Knowledge of project and program management practices in a DoD setting
* Secret clearance
* Master's degree
* SAFe Program Consultant Certification
* Project Management Professional (PMP)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0">
      <c r="A100" t="inlineStr">
        <is>
          <t>in-c1288e8f1caf30b1</t>
        </is>
      </c>
      <c r="B100" t="inlineStr">
        <is>
          <t>Program Manager</t>
        </is>
      </c>
      <c r="C100" t="inlineStr">
        <is>
          <t>Booz Allen Hamilton</t>
        </is>
      </c>
      <c r="D100" t="inlineStr">
        <is>
          <t>indeed</t>
        </is>
      </c>
      <c r="E100">
        <f>HYPERLINK("https://www.indeed.com/viewjob?jk=c1288e8f1caf30b1", "https://www.indeed.com/viewjob?jk=c1288e8f1caf30b1")</f>
        <v/>
      </c>
      <c r="F100">
        <f>HYPERLINK("https://careers.boozallen.com/careers/JobDetail?jobId=120036", "https://careers.boozallen.com/careers/JobDetail?jobId=120036")</f>
        <v/>
      </c>
      <c r="G100" t="inlineStr">
        <is>
          <t>Huntsville, AL, US</t>
        </is>
      </c>
      <c r="H100" s="3" t="n">
        <v>46050</v>
      </c>
      <c r="I100" t="inlineStr">
        <is>
          <t>Program Manager**The Opportunity:**
As a program management specialist, you know the complexities of supporting a project from concept to completion. Many programs require a significant investment of limited resources, and it’s imperative to keep the project on a productive path. That’s why we need an experienced program management specialist like you who can help ensure success through careful analysis and effective communication.
On our team, you’ll implement and maintain organizational programs in support of law enforcement. You’ll work with key stakeholders to review contracts and project cost accounting. You’ll help with tactical planning and regular interactions with the client and development teams.
The real impact of project management comes from communication to ensure the program achieves its goals and meets our quality standards. At Booz Allen, we recognize that we must continuously grow as a team to bring the best support to our clients, so here you’ll have all the resources to succeed. This is a chance to influence a meaningful mission while learning how to develop and maintain program strategy.
Work with us and ensure law enforcement accomplishes its technical milestones within budget as we improve workplace and public safety through technical solutions.
Join us. The world can’t wait.
**You Have:**
* Experience managing large technical contracts of 100\+ FTE, including timely performance, compliance, accuracy, and completeness across multiple workstreams and project teams
* Experience executing Agile methodologies, including SAFe
* Experience in a flexible environment, interacting with IT executives, business product owners, developers, and functional managers
* Experience using Atlassian and Microsoft Office products to manage projects and staff
* Ability to identify risks proactively, recommend mitigating actions, and drive them to resolution
* Ability to manage multiple projects, including planning and organization, decision making, problem solving, work delegation, and employee development
* Top Secret clearance
* Bachelor’s degree and 10\+ years of experience performing in program and project management roles, or 14\+ years of experience performing in program and project management roles in lieu of degree
* SAFe Certification
**Nice If You Have:**
* Experience managing vendors, including subcontractor management
* Experience supporting large innovation and integration platforms
* Knowledge of Cloud technologies and infrastructure
* Master’s degree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101">
      <c r="A101" t="inlineStr">
        <is>
          <t>in-078104ae4568cb8a</t>
        </is>
      </c>
      <c r="B101" t="inlineStr">
        <is>
          <t>Principal Engineer/Program Manager</t>
        </is>
      </c>
      <c r="C101" t="inlineStr">
        <is>
          <t>Strategic Resources Inc</t>
        </is>
      </c>
      <c r="D101" t="inlineStr">
        <is>
          <t>indeed</t>
        </is>
      </c>
      <c r="E101">
        <f>HYPERLINK("https://www.indeed.com/viewjob?jk=078104ae4568cb8a", "https://www.indeed.com/viewjob?jk=078104ae4568cb8a")</f>
        <v/>
      </c>
      <c r="F101">
        <f>HYPERLINK("https://workforcenow.adp.com/mascsr/default/mdf/recruitment/recruitment.html?cid=6cf0ae78-e3da-423d-b8c6-3526ff72a5a3&amp;ccId=19000101_000001&amp;jobId=564625&amp;source=IN&amp;lang=en_US", "https://workforcenow.adp.com/mascsr/default/mdf/recruitment/recruitment.html?cid=6cf0ae78-e3da-423d-b8c6-3526ff72a5a3&amp;ccId=19000101_000001&amp;jobId=564625&amp;source=IN&amp;lang=en_US")</f>
        <v/>
      </c>
      <c r="G101" t="inlineStr">
        <is>
          <t>Washington, DC, US</t>
        </is>
      </c>
      <c r="H101" s="3" t="n">
        <v>46050</v>
      </c>
      <c r="I101" t="inlineStr">
        <is>
          <t>Principle Engineer and Program Manager
Strategic Resources, Inc. (SRI) is an international, ISO 9001/20000/27001 Certified, CMMI Level 3 Rated full\-service provider with more than 37 years’ experience in the Federal, Military, and Commercial Marketplaces. SRI is seeking committed and passionate professionals to provide critical services to Veterans.
Overview: The Naval District Washington (NDW)/Naval Support Activity Washington (NSAW) Admiral Gooding Center (AGC) is a prestige level facility on the historic Washington Navy Yard (WNY) and operates as a conference center for the United States Navy. The AGC is an ideal collaborative venue providing exemplary professional event support services and state\-of\-the\-art technology. It is designed to enhance events with innovative technologies and has multiple facilities to accommodate events of varying sizes and purposes. It is an environment where clients can focus on thinking creatively, designing innovative solutions, making decisions, and multiplying the force readiness factor for the United States Navy.  
Tasks \&amp; Responsibilities:
* The Principal Engineer shall also function as the Project Manager (PM) and shall act with full authority on behalf of the Contractor on all contract matters relating to daily operation of services being provided under this contract. The PM shall perform other Performance Work Statement (PWS) duties and tasks in addition to his/her management duties and responsibilities.
* Expertise providing support for events and activities requiring technical support for IT, AV, telecommunications, video conferencing, network administration, facility services, design, logistics, administration, security, and cybersecurity.
* Experienced and capable to plan and manage information technical projects and operations; workforce management; and oversight and management of contract performance and deliverables.
* Ongoing tasks will include maintaining, repairing, and upgrading/refreshing IT/AV systems and diagnosing and fixing problems or potential problems with the network and its hardware, software, and systems.
* Risk Management Framework (RMF) processes for attaining/maintaining an Authority to Operate (ATO) accreditation for compliance and in accordance with Department of Navy (DoN),Department of War (DoW),and federal policies.
* Coordinating with the COR for all configuration changes to the AV network, all systems, including Windows systems, Cisco switches and other network devices operating in the environment as required.
* Be familiar with Navy programs, codes and activities and have knowledge of military ranks and protocols. It is imperative for this person to have interpersonal skills required for interacting with clientele of all military ranks.
Required Skills, Education, Experience \&amp; Abilities:
* U.S. citizenship required.
* Must have an active SECRET clearance.
* Advanced degree in relevant field and 8\+ years of relevant experience or bachelor’s degree in relevant field and 15\+ years relevant experience.
* Preferably, have a minimum of 10 years of military experience.
* Ability to meet and correspond regularly with a Government counterpart.
* Experience conducting Quality Control checks/ensuring training requirements are met.
* Ability to exercise a great deal of independent judgment.
* Superb verbal and written communication skills.
*This job description is intended to outline the general nature and level of work being performed. It is not intended to be a comprehensive list of all responsibilities,* *duties* *and skills required of the position. Additional tasks may be assigned as needed.*</t>
        </is>
      </c>
    </row>
    <row r="102">
      <c r="A102" t="inlineStr">
        <is>
          <t>in-8ceacb573cdf04dd</t>
        </is>
      </c>
      <c r="B102" t="inlineStr">
        <is>
          <t>Senior Staff Product Manager, AI and Omnichannel Marketing Intelligence (Mailchimp)</t>
        </is>
      </c>
      <c r="C102" t="inlineStr">
        <is>
          <t>Intuit</t>
        </is>
      </c>
      <c r="D102" t="inlineStr">
        <is>
          <t>indeed</t>
        </is>
      </c>
      <c r="E102">
        <f>HYPERLINK("https://www.indeed.com/viewjob?jk=8ceacb573cdf04dd", "https://www.indeed.com/viewjob?jk=8ceacb573cdf04dd")</f>
        <v/>
      </c>
      <c r="F102">
        <f>HYPERLINK("https://dsp.prng.co/vmDa5Cb", "https://dsp.prng.co/vmDa5Cb")</f>
        <v/>
      </c>
      <c r="G102" t="inlineStr">
        <is>
          <t>Mountain View, CA, US</t>
        </is>
      </c>
      <c r="H102" s="3" t="n">
        <v>46050</v>
      </c>
      <c r="I102" t="inlineStr">
        <is>
          <t>**Overview**
------------
About Intuit and Mailchimp
Intuit’s mission is to power prosperity around the world by helping small and medium sized businesses succeed. Millions of entrepreneurs globally rely on Intuit products to manage their business finances, find customers and grow with confidence. One of the most persistent challenges small businesses face is getting and growing customers. Research from the US Small Business Administration and Salesforce shows that customer acquisition and retention remain the top challenges for over 60 percent of small businesses. Nearly half report that while they have access to data they struggle to translate it into clear decisions or actions due to lack of time, tools or expertise. Our team exists to solve this problem. Our mission is to help small and medium sized businesses get and grow customers through smarter marketing powered by data automation and AI. As Mailchimp expands beyond owned channels like email, SMS and WhatsApp into true omnichannel marketing and intelligence the opportunity to simplify complexity and deliver actionable insights at scale has never been greater.  
To help lead this next chapter we are looking for a Senior Staff Product Manager to drive AI powered marketing intelligence across Mailchimp and its ecosystem.
Role Overview \&amp; Expectation* This role is for a senior product person who thrives in ambiguity and is motivated by solving complex customer problems at scale.
* You bring deep customer empathy strong business judgment and a passion for pushing the boundaries of what AI enabled products can do.
* You are equally comfortable shaping long term strategy and rolling up your sleeves to drive execution. You take pride in clear thinking and clear communication and are highly effective at influencing senior leaders through both written and verbal storytelling.
* You also take extreme ownership and are willing to work across organizational and company boundaries to deliver cohesive end to end customer experiences.
 **Responsibilities**
Key Responsibilities* AI Driven Ecosystem Intelligence and Activation: Mailchimp works closely with best in class partners such as Shopify, Wix, Canva and others that power how small businesses operate.You will lead the strategy and execution for an AI driven ecosystem approach where Mailchimp acts as the intelligence layer across these platforms. This includes defining how Mailchimp ingests signals from third party systems through modern AI and MCP style integrations and translates them into clear actionable insights inside Mailchimp. You will take end to end ownership for working with partner teams and external vendors to stitch these capabilities into a seamless customer experience. Your goal is to make Mailchimp feel like the single place where customers understand how their entire business is performing and can take the next best actions either within Mailchimp or directly back into partner platforms.
* Next Generation AI Powered Reporting and Insights: Our customers rely on reporting to understand campaign performance and decide what to do next. Much of this experience today is still static and requires significant manual interpretation. You will own the transformation of reporting into a dynamic AI powered experience. This includes intelligent summarization anomaly and trend detection explanations of why performance changed and clear recommendations for next actions.You will also define interactive and collaborative capabilities such as natural language exploration annotations and deep dives that help customers quickly get to insight with confidence. Success in this area means materially reducing time to insight while increasing trust and adoption.
* Omnichannel Marketing Intelligence and Orchestration: As Mailchimp expands into omnichannel marketing across owned and paid channels such as Meta Google TikTok and others you will lead the product vision for unified marketing intelligence and activation. This includes defining how data from multiple platforms comes together into a holistic view of acquisition growth and lifetime value and how customers can act on that intelligence across channels. You will take ownership of the technical and experience orchestration required to enable customers to activate Mailchimp recommended strategies directly into ad platforms and partner systems. This work requires deep cross functional leadership and close collaboration with platform engineering data science partner teams and third party vendors.
 **Qualifications**
What You Bring* A strong product mindset grounded in customer empathy and business outcomes
* Deep curiosity about marketing data customer behavior and AI driven experiences
* Proven ability to write clear executive level narratives including six page strategy documents and leadership ready presentations
* Confidence presenting complex ideas to senior leadership both in writing and verbally
* A strong sense of ownership and accountability especially when working across teams partners and external vendors
* Experience leading complex cross functional initiatives that span product design engineering data and partnerships
* Comfort operating at the intersection of AI data platforms and user experience
* Strategic thinking paired with a bias toward execution and learning
Qualifications* Bachelor’s or Master’s degree in Computer Science Engineering or a related technical field
* 6 to 8 years of experience in product management building data driven or platform oriented products
* Strong technical foundation with the ability to work closely with engineering data science and platform teams
* Experience owning products that involve complex data pipelines integrations or ecosystem partnerships
* Demonstrated ability to translate customer and business problems into clear product strategy and execution plans
* Proven track record of leading cross functional teams and delivering high impact products from concept to launch
* Strong written and verbal communication skills including experience authoring executive level documents and presenting to senior leadership
* Comfort operating in ambiguous problem spaces and taking end to end ownership of outcomes
* Familiarity with AI powered products analytics reporting or business intelligence is strongly preferred
* Experience working with third party platforms APIs or partner ecosystems is a plus
* Passion for helping small and medium sized businesses succeed and curiosity about marketing technology and customer behavior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 \- 266,000
New York City, New York: $195,000 \- 264,000</t>
        </is>
      </c>
    </row>
    <row r="103">
      <c r="A103" t="inlineStr">
        <is>
          <t>in-561bb4ae90c21eff</t>
        </is>
      </c>
      <c r="B103" t="inlineStr">
        <is>
          <t>Staff Product Manager - TurboTax Agentic AI</t>
        </is>
      </c>
      <c r="C103" t="inlineStr">
        <is>
          <t>Intuit</t>
        </is>
      </c>
      <c r="D103" t="inlineStr">
        <is>
          <t>indeed</t>
        </is>
      </c>
      <c r="E103">
        <f>HYPERLINK("https://www.indeed.com/viewjob?jk=561bb4ae90c21eff", "https://www.indeed.com/viewjob?jk=561bb4ae90c21eff")</f>
        <v/>
      </c>
      <c r="F103">
        <f>HYPERLINK("https://dsp.prng.co/PbI2itb", "https://dsp.prng.co/PbI2itb")</f>
        <v/>
      </c>
      <c r="G103" t="inlineStr">
        <is>
          <t>San Francisco, CA, US</t>
        </is>
      </c>
      <c r="H103" s="3" t="n">
        <v>46050</v>
      </c>
      <c r="I103" t="inlineStr">
        <is>
          <t>**Overview**
------------
Intuit TurboTax is building the future of Agentic tax preparation, leveraging LLMs, reasoning models, and computer\-using agents. We're looking for a seasoned Product Manager to drive the strategy for this initiative. This involves designing and delivering robust AI agents capable of complex reasoning and task execution at massive scale, leveraging Intuit's unique data assets and tax knowledge. You will define how these agents perform their tasks, how they collaborate with customers, and how we build trust and ensure accuracy with non\-deterministic technology. This role offers a unique opportunity to disrupt an industry impacting millions of Americans with cutting\-edge technologies.
 **Responsibilities**
Responsibilities
Define, own, and articulate a compelling vision, strategy, and multi\-year roadmap for agentic AI capabilities within TurboTax, translating complex user needs and business opportunities into measurable outcomes.
Lead the ideation, technical development, and launch of innovative agentic AI features and experiences, partnering deeply with AI/ML engineers, data scientists, designers, and tax experts to deliver high\-accuracy, trustworthy, and confidence\-building solutions.
Drive product definition and requirements for underlying AI models, agent orchestration logic, and human\-in\-the\-loop processes, balancing user experience with the high bar for accuracy required in tax.
Design and execute data\-driven experiments (including A/B testing and user studies) specifically to validate hypotheses related to agentic AI effectiveness, user trust, and impact on filer confidence and accuracy.
Build strong partnerships and influence roadmaps across senior leaders and teams to ensure cohesive strategy and execution for agentic AI initiatives.
 **Qualifications**
Qualifications
5\+ years designing and delivering world\-class software products focused on platform, data\-intensive systems, or AI/ML\-powered experiences.
Deep understanding and signiﬁcant hands\-on experience deﬁning strategy for and shipping products leveraging Generative AI, complex Machine Learning models, Conversational AI or Agentic AI systems, to solve challenging user problems at scale.
Passion for tackling complex consumer problems, ideally within ﬁntech, personal ﬁnance, tax, or related domains where user trust, accuracy, and data privacy are paramount.
Strong technical intuition; comfortable engaging deeply with engineering and data science on system architecture, model capabilities, APIs, and technical trade\-offs. Ability to translate complex AI concepts into clear product
Bachelor’s degree required with a focus in Computer Science, Engineering, Data Science, Statistics, Economics, Business Administration, or related quantitative/technical ﬁeld. An MBA or an equivalent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104">
      <c r="A104" t="inlineStr">
        <is>
          <t>in-5c60c7fd58d4f378</t>
        </is>
      </c>
      <c r="B104" t="inlineStr">
        <is>
          <t>Staff Product Manager, Mailchimp Homepage</t>
        </is>
      </c>
      <c r="C104" t="inlineStr">
        <is>
          <t>Intuit</t>
        </is>
      </c>
      <c r="D104" t="inlineStr">
        <is>
          <t>indeed</t>
        </is>
      </c>
      <c r="E104">
        <f>HYPERLINK("https://www.indeed.com/viewjob?jk=5c60c7fd58d4f378", "https://www.indeed.com/viewjob?jk=5c60c7fd58d4f378")</f>
        <v/>
      </c>
      <c r="F104">
        <f>HYPERLINK("https://dsp.prng.co/Gn_nc-b", "https://dsp.prng.co/Gn_nc-b")</f>
        <v/>
      </c>
      <c r="G104" t="inlineStr">
        <is>
          <t>Atlanta, GA, US</t>
        </is>
      </c>
      <c r="H104" s="3" t="n">
        <v>46050</v>
      </c>
      <c r="I104" t="inlineStr">
        <is>
          <t>**Overview**
------------
As a Staff Product Manager for Mailchimp’s Homepage, you will be responsible for shaping the strategy and execution of Mailchimp’s first impression \- the Homepage. This role requires a blend of strategic vision, technical expertise, and product management acumen to ensure the Homepage effectively engages both first\-time users (FTU) and tenured users. This position offers a unique opportunity to drive key metrics for user engagement, conversion, and retention.
 **Responsibilities**
#### **Key Responsibilities**
* Product Strategy: Develop and drive the product strategy for Mailchimp’s Homepage to align with overall business goals and user needs.
* User Experience: Enhance the user experience of the Homepage for both FTU and tenured users. Identify and address pain points through user feedback and data analysis.
* Cross\-functional Collaboration: Work closely with engineering, design, analytics, and marketing teams to deliver compelling product features and improvements.
* KPIs and Metrics: Define, monitor, and meet key performance indicators (KPIs) pertaining to user engagement, conversion rates, and overall Homepage performance.
* Product Roadmap: Create and maintain a detailed product roadmap that prioritizes features and enhancements.
* Market Research: Conduct market and user research to stay abreast of trends and competitor strategies. Use insights to inform product decisions.
* Experimentation: Lead A/B testing and other experimentation initiatives to optimize user journeys and interface elements. Analyze results to make data\-driven decisions.
* Communication: Clearly articulate product decisions and how they enhance user experiences with stakeholders and leadership. Provide regular updates on progress and efficacy of product initiatives.
#### **Success Metrics**
* Increase the conversion rate of first\-time visitors who become active users.
* Enhance the engagement metrics of tenured users through continuous improvements and new feature additions.
* Achieve targeted milestones in the user onboarding journey and account setup completion rates.
* Successfully run and analyze A/B tests and other experiments to improve user interaction and retention on the Homepage.
 **Qualifications**
* Educational Background: Bachelor’s degree in Computer Science, Engineering, Business, or a related field. An MBA or advanced degree is a plus.
* Experience: 5\+ years of product management experience. Plus for experience managing Homepage or common experiences.
* Leadership: Strong leadership skills with an ability to drive cross\-functional teams towards achieving common goals.
* Analytical Skills: Demonstrated experience in data\-driven decision making. Proficiency in analytics tools and methodologies (Amplitude, Optimizely, SQL a plus)
* User\-Centric: Passion for understanding user needs and championing an exceptional user experience.
* Communication: Excellent verbal and written communication skills.
* Adaptability: Ability to thrive in a fast\-paced, dynamic environment with a commitment to continuous improvement.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 \- 244,000
New York City, New York: $177,500 \- 240,500</t>
        </is>
      </c>
    </row>
    <row r="105">
      <c r="A105" t="inlineStr">
        <is>
          <t>in-068b419f346a1340</t>
        </is>
      </c>
      <c r="B105" t="inlineStr">
        <is>
          <t>Staff Product Manager, Mailchimp Homepage</t>
        </is>
      </c>
      <c r="C105" t="inlineStr">
        <is>
          <t>Intuit</t>
        </is>
      </c>
      <c r="D105" t="inlineStr">
        <is>
          <t>indeed</t>
        </is>
      </c>
      <c r="E105">
        <f>HYPERLINK("https://www.indeed.com/viewjob?jk=068b419f346a1340", "https://www.indeed.com/viewjob?jk=068b419f346a1340")</f>
        <v/>
      </c>
      <c r="F105">
        <f>HYPERLINK("https://dsp.prng.co/cLSBv-b", "https://dsp.prng.co/cLSBv-b")</f>
        <v/>
      </c>
      <c r="G105" t="inlineStr">
        <is>
          <t>Mountain View, CA, US</t>
        </is>
      </c>
      <c r="H105" s="3" t="n">
        <v>46050</v>
      </c>
      <c r="I105" t="inlineStr">
        <is>
          <t>**Overview**
------------
As a Staff Product Manager for Mailchimp’s Homepage, you will be responsible for shaping the strategy and execution of Mailchimp’s first impression \- the Homepage. This role requires a blend of strategic vision, technical expertise, and product management acumen to ensure the Homepage effectively engages both first\-time users (FTU) and tenured users. This position offers a unique opportunity to drive key metrics for user engagement, conversion, and retention.
 **Responsibilities**
#### **Key Responsibilities**
* Product Strategy: Develop and drive the product strategy for Mailchimp’s Homepage to align with overall business goals and user needs.
* User Experience: Enhance the user experience of the Homepage for both FTU and tenured users. Identify and address pain points through user feedback and data analysis.
* Cross\-functional Collaboration: Work closely with engineering, design, analytics, and marketing teams to deliver compelling product features and improvements.
* KPIs and Metrics: Define, monitor, and meet key performance indicators (KPIs) pertaining to user engagement, conversion rates, and overall Homepage performance.
* Product Roadmap: Create and maintain a detailed product roadmap that prioritizes features and enhancements.
* Market Research: Conduct market and user research to stay abreast of trends and competitor strategies. Use insights to inform product decisions.
* Experimentation: Lead A/B testing and other experimentation initiatives to optimize user journeys and interface elements. Analyze results to make data\-driven decisions.
* Communication: Clearly articulate product decisions and how they enhance user experiences with stakeholders and leadership. Provide regular updates on progress and efficacy of product initiatives.
#### **Success Metrics**
* Increase the conversion rate of first\-time visitors who become active users.
* Enhance the engagement metrics of tenured users through continuous improvements and new feature additions.
* Achieve targeted milestones in the user onboarding journey and account setup completion rates.
* Successfully run and analyze A/B tests and other experiments to improve user interaction and retention on the Homepage.
 **Qualifications**
* Educational Background: Bachelor’s degree in Computer Science, Engineering, Business, or a related field. An MBA or advanced degree is a plus.
* Experience: 5\+ years of product management experience. Plus for experience managing Homepage or common experiences.
* Leadership: Strong leadership skills with an ability to drive cross\-functional teams towards achieving common goals.
* Analytical Skills: Demonstrated experience in data\-driven decision making. Proficiency in analytics tools and methodologies (Amplitude, Optimizely, SQL a plus)
* User\-Centric: Passion for understanding user needs and championing an exceptional user experience.
* Communication: Excellent verbal and written communication skills.
* Adaptability: Ability to thrive in a fast\-paced, dynamic environment with a commitment to continuous improvement.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 \- 244,000
New York City, New York: $177,500 \- 240,500</t>
        </is>
      </c>
    </row>
    <row r="106">
      <c r="A106" t="inlineStr">
        <is>
          <t>in-d91499529c9fd6f0</t>
        </is>
      </c>
      <c r="B106" t="inlineStr">
        <is>
          <t>Senior Staff Product Manager, AI and Omnichannel Marketing Intelligence (Mailchimp)</t>
        </is>
      </c>
      <c r="C106" t="inlineStr">
        <is>
          <t>Intuit</t>
        </is>
      </c>
      <c r="D106" t="inlineStr">
        <is>
          <t>indeed</t>
        </is>
      </c>
      <c r="E106">
        <f>HYPERLINK("https://www.indeed.com/viewjob?jk=d91499529c9fd6f0", "https://www.indeed.com/viewjob?jk=d91499529c9fd6f0")</f>
        <v/>
      </c>
      <c r="F106">
        <f>HYPERLINK("https://dsp.prng.co/yeHl-Sb", "https://dsp.prng.co/yeHl-Sb")</f>
        <v/>
      </c>
      <c r="G106" t="inlineStr">
        <is>
          <t>New York, NY, US</t>
        </is>
      </c>
      <c r="H106" s="3" t="n">
        <v>46050</v>
      </c>
      <c r="I106" t="inlineStr">
        <is>
          <t>**Overview**
------------
About Intuit and Mailchimp
Intuit’s mission is to power prosperity around the world by helping small and medium sized businesses succeed. Millions of entrepreneurs globally rely on Intuit products to manage their business finances, find customers and grow with confidence. One of the most persistent challenges small businesses face is getting and growing customers. Research from the US Small Business Administration and Salesforce shows that customer acquisition and retention remain the top challenges for over 60 percent of small businesses. Nearly half report that while they have access to data they struggle to translate it into clear decisions or actions due to lack of time, tools or expertise. Our team exists to solve this problem. Our mission is to help small and medium sized businesses get and grow customers through smarter marketing powered by data automation and AI. As Mailchimp expands beyond owned channels like email, SMS and WhatsApp into true omnichannel marketing and intelligence the opportunity to simplify complexity and deliver actionable insights at scale has never been greater.  
To help lead this next chapter we are looking for a Senior Staff Product Manager to drive AI powered marketing intelligence across Mailchimp and its ecosystem.
Role Overview \&amp; Expectation* This role is for a senior product person who thrives in ambiguity and is motivated by solving complex customer problems at scale.
* You bring deep customer empathy strong business judgment and a passion for pushing the boundaries of what AI enabled products can do.
* You are equally comfortable shaping long term strategy and rolling up your sleeves to drive execution. You take pride in clear thinking and clear communication and are highly effective at influencing senior leaders through both written and verbal storytelling.
* You also take extreme ownership and are willing to work across organizational and company boundaries to deliver cohesive end to end customer experiences.
 **Responsibilities**
Key Responsibilities* AI Driven Ecosystem Intelligence and Activation: Mailchimp works closely with best in class partners such as Shopify, Wix, Canva and others that power how small businesses operate.You will lead the strategy and execution for an AI driven ecosystem approach where Mailchimp acts as the intelligence layer across these platforms. This includes defining how Mailchimp ingests signals from third party systems through modern AI and MCP style integrations and translates them into clear actionable insights inside Mailchimp. You will take end to end ownership for working with partner teams and external vendors to stitch these capabilities into a seamless customer experience. Your goal is to make Mailchimp feel like the single place where customers understand how their entire business is performing and can take the next best actions either within Mailchimp or directly back into partner platforms.
* Next Generation AI Powered Reporting and Insights: Our customers rely on reporting to understand campaign performance and decide what to do next. Much of this experience today is still static and requires significant manual interpretation. You will own the transformation of reporting into a dynamic AI powered experience. This includes intelligent summarization anomaly and trend detection explanations of why performance changed and clear recommendations for next actions.You will also define interactive and collaborative capabilities such as natural language exploration annotations and deep dives that help customers quickly get to insight with confidence. Success in this area means materially reducing time to insight while increasing trust and adoption.
* Omnichannel Marketing Intelligence and Orchestration: As Mailchimp expands into omnichannel marketing across owned and paid channels such as Meta Google TikTok and others you will lead the product vision for unified marketing intelligence and activation. This includes defining how data from multiple platforms comes together into a holistic view of acquisition growth and lifetime value and how customers can act on that intelligence across channels. You will take ownership of the technical and experience orchestration required to enable customers to activate Mailchimp recommended strategies directly into ad platforms and partner systems. This work requires deep cross functional leadership and close collaboration with platform engineering data science partner teams and third party vendors.
 **Qualifications**
What You Bring* A strong product mindset grounded in customer empathy and business outcomes
* Deep curiosity about marketing data customer behavior and AI driven experiences
* Proven ability to write clear executive level narratives including six page strategy documents and leadership ready presentations
* Confidence presenting complex ideas to senior leadership both in writing and verbally
* A strong sense of ownership and accountability especially when working across teams partners and external vendors
* Experience leading complex cross functional initiatives that span product design engineering data and partnerships
* Comfort operating at the intersection of AI data platforms and user experience
* Strategic thinking paired with a bias toward execution and learning
Qualifications* Bachelor’s or Master’s degree in Computer Science Engineering or a related technical field
* 6 to 8 years of experience in product management building data driven or platform oriented products
* Strong technical foundation with the ability to work closely with engineering data science and platform teams
* Experience owning products that involve complex data pipelines integrations or ecosystem partnerships
* Demonstrated ability to translate customer and business problems into clear product strategy and execution plans
* Proven track record of leading cross functional teams and delivering high impact products from concept to launch
* Strong written and verbal communication skills including experience authoring executive level documents and presenting to senior leadership
* Comfort operating in ambiguous problem spaces and taking end to end ownership of outcomes
* Familiarity with AI powered products analytics reporting or business intelligence is strongly preferred
* Experience working with third party platforms APIs or partner ecosystems is a plus
* Passion for helping small and medium sized businesses succeed and curiosity about marketing technology and customer behavior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 \- 266,000
New York City, New York: $195,000 \- 264,000</t>
        </is>
      </c>
    </row>
    <row r="107">
      <c r="A107" t="inlineStr">
        <is>
          <t>in-6ce021773cf31d76</t>
        </is>
      </c>
      <c r="B107" t="inlineStr">
        <is>
          <t>Staff Product Manager, Mailchimp Homepage</t>
        </is>
      </c>
      <c r="C107" t="inlineStr">
        <is>
          <t>Intuit</t>
        </is>
      </c>
      <c r="D107" t="inlineStr">
        <is>
          <t>indeed</t>
        </is>
      </c>
      <c r="E107">
        <f>HYPERLINK("https://www.indeed.com/viewjob?jk=6ce021773cf31d76", "https://www.indeed.com/viewjob?jk=6ce021773cf31d76")</f>
        <v/>
      </c>
      <c r="F107">
        <f>HYPERLINK("https://dsp.prng.co/e8Ys1mb", "https://dsp.prng.co/e8Ys1mb")</f>
        <v/>
      </c>
      <c r="G107" t="inlineStr">
        <is>
          <t>New York, NY, US</t>
        </is>
      </c>
      <c r="H107" s="3" t="n">
        <v>46050</v>
      </c>
      <c r="I107" t="inlineStr">
        <is>
          <t>**Overview**
------------
As a Staff Product Manager for Mailchimp’s Homepage, you will be responsible for shaping the strategy and execution of Mailchimp’s first impression \- the Homepage. This role requires a blend of strategic vision, technical expertise, and product management acumen to ensure the Homepage effectively engages both first\-time users (FTU) and tenured users. This position offers a unique opportunity to drive key metrics for user engagement, conversion, and retention.
 **Responsibilities**
#### **Key Responsibilities**
* Product Strategy: Develop and drive the product strategy for Mailchimp’s Homepage to align with overall business goals and user needs.
* User Experience: Enhance the user experience of the Homepage for both FTU and tenured users. Identify and address pain points through user feedback and data analysis.
* Cross\-functional Collaboration: Work closely with engineering, design, analytics, and marketing teams to deliver compelling product features and improvements.
* KPIs and Metrics: Define, monitor, and meet key performance indicators (KPIs) pertaining to user engagement, conversion rates, and overall Homepage performance.
* Product Roadmap: Create and maintain a detailed product roadmap that prioritizes features and enhancements.
* Market Research: Conduct market and user research to stay abreast of trends and competitor strategies. Use insights to inform product decisions.
* Experimentation: Lead A/B testing and other experimentation initiatives to optimize user journeys and interface elements. Analyze results to make data\-driven decisions.
* Communication: Clearly articulate product decisions and how they enhance user experiences with stakeholders and leadership. Provide regular updates on progress and efficacy of product initiatives.
#### **Success Metrics**
* Increase the conversion rate of first\-time visitors who become active users.
* Enhance the engagement metrics of tenured users through continuous improvements and new feature additions.
* Achieve targeted milestones in the user onboarding journey and account setup completion rates.
* Successfully run and analyze A/B tests and other experiments to improve user interaction and retention on the Homepage.
 **Qualifications**
* Educational Background: Bachelor’s degree in Computer Science, Engineering, Business, or a related field. An MBA or advanced degree is a plus.
* Experience: 5\+ years of product management experience. Plus for experience managing Homepage or common experiences.
* Leadership: Strong leadership skills with an ability to drive cross\-functional teams towards achieving common goals.
* Analytical Skills: Demonstrated experience in data\-driven decision making. Proficiency in analytics tools and methodologies (Amplitude, Optimizely, SQL a plus)
* User\-Centric: Passion for understanding user needs and championing an exceptional user experience.
* Communication: Excellent verbal and written communication skills.
* Adaptability: Ability to thrive in a fast\-paced, dynamic environment with a commitment to continuous improvement.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 \- 244,000
New York City, New York: $177,500 \- 240,500</t>
        </is>
      </c>
    </row>
    <row r="108">
      <c r="A108" t="inlineStr">
        <is>
          <t>in-4f355bff601ac9e4</t>
        </is>
      </c>
      <c r="B108" t="inlineStr">
        <is>
          <t>Senior Staff Product Manager, AI and Omnichannel Marketing Intelligence (Mailchimp)</t>
        </is>
      </c>
      <c r="C108" t="inlineStr">
        <is>
          <t>Intuit</t>
        </is>
      </c>
      <c r="D108" t="inlineStr">
        <is>
          <t>indeed</t>
        </is>
      </c>
      <c r="E108">
        <f>HYPERLINK("https://www.indeed.com/viewjob?jk=4f355bff601ac9e4", "https://www.indeed.com/viewjob?jk=4f355bff601ac9e4")</f>
        <v/>
      </c>
      <c r="F108">
        <f>HYPERLINK("https://dsp.prng.co/o2dBBrb", "https://dsp.prng.co/o2dBBrb")</f>
        <v/>
      </c>
      <c r="G108" t="inlineStr">
        <is>
          <t>Atlanta, GA, US</t>
        </is>
      </c>
      <c r="H108" s="3" t="n">
        <v>46050</v>
      </c>
      <c r="I108" t="inlineStr">
        <is>
          <t>**Overview**
------------
About Intuit and Mailchimp
Intuit’s mission is to power prosperity around the world by helping small and medium sized businesses succeed. Millions of entrepreneurs globally rely on Intuit products to manage their business finances, find customers and grow with confidence. One of the most persistent challenges small businesses face is getting and growing customers. Research from the US Small Business Administration and Salesforce shows that customer acquisition and retention remain the top challenges for over 60 percent of small businesses. Nearly half report that while they have access to data they struggle to translate it into clear decisions or actions due to lack of time, tools or expertise. Our team exists to solve this problem. Our mission is to help small and medium sized businesses get and grow customers through smarter marketing powered by data automation and AI. As Mailchimp expands beyond owned channels like email, SMS and WhatsApp into true omnichannel marketing and intelligence the opportunity to simplify complexity and deliver actionable insights at scale has never been greater.  
To help lead this next chapter we are looking for a Senior Staff Product Manager to drive AI powered marketing intelligence across Mailchimp and its ecosystem.
Role Overview \&amp; Expectation* This role is for a senior product person who thrives in ambiguity and is motivated by solving complex customer problems at scale.
* You bring deep customer empathy strong business judgment and a passion for pushing the boundaries of what AI enabled products can do.
* You are equally comfortable shaping long term strategy and rolling up your sleeves to drive execution. You take pride in clear thinking and clear communication and are highly effective at influencing senior leaders through both written and verbal storytelling.
* You also take extreme ownership and are willing to work across organizational and company boundaries to deliver cohesive end to end customer experiences.
 **Responsibilities**
Key Responsibilities* AI Driven Ecosystem Intelligence and Activation: Mailchimp works closely with best in class partners such as Shopify, Wix, Canva and others that power how small businesses operate.You will lead the strategy and execution for an AI driven ecosystem approach where Mailchimp acts as the intelligence layer across these platforms. This includes defining how Mailchimp ingests signals from third party systems through modern AI and MCP style integrations and translates them into clear actionable insights inside Mailchimp. You will take end to end ownership for working with partner teams and external vendors to stitch these capabilities into a seamless customer experience. Your goal is to make Mailchimp feel like the single place where customers understand how their entire business is performing and can take the next best actions either within Mailchimp or directly back into partner platforms.
* Next Generation AI Powered Reporting and Insights: Our customers rely on reporting to understand campaign performance and decide what to do next. Much of this experience today is still static and requires significant manual interpretation. You will own the transformation of reporting into a dynamic AI powered experience. This includes intelligent summarization anomaly and trend detection explanations of why performance changed and clear recommendations for next actions.You will also define interactive and collaborative capabilities such as natural language exploration annotations and deep dives that help customers quickly get to insight with confidence. Success in this area means materially reducing time to insight while increasing trust and adoption.
* Omnichannel Marketing Intelligence and Orchestration: As Mailchimp expands into omnichannel marketing across owned and paid channels such as Meta Google TikTok and others you will lead the product vision for unified marketing intelligence and activation. This includes defining how data from multiple platforms comes together into a holistic view of acquisition growth and lifetime value and how customers can act on that intelligence across channels. You will take ownership of the technical and experience orchestration required to enable customers to activate Mailchimp recommended strategies directly into ad platforms and partner systems. This work requires deep cross functional leadership and close collaboration with platform engineering data science partner teams and third party vendors.
 **Qualifications**
What You Bring* A strong product mindset grounded in customer empathy and business outcomes
* Deep curiosity about marketing data customer behavior and AI driven experiences
* Proven ability to write clear executive level narratives including six page strategy documents and leadership ready presentations
* Confidence presenting complex ideas to senior leadership both in writing and verbally
* A strong sense of ownership and accountability especially when working across teams partners and external vendors
* Experience leading complex cross functional initiatives that span product design engineering data and partnerships
* Comfort operating at the intersection of AI data platforms and user experience
* Strategic thinking paired with a bias toward execution and learning
Qualifications* Bachelor’s or Master’s degree in Computer Science Engineering or a related technical field
* 6 to 8 years of experience in product management building data driven or platform oriented products
* Strong technical foundation with the ability to work closely with engineering data science and platform teams
* Experience owning products that involve complex data pipelines integrations or ecosystem partnerships
* Demonstrated ability to translate customer and business problems into clear product strategy and execution plans
* Proven track record of leading cross functional teams and delivering high impact products from concept to launch
* Strong written and verbal communication skills including experience authoring executive level documents and presenting to senior leadership
* Comfort operating in ambiguous problem spaces and taking end to end ownership of outcomes
* Familiarity with AI powered products analytics reporting or business intelligence is strongly preferred
* Experience working with third party platforms APIs or partner ecosystems is a plus
* Passion for helping small and medium sized businesses succeed and curiosity about marketing technology and customer behavior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 \- 266,000
New York City, New York: $195,000 \- 264,000</t>
        </is>
      </c>
    </row>
    <row r="109">
      <c r="A109" t="inlineStr">
        <is>
          <t>in-fcf1aca30e3428be</t>
        </is>
      </c>
      <c r="B109" t="inlineStr">
        <is>
          <t>Principal Program Manager-End to End Delivery of OCI Data Center Capacity</t>
        </is>
      </c>
      <c r="C109" t="inlineStr">
        <is>
          <t>Oracle</t>
        </is>
      </c>
      <c r="D109" t="inlineStr">
        <is>
          <t>indeed</t>
        </is>
      </c>
      <c r="E109">
        <f>HYPERLINK("https://www.indeed.com/viewjob?jk=fcf1aca30e3428be", "https://www.indeed.com/viewjob?jk=fcf1aca30e3428be")</f>
        <v/>
      </c>
      <c r="F109">
        <f>HYPERLINK("https://eeho.fa.us2.oraclecloud.com/hcmUI/CandidateExperience/en/sites/CX_1/job/324875", "https://eeho.fa.us2.oraclecloud.com/hcmUI/CandidateExperience/en/sites/CX_1/job/324875")</f>
        <v/>
      </c>
      <c r="G109" t="inlineStr">
        <is>
          <t>US</t>
        </is>
      </c>
      <c r="H109" s="3" t="n">
        <v>46050</v>
      </c>
      <c r="I109" t="inlineStr">
        <is>
          <t>The E2E Principal Program Manager is accountable to end\-to\-end delivery of OCI data center capacity, from project inception to GPU handover. This role functions as the primary delivery integrator across OCI within a matrixed organization. The role is responsible for ensuring predictable, repeatable, and scalable delivery outcomes that support OCI region launches, capacity expansion, and long\-term infrastructure roadmap commitments. This is a high\- impact role that will lead, drive, and ensure the successful management and delivery of critical initiatives on our strategic roadmap. The role comes with a high degree of personal accountability and autonomy and will require effective engagement across all OCI partner teams including Site acquisition, WAN (Wide Area Network), Energy, Design, Engineering, Construction, Telecommunications, Commissioning, Security and Operations. Your ability to anticipate and mitigate risks will be crucial in maintaining project timelines and budgets.
* Be the end\-to\-end leader in charge of the program, from shaping the approach to achieving the desired outcomes through delivery.
* Act as the single threaded leader orchestrating across matrixed OCI teams including Site Acquisition, Energy, WAN (Wide Area Network, Design, EHS, Legal, Finance, Engineering, Procurement, Construction, Commissioning, Telecommunications, Security, Operations.
* Monitor and ensure function delivery milestones align with OCI capacity planning, regional launch timelines, and service availability commitments. Matrixed Program Orchestration
* Project Planning: Develop and implement long\-term strategies inclusive of campus master planning for data center construction and network build projects to align with organizational goals.
* Project Management: Oversees the lifecycle of complex data center development projects, ensuring they are completed on time, within budget, and to the required quality standards.
* Budget Oversight: Monitor project budgets, ensuring cost\-effective use of resources and adherence to financial constraints.
* Risk Management: Identify and collate project function potential risks and develop mitigation strategies to minimize impact on project timelines and costs.
* Stakeholder Communication: Maintain clear and effective communication with internal and external stakeholders, providing regular updates on project status and addressing any concerns.
* Regular project visits to ensure schedule and coordination will be required throughout the life of the project on an as needed basis.
Must have the ability to travel 25% and at time more. Work from home; remote opening.
**Required Qualifications**
* Problem\-Solving: Strong analytical and problem\-solving abilities to address complex challenges in a fast\-paced environment.
* Technical Knowledge: Deep understanding of data center design delivery, and operational requirements, with a focus on cutting\-edge technologies and sustainability.
* Project Management: Proven expertise in managing large\-scale data center projects from inception to completion, ensuring timely and within\-budget delivery including advanced project scheduling and tracking.
* Leadership: Ability to lead a diverse team under pressure by creating clarity, generating energy and driving results. Maintain alignment and execution across organizations with shared accountability, influencing without direct authority.
* Budget Management: Proficiency in creating, managing, and optimizing project budgets to ensure cost\-effective use of resources.
* Risk Management: Ability to identify potential risks and develop effective mitigation strategies to minimize impact on project timelines and costs.
* Communication: Strong interpersonal and executive level communication and engagement skills
* Experience: 8\+ years of program management / datacenter construction or lease / network engineering experience
* Self\-motivated, ability to work in a flexible, fast\-paced environment, within a matrixed organization
* 10\+ years of experience delivering large\-scale, complex infrastructure programs, preferably in hyperscale cloud, mission\-critical facilities, or gigascale data center environments.
Bachelor’s degree in engineering, Construction Management, Project Management, or related discipline or equivalent experience.  
* 
**Preferred Qualifications**
* Experience delivering cloud infrastructure capacity for a hyperscaler or global service provider.
* Demonstrates deep subject matter expertise on key functional areas of mechanical, electrical, networking, construction, or building automation systems
* PMP, PgMP, or equivalent certification
* MBA or equivalent advanced degree
**Team Overview**
The Data Center Infrastructure team at Oracle Cloud Infrastructure is a dynamic group of professionals dedicated to delivering state\-of\-the\-art data center facilities at scale and at pace. This team comprises experienced project and program managers who work collaboratively with internal and external teams to ensure the successful execution of complex data center projects. This team plays a crucial role in supporting Oracle Cloud Infrastructure's data needs and driving our growth and success.</t>
        </is>
      </c>
    </row>
    <row r="110">
      <c r="A110" t="inlineStr">
        <is>
          <t>in-5c4cd53e2f596bfa</t>
        </is>
      </c>
      <c r="B110" t="inlineStr">
        <is>
          <t>Program Manager 3-ProdDev</t>
        </is>
      </c>
      <c r="C110" t="inlineStr">
        <is>
          <t>Oracle</t>
        </is>
      </c>
      <c r="D110" t="inlineStr">
        <is>
          <t>indeed</t>
        </is>
      </c>
      <c r="E110">
        <f>HYPERLINK("https://www.indeed.com/viewjob?jk=5c4cd53e2f596bfa", "https://www.indeed.com/viewjob?jk=5c4cd53e2f596bfa")</f>
        <v/>
      </c>
      <c r="F110">
        <f>HYPERLINK("https://eeho.fa.us2.oraclecloud.com/hcmUI/CandidateExperience/en/sites/CX_1/job/324782", "https://eeho.fa.us2.oraclecloud.com/hcmUI/CandidateExperience/en/sites/CX_1/job/324782")</f>
        <v/>
      </c>
      <c r="G110" t="inlineStr">
        <is>
          <t>Nashville, TN, US</t>
        </is>
      </c>
      <c r="H110" s="3" t="n">
        <v>46050</v>
      </c>
      <c r="I110" t="inlineStr">
        <is>
          <t>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If you are ready to drive consistently great customer outcomes and accelerate the growth of our business, come join the Oracle Cloud Infrastructure (OCI) organization.
The Strategic Customers Engineering (SCE) team manages relationships for Oracle Cloud Infrastructure's top revenue generating customers who run their businesses on our cloud. OCI's mission is to provide customers with best\-in\-class computing, storage, networking, database, security, and an ever\-expanding set of foundational cloud\-based services. As part of the SCE team, the Technical Program Manager (TPM) plays a critical role in aligning priorities with our customers and service teams, collaborating with cross\-functional stakeholders, and driving end\-to\-end execution of complex projects. This TPM will design, coordinate, and execute technical solutions that have high visibility and huge impact to our customer experience and scalability. Understanding various cloud technologies and technical trade\-offs, the ideal candidate will be an exceptionally strong communicator, both written and verbal, have a well\-rounded technical background, and come with a history of leading large\-scale projects end\-to\-end.
**Basic Qualifications**
* BS degree or equivalent experience in Computer Science (or related field)
* Seven or more years of project management, product design or related experience
* Previous experience or understanding of cloud technologies, engineering, software, and systems development lifecycles
* Data\-driven approach to solving problems and ability to deep dive to understand the nature of a problem
* Experience developing or managing engineering or product portfolio planning and tracking processes and cadences
* Strong customer service and business operational skills
* A strong background in Technical Program Management
* The ability to clearly articulate the value\-add of TPM to engineering and product organizations
* A natural problem\-solver and strategic thinker who takes ownership
* Efficiently and effectively communicating findings/progress to cross\-functional teams, senior leadership, and the broader organizations
**Preferred Qualifications**
* MS degree or equivalent experience in Computer Science (or related field)
* Ten or more years of project management, product design or related experience
* Experience in scalable distributed backend services design with Cloud Native
* Experience working directly with large enterprise customers
Career Level \- IC3
* Take large, complex projects and break them down into manageable pieces.
* Identify process gaps and build mechanisms to scale.
* Develop functional specifications, then drive the delivery in a successful and timely manner.
* Oversee daily operations through collaboration with senior management and department leaders, performing an array of business operations functions from managing work\-back schedules, generating communications and presentations, and planning and coordinating meetings.
* Assist and communicate with executives in decision\-making, program management, and initiative implementation
* Improve current processes and coordinate organizational procedures for optimized efficiency and productivity
* Drive program schedules from design to launch, communicate to stakeholders and senior leaders.
* Gain a deep technical understanding of OCI servers and be able to drive the technical direction of the team, working with cross\-functional, cross\-service teams
* Thrive and succeed in an innovative and fast\-paced environment and not be hindered by ambiguity or conflicting priorities.
* Anticipate bottlenecks, provide escalation management, anticipate and make tradeoffs, and balance the business needs versus technical constraints.
* Lead interactions with cross functional teams consisting of Engineers, Product Managers and executive leadership.
* (Preferred) Experience working directly with large customers</t>
        </is>
      </c>
    </row>
    <row r="111">
      <c r="A111" t="inlineStr">
        <is>
          <t>in-90d099d479e31906</t>
        </is>
      </c>
      <c r="B111" t="inlineStr">
        <is>
          <t>Scientific Program Manager</t>
        </is>
      </c>
      <c r="C111" t="inlineStr">
        <is>
          <t>GAP Solutions, Inc.</t>
        </is>
      </c>
      <c r="D111" t="inlineStr">
        <is>
          <t>indeed</t>
        </is>
      </c>
      <c r="E111">
        <f>HYPERLINK("https://www.indeed.com/viewjob?jk=90d099d479e31906", "https://www.indeed.com/viewjob?jk=90d099d479e31906")</f>
        <v/>
      </c>
      <c r="F111">
        <f>HYPERLINK("https://www.paycomonline.net/v4/ats/web.php/jobs/ViewJobDetails?job=280843&amp;clientkey=96F58D060DBB8E87FFE6A206A755DC72&amp;source=Indeed", "https://www.paycomonline.net/v4/ats/web.php/jobs/ViewJobDetails?job=280843&amp;clientkey=96F58D060DBB8E87FFE6A206A755DC72&amp;source=Indeed")</f>
        <v/>
      </c>
      <c r="G111" t="inlineStr">
        <is>
          <t>Bethesda, MD, US</t>
        </is>
      </c>
      <c r="H111" s="3" t="n">
        <v>46050</v>
      </c>
      <c r="I111" t="inlineStr">
        <is>
          <t>**Position Objective:** The Scientific Program Manager shall provide services in support DMID/OD scientific program operations. The Scientific Program Manager will serve as a senior\-level program management resource responsible for the design, implementation, analysis, and continuous improvement of policies, procedures, and operational frameworks governing DMID scientific programs.
The Contractor shall work closely with the DMID Director and senior leadership to ensure effective coordination, performance monitoring, and strategic planning across the division’s programs. Services shall enable data\-driven decision\-making, enhance operational efficiency, and ensure programmatic coherence across DMID’s research and scientific activities.
**Duties and Responsibilities:**
* Design, implement, and manage policies and procedures supporting DMID scientific programs.
* Analyze existing scientific program policies, workflows, and governance structures; identify gaps and inefficiencies; and develop and recommend improvements.
* Independently develop, monitor, and maintain scientific program metrics, dashboards, and analytic products.
* Collect, analyze, and synthesize scientific program data to support leadership decision\-making.
* Assess current scientific programs and initiatives; propose enhancements, process improvements, and new initiatives aligned with DMID strategic priorities.
* Prepare high\-quality written reports, briefings, and summaries to keep the Director and senior leadership informed of program status, risks, and opportunities.
* Coordinate and support strategic planning activities, including development of short\- and long\-term programmatic plans.
* Collaborate with upper management, scientific leadership, and internal stakeholders to ensure alignment across programs.
* Assist in the preparation of materials for internal and external reviews, leadership briefings, and governance processes.
* Coordinate workshops, meetings, and programmatic reviews related to DMID scientific operations.
* Develop educational, guidance, and reference materials to support staff understanding of policies, procedures, and program requirements.
**Basic Qualifications:**
* Ph.D. in Biology, Life Sciences, or a closely related scientific discipline OR Masters degree with a minimum of five (5\) years of specialized scientific or program management experience equivalent to a Ph.D. level role.
* Demonstrated expertise in scientific program management, policy development, and operational analysis.
* Broad knowledge of scientific research environments and federally supported research programs.
* Demonstrated experience developing policies, procedures, and performance metrics for complex scientific programs.
* Proven ability to analyze program data and translate findings into actionable recommendations.
**Preferred Qualifications:**
* Proficiency in Microsoft Office applications (Word, Excel, PowerPoint, Outlook).
* Demonstrated ability to collaborate effectively with senior leadership and multidisciplinary teams.
* Excellent written and oral communication skills, including experience preparing reports and briefings for senior leadership.
* Strong managerial, organizational, and analytical skills with the ability to operate independently.
*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email us at recruiting@gapsi.com.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
*This position is contingent upon contract award.*</t>
        </is>
      </c>
    </row>
    <row r="112">
      <c r="A112" t="inlineStr">
        <is>
          <t>in-ddf3382f20264a54</t>
        </is>
      </c>
      <c r="B112" t="inlineStr">
        <is>
          <t>Sr. Product Owner (Reporting)</t>
        </is>
      </c>
      <c r="C112" t="inlineStr">
        <is>
          <t>Amira Learning</t>
        </is>
      </c>
      <c r="D112" t="inlineStr">
        <is>
          <t>indeed</t>
        </is>
      </c>
      <c r="E112">
        <f>HYPERLINK("https://www.indeed.com/viewjob?jk=ddf3382f20264a54", "https://www.indeed.com/viewjob?jk=ddf3382f20264a54")</f>
        <v/>
      </c>
      <c r="F112">
        <f>HYPERLINK("https://workforcenow.adp.com/mascsr/default/mdf/recruitment/recruitment.html?cid=14d808fe-7a40-4e4a-a469-1dd8e6976afb&amp;ccId=19000101_000003&amp;jobId=513824&amp;jwId=SYS:JW:001&amp;source=IN&amp;lang=en_US", "https://workforcenow.adp.com/mascsr/default/mdf/recruitment/recruitment.html?cid=14d808fe-7a40-4e4a-a469-1dd8e6976afb&amp;ccId=19000101_000003&amp;jobId=513824&amp;jwId=SYS:JW:001&amp;source=IN&amp;lang=en_US")</f>
        <v/>
      </c>
      <c r="G112" t="inlineStr">
        <is>
          <t>US</t>
        </is>
      </c>
      <c r="H112" s="3" t="n">
        <v>46050</v>
      </c>
      <c r="I112" t="inlineStr">
        <is>
          <t>**Job Title:** Sr. Product Owner
**Location:** Remote
**Employment Type:** Full\-Time
 **About Us:**
Amira Learning accelerates literacy outcomes by delivering the latest reading and neuroscience with AI. As the leader in third\-generation edtech, Amira listens to students read out loud, assesses mastery, helps teachers supplement instruction and delivers 1:1 tutoring. Validated by independent university and SEA efficacy research, Amira is the only AI literacy platform proven to achieve gains surpassing 1:1 human tutoring, consistently delivering effect sizes over 0\.4\.  
Rooted in over thirty years of research, Amira is the first, foremost, and only proven Intelligent Assistant for teachers and AI Reading Tutor for students. The platform serves as a school district’s Intelligent Growth Engine, driving instructional coherence by unifying assessment, instruction, and tutoring around the chosen curriculum.  
Unlike any other edtech tool, Amira continuously identifies each student’s skill gaps and collaborates with teachers to build lesson plans aligned with district curricula, pulling directly from the district’s high\-quality instructional materials. Teachers can finally differentiate instruction with evidence and ease, and students get the 1:1 practice they specifically need, whether they are excelling or working below grade level.  
Trusted by more than 2,000 districts and working in partnership with twelve state education agencies, Amira is helping 3\.5 million students worldwide become motivated and masterful readers. **Job Summary:**
As a Product Owner at Amira, you will be responsible for guiding the success of 1–2 products and leading the associated scrum teams. You will serve as the “voice of the product,” ensuring clarity of priorities, quality of delivery, and cross\-team alignment. While you won’t have direct reports, you will lead by influence—energizing and coordinating engineers, QA, and design to deliver impactful products at startup speed.
This role requires deep product knowledge, strong documentation, and relentless accountability for delivery. You will thrive if you are hands\-on, detail\-oriented, and excited to collaborate across the company and with external partners to bring high\-quality solutions to market.
 **Essential Functions:**
**Team Leadership \&amp; Delivery**
* Act as the “voice of the product” for your scrum team(s).
* Own accountability for delivery timelines, product quality, and successful launches.
* Lead by influence—energize and align cross\-functional team members around priorities and outcomes.
* Triage and resolve issues quickly, removing blockers for the team.
 **Product Ownership**
* Develop deep knowledge of assigned product(s), including technical details, user workflows, and business impact.
* Maintain and prioritize the product backlog, ensuring clarity of requirements and alignment with company goals.
* Write clear, actionable user stories and acceptance criteria.
* Document workflows, use cases, and product behaviors to support engineering, QA, and customer\-facing teams.
 **Cross\-Functional Impact**
* Collaborate with impact teams (sales, customer success, support) to ensure product features and messaging meet key customer and policy requirements.
* Support go\-to\-market and partner teams, including managing product needs for whitelist versions of Amira.
* Coordinate with Customer Success, Sales, and Marketing to ensure the product roadmap aligns with customer feedback and external commitments.
* Run or contribute to educator ambassador programs that gather feedback and promote product advocacy.
 **Execution \&amp; Quality**
* Partner closely with Engineering, QA, and Design to ensure sprint goals are met.
* Drive testing, validation, and refinement of features pre\- and post\-release.
* Ensure quality standards are met and customer impact is positive.
 **Agile Process**
* Champion Agile best practices within the team.
* Run sprint rituals (refinement, planning, demos, retrospectives) with precision and energy.
* Monitor metrics, delivery velocity, and product health.
 **Mindset**
* Passionate about education and improving learning through technology.
* A problem solver who thrives on creating clarity and momentum in ambiguous, fast\-moving environments.
* Committed to excellence with a focus on delivering elegant, high\-quality solutions under tight deadlines.
* Collaborative and resilient—able to balance input from multiple stakeholders while staying grounded in product vision and priorities.
 **Qualifications (Education and Experience):**
* Bachelor’s degree in a related field (e.g., Business, Computer Science, Education, or equivalent experience).
 **Preferred Qualifications:**
* 5\+ years of experience as a Product Owner or Product Manager in SaaS or edtech.
* Demonstrated success leading scrum teams without direct authority.
* Strong documentation and communication skills—you make complex concepts clear and actionable.
* Proven ability to manage multiple priorities and deliver at a startup pace.
* Experience with Agile software development and backlog management tools (Jira, Confluence, etc.).
* Hands\-on, detail\-oriented, and comfortable diving into technical and product details.
* Experience collaborating with external stakeholders (partners, educators, or state\-level organizations) is a strong plus.
* Passion for improving education and student outcomes is a plus.
 **Benefits:**
* Competitive Salary
* Medical, dental, and vision benefits
* 401(k) with company matching
* Flexible time off
* Stock option ownership
* Cutting\-edge work
* The opportunity to help children around the world reach their full potential
 **Commitment to Diversity:**
Amira Learning serves a diverse group of students and educators across the United States and internationally. We believe every student should have access to a high\-quality education and that it takes a diverse group of people with a wide range of experiences to develop and deliver a product that meets that goal. We are proud to be an equal opportunity employer.
The posted salary range reflects the minimum and maximum base salary the company reasonably expects to pay for this role. Salary ranges are determined by role, level, and location. Individual pay is based on location, job\-related skills, experience, and relevant education or training. We are an equal opportunity employer. We do not discriminate on the basis of race, religion, color, ancestry, national origin, sex, sexual orientation, gender identity or expression, age, disability, medical condition, pregnancy, genetic information, marital status, military service, or any other status protected by law.</t>
        </is>
      </c>
    </row>
    <row r="113">
      <c r="A113" t="inlineStr">
        <is>
          <t>in-283e88f7cf8fe784</t>
        </is>
      </c>
      <c r="B113" t="inlineStr">
        <is>
          <t>Sr. Product Owner (Reporting)</t>
        </is>
      </c>
      <c r="C113" t="inlineStr">
        <is>
          <t>Amira Learning</t>
        </is>
      </c>
      <c r="D113" t="inlineStr">
        <is>
          <t>indeed</t>
        </is>
      </c>
      <c r="E113">
        <f>HYPERLINK("https://www.indeed.com/viewjob?jk=283e88f7cf8fe784", "https://www.indeed.com/viewjob?jk=283e88f7cf8fe784")</f>
        <v/>
      </c>
      <c r="F113">
        <f>HYPERLINK("https://workforcenow.adp.com/mascsr/default/mdf/recruitment/recruitment.html?cid=14d808fe-7a40-4e4a-a469-1dd8e6976afb&amp;ccId=19000101_000003&amp;jobId=513824&amp;jwId=SYS:JW:001&amp;source=IN&amp;lang=en_US", "https://workforcenow.adp.com/mascsr/default/mdf/recruitment/recruitment.html?cid=14d808fe-7a40-4e4a-a469-1dd8e6976afb&amp;ccId=19000101_000003&amp;jobId=513824&amp;jwId=SYS:JW:001&amp;source=IN&amp;lang=en_US")</f>
        <v/>
      </c>
      <c r="G113" t="inlineStr">
        <is>
          <t>US</t>
        </is>
      </c>
      <c r="H113" s="3" t="n">
        <v>46050</v>
      </c>
      <c r="I113" t="inlineStr">
        <is>
          <t>**Job Title:** Sr. Product Owner
**Location:** Remote
**Employment Type:** Full\-Time
 **About Us:**
Amira Learning accelerates literacy outcomes by delivering the latest reading and neuroscience with AI. As the leader in third\-generation edtech, Amira listens to students read out loud, assesses mastery, helps teachers supplement instruction and delivers 1:1 tutoring. Validated by independent university and SEA efficacy research, Amira is the only AI literacy platform proven to achieve gains surpassing 1:1 human tutoring, consistently delivering effect sizes over 0\.4\.  
Rooted in over thirty years of research, Amira is the first, foremost, and only proven Intelligent Assistant for teachers and AI Reading Tutor for students. The platform serves as a school district’s Intelligent Growth Engine, driving instructional coherence by unifying assessment, instruction, and tutoring around the chosen curriculum.  
Unlike any other edtech tool, Amira continuously identifies each student’s skill gaps and collaborates with teachers to build lesson plans aligned with district curricula, pulling directly from the district’s high\-quality instructional materials. Teachers can finally differentiate instruction with evidence and ease, and students get the 1:1 practice they specifically need, whether they are excelling or working below grade level.  
Trusted by more than 2,000 districts and working in partnership with twelve state education agencies, Amira is helping 3\.5 million students worldwide become motivated and masterful readers. **Job Summary:**
As a Product Owner at Amira, you will be responsible for guiding the success of 1–2 products and leading the associated scrum teams. You will serve as the “voice of the product,” ensuring clarity of priorities, quality of delivery, and cross\-team alignment. While you won’t have direct reports, you will lead by influence—energizing and coordinating engineers, QA, and design to deliver impactful products at startup speed.
This role requires deep product knowledge, strong documentation, and relentless accountability for delivery. You will thrive if you are hands\-on, detail\-oriented, and excited to collaborate across the company and with external partners to bring high\-quality solutions to market.
 **Essential Functions:**
**Team Leadership \&amp; Delivery**
* Act as the “voice of the product” for your scrum team(s).
* Own accountability for delivery timelines, product quality, and successful launches.
* Lead by influence—energize and align cross\-functional team members around priorities and outcomes.
* Triage and resolve issues quickly, removing blockers for the team.
 **Product Ownership**
* Develop deep knowledge of assigned product(s), including technical details, user workflows, and business impact.
* Maintain and prioritize the product backlog, ensuring clarity of requirements and alignment with company goals.
* Write clear, actionable user stories and acceptance criteria.
* Document workflows, use cases, and product behaviors to support engineering, QA, and customer\-facing teams.
 **Cross\-Functional Impact**
* Collaborate with impact teams (sales, customer success, support) to ensure product features and messaging meet key customer and policy requirements.
* Support go\-to\-market and partner teams, including managing product needs for whitelist versions of Amira.
* Coordinate with Customer Success, Sales, and Marketing to ensure the product roadmap aligns with customer feedback and external commitments.
* Run or contribute to educator ambassador programs that gather feedback and promote product advocacy.
 **Execution \&amp; Quality**
* Partner closely with Engineering, QA, and Design to ensure sprint goals are met.
* Drive testing, validation, and refinement of features pre\- and post\-release.
* Ensure quality standards are met and customer impact is positive.
 **Agile Process**
* Champion Agile best practices within the team.
* Run sprint rituals (refinement, planning, demos, retrospectives) with precision and energy.
* Monitor metrics, delivery velocity, and product health.
 **Mindset**
* Passionate about education and improving learning through technology.
* A problem solver who thrives on creating clarity and momentum in ambiguous, fast\-moving environments.
* Committed to excellence with a focus on delivering elegant, high\-quality solutions under tight deadlines.
* Collaborative and resilient—able to balance input from multiple stakeholders while staying grounded in product vision and priorities.
 **Qualifications (Education and Experience):**
* Bachelor’s degree in a related field (e.g., Business, Computer Science, Education, or equivalent experience).
 **Preferred Qualifications:**
* 5\+ years of experience as a Product Owner or Product Manager in SaaS or edtech.
* Demonstrated success leading scrum teams without direct authority.
* Strong documentation and communication skills—you make complex concepts clear and actionable.
* Proven ability to manage multiple priorities and deliver at a startup pace.
* Experience with Agile software development and backlog management tools (Jira, Confluence, etc.).
* Hands\-on, detail\-oriented, and comfortable diving into technical and product details.
* Experience collaborating with external stakeholders (partners, educators, or state\-level organizations) is a strong plus.
* Passion for improving education and student outcomes is a plus.
 **Benefits:**
* Competitive Salary
* Medical, dental, and vision benefits
* 401(k) with company matching
* Flexible time off
* Stock option ownership
* Cutting\-edge work
* The opportunity to help children around the world reach their full potential
 **Commitment to Diversity:**
Amira Learning serves a diverse group of students and educators across the United States and internationally. We believe every student should have access to a high\-quality education and that it takes a diverse group of people with a wide range of experiences to develop and deliver a product that meets that goal. We are proud to be an equal opportunity employer.
The posted salary range reflects the minimum and maximum base salary the company reasonably expects to pay for this role. Salary ranges are determined by role, level, and location. Individual pay is based on location, job\-related skills, experience, and relevant education or training. We are an equal opportunity employer. We do not discriminate on the basis of race, religion, color, ancestry, national origin, sex, sexual orientation, gender identity or expression, age, disability, medical condition, pregnancy, genetic information, marital status, military service, or any other status protected by law.</t>
        </is>
      </c>
    </row>
    <row r="114">
      <c r="A114" t="inlineStr">
        <is>
          <t>in-170ba4f75b409e62</t>
        </is>
      </c>
      <c r="B114" t="inlineStr">
        <is>
          <t>Product Manager (Merchandising)</t>
        </is>
      </c>
      <c r="C114" t="inlineStr">
        <is>
          <t>Horizon Group USA Inc</t>
        </is>
      </c>
      <c r="D114" t="inlineStr">
        <is>
          <t>indeed</t>
        </is>
      </c>
      <c r="E114">
        <f>HYPERLINK("https://www.indeed.com/viewjob?jk=170ba4f75b409e62", "https://www.indeed.com/viewjob?jk=170ba4f75b409e62")</f>
        <v/>
      </c>
      <c r="F114">
        <f>HYPERLINK("https://workforcenow.adp.com/mascsr/default/mdf/recruitment/recruitment.html?cid=4d5e982c-8ead-4a77-a313-2623a70d2198&amp;ccId=19000101_000001&amp;jobId=951787&amp;source=IN&amp;lang=en_US", "https://workforcenow.adp.com/mascsr/default/mdf/recruitment/recruitment.html?cid=4d5e982c-8ead-4a77-a313-2623a70d2198&amp;ccId=19000101_000001&amp;jobId=951787&amp;source=IN&amp;lang=en_US")</f>
        <v/>
      </c>
      <c r="G114" t="inlineStr">
        <is>
          <t>New Providence, NJ, US</t>
        </is>
      </c>
      <c r="H114" s="3" t="n">
        <v>46050</v>
      </c>
      <c r="I114" t="inlineStr">
        <is>
          <t>**Job Title: Product (Merchandising) Manager**
**Location: New Providence, NJ (hybrid with 1\-2 days/week onsite)**
**Position Overview:**
As a Product Manager, you will be responsible for managing our crafts and activity kits products from costing to pre\-production. Our ideal candidate has previous hard goods product management experience that includes managing multiple SKU’s at a time. To be successful in this role, you must thrive in an incredibly fast paced environment, have a good understanding of the product life cycle, and have the ability to work within tight deadlines while managing multiple products at once.
**What You’ll Do:**
* Collaborate with product development and design teams to generate new product concepts through brainstorm meetings, trend\-shopping and market research
* Facilitate the creation of sales presentations with mock\-up samples, prototypes and presentation boards
* Conduct daily communication with overseas office on issues of new product development/sourcing/costing and keeping a status of all pending projects
* Facilitate item, costing, and margin information to sales team on assigned programs
* Create, and keep a status of, all art requests for new products, packaging revisions and production needs
* Review and comment on all production approval samples and provide customer\-required samples to sales team
* Complete new item setup and other product \&amp; marketing related forms of production items for retail customers
* Work with members from cross\-functional teams of Planning, Marketing Ops, Sales, Compliance, Data Management on all assigned programs
* Help drive expansion with sales presentations, samples review, reaction to buyer comments and product execution
* Provide guidelines, product direction, pricing, samples and other presentation tools for industry trade shows and events.
 **What You’ll Bring:**
* 3\-5 years of product management experience in a CPG/company (hardgoods preferred)
* Advanced skills in Powerpoint and Excel required
* Ability to work on tight deadlines and fast paced environment required
* Strong attention to details required
* Sourcing, Costing, Product Development and/or Supply Chain background a plus
* Experience communicating with overseas suppliers preferred
* Strong sense of fashion, color, and design
* ***Please note, this is a hybrid opportunity, working 1\-2 days per week in our New Providence, NJ office and other days working remotely.***</t>
        </is>
      </c>
    </row>
    <row r="115">
      <c r="A115" t="inlineStr">
        <is>
          <t>in-9ebd3b1a6e61b898</t>
        </is>
      </c>
      <c r="B115" t="inlineStr">
        <is>
          <t>Senior Product Manager</t>
        </is>
      </c>
      <c r="C115" t="inlineStr">
        <is>
          <t>Priority Technology Holdings, LLC</t>
        </is>
      </c>
      <c r="D115" t="inlineStr">
        <is>
          <t>indeed</t>
        </is>
      </c>
      <c r="E115">
        <f>HYPERLINK("https://www.indeed.com/viewjob?jk=9ebd3b1a6e61b898", "https://www.indeed.com/viewjob?jk=9ebd3b1a6e61b898")</f>
        <v/>
      </c>
      <c r="F115">
        <f>HYPERLINK("https://workforcenow.adp.com/mascsr/default/mdf/recruitment/recruitment.html?cid=94f16522-9f0f-4a13-b72c-b0eaf60d119d&amp;ccId=19000101_000001&amp;jobId=549712&amp;source=IN&amp;lang=en_US", "https://workforcenow.adp.com/mascsr/default/mdf/recruitment/recruitment.html?cid=94f16522-9f0f-4a13-b72c-b0eaf60d119d&amp;ccId=19000101_000001&amp;jobId=549712&amp;source=IN&amp;lang=en_US")</f>
        <v/>
      </c>
      <c r="G115" t="inlineStr">
        <is>
          <t>Remote, US</t>
        </is>
      </c>
      <c r="H115" s="3" t="n">
        <v>46050</v>
      </c>
      <c r="I115" t="inlineStr">
        <is>
          <t>**Job title:** Sr Product Manager**Reports to:** Director of Product Management**Department:** Product Management**Location:** Alpharetta, GA/Remote**Grade:** 20 **About Priority:**
Priority Technology Holdings, Inc. is a leading financial technology company on a mission to deliver a personalized, easy\-to\-adopt financial toolset that accelerates cash flow and optimizes working capital for businesses. Our vision is to eliminate the barriers to unlocking revenue \- empowering businesses to grow faster and operate smarter.  
We achieve this through the Priority Commerce Engine, an innovative platform that combines
payables, acquiring, and banking and treasury solutions. This unified approach allows businesses to streamline financial operations, reduce unnecessary costs, and uncover new revenue opportunities.  
At Priority, we're driven by results. We expect our people to be known for results \- bringing expertise, momentum, and relentless focus to every challenge, helping our clients and each other thrive. **About the Role:**
The Senior Product Manager plays a critical role in shaping and delivering high\-impact payments products that power Priority’s platform and customer experiences. This role owns complex product initiatives end\-to\-end, blending deep customer insight, business strategy, and strong technical acumen to deliver scalable, compliant, and reliable solutions.  
You will lead product discovery through delivery, working closely with engineering, design, operations, and go\-to\-market partners to solve ambiguous problems and translate them into clear, actionable outcomes. This is an opportunity to build world\-class payments capabilities while driving meaningful business and customer impact. **Responsibilities:*** Champions the voice of the customer by developing a deep understanding of customer workflows, pain points, and jobs\-to\-be\-done within payments and financial operations.
* Anticipates friction across the customer journey and proactively designs solutions that improve experience while delivering measurable business value.
* Gathers insights from customers, data, and internal stakeholders to identify opportunities and shape a product roadmap aligned to product vision and business strategy.
* Contributes to defining and evolving product vision, applying a culture of experimentation, measurement, and learning to validate opportunities and demonstrate impact.
* Leads complex, cross\-functional product initiatives from concept through launch, balancing speed, quality, and innovation.
* Translates insights into clear, prioritized requirements and product artifacts, validating assumptions with data and maximizing outcomes.
* Partners closely with engineering to break down work, evaluate trade\-offs, manage dependencies, and optimize delivery cadence using agile methodologies.
* Collaborates with design, technical writers, QA, and global teams to define solutions, plan releases, and deliver products predictably.
* Provides clear communication and progress visibility to leaders and stakeholders, aligning teams around shared goals and outcomes.
* Engages directly with customers, operations, and go\-to\-market partners to ensure solutions are viable, usable, compliant, and ready for adoption.
* Owns the product lifecycle across multiple domains, from discovery and UX through roadmap management, launch planning, and post\-release iteration.
* Upholds and continuously improves SDLC, operational, compliance, and audit processes.
* Mentors and supports product management teammates, contributing to stronger practices, skills, and execution quality across the team.
 **What Success Looks Like:*** Product initiatives are delivered with strong ownership, quality, and consistency, meeting customer and business objectives.
* Stakeholders trust this role to provide clear direction, sound judgment, and effective execution across complex product areas.
* Cross\-functional teams experience improved alignment, fewer bottlenecks, and predictable delivery outcomes.
* Customer friction is reduced through thoughtful product design and proactive problem\-solving.
* Decisions are increasingly data\-informed, resulting in better prioritization and measurable impact.
* This role is viewed as a trusted partner who balances day\-to\-day execution with long\-term product and platform evolution.
 **Candidate Requirements:****Required*** 10\+ years of experience in product management, with strong exposure to payments, merchant acquiring, credit card processing, or related financial systems.
* Experience building and delivering SaaS products, web applications, transactional systems, databases, and REST APIs.
* Working knowledge of onboarding flows, device configuration, business operations, cross\-sell mechanics, and adjacent payments ecosystems.
* Proven track record of delivering software products using agile/scrum methodologies.
* Experience working with global, distributed teams.
* Proficiency with Jira, Confluence, and standard productivity tools; familiarity with Figma, Lucidchart, or similar tools is a plus.
* Strong understanding of payments concepts including processing, pricing, reconciliation, and regulatory/compliance considerations.
* Excellent written and verbal communication skills, with comfort presenting to senior leaders and customers.
* Strong analytical and problem\-solving skills, with the ability to navigate ambiguity and drive creative, data\-informed solutions.
* Highly organized, able to manage multiple priorities, and motivated by helping customers, teams, and the business succeed.
 **Preferred*** 12\+ years of experience in payments, banking, or related financial technology domains.
* Degree in Engineering, Computer Applications, Business, or a related field.
* Experience applying or integrating artificial intelligence technologies within product workflows.
 **Work Environment \&amp; Culture:**
We believe that performance and experience go hand in hand \- an exceptional employee experience is earned through contribution. We are a results\-driven team, grounded in our core values: ownership, authenticity, service, trust, innovation, and camaraderie.  
Our culture is built for those who want to make an impact. We challenge each other to grow, celebrate progress, and support one another through shared goals and real connection. Whether you're building technology, serving clients, or supporting internal teams, you’ll be part of a company that empowers you to perform at your best and be known for results. **Compensation and Benefits:**
Compensation range: $115k\-$150k  
We invest in the whole employee \- personally and professionally. Our benefits package is designed to support your well\-being, growth, and success \- both inside and outside of work. **Financial Wellness*** Bonus programs
* 401(k) match
* Employee Stock Purchase Program (ESPP)
* HSA and FSA options
* Financial wellness resources and employee discount programs
 **Health \&amp; Well\-being*** Medical, dental, and vision coverage
* Mental health support for employees and dependents through Lyra Health
* Family planning and women’s health benefits through Carrot
* Gym membership reimbursement and virtual wellness programs (including yoga)
 **Time Off*** 3 weeks PTO to start, with unlimited PTO after year one
 **Growth \&amp; Development*** Education expense reimbursement
* Leadership development programs
* Certified Payments Professional (CPP) certification support
We believe great performance starts with feeling supported \- and we’ve built our benefits with that in mind. **Traditional Physical Requirements:*** Requires prolonged sitting, standing, bending, stooping and stretching.
* Requires the ability to lift 10 pounds.
* Requires eye\-hand coordination, manual dexterity and a normal range of hearing and vision (with or without correction).
Join our team at Priority Technology Holdings, Inc. and be part of a dynamic and innovative company that is transforming the financial technology landscape. Together, we can shape the future of payments and banking solutions while providing unmatched value to our clients.</t>
        </is>
      </c>
    </row>
    <row r="116">
      <c r="A116" t="inlineStr">
        <is>
          <t>in-ee8419af5477526a</t>
        </is>
      </c>
      <c r="B116" t="inlineStr">
        <is>
          <t>Senior Product Manager</t>
        </is>
      </c>
      <c r="C116" t="inlineStr">
        <is>
          <t>Priority Technology Holdings, LLC</t>
        </is>
      </c>
      <c r="D116" t="inlineStr">
        <is>
          <t>indeed</t>
        </is>
      </c>
      <c r="E116">
        <f>HYPERLINK("https://www.indeed.com/viewjob?jk=ee8419af5477526a", "https://www.indeed.com/viewjob?jk=ee8419af5477526a")</f>
        <v/>
      </c>
      <c r="F116">
        <f>HYPERLINK("https://workforcenow.adp.com/mascsr/default/mdf/recruitment/recruitment.html?cid=94f16522-9f0f-4a13-b72c-b0eaf60d119d&amp;ccId=19000101_000001&amp;jobId=549712&amp;source=IN&amp;lang=en_US", "https://workforcenow.adp.com/mascsr/default/mdf/recruitment/recruitment.html?cid=94f16522-9f0f-4a13-b72c-b0eaf60d119d&amp;ccId=19000101_000001&amp;jobId=549712&amp;source=IN&amp;lang=en_US")</f>
        <v/>
      </c>
      <c r="G116" t="inlineStr">
        <is>
          <t>Alpharetta, GA, US</t>
        </is>
      </c>
      <c r="H116" s="3" t="n">
        <v>46050</v>
      </c>
      <c r="I116" t="inlineStr">
        <is>
          <t>**Job title:** Sr Product Manager**Reports to:** Director of Product Management**Department:** Product Management**Location:** Alpharetta, GA/Remote**Grade:** 20 **About Priority:**
Priority Technology Holdings, Inc. is a leading financial technology company on a mission to deliver a personalized, easy\-to\-adopt financial toolset that accelerates cash flow and optimizes working capital for businesses. Our vision is to eliminate the barriers to unlocking revenue \- empowering businesses to grow faster and operate smarter.  
We achieve this through the Priority Commerce Engine, an innovative platform that combines
payables, acquiring, and banking and treasury solutions. This unified approach allows businesses to streamline financial operations, reduce unnecessary costs, and uncover new revenue opportunities.  
At Priority, we're driven by results. We expect our people to be known for results \- bringing expertise, momentum, and relentless focus to every challenge, helping our clients and each other thrive. **About the Role:**
The Senior Product Manager plays a critical role in shaping and delivering high\-impact payments products that power Priority’s platform and customer experiences. This role owns complex product initiatives end\-to\-end, blending deep customer insight, business strategy, and strong technical acumen to deliver scalable, compliant, and reliable solutions.  
You will lead product discovery through delivery, working closely with engineering, design, operations, and go\-to\-market partners to solve ambiguous problems and translate them into clear, actionable outcomes. This is an opportunity to build world\-class payments capabilities while driving meaningful business and customer impact. **Responsibilities:*** Champions the voice of the customer by developing a deep understanding of customer workflows, pain points, and jobs\-to\-be\-done within payments and financial operations.
* Anticipates friction across the customer journey and proactively designs solutions that improve experience while delivering measurable business value.
* Gathers insights from customers, data, and internal stakeholders to identify opportunities and shape a product roadmap aligned to product vision and business strategy.
* Contributes to defining and evolving product vision, applying a culture of experimentation, measurement, and learning to validate opportunities and demonstrate impact.
* Leads complex, cross\-functional product initiatives from concept through launch, balancing speed, quality, and innovation.
* Translates insights into clear, prioritized requirements and product artifacts, validating assumptions with data and maximizing outcomes.
* Partners closely with engineering to break down work, evaluate trade\-offs, manage dependencies, and optimize delivery cadence using agile methodologies.
* Collaborates with design, technical writers, QA, and global teams to define solutions, plan releases, and deliver products predictably.
* Provides clear communication and progress visibility to leaders and stakeholders, aligning teams around shared goals and outcomes.
* Engages directly with customers, operations, and go\-to\-market partners to ensure solutions are viable, usable, compliant, and ready for adoption.
* Owns the product lifecycle across multiple domains, from discovery and UX through roadmap management, launch planning, and post\-release iteration.
* Upholds and continuously improves SDLC, operational, compliance, and audit processes.
* Mentors and supports product management teammates, contributing to stronger practices, skills, and execution quality across the team.
 **What Success Looks Like:*** Product initiatives are delivered with strong ownership, quality, and consistency, meeting customer and business objectives.
* Stakeholders trust this role to provide clear direction, sound judgment, and effective execution across complex product areas.
* Cross\-functional teams experience improved alignment, fewer bottlenecks, and predictable delivery outcomes.
* Customer friction is reduced through thoughtful product design and proactive problem\-solving.
* Decisions are increasingly data\-informed, resulting in better prioritization and measurable impact.
* This role is viewed as a trusted partner who balances day\-to\-day execution with long\-term product and platform evolution.
 **Candidate Requirements:****Required*** 10\+ years of experience in product management, with strong exposure to payments, merchant acquiring, credit card processing, or related financial systems.
* Experience building and delivering SaaS products, web applications, transactional systems, databases, and REST APIs.
* Working knowledge of onboarding flows, device configuration, business operations, cross\-sell mechanics, and adjacent payments ecosystems.
* Proven track record of delivering software products using agile/scrum methodologies.
* Experience working with global, distributed teams.
* Proficiency with Jira, Confluence, and standard productivity tools; familiarity with Figma, Lucidchart, or similar tools is a plus.
* Strong understanding of payments concepts including processing, pricing, reconciliation, and regulatory/compliance considerations.
* Excellent written and verbal communication skills, with comfort presenting to senior leaders and customers.
* Strong analytical and problem\-solving skills, with the ability to navigate ambiguity and drive creative, data\-informed solutions.
* Highly organized, able to manage multiple priorities, and motivated by helping customers, teams, and the business succeed.
 **Preferred*** 12\+ years of experience in payments, banking, or related financial technology domains.
* Degree in Engineering, Computer Applications, Business, or a related field.
* Experience applying or integrating artificial intelligence technologies within product workflows.
 **Work Environment \&amp; Culture:**
We believe that performance and experience go hand in hand \- an exceptional employee experience is earned through contribution. We are a results\-driven team, grounded in our core values: ownership, authenticity, service, trust, innovation, and camaraderie.  
Our culture is built for those who want to make an impact. We challenge each other to grow, celebrate progress, and support one another through shared goals and real connection. Whether you're building technology, serving clients, or supporting internal teams, you’ll be part of a company that empowers you to perform at your best and be known for results. **Compensation and Benefits:**
Compensation range: $115k\-$150k  
We invest in the whole employee \- personally and professionally. Our benefits package is designed to support your well\-being, growth, and success \- both inside and outside of work. **Financial Wellness*** Bonus programs
* 401(k) match
* Employee Stock Purchase Program (ESPP)
* HSA and FSA options
* Financial wellness resources and employee discount programs
 **Health \&amp; Well\-being*** Medical, dental, and vision coverage
* Mental health support for employees and dependents through Lyra Health
* Family planning and women’s health benefits through Carrot
* Gym membership reimbursement and virtual wellness programs (including yoga)
 **Time Off*** 3 weeks PTO to start, with unlimited PTO after year one
 **Growth \&amp; Development*** Education expense reimbursement
* Leadership development programs
* Certified Payments Professional (CPP) certification support
We believe great performance starts with feeling supported \- and we’ve built our benefits with that in mind. **Traditional Physical Requirements:*** Requires prolonged sitting, standing, bending, stooping and stretching.
* Requires the ability to lift 10 pounds.
* Requires eye\-hand coordination, manual dexterity and a normal range of hearing and vision (with or without correction).
Join our team at Priority Technology Holdings, Inc. and be part of a dynamic and innovative company that is transforming the financial technology landscape. Together, we can shape the future of payments and banking solutions while providing unmatched value to our clients.</t>
        </is>
      </c>
    </row>
    <row r="117">
      <c r="A117" t="inlineStr">
        <is>
          <t>in-4b508e90f6991341</t>
        </is>
      </c>
      <c r="B117" t="inlineStr">
        <is>
          <t>Program Manager</t>
        </is>
      </c>
      <c r="C117" t="inlineStr">
        <is>
          <t>Cisco</t>
        </is>
      </c>
      <c r="D117" t="inlineStr">
        <is>
          <t>indeed</t>
        </is>
      </c>
      <c r="E117">
        <f>HYPERLINK("https://www.indeed.com/viewjob?jk=4b508e90f6991341", "https://www.indeed.com/viewjob?jk=4b508e90f6991341")</f>
        <v/>
      </c>
      <c r="F117">
        <f>HYPERLINK("https://careers.cisco.com/global/en/job/2006251", "https://careers.cisco.com/global/en/job/2006251")</f>
        <v/>
      </c>
      <c r="G117" t="inlineStr">
        <is>
          <t>McLean, VA, US</t>
        </is>
      </c>
      <c r="H117" s="3" t="n">
        <v>46050</v>
      </c>
      <c r="I117" t="inlineStr">
        <is>
          <t>**The application window is expected to close on:** 02/28/2026Job posting may be removed earlier if the position is filled or if a sufficient number of applications are received.
Meet The Team
As our USPS Senior Manager, Seller and Leader Engagement, you will partner with cross\-functional teams driving initiatives that will have a material and strategic impact across the entire Americas Sales Organization. At Cisco, the Americas team consists of our Sales teams who support the US Federal Government, State and Local Government and Education (both K12 and Higher Education).
Your Impact
* Drive key initiatives identified by sales leadership including, but not limited to:
* Creating operational processes to manage and govern projects, metrics\&amp; key initiatives.
* Continuously evaluating and recommending alternative approaches or ways to improve the sales readiness process, sales incentives, goaling, and communications.
* Managing and orchestrating the US Public Sector Sales Readiness Processes. This includes strategic, fiscal and people planning to prepare for new year and mid\-year sales kick\-offs.
* Aligning direction to Cisco US Public Sector strategic priorities, providing support to Areas, Operations, Regions and Verticals.
* Leading change management efforts, including implementing new department processes and policies to internal stakeholders.
* Using your strong understanding of operations workflow processes, web tools and systems to improve efficiency and produce high\-quality work.
* Driving planning activities within committed timelines which includes defining roadmaps, facilitating decision\-making on priorities, event planning and organizational change.
* Establishing, measuring, and communicating key success metrics to the leadership team
Minimum Qualifications
* Strategic thinking, self driven with strong time management
* Very structured and organized in your approach with ability to plan work and prioritize effectively.
* Experience in budgeting, analysis, modeling and forecasting, including attention to detail and can effectively perform under time pressure.
* Implements integration of automation and analytics for continued process improvements.
* Demonstrated ability to execute, by measuring both quantitative and qualitative results
* Aligns and collaborates with executive team and key partners driving metrics, communications and objectives.
* Enhances effectiveness and efficiency through technology.
* Experienced in giving presentations or public speaking in a professional or educational setting, or ambition to do so.
* You desire to quickly acquaint to the US Public Sector market; relevant architectures, key players, business objectives and business challenges.
* DC Metro residence is required for this role. RTP, NC is a potential alternate location. Residing in one of these territories and US Citizenship are requirements for this role based on the customers you'll support and their business needs.
Preferred Qualifications
* PMP or similar certifications
* Bachelor’s degree in Project/Program Management or equivalent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$133,200\.00 to $168,800\.00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$146,100\.00 \- $229,600\.00
**Non\-Metro New York state\&amp; Washington state:**  
$133,200\.00 \- $221,400\.00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8">
      <c r="A118" t="inlineStr">
        <is>
          <t>in-d31ad4fceffc79a2</t>
        </is>
      </c>
      <c r="B118" t="inlineStr">
        <is>
          <t>Senior Director, Product Manager; AI in Product Management</t>
        </is>
      </c>
      <c r="C118" t="inlineStr">
        <is>
          <t>Information Technology Senior Management Forum</t>
        </is>
      </c>
      <c r="D118" t="inlineStr">
        <is>
          <t>indeed</t>
        </is>
      </c>
      <c r="E118">
        <f>HYPERLINK("https://www.indeed.com/viewjob?jk=d31ad4fceffc79a2", "https://www.indeed.com/viewjob?jk=d31ad4fceffc79a2")</f>
        <v/>
      </c>
      <c r="F118">
        <f>HYPERLINK("https://jobs.itsmfleaders.org/job/symv4t/senior-director-product-manager;-ai-in-product-management/mclean/va", "https://jobs.itsmfleaders.org/job/symv4t/senior-director-product-manager;-ai-in-product-management/mclean/va")</f>
        <v/>
      </c>
      <c r="G118" t="inlineStr">
        <is>
          <t>McLean, VA, US</t>
        </is>
      </c>
      <c r="H118" s="3" t="n">
        <v>46050</v>
      </c>
      <c r="I118" t="inlineStr">
        <is>
          <t>Posted Date
1/29/2026
Description
Senior Director, Product Manager; AI in Product Management
Product Management at Capital One is a booming, vibrant craft that requires reimagining the status quo, finding value creation opportunities, and driving innovative and sustainable customer experiences through technology. We have been elevating the product management job family at Capital One for the last several years, and now want to ensure that the tools and role evolves to leverage the full power of AI.
**About the Role:**
The role is a part of our EPX (Enterprise Product and Experience) top of house team working closely with the SVP on the Product Council who is the AE for AI in Product at Capital One.
The product manager will be responsible for defining the long\-term destination of product development in the age of AI at Capital One. In parallel, they will also ensure that we are equipping product managers across Capital One with the AI tools and training to maximize efficiency and effectiveness. Operating at the intersection of high\-level strategy and hands\-on execution, you will partner directly with Senior Executives across the Enterprise, local product teams experimenting with AI, and a dedicated Strategy team to architect a roadmap that balances bold, big\-picture thinking with immediate, actionable milestones. The mission is twofold: to establish a definitive future vision for AI integration and to act as a catalyst for accelerating AI adoption across the organization. We are looking for a seasoned product veteran who carries the gravitas to influence the C\-suite, possesses the organizational rigor of a program lead, and maintains a deep, personal passion for AI experimentation—someone who isn't just watching the AI shift happen but is actively rewriting the product management playbook.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9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strategy consulting, defining business strategies and delivering value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$245,100 \- $279,800 for Sr. Dir, Product Management  
McLean, VA: $269,600 \- $307,700 for Sr. Dir, Product Management  
New York, NY: $294,100 \- $335,700 for Sr. Dir, Product Management  
Richmond, VA: $245,100 \- $279,800 for Sr. Dir, Product Management  
San Francisco, CA: $294,100 \- $335,700 for Sr. Dir,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Director, Product Manager; AI in Product Management
Product Management at Capital One is a booming, vibrant craft that requires reimagining the status quo, finding value creation opportunities, and driving innovative and sustainable customer experiences through technology. We have been elevating the product management job family at Capital One for the last several years, and now want to ensure that the tools and role evolves to leverage the full power of AI.
**About the Role:**
The role is a part of our EPX (Enterprise Product and Experience) top of house team working closely with the SVP on the Product Council who is the AE for AI in Product at Capital One.
The product manager will be responsible for defining the long\-term destination of product development in the age of AI at Capital One. In parallel, they will also ensure that we are equipping product managers across Capital One with the AI tools and training to maximize efficiency and effectiveness. Operating at the intersection of high\-level strategy and hands\-on execution, you will partner directly with Senior Executives across the Enterprise, local product teams experimenting with AI, and a dedicated Strategy team to architect a roadmap that balances bold, big\-picture thinking with immediate, actionable milestones. The mission is twofold: to establish a definitive future vision for AI integration and to act as a catalyst for accelerating AI adoption across the organization. We are looking for a seasoned product veteran who carries the gravitas to influence the C\-suite, possesses the organizational rigor of a program lead, and maintains a deep, personal passion for AI experimentation—someone who isn't just watching the AI shift happen but is actively rewriting the product management playbook.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9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strategy consulting, defining business strategies and delivering value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$245,100 \- $279,800 for Sr. Dir, Product Management  
McLean, VA: $269,600 \- $307,700 for Sr. Dir, Product Management  
New York, NY: $294,100 \- $335,700 for Sr. Dir, Product Management  
Richmond, VA: $245,100 \- $279,800 for Sr. Dir, Product Management  
San Francisco, CA: $294,100 \- $335,700 for Sr. Dir,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245,100\.00 \- 279,800\.00 Annual
Type
Full\-time</t>
        </is>
      </c>
    </row>
    <row r="119">
      <c r="A119" t="inlineStr">
        <is>
          <t>in-aeccf68eeadf76a6</t>
        </is>
      </c>
      <c r="B119" t="inlineStr">
        <is>
          <t>Digital Sales Program Manager</t>
        </is>
      </c>
      <c r="C119" t="inlineStr">
        <is>
          <t>Information Technology Senior Management Forum</t>
        </is>
      </c>
      <c r="D119" t="inlineStr">
        <is>
          <t>indeed</t>
        </is>
      </c>
      <c r="E119">
        <f>HYPERLINK("https://www.indeed.com/viewjob?jk=aeccf68eeadf76a6", "https://www.indeed.com/viewjob?jk=aeccf68eeadf76a6")</f>
        <v/>
      </c>
      <c r="F119">
        <f>HYPERLINK("https://jobs.itsmfleaders.org/job/5bb7tv/digital-sales-program-manager/charlotte/nc", "https://jobs.itsmfleaders.org/job/5bb7tv/digital-sales-program-manager/charlotte/nc")</f>
        <v/>
      </c>
      <c r="G119" t="inlineStr">
        <is>
          <t>Charlotte, NC, US</t>
        </is>
      </c>
      <c r="H119" s="3" t="n">
        <v>46050</v>
      </c>
      <c r="I119" t="inlineStr">
        <is>
          <t>Posted Date
1/29/2026
Description
**Language Fluency:** English (Required)
**Work Shift:**
1st shift (United States of America)**Job Grade:**
113**Please review the following job description:**
Provides oversight and leadership on digital sales and marketing program performance and routines.
Influences and leads sales funnel health analysis and optimization opportunities. Key contributor in developing performance measures and goals.  
Evaluates investment opportunities to meet strategic objectives and optimize the program or project portfolio.**ESSENTIAL DUTIES AND RESPONSIBILITIES**
Following is a summary of the essential functions for this job. Other duties may be performed, both major and minor, which are not mentioned below. Specific activities may change from time to time.
1\. Plans and coordinates closely with LOB/function managers and subject matter experts. Ensures that business cases are developed for budgeting, planning, and tracking revenue and/or expense.
2\. Works closely with, and provides direction to technology leads to support program needs.
3\. Ensures that program activities are on a path to deliver benefits realization.
4\. Installs an appropriate risk management plan for the program and ensures adherence to company and unit requirements.
5\. Proactively challenge the performance of current systems and processes and identifies risks and develops solutions and/or processes and ensures necessary risk mitigation steps are built into the processes. Readily recognizes solution and determines at what point issues require escalation to management.
7\. Leads teams or multiple teams of internal and/or external resources on a project basis.
8\. Provides project\-related performance evaluations on project resources.
8\. Analyzes and collectively manages variances to the program plan and overall portfolio and makes recommendation and/or creates action plan to mitigate negative variances or to resolve issues.
9\. Prepares dashboard reporting to identify and communicate the health of the project portfolio for use by key executives.
**QUALIFICATIONS**
**Required Qualifications:**
The requirements listed below are representative of the knowledge, skill and/or ability required. Reasonable accommodations may be made to enable individuals with disabilities to perform the essential functions.
1\. Bachelor’s degree in a relevant field, or an equivalent combination of education and work experience
2\. Ten years progressive related experience in either a consulting, project management or process improvement related role
3\. Strong skills and experience in issue resolution, influencing team members and other stakeholders, conducting difficult negotiations and managing to stringent timelines for project deliverables
4\. Demonstrated superior understanding of business and technology organization, resources, priorities, needs and policies
5\. Demonstrated leadership in the implementation of complex programs and projects
6\. Ability to bring clarity to ambiguous assignments
7\. Demonstrated executive level verbal and written communication skills
8\. Superior working knowledge of business matters, finance, planning, and forecasting
9\. Strong skills in MS Office Suite (PowerPoint, Excel, Word, Visio, Project)
**Preferred Qualifications:**
1\. Advanced degree in a relevant field of work (e.g., MBA). PMP and/or PgMP
2\. Experience with digital sales organizations and reporting platforms
3\. Experience implementing large/complex initiatives across a matrix organization
4\. In\-depth knowledge of management and planning systems theory and practical application to complex initiatives
5\. Experience with financial measurements and metrics
6\. Financial Services experience
7\. Knowledge of business unit’s mission and processes
8\. Experience implementing large/complex initiatives across a matrix organization.
**OTHER JOB REQUIREMENTS / WORKING CONDITIONS**
**Sitting**
Constantly (More than 50% of the time)
**Standing**
Occasionally (Less than 25% of the time)
**Walking**
Occasionally (Less than 25%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Type
Full\-time</t>
        </is>
      </c>
    </row>
    <row r="120">
      <c r="A120" t="inlineStr">
        <is>
          <t>in-0639b5375d5079ed</t>
        </is>
      </c>
      <c r="B120" t="inlineStr">
        <is>
          <t>Learning and Development Program Manager - Leadership Development</t>
        </is>
      </c>
      <c r="C120" t="inlineStr">
        <is>
          <t>Ferguson</t>
        </is>
      </c>
      <c r="D120" t="inlineStr">
        <is>
          <t>indeed</t>
        </is>
      </c>
      <c r="E120">
        <f>HYPERLINK("https://www.indeed.com/viewjob?jk=0639b5375d5079ed", "https://www.indeed.com/viewjob?jk=0639b5375d5079ed")</f>
        <v/>
      </c>
      <c r="F120">
        <f>HYPERLINK("https://ferguson.wd1.myworkdayjobs.com/Ferguson_Experienced/job/Remote/Learning---Development-Program-Manager---Leadership-Development_R-132924-1?source=Indeed", "https://ferguson.wd1.myworkdayjobs.com/Ferguson_Experienced/job/Remote/Learning---Development-Program-Manager---Leadership-Development_R-132924-1?source=Indeed")</f>
        <v/>
      </c>
      <c r="G120" t="inlineStr">
        <is>
          <t>Remote, US</t>
        </is>
      </c>
      <c r="H120" s="3" t="n">
        <v>46050</v>
      </c>
      <c r="I120" t="inlineStr">
        <is>
          <t>**Job Posting:**
Since 1953, Ferguson has been a source of quality supplies for a variety of industries. Together We Build Better infrastructure, better homes and better businesses. We exist to make our customers’ complex projects simple, successful, and sustainable. We proactively solve problems, adapt and grow to continuously serve our customers, communities and each other. Ferguson, a Fortune 500 company, is proud to provide best\-in\-class products, service and capabilities across the following industries: Commercial/Mechanical, Facilities Supply, Fire and Fabrication, HVAC, Industrial, Residential Trade, Residential Building and Remodel, Waterworks and Residential Digital Commerce. Ferguson has approximately 36,000 associates across 1,700 locations. Ferguson is a community of proud associates who operate with the shared purpose of building something meaningful. You will build a career that you are proud of, at a company you can believe in.
The **Learning and Development Program Manager \- Leadership Development** is responsible for designing and delivering learning programs that support a specific business function or capability area. This role partners closely with mid\- to senior\-level business and HR partners to assess needs, develop solutions, and measure outcomes.
With 3–5 years of experience in program design, learning strategy, or business enablement, the Program Manager handles end\-to\-end learning efforts, including timelines, vendor coordination, content oversight, and partner engagement. The role requires strong program management skills and the ability to drive improvement cycles while contributing to broader team priorities.
Success is defined by the delivery of well\-executed programs that build capability, improve performance, and align with business goals. In addition to owning their own programs, the Program Manager also supports select cross\-functional learning efforts and plays a key role in ensuring consistency, quality, and impact across the broader learning portfolio.
**Location:**
This role is approved to be either Remote within the United States or Hybrid for associates in Newport News, VA, in accordance with company policy.
**Responsibilities:**
* Design and deliver learning programs aligned to business needs and capability goals.
* Partner with HR, business leaders, and internal teams to identify learning priorities.
* Handle timelines, communications, vendor coordination, and delivery readiness.
* Monitor program performance and make improvements based on data and feedback.
* Collaborate with instructional design and facilitation teams to bring programs to life.
* Implement learning strategies for a specific business area or function.
* Partner with mid\- to senior\-level business and HR collaborators.
* Own program outcomes and improvement cycles; contributes to team\-level priorities.
* Handle end\-to\-end learning programs and supports select cross\-functional efforts.
* Drive capability and performance outcomes through well\-executed learning programs.
* Translate business needs into practical, aligned programs.
* Build strong relationships with HR and business partners.
* Balance timelines, scope, and resources across multiple programs.
* Coordinate with internal teams and vendors to implement program plans.
* Use feedback and measurement to guide improvement.
* Understand how learning connects to performance and goals.
* Clearly convey plans, outcomes, and learning strategy to diverse audiences.
**Qualifications:**
* Bachelor's degree or equivalent work experience required.
* 3–5 years proven experience in program design, learning strategy, or business enablement or related roles.
* Certifications in coaching, talent development, or program management are a plus.
* Up 6\+ years of progressive experience in talent management, learning and development or organizational development ideal.
* Proven experience designing and managing enterprise\-wide talent or leadership programs ideal.
* Experience working in large, matrixed organizations and partnering with senior HR and business leaders.
At Ferguson, we care for each other. We value our well\-being just as much as our hard work. We are committed to a holistic approach towards benefits plans and programs that support the mental, physical and financial well\-being of our associates. Our competitive offering not only includes benefits like health, dental, vision, paid time off, life insurance and a 401(k) with a company match, but our associates also enjoy additional meaningful and inclusive enhancements that are adaptable to their diverse situations and needs, including mental health coverage, gender affirming and family building benefits, paid parental leave, associate discounts, community involvement opportunities and more!
* 
**Pay Range:**
* 
*Actual pay rate may vary depending upon location. The estimated pay range for this position is below. The specific rate will depend on a candidate’s qualifications and prior experience.*
* 
$5,608\.34 \- $8,975\.00* 
***Estimated Ranges displayed are Monthly for Salaried roles*** **OR** ***Hourly for all other roles.***
* 
This role is Bonus or Incentive Plan eligible.
* 
Ferguson complies with all wage regulations. The starting wage may be higher in certain locations based on local or state wage requirements.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is>
      </c>
    </row>
    <row r="121">
      <c r="A121" t="inlineStr">
        <is>
          <t>in-5c75c2c9d7033b5c</t>
        </is>
      </c>
      <c r="B121" t="inlineStr">
        <is>
          <t>Principal Digital Product Manager; D365 Supply Chain</t>
        </is>
      </c>
      <c r="C121" t="inlineStr">
        <is>
          <t>Caterpillar</t>
        </is>
      </c>
      <c r="D121" t="inlineStr">
        <is>
          <t>indeed</t>
        </is>
      </c>
      <c r="E121">
        <f>HYPERLINK("https://www.indeed.com/viewjob?jk=5c75c2c9d7033b5c", "https://www.indeed.com/viewjob?jk=5c75c2c9d7033b5c")</f>
        <v/>
      </c>
      <c r="F121">
        <f>HYPERLINK("https://careers.caterpillar.com/en/jobs/r0000346764/principal-digital-product-manager-d365-supply-chain/", "https://careers.caterpillar.com/en/jobs/r0000346764/principal-digital-product-manager-d365-supply-chain/")</f>
        <v/>
      </c>
      <c r="G121" t="inlineStr">
        <is>
          <t>Mesa, AZ, US</t>
        </is>
      </c>
      <c r="H121" s="3" t="n">
        <v>46050</v>
      </c>
      <c r="I121"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Caterpillar is seeking a well\-qualified Principal Digital Product Manager; Dynamics 365 Supply Chain, who will be responsible for supporting the supply chain functional needs of the Caterpillar Enterprise Resource Platform (ERP) template for our Caterpillar Dealers. The Caterpillar ERP solution will be built using Microsoft Dynamics 365 Supply Chain Management (SCM) and aims to optimize dealer operations by improving demand forecasting, inventory visibility, warehouse automation, procurement efficiency, and logistics management.
The Caterpillar ERP template seeks to transform our operations by equipping our Dealers with a modern, data\-driven supply chain management solution that enhances operational efficiency, inventory accuracy, and global supply chain agility.
**What You Will Do:**
**Product Vision \&amp; Strategy:**
* Define and communicate the product vision, roadmap, and release plans for D365 Supply Chain aligned with business goals and SCM priorities.
**Supply Chain System Ownership**
* Own, prioritize, and manage the D365 Supply Chain product backlog with a focus on demand planning, procurement, inventory, warehousing, and logistics optimization. Stay current with Microsoft D365 Supply Chain updates and recommend features that enhance dealer supply chain processes.
**Requirements Definition**:
* Collaborate with Caterpillar, Caterpillar Dealers, and business stakeholders to elicit, analyze, and document complex business requirements, translating them into actionable specifications.
* Partner with Microsoft and our Systems Implementation Partner to translate requirements into user stories and acceptance criteria tailored for our industry.
* Act as the voice of the Dealer throughout the development process, ensuring the requirements from our stakeholders and end\-users are incorporated into the application solution.
* Ensure all aspects of Dealers supply chain processes are covered by the capabilities within the Cat Dealer Supply Chain product.
* Coordinate with other product managers for cross\-functional requirements and roadmap planning to deliver Dealer Business Processes.
**Delivery and Execution:**
* Oversee the Supply Chain implementation to ensure it meets specifications and Caterpillar quality, security and usability standards.
* Participate in acceptance testing and training of the application with stakeholders throughout the product lifecycle.
* Certify the Supply Chain product (and capabilities) meets acceptance criteria, while prioritizing / remediating any issues through release cycles.
* Demonstrate and create demo materials showcasing the CAT Supply Chain template functionality.
**Release Management:**
* Coordinate and validate business requirements to support timely and high\-quality software releases.
* Facilitate sprint planning, backlog refinement, and stakeholder communication to ensure business value delivery.
* Partner with cross\-functional teams to manage release dependencies, clarify requirements, and maintain alignment throughout the development cycle.
**Stakeholder Management**:
* Build and maintain strong relationships with key stakeholders, including Cat Digital leads, external vendors and Caterpillar Dealers.
**Change Management**:
* Work in conjunction with the Dealer Advisory Board to identify opportunities to improve Dealer processes, drive operational consistency through the Supply Chain template and identify change management requirements for the Dealers.
**User Training:**
* Collaborate with training departments to deliver user training programs, provide ongoing support and address user issues / enhancement requests.
**Support:**
* Collaborate and produce product documentation for the Supply Chain application with the Support team to generate adequate support materials, workflows and playbooks to ensure Dealer use and understanding of the product. Additionally, assist in resolving or remediating issues as needed.
**What You Will Have:**
**ERP \&amp; Systems Knowledge** **(MS Dynamics 365 Supply Chain focus)**
* Hands\-on experience with Microsoft Dynamics 365 Supply Chain (or related SCM platforms) in a product or process leadership role.
* Understanding of Supply Chain configuration, security, and integrations with related systems.
* Awareness of Microsoft release cycles and ability to assess new features for business value.
* Knowledge of Supply Chain product lifecycle management, including adoption and change management.
**Business Analysis:**
* Strong understanding of supply chain operations: demand planning, procurement, inventory optimization, warehouse workflows, transportation, and order fulfillment.
* Ability to identify gaps in SCM processes and design system\-driven solutions.
* Experience supporting KPIs such as order accuracy, lead time reduction, and inventory turnover.
**Decision Making and Critical Thinking:**
* Analytical skills to interpret supply chain data/performance metrics and identify opportunities for process improvement.
* Ability to support SCM leadership with actionable insights for cost optimization and operational agility.
* Familiarity with reporting tools (e.g., Power BI, Dynamics 365 dashboards) for supply chain performance.
**Effective Communications:**
* Ability to translate technical requirements into business\-friendly terms.
* Skilled at facilitating workshops, demos, and discussions with supply chain, IT, and dealer stakeholders.
* Strong presentation and negotiation skills to align diverse stakeholders.
* Collaborative approach to building consensus and driving adoption across departments.
**Software Problem Management:**
* Documents resolution progress and provides feedback to customers.
* Describes issues and consideration for resolving problems involving other products or vendors.
* Works with tracking and resolving common types of problems, providing examples and follows proper notification and escalation procedures when needed.
**Software Product Business Knowledge:**
* Proven experience owning a product backlog, defining roadmaps, and managing releases.
* Skilled in writing clear user stories and acceptance criteria based on stakeholder input.
* Comfortable leading sprint planning, reviews, and retrospectives with cross\-functional teams.
* Ability to balance competing priorities and ensure alignment with business objectives.
**Considerations For Top Candidates:**
* Participates in User Acceptance Testing (UAT).
* Software Product Management
* Bachelor’s degree in Supply Chain, Business Administration, Information Systems, or equivalent experience.
* Experience as a Product Owner, Supply Chain Analyst, or Supply Chain Process Lead.
* Proven knowledge of supply chain and support processes: demand planning, procurement, inventory, warehousing automation, and order fulfillment.
* Familiarity with global dealer networks, manufacturing, or industrial supply chain operations best practices.
* Agile/Scrum experience with system enhancement delivery.
* Strong leadership in working within a cross\-functional organization to coordinate development, dependencies and risks for product delivery
* Experience in Dealer and / or Rental industry is a plus.
**Additional Details:**  
Ability to travel up to 20% \- typically to Cat Digital hubs and/or Dealers in various regions
**Summary Pay Range:**
$147,760\.00 \- $240,110\.00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29, 2026 \- February 15,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22">
      <c r="A122" t="inlineStr">
        <is>
          <t>in-af3ecb842ee57998</t>
        </is>
      </c>
      <c r="B122" t="inlineStr">
        <is>
          <t>Clinical Program Manager</t>
        </is>
      </c>
      <c r="C122" t="inlineStr">
        <is>
          <t>CentraState Healthcare System</t>
        </is>
      </c>
      <c r="D122" t="inlineStr">
        <is>
          <t>indeed</t>
        </is>
      </c>
      <c r="E122">
        <f>HYPERLINK("https://www.indeed.com/viewjob?jk=af3ecb842ee57998", "https://www.indeed.com/viewjob?jk=af3ecb842ee57998")</f>
        <v/>
      </c>
      <c r="F122">
        <f>HYPERLINK("https://careers-centrastate.icims.com/jobs/16525/job?utm_source=indeed_integration&amp;iis=Job%20Board&amp;iisn=Indeed&amp;indeed-apply-token=73a2d2b2a8d6d5c0a62696875eaebd669103652d3f0c2cd5445d3e66b1592b0f", "https://careers-centrastate.icims.com/jobs/16525/job?utm_source=indeed_integration&amp;iis=Job%20Board&amp;iisn=Indeed&amp;indeed-apply-token=73a2d2b2a8d6d5c0a62696875eaebd669103652d3f0c2cd5445d3e66b1592b0f")</f>
        <v/>
      </c>
      <c r="G122" t="inlineStr">
        <is>
          <t>Freehold, NJ, US</t>
        </is>
      </c>
      <c r="H122" s="3" t="n">
        <v>46050</v>
      </c>
      <c r="I122" t="inlineStr">
        <is>
          <t>Overview:
Leads and coordinates quality and regulatory initiatives across service lines to ensure compliance, optimize clinical outcomes, and maintain financial sustainability. This role drives evidence\-based practices, manages data registries and dashboards, translates complex regulatory requirements into actionable strategies, and fosters multidisciplinary collaboration to implement innovative solutions aligned with organizational goals.
Responsibilities:
* Directs and coordinates activities of project to ensure project progresses on schedule and within prescribed budget
* Implements evidence\-based guidelines from committee and data abstraction.
* Manages quality initiatives for service lines impacted by governmental reimbursement models
* Coordinates efforts and activities required to achieve and maintain The Joint Commission Advanced Disease Specific Care Certifications, TEAMS (Transforming Episode Accountability Model) and AJRR (American Joint Replacement Registry).
* Assures data meets all requirements from regulatory agencies and service line societies
* Maintains AJRR Data Registry – abstracts data, reports outcomes and drives change with multidisciplinary teams
* Provides meaningful clinical insight on quality initiatives based on report outcomes
* Maintains dashboards for Service lines impacted by governmental reimbursement models
* Collaborates with providers and team members to drive quality initiatives
* Partners with Finance team to meet expected measure to avoid financial hardship
* Promotes innovation within clinical practice and seeks opportunities to bring new clinical knowledge into practice
* Chairs collaborative team meetings to identify focus items and initiate change
* Develops and executes a multi\-year regulatory strategy aligned with organizational goals
* Prioritizes regulatory initiatives based on risk, impact, and resource availability
* Translates complex regulatory requirements into clear, actionable plans for cross\-functional teams.
Program \&amp; Project Oversight* Leads and manages multiple concurrent regulatory projects from planning through implementation
* Establishes project timelines, milestones, and performance metrics to ensure on\-time delivery
* Conducts regular reviews to track progress, resolve barriers, and reallocate resources as needed.
Qualifications:
* BSN required.
* NJ RN license required
* Minimum of 5 years of clinical experience as a Registered Professional Nurse
* Project management and data abstraction experience preferred
* Three to five years of experience supporting multiple, complex health\-care clinical projects, with progressively increasing responsibility, including at least two years of leading projects.
* Knowledge of CMS payment reimbursement models, readmission task forces, accreditation submission and physician support for jump starting new initiatives.
* Successful track record of project results demonstrating effective project leadership and meeting deadlines.
* Demonstrated knowledge of project management methodology, System Development Life Cycle, budgetary practices, procurement, and contracting.
* Excellent interpersonal, communication, leadership and change management skills to establish and maintain positive and productive working relationships.
About Us:
CentraState Healthcare System, in partnership with Atlantic Health System, is a fully accredited, not\-for\-profit, community\-based health system dedicated to providing comprehensive health services in central New Jersey. Beyond offering a wide range of advanced diagnostic and treatment options, CentraState is committed to being a valuable health partner, focusing on disease prevention, promoting healthy behaviors, and helping individuals of all ages live well.
Located in Freehold, CentraState includes a 284\-bed acute\-care hospital, a dynamic health and wellness campus, two award\-winning senior living communities, a charitable foundation, and convenient satellite health pavilions. These pavilions offer primary care, specialty physician practices, and access to outpatient services such as lab work and physical therapy.
CentraState is proud to be among the less than two percent of hospitals nationwide to earn Magnet® designation for nursing excellence five times. Additionally, it has been recognized as a Great Place to Work\-Certified™ Company by Great Place to Work® for four consecutive years.
Joining CentraState means becoming part of a pioneering healthcare facility committed to high\-quality, patient\-focused care. We invite you to make a difference in our community and advance your career with us. We support our employees with work/life balance initiatives, tuition assistance, career advancement opportunities, and more.
Discover why our employees love their jobs and being part of the CentraState family!
CentraState Health System offers a competitive and comprehensive Total Rewards package that supports the health, financial security, and well\-being of all team members.
What We Offer:
* Medical, Dental, Vision, Prescription Coverage (30 hours per week or above for full\-time and part\-time team members)
* Life \&amp; AD\&amp;D Insurance
* Long\-Term Disability (with options to supplement)
* 403(b) Retirement Plan with employer match
* 401(a) Retirement Plan with employer contribution
* PTO
* Tuition Reimbursement
* Well\-Being Rewards
* Employee Assistance Program (EAP)
* Fertility Coverage, Healthy Pregnancy Program
* Flexible Spending \&amp; Commuter Accounts
* Pet, Home \&amp; Auto, Identity Theft and Legal Insurance
* Growth Opportunity and Workforce Development Initiatives
* Continuing Education / Onsite Training
* A warm, welcoming company culture based upon mutual respect and a collaborative goal of providing excellent patient care
* Concierge Services with Work \&amp; Family Benefits
* Magnet recognized healthcare facility
Compensation Range: $93,600 \- $159,120 annually
The compensation above reflects the established range from CentraState Healthcare System (CSHS) for this position at the time the job was posted. CSHS considers many factors to determine compensation, including education, experience, skills, licenses, certification, and training. As such, team member compensation may fall outside this range.
Additionally, the compensation range reflects base salary and does not include extra shift rates or incentives tied to quality, productivity, etc., as applicable.
The benefits outlined also reflect CSHS’ policy at the time of posting. Benefits as are made available to other similarly situated team members of CSHS, although participation is at all times in accordance with and subject to the eligibility and other provisions of such plans and programs. CSHS may modify its benefits plans or programs at any time.
CSHS is proud to comply with all pay equity and pay transparency laws.</t>
        </is>
      </c>
    </row>
    <row r="123">
      <c r="A123" t="inlineStr">
        <is>
          <t>in-6773743670bce05c</t>
        </is>
      </c>
      <c r="B123" t="inlineStr">
        <is>
          <t>Senior Risk Program Manager</t>
        </is>
      </c>
      <c r="C123" t="inlineStr">
        <is>
          <t>Banner Health</t>
        </is>
      </c>
      <c r="D123" t="inlineStr">
        <is>
          <t>indeed</t>
        </is>
      </c>
      <c r="E123">
        <f>HYPERLINK("https://www.indeed.com/viewjob?jk=6773743670bce05c", "https://www.indeed.com/viewjob?jk=6773743670bce05c")</f>
        <v/>
      </c>
      <c r="F123">
        <f>HYPERLINK("https://jsv3.recruitics.com/redirect?rx_cid=3417&amp;rx_jobId=R4431002&amp;rx_url=https%3A%2F%2Fbannerhealth.wd108.myworkdayjobs.com%2FCareers%2Fjob%2FBUMC-Tucson-1625-N-Campbell-Ave%2FSenior-Risk-Program-Manager_R4431002%3Frx_campaign%3Dindeed0%26rx_ch%3Djobp4p%26rx_group%3D121432%26rx_id%3D13347dcd-fd30-11f0-83d1-7781639f49e6%26rx_job%3DR4431002%26rx_medium%3Dcpc%26rx_r%3Dnone%26rx_source%3DIndeed%26rx_ts%3D20260130T000034Z%26rx_vp%3Dcpc%26source%3DBannerAT6", "https://jsv3.recruitics.com/redirect?rx_cid=3417&amp;rx_jobId=R4431002&amp;rx_url=https%3A%2F%2Fbannerhealth.wd108.myworkdayjobs.com%2FCareers%2Fjob%2FBUMC-Tucson-1625-N-Campbell-Ave%2FSenior-Risk-Program-Manager_R4431002%3Frx_campaign%3Dindeed0%26rx_ch%3Djobp4p%26rx_group%3D121432%26rx_id%3D13347dcd-fd30-11f0-83d1-7781639f49e6%26rx_job%3DR4431002%26rx_medium%3Dcpc%26rx_r%3Dnone%26rx_source%3DIndeed%26rx_ts%3D20260130T000034Z%26rx_vp%3Dcpc%26source%3DBannerAT6")</f>
        <v/>
      </c>
      <c r="G123" t="inlineStr">
        <is>
          <t>Tucson, AZ, US</t>
        </is>
      </c>
      <c r="H123" s="3" t="n">
        <v>46049</v>
      </c>
      <c r="I123" t="inlineStr">
        <is>
          <t>**Primary City/State:**
Tucson, Arizona**Department Name:**
Clinical Risk Mgmt \&amp; Ptnt Rel**Work Shift:**
Day**Job Category:**
Risk, Quality and Safety
You have a place in the health care industry. At Banner Health, caring for people is at the core of all we do. We are committed to fostering a strong, inclusive culture where every team member feels valued and supported. If that sounds like something you want to be a part of \- apply today!
In this role you will investigate and manage real time patient events to assess harm, liability and opportunities to collaborate with other corporate teams for process improvement and development of best practice. The ideal candidate will have a strong clinical background preferably in critical care and prior risk, patient safety or quality experience.
 **This position is hybrid at BUMC Tucson working Monday\-Friday, 8am\-5pm.**
Within Banner Health Corporate, you will have the opportunity to apply your unique experience and expertise in support of a nationally\-recognized healthcare leader. We offer stimulating and rewarding careers in a wide array of disciplines. Whether your background is in Human Resources, Finance, Information Technology, Legal, Managed Care Programs or Public Relations, you'll find many options for contributing to our award\-winning patient care.
POSITION SUMMARY  
This position is responsible for the assigned entity’s risk management activities, which includes, but may not be limited to a general knowledge of corporate insurance programs, administering the risk management program on a day\-to\-day basis, managing and analyzing risk management data and conducting risk management educational programs, complying with risk management related standards by The Joint Commission (TJC) and other accrediting and regulatory agencies, all with the objective of enhancing and promoting patient safety and quality of care, and minimizing loss to protect the assets of the organization. This individual is responsible for reviewing and formulating policy or organizational changes and making recommendations for final approval by senior management. While the Senior Risk Manager position may be responsible for the functions in the Risk Manager and Risk Specialist job descriptions, this position most often supervises and offers overall program direction to the Risk Manager and Risk Specialist. Oversees budget development for assigned entities and obtains management approval.  
CORE FUNCTIONS  
1\. Has full responsibility for operations of the risk management program that may include an enterprise liability approach to exposures. Plans and implements a program for both loss prevention and loss control at assigned entities, and a comprehensive orientation program; those programs will be directed to all current and future employees, physicians, and residents to advise them of their responsibilities, obligations, and part in the facility’s risk management program. Maintains awareness of legislative activities that may affect risk management programs in assigned entities and participates in the legislative process.  
2\. Develops, implements and monitors risk management plans for assigned entities. Develops and monitors progress on annual entity\-specific risk management goals. Conducts systems analyses to uncover and identify patterns that could result in compensable events. Designs and implements risk management surveys and studies; conducts surveys, studies, and special projects to assist in long\-term planning and changes to facility policies and systems that reduce risk and losses. Participates in new business development activities by providing due diligence on new ventures/acquisitions.  
3\. Assumes an active role in planning and decision making efforts through membership in various entity committees: hospital, clinic, and ambulatory. Provides consultative advice to senior management, administrators, physicians, relevant internal department, nurses, and other personnel regarding patient safety and risk management issues. Works with Medical Staff Services to develop and maintain risk management profiles on physicians and integrates that information into the credentialing process in compliance with state and federal agencies, TJC and/or other accrediting bodies, and institutional requirements.  
4\. Informs service line and department directors of occurrences, issues, findings and risk management recommendations; provides feedback to directors at all levels in an effort to eliminate risks; assists clinical chairs and department heads in designing risk management programs within their departments. Works in conjunction with the patient safety officer, service excellence, and management in the investigation of potential or actual events/concerns. Participates in root cause analysis investigation and reporting of adverse drug events and sentinel events to the appropriate parties. Provides assistance to departments in complying with TJC or other accrediting agencies, regarding risk management related standards.  
5\. Directs loss control/loss prevention activities and reports results to senior administration. Supervises the statistical trending of losses and analyzes patterns. Provides analysis of risk data for all levels of management. Participates in Case Reviews to identify emerging issues in the defense of claims.  
6\. Responds to professional liability and facility liability questions posed by physicians, nurses, and other personnel. Leads development of organization\-wide approach on disclosure of medical errors and obtains physician support. Answers inquiries of physicians, nurses, and administrators regarding emergent patient care issues to minimize risk and control loss. Assist in resolving treatment issues, including patient decisions made against medical advice (AMA), refusals of treatment, and consent issues; initiates court orders as appropriate via in\-house and outside legal counsel. Responsible for being on call as scheduled.  
7\. Recommends appropriate revisions to new or existing policies and procedures to reduce the frequency of future occurrences; recommends ways to minimize risks through system changes; reviews and revises facility policies as appropriate to maintain adherence to current standards. In litigated claims, assists Banner Health Claims team and legal counsel in accessing facility records and personnel. Directs and coordinates release of records and information in response to subpoenas, court orders, attorney requests, state and federal agency investigations, and other inquiries from outside sources.  
8\. Analyzes the risk of loss versus cost of reducing risk. Supervises accumulation of risk management cost data for budgetary and historical purposes: prepares budgets for departmental operations for approval by Regional Risk Manager.  
9\. Internal customers include senior management at assigned entities, patients and their families, administrators, physicians, relevant department heads, all types of employees, Business Health area claims managers, regional leaders, and the organization as a whole. External customers include federal agencies, the legal system such as the judiciary, outside legal counsel; state agencies, various professional boards; state and local law enforcement agencies; physicians and other health care providers.  
MINIMUM QUALIFICATIONS  
Must possess a knowledge of risk management as normally obtained through a bachelor’s degree in nursing or related field.  
ARM, CPHRM, DFASHRM, CPCU. CPHRM is required within one year of hire.  
Requires 6 – 9 years in Risk Management or equivalent experience. Must demonstrate and apply knowledge of federal and state statutes specific to health care, medical terminology and hospital or department policies, procedures and practices.  
Must possess strong written and oral communications skills, presentation skills, team player, ability to influence change without direct authority, and negotiation skills. Requires ability to manage and negotiate in emotional and confrontational situations, with sensitivity to operations and culture of facilities and organization as a whole.  
PREFERRED QUALIFICATIONS
RN preferred.  
ARM, CPHRM, DFASHRM, CPCU.  
Additional related education and/or experience preferred.
**EEO Statement:**
EEO/Disabled/Veterans
Our organization supports a drug\-free work environment.
**Privacy Policy:**
Privacy Policy</t>
        </is>
      </c>
    </row>
    <row r="124">
      <c r="A124" t="inlineStr">
        <is>
          <t>in-d333f0782b5572f0</t>
        </is>
      </c>
      <c r="B124" t="inlineStr">
        <is>
          <t>Principal Program Manager</t>
        </is>
      </c>
      <c r="C124" t="inlineStr">
        <is>
          <t>Oracle</t>
        </is>
      </c>
      <c r="D124" t="inlineStr">
        <is>
          <t>indeed</t>
        </is>
      </c>
      <c r="E124">
        <f>HYPERLINK("https://www.indeed.com/viewjob?jk=d333f0782b5572f0", "https://www.indeed.com/viewjob?jk=d333f0782b5572f0")</f>
        <v/>
      </c>
      <c r="F124">
        <f>HYPERLINK("https://eeho.fa.us2.oraclecloud.com/hcmUI/CandidateExperience/en/sites/CX_1/job/324621", "https://eeho.fa.us2.oraclecloud.com/hcmUI/CandidateExperience/en/sites/CX_1/job/324621")</f>
        <v/>
      </c>
      <c r="G124" t="inlineStr">
        <is>
          <t>US</t>
        </is>
      </c>
      <c r="H124" s="3" t="n">
        <v>46049</v>
      </c>
      <c r="I124" t="inlineStr">
        <is>
          <t>o Track record in analytical, deal\-focused roles
o 3\- 8 plus years in analytical and/or deal driven healthcare work, including healthcare investment banking, consulting, venture capital or partnerships
o Must have a healthcare background
o Demonstrable experience in evaluating new market opportunities and managing cross\-functional teams to bring large deals or projects to close
* Quantitative and strategic skills
o Financial modeling, market sizing, and ROI analysis
o Excellent excel and written presentation skills
Lead strategic partnership deals for the Oracle Health platform, focusing on structured, analytical deal execution. Responsibilities include:
* Partnership Strategy \&amp; Identification
o Research and assess new markets and partner segments.
o Generate and evaluate high\-potential partnership ideas.
* Business Case Development \&amp; Analysis
o Build rigorous financial models assessing financial contribution of new partnerships, including identifying and segmenting target markets
o Analyze partner business models relative to Oracle Health’s to define mutually beneficial deal structures.
o Quantify ROI, forecast revenue impact, and present recommendations to leadership.
* Deal Execution and Cross Functional Leadership
o Lead cross\-functional deal teams (Product, Licensing, Legal, Clinical, Strategy, Executives) to ensure alignment and timeline management
o Draft internal and external documents that outline partnership structures and opportunities.
o Partner with licensing and legal teams to advocate for ideal contracting terms
o Maintain ongoing records of new and ongoing partners</t>
        </is>
      </c>
    </row>
    <row r="125">
      <c r="A125" t="inlineStr">
        <is>
          <t>in-92e65724aee8a129</t>
        </is>
      </c>
      <c r="B125" t="inlineStr">
        <is>
          <t>Assistant Program Manager</t>
        </is>
      </c>
      <c r="C125" t="inlineStr">
        <is>
          <t>Hope the Mission</t>
        </is>
      </c>
      <c r="D125" t="inlineStr">
        <is>
          <t>indeed</t>
        </is>
      </c>
      <c r="E125">
        <f>HYPERLINK("https://www.indeed.com/viewjob?jk=92e65724aee8a129", "https://www.indeed.com/viewjob?jk=92e65724aee8a129")</f>
        <v/>
      </c>
      <c r="F125">
        <f>HYPERLINK("https://workforcenow.adp.com/mascsr/default/mdf/recruitment/recruitment.html?cid=06d7041e-434e-4a26-b774-f9cb280dfc9b&amp;ccId=19000101_000001&amp;jobId=914731&amp;source=IN&amp;lang=en_US", "https://workforcenow.adp.com/mascsr/default/mdf/recruitment/recruitment.html?cid=06d7041e-434e-4a26-b774-f9cb280dfc9b&amp;ccId=19000101_000001&amp;jobId=914731&amp;source=IN&amp;lang=en_US")</f>
        <v/>
      </c>
      <c r="G125" t="inlineStr">
        <is>
          <t>Woodlands, CA, US</t>
        </is>
      </c>
      <c r="H125" s="3" t="n">
        <v>46049</v>
      </c>
      <c r="I125" t="inlineStr">
        <is>
          <t>**Purpose:**
Hope the Mission provides a safe, low\-barrier, and supportive 24\-hour residence to persons experiencing homelessness. Clients will receive shelter, food, case management \&amp; housing navigation services to support them in obtaining permanent housing. Working under the supervision of the Program Manager, the **Assistant Program Manager** leads and oversees all programmatic and operational functions for the site, provides oversight to shelter support staff, and fulfills the mission by successfully providing leadership and supervision for the program. The **Assistant Program Manager** ensures that new projects, supportive services, and housing programs are in\-line with best and evidence\-based practices for working with people experiencing homelessness (e.g., Trauma\-Informed Care Principles, Harm Reduction, and Housing First). This position requires being on\-call as needed to respond to emergencies and driving (Travel: 25%).**Specific Duties\-Programmatic**
* Provide overall direction and oversight of all programmatic components including accurate, up\-to\-date, data collection, quality assurance, and contract management adhering to guidelines set for in the Scope of Work. Includes but is not limited to:
	+ Manage timely progress of program goals, objectives, and performance targets, making necessary adjustments in a timely manner to improve outcomes.
	+ Ensure program/contract compliance as per guidelines and requirements mandated by the programs, regularly reviewing logs, records, and data.
	+ Conduct regular file reviews to ensure the accuracy and integrity of all documentation.
	+ Assist with client issues as needed (conflicts and complaint resolution) using de\-escalation and mediation techniques.
	+ Ensure implementation of housing first, harm reduction, and trauma\-informed care methodologies when appropriate.
* Oversee the development, enhancement, delivery, and modifications (as needed) of services provided, adjusting when necessary.
* Oversee implementation of problem\-solving strategy, interventions, and screening tools.
* Oversee provision of emergency service referrals (domestic violence, human trafficking \&amp; sexual assault) and warm handoff referrals when appropriate.
* Oversee and manage all staff and the corresponding job duties assigned to each position.
* Serve as an agency representative at professional and community meetings such as working/planning groups, coalitions, etc.; attend various community meetings as directed by the supervisor.
* Collaborate/participate in fundraising efforts to support program operations as needed.
* Coordinate with other agencies and partners to ensure consistent and accurate dissemination of information, provision of services, and adherence to program requirements.
* Provide training and support to staff.
* Assist in the development of written rules, procedures, and program guidelines.
* Maintain accurate and complete participant files, exit files, timesheets, daily activity logs (if applicable), mileage logs, payment reimbursement, and other reports as directed.
* Establish and maintain positive, productive working relationships with community partners and community stakeholders including mental health programs, shelter programs, local law enforcement, local neighborhood councils (and other local officials), and providers of services and resources to homeless persons.
* Attend staff meetings, case conferences, and training workshops. and community meetings as needed.
* Ready to sub another’s role if needed due to absence.
* Update monthly OSHA forms.
* Monitor the medication cabinet and review all medication records.
* Review shift reports to monitor staff performance and compliance.
* Follow\-up on all incident reports and Grievances
* Conduct and participate in training for the Program staff.
**Specific Duties\-Operations**
* Ensure that the property and its surroundings is well maintained and clean.
* Regularly inspect bathroom facilities to verify clean, sanitary conditions.
* Report any maintenance issues or need for repairs to the supervisor in a timely fashion.
* Regularly inspect units, dorms, and rooms, to ensure they are in working order.
* Train janitorial and hygiene staff in proper protocol for site/bathroom maintenance.
* Submit all supply orders to the supervisor in a timely fashion.
* Assist with coordination of resident chores and assignments; oversee the maintenance of shelter linen, clothing, and supply rooms.
* Ensure monthly safety and fire drills are conducted.
* This position may require site relocation at the agency’s discretion.
**Other Duties**
* Performs any other duties, projects, and responsibilities the **Program Manager** assigns.
* Work in collaboration with the outsourced security guard to ensure the safety of participants, staff, volunteers, and visitors on the property.
* Trains staff on the use of security and surveillance systems.
* Observe department guidelines to conduct personal business during breaks and lunch hours.
* Project a positive professional image and adheres to the organizational dress code.
* Self\-identify potentially unsafe systems/processes/situations and takes the initiative to report to the **Program Manager**.
* Observe department guidelines concerning absences and report such absences in accordance with departmental procedures.
* Establish and/or maintain good rapport and working arrangements with co\-workers, including the management team, and supporting staff.
 **Minimum Qualifications**
* Bachelor's degree in the social sciences or closely related field and
* Five years of housing and homelessness program\-related experience and
* One year of supervisory or management\-level experience
* Any equivalent combination of experience and education that provides the applicant with the desired knowledge, skills, and ability required to perform the work.
* Skills\- Commitment to working with homeless individuals in a harm\-reduction, trauma\-informed care setting. Strong interpersonal skills and sensitivity towards individuals experiencing a crisis.
* Computer literacy\- Microsoft Office Suite, HMIS, preferred.
* Spanish preferred
* TB test required.
 **Knowledge and Skills**
* Passion for Ending Homelessness.
* Employs a “Whatever it Takes” approach in service delivery.
* Excellent written and oral communication
* High level of understanding of Evidence\-Based Practices such as Motivational Interviewing, Harm Reduction, and Housing First
* Demonstrates effective staff supervision.
* Understands supportive service program development.
* Values relationships with community\-based organizations and resources
* Demonstrates dedication to homelessness and related issues (i.e., poverty, housing, services)
* Adheres to contract compliance and outcomes measurement.
**Mandatory Requirements:**
* Employment eligibility verification
* Tuberculosis and drug test
* Fingerprint live scan background
* Ability to work flexible hours which include evenings and weekends.
* Ability to cover any site location as needed by Agency.
* Driving is an essential function of this position.
* Must have reliable transportation.
* Must have a valid CA Driver's license.
* Must provide proof of vehicle insurance coverage.
* Must be able to qualify for HOTV’s commercial insurance coverage.
 **PHYSICAL DEMANDS, ENVIRONMENTAL CONDITIONS, EQUIPMENT**
The physical demands described here represent those that must be met by an employee to successfully perform the job's essential functions. Reasonable accommodations may be made to enable individuals with disabilities to perform essential job functions. The employee is required to: Walk and climb stairs; stand, bend, squat, climb, kneel, and twist on an intermittent or sometimes continuous basis; Grasp, push, pull objects such as files, file cabinet drawers, and reach overhead; Handle, finger, grasp and feel objects and equipment; Reach with hands and arms; Be mobile by moving oneself from place to place quickly and easily; Repeat various motions with the wrists, hands, and fingers; Be able to perform visual activities for (including, but not limited to) administrative and clerical tasks; Ability to lift up to 25 lbs. Communicate, receive, and exchange ideas, and information by means of the spoken and written word; Drive vehicles in and around all Counties; Be able to enter various buildings that may require climbing stairs. Be periodically subjected to outside environmental conditions. Employees may work in proximity to service animals and emotional support animals; Use a desktop and/or laptop computer; copy, postage, and fax machines. Complete all required forms in personal writing.
**Work Environment:**
The employee may be in contact with individuals and families in crisis who may be ill, using alcohol and drugs, and who may not be attentive to basic personal hygiene, health, and safety practices. The employee may experience several unpleasant sensory demands associated with the client's use of alcohol and drugs, and lack of personal hygiene. The employee must be ready to respond quickly and effectively to many situations, including crises and potentially hostile situations. The noise level in the work environment is usually moderate in an office setting. Sometimes work may become stressful when working under pressure.
Swing 3:30pm \- 12:00am</t>
        </is>
      </c>
    </row>
    <row r="126">
      <c r="A126" t="inlineStr">
        <is>
          <t>in-e6d7b9ed0ef9ea19</t>
        </is>
      </c>
      <c r="B126" t="inlineStr">
        <is>
          <t>Senior Product Manager, Card Core Team - Testing Enablement</t>
        </is>
      </c>
      <c r="C126" t="inlineStr">
        <is>
          <t>Information Technology Senior Management Forum</t>
        </is>
      </c>
      <c r="D126" t="inlineStr">
        <is>
          <t>indeed</t>
        </is>
      </c>
      <c r="E126">
        <f>HYPERLINK("https://www.indeed.com/viewjob?jk=e6d7b9ed0ef9ea19", "https://www.indeed.com/viewjob?jk=e6d7b9ed0ef9ea19")</f>
        <v/>
      </c>
      <c r="F126">
        <f>HYPERLINK("https://jobs.itsmfleaders.org/job/467hqd/senior-product-manager-card-core-team-testing-enablement/mclean/va", "https://jobs.itsmfleaders.org/job/467hqd/senior-product-manager-card-core-team-testing-enablement/mclean/va")</f>
        <v/>
      </c>
      <c r="G126" t="inlineStr">
        <is>
          <t>McLean, VA, US</t>
        </is>
      </c>
      <c r="H126" s="3" t="n">
        <v>46049</v>
      </c>
      <c r="I126" t="inlineStr">
        <is>
          <t>Posted Date
1/28/2026
Description
Senior Product Manager, Card Core Team \- Testing Enablement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Card Core team is modernizing platforms to enable innovation in our card products. The testing enablement product manager will build products that improve the scale and range of our test capabilities to drive product quality across our organization.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Product Manager, Card Core Team \- Testing Enablement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Card Core team is modernizing platforms to enable innovation in our card products. The testing enablement product manager will build products that improve the scale and range of our test capabilities to drive product quality across our organization.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182,500\.00 \- 208,300\.00 Annual
Type
Full\-time</t>
        </is>
      </c>
    </row>
    <row r="127">
      <c r="A127" t="inlineStr">
        <is>
          <t>in-ea2cb9bbdec6579e</t>
        </is>
      </c>
      <c r="B127" t="inlineStr">
        <is>
          <t>Associate Product Manager</t>
        </is>
      </c>
      <c r="C127" t="inlineStr">
        <is>
          <t>Eaton</t>
        </is>
      </c>
      <c r="D127" t="inlineStr">
        <is>
          <t>indeed</t>
        </is>
      </c>
      <c r="E127">
        <f>HYPERLINK("https://www.indeed.com/viewjob?jk=ea2cb9bbdec6579e", "https://www.indeed.com/viewjob?jk=ea2cb9bbdec6579e")</f>
        <v/>
      </c>
      <c r="F127">
        <f>HYPERLINK("https://eaton.eightfold.ai/careers/job/687234502616?utm_source=indeed&amp;domain=eaton.com", "https://eaton.eightfold.ai/careers/job/687234502616?utm_source=indeed&amp;domain=eaton.com")</f>
        <v/>
      </c>
      <c r="G127" t="inlineStr">
        <is>
          <t>Arden, NC, US</t>
        </is>
      </c>
      <c r="H127" s="3" t="n">
        <v>46047</v>
      </c>
      <c r="I127" t="inlineStr">
        <is>
          <t>Eaton’s ES AMER ARS PDCAD division is currently seeking a Associate Product Manager. This position is HYBRID (2 days WFH 3 days Plant) Monday\-Friday from 8:00am\-5:00pm at our Asheville (Arden) NC Eaton location. Relocation assistance will be provided, if needed.
The Associate Product Manager role provides leadership in formulation of product line strategy and action programs to enhance sales growth and profitability including new business development for the Low\-Voltage Assemblies product line. The Associate Product Manager must have an excellent knowledge of the customers and segments the product line deals with (Industrial, Data Center, Commercial \&amp; Institutional), as well as a thorough understanding of the dynamics of selling engineered\-to\-order assemblies.
The expected annual salary range for this role is $113000 \- $165000 a year.
Please note the salary information shown above is a general guideline only. Salaries are based upon candidate skills, experience, and qualifications, as well as market and business considerations.
**What you’ll do:**
-------------------
**In this role:**  
* Provides LV product application knowledge, customer interface, and develops and executes tactical and strategic plans to support the product line's goals.
* Utilizes understanding of product technically to generate customer and technical presentations.
* Assists the Product Manager in new product development, strategic direction planning for the product line, and implementation of new product and services launch plans.
* Provides cross\-functional coordination on product line programs to optimize customer service and market penetration.
* Supports product lines voice of customer and voice of sales efforts and provides feedback into NPD projects
* Develops marketing collateral to educate and inform sales and customers of solutions Eaton Corporation has to offer relative to LVA.
* Utilizing Eaton resources, the Associate Product Manager will research and maintain information related to industry trends and competitive intel.
* Provides marketing leadership in the Product Roadmapping, PROLaunch, Advisory Board, and Business System (including Bid Manager) development processes.
**Qualifications:**
-------------------
**BASIC REQUIRED QUALIFICATIONS:**
* Bachelor’s degree in from an accredited institution
* Minimum five (5\) year’s prior experience in technical sales, product management, application engineering and/or customer facing commercial experience.
* Must be able to relocate to Asheville NC area. Relocation assistance will be provided, if needed.
* Must be able to travel 25%, domestically.
* Eaton will not consider applicants for employment immigration sponsorship or support for this position. This means that Eaton will not support any CPT, OPT, or STEM OPT plans, F\-1 to H\-1B, H\-1B cap registration, O\-1, E\-3, TN status, I\-485 job portability, etc.
 **PREFERRED QUALIFICATIONS:**
* Bachelor’s degree in engineering, business or marketing from an accredited institutio
* Advanced degree from an accredited institution.
* Minimum of 5 years experience in a manufacturing environment
* Experience with power distribution and control assembly products, customer, and channel
\#LI\-MI1
**Skills:**
-----------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128">
      <c r="A128" t="inlineStr">
        <is>
          <t>in-727fb76e67a6a7de</t>
        </is>
      </c>
      <c r="B128" t="inlineStr">
        <is>
          <t>Supplier Development Program Manager</t>
        </is>
      </c>
      <c r="C128" t="inlineStr">
        <is>
          <t>Eaton</t>
        </is>
      </c>
      <c r="D128" t="inlineStr">
        <is>
          <t>indeed</t>
        </is>
      </c>
      <c r="E128">
        <f>HYPERLINK("https://www.indeed.com/viewjob?jk=727fb76e67a6a7de", "https://www.indeed.com/viewjob?jk=727fb76e67a6a7de")</f>
        <v/>
      </c>
      <c r="F128">
        <f>HYPERLINK("https://eaton.eightfold.ai/careers/job/687234375971?utm_source=indeed&amp;domain=eaton.com", "https://eaton.eightfold.ai/careers/job/687234375971?utm_source=indeed&amp;domain=eaton.com")</f>
        <v/>
      </c>
      <c r="G128" t="inlineStr">
        <is>
          <t>Richmond, VA, US</t>
        </is>
      </c>
      <c r="H128" s="3" t="n">
        <v>46034</v>
      </c>
      <c r="I128" t="inlineStr">
        <is>
          <t>Eaton’s Electrical division is currently seeking a Supplier Development Program Manager to join our team in Raleigh, NC or Richmond, VA.
This position will be a hybrid office (3 days in\-office, 2 days remote) role as long as you live within 50 miles of our Raleigh, NC or Richmond, VA. facility.
This role will require up to 30% travel.
As a Supplier Development Program Manager, you will be responsible for the deployment of supplier development and improvement processes and projects across the CPS Division. You will direct the qualification, maintenance, and development of domestic and international suppliers for the Division. You will ensure supplier readiness to support current and future programs and build relationships with suppliers. You will work with the manufacturing sites to understand areas where we are lacking supplier capabilities and performance to meet business needs in collaboration with corporate, divisional and sites supply chain and commodity leaders.
The expected annual salary range for this role is $97,000 \- $143,000 a year.
Please note the salary information shown above is a general guideline only. Salaries are based upon candidate skills, experience, and qualifications, as well as market and business considerations.
**What you’ll do:**
-------------------
* Work directly with suppliers where Quality or Delivery performance, or business risk demands robust action plans. Utilize expertise and a wide range of tools to identify and lead improvement actions including Problem Solving, Auditing, Material Management, and Load \&amp; Capacity planning.
* Support initial Supplier Site Assessments (SSA) to evaluate risk with New Suppliers prior to their addition to the Approved Supplier List (ASL).
* Perform capability (Product, Process, Materials Management) assessments and where necessary, Special Process Audits with key suppliers to evaluate the application of advanced quality tools, manufacturing capabilities, material management, and lean maturity. Support the development of subsequent improvement plans and coordinate milestones \&amp; completion of actions against an agreed project charter.
* Assess Production Rate Readiness with suppliers that are undergoing significant industrial transfers to ensure risks are understood and coordinate the timely completion of actions to eliminate supply chain disruption.
* Actively support supply chain cost\-out projects and new product introduction by working closely with suppliers from development to production launch, ensuring compliance with requirements and coordinating on time submission of FAI’s or PPAPs as required.
* Coach suppliers in the deployment of key business processes such as 8D Problem Solving, Advanced Product Quality Planning (APQP), SIOP and Material Management.
* Monitor performance, communicate expectations, and required actions for suppliers. Support the Business as a team member of new product development teams.
* Function as a liaison between suppliers and internal functions/plants (Engineering, Quality, Operations etc.) to clarify requirements, facilitate communication and drive accountability for improvement actions.
* Educate suppliers on Eaton internal processes to achieve optimal alignment with Eaton manufacturing plants.
* Develop, implement, and oversee the administration of special programs to recognize and to ensure the use of suppliers who maintain established standards of quality, reliability, and price.
* Work with Global Procurement Organization (GPO) and ESA Procurement as a division Quality focal point on the development of new and additional suppliers to improve supply chain resiliency, implement multi\-sourcing or resourcing due to supply risk or poor supplier performance
* Assumes lead Quality role in supporting Supplier Development activities and Supplier onboarding
* Responsible for all supplier quality key metrics, maintenance and reporting
* Perform Supplier Capacity Assessments to assure supplier readiness for growth, based on pr
**Qualifications:**
-------------------
**Basic (Required) Qualifications:**
* Minimum five (5\) years’ experience in Supply Chain, Operations, Engineering, or Quality
* Minimum of a Bachelor’s Degree from an accredited institution
* Minimum of one (1\) experience developing and onboarding new suppliers
* Minimum one (1\) year of experience with quality systems (ISO 9001:2015 \&amp; 14001:2015\), methods and practices including APQP, FMEA, Control Plan, MSA, and PPAP
* Must be willing to travel up to 30%
* No relocation benefit is offered for this role. Only candidates residing within a 50\-mile radius of Raleigh NC or Richmond, VA will be considered.
* Must be legally authorized to work in the United States without company sponsorship, now or in the future. Eaton will not consider applicants for employment immigration sponsorship or support for this position. This means that Eaton will not support any CPT, OPT, or STEM OPT plans, F\-1 to H\-1B, H\-1B cap registration, O\-1, E\-3, TN status, I\-485 job portability, etc.
 **Preferred Qualifications:**
* Lean Manufacturing and/or Six Sigma Greenbelt or Blackbelt certification.
* Bachelor's degree in engineering, supply chain, or related business function
* Project Management Institute (PMI) accreditation (PMP) or equivalent.
* Familiarity with quality management system controls and product development practices
**Skills:**
-----------
* Collaborate with Engineering and Operations establishing and managing interactions with suppliers to develop and drive project action plans and results.
* A balance between strategic thinking/planning skills as well as decisiveness to achieve results.
* Solid communication and interpersonal skills to effectively interact with all levels of the organization and the ability to foster and maintain strong working relationships with internal and external stakeholders.
* Provide leadership in crisis or rapid response scenarios with Suppliers and Eaton Integrated Project Teams.
* Ability to articulate technical information and status regarding business bottlenecks to Stakeholders.
* Experience and knowledge of the roles in Supply Chain, Program Management and Supplier development.
* Self\-motivated and ability to work independently.
* Up to 30% travel, including travel to CPS sites in Santa Ana, CA and Richmond, VA and to various supplier sites as required.
\#LI\-JM3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129">
      <c r="A129" t="inlineStr">
        <is>
          <t>in-d015a134f766b9e7</t>
        </is>
      </c>
      <c r="B129" t="inlineStr">
        <is>
          <t>Supplier Development Program Manager</t>
        </is>
      </c>
      <c r="C129" t="inlineStr">
        <is>
          <t>Eaton</t>
        </is>
      </c>
      <c r="D129" t="inlineStr">
        <is>
          <t>indeed</t>
        </is>
      </c>
      <c r="E129">
        <f>HYPERLINK("https://www.indeed.com/viewjob?jk=d015a134f766b9e7", "https://www.indeed.com/viewjob?jk=d015a134f766b9e7")</f>
        <v/>
      </c>
      <c r="F129">
        <f>HYPERLINK("https://eaton.eightfold.ai/careers/job/687234375971?utm_source=indeed&amp;domain=eaton.com", "https://eaton.eightfold.ai/careers/job/687234375971?utm_source=indeed&amp;domain=eaton.com")</f>
        <v/>
      </c>
      <c r="G129" t="inlineStr">
        <is>
          <t>Richmond, VA, US</t>
        </is>
      </c>
      <c r="H129" s="3" t="n">
        <v>46034</v>
      </c>
      <c r="I129" t="inlineStr">
        <is>
          <t>Eaton’s Electrical division is currently seeking a Supplier Development Program Manager to join our team in Raleigh, NC or Richmond, VA.
This position will be a hybrid office (3 days in\-office, 2 days remote) role as long as you live within 50 miles of our Raleigh, NC or Richmond, VA. facility.
This role will require up to 30% travel.
As a Supplier Development Program Manager, you will be responsible for the deployment of supplier development and improvement processes and projects across the CPS Division. You will direct the qualification, maintenance, and development of domestic and international suppliers for the Division. You will ensure supplier readiness to support current and future programs and build relationships with suppliers. You will work with the manufacturing sites to understand areas where we are lacking supplier capabilities and performance to meet business needs in collaboration with corporate, divisional and sites supply chain and commodity leaders.
The expected annual salary range for this role is $97,000 \- $143,000 a year.
Please note the salary information shown above is a general guideline only. Salaries are based upon candidate skills, experience, and qualifications, as well as market and business considerations.
**What you’ll do:**
-------------------
* Work directly with suppliers where Quality or Delivery performance, or business risk demands robust action plans. Utilize expertise and a wide range of tools to identify and lead improvement actions including Problem Solving, Auditing, Material Management, and Load \&amp; Capacity planning.
* Support initial Supplier Site Assessments (SSA) to evaluate risk with New Suppliers prior to their addition to the Approved Supplier List (ASL).
* Perform capability (Product, Process, Materials Management) assessments and where necessary, Special Process Audits with key suppliers to evaluate the application of advanced quality tools, manufacturing capabilities, material management, and lean maturity. Support the development of subsequent improvement plans and coordinate milestones \&amp; completion of actions against an agreed project charter.
* Assess Production Rate Readiness with suppliers that are undergoing significant industrial transfers to ensure risks are understood and coordinate the timely completion of actions to eliminate supply chain disruption.
* Actively support supply chain cost\-out projects and new product introduction by working closely with suppliers from development to production launch, ensuring compliance with requirements and coordinating on time submission of FAI’s or PPAPs as required.
* Coach suppliers in the deployment of key business processes such as 8D Problem Solving, Advanced Product Quality Planning (APQP), SIOP and Material Management.
* Monitor performance, communicate expectations, and required actions for suppliers. Support the Business as a team member of new product development teams.
* Function as a liaison between suppliers and internal functions/plants (Engineering, Quality, Operations etc.) to clarify requirements, facilitate communication and drive accountability for improvement actions.
* Educate suppliers on Eaton internal processes to achieve optimal alignment with Eaton manufacturing plants.
* Develop, implement, and oversee the administration of special programs to recognize and to ensure the use of suppliers who maintain established standards of quality, reliability, and price.
* Work with Global Procurement Organization (GPO) and ESA Procurement as a division Quality focal point on the development of new and additional suppliers to improve supply chain resiliency, implement multi\-sourcing or resourcing due to supply risk or poor supplier performance
* Assumes lead Quality role in supporting Supplier Development activities and Supplier onboarding
* Responsible for all supplier quality key metrics, maintenance and reporting
* Perform Supplier Capacity Assessments to assure supplier readiness for growth, based on pr
**Qualifications:**
-------------------
**Basic (Required) Qualifications:**
* Minimum five (5\) years’ experience in Supply Chain, Operations, Engineering, or Quality
* Minimum of a Bachelor’s Degree from an accredited institution
* Minimum of one (1\) experience developing and onboarding new suppliers
* Minimum one (1\) year of experience with quality systems (ISO 9001:2015 \&amp; 14001:2015\), methods and practices including APQP, FMEA, Control Plan, MSA, and PPAP
* Must be willing to travel up to 30%
* No relocation benefit is offered for this role. Only candidates residing within a 50\-mile radius of Raleigh NC or Richmond, VA will be considered.
* Must be legally authorized to work in the United States without company sponsorship, now or in the future. Eaton will not consider applicants for employment immigration sponsorship or support for this position. This means that Eaton will not support any CPT, OPT, or STEM OPT plans, F\-1 to H\-1B, H\-1B cap registration, O\-1, E\-3, TN status, I\-485 job portability, etc.
 **Preferred Qualifications:**
* Lean Manufacturing and/or Six Sigma Greenbelt or Blackbelt certification.
* Bachelor's degree in engineering, supply chain, or related business function
* Project Management Institute (PMI) accreditation (PMP) or equivalent.
* Familiarity with quality management system controls and product development practices
**Skills:**
-----------
* Collaborate with Engineering and Operations establishing and managing interactions with suppliers to develop and drive project action plans and results.
* A balance between strategic thinking/planning skills as well as decisiveness to achieve results.
* Solid communication and interpersonal skills to effectively interact with all levels of the organization and the ability to foster and maintain strong working relationships with internal and external stakeholders.
* Provide leadership in crisis or rapid response scenarios with Suppliers and Eaton Integrated Project Teams.
* Ability to articulate technical information and status regarding business bottlenecks to Stakeholders.
* Experience and knowledge of the roles in Supply Chain, Program Management and Supplier development.
* Self\-motivated and ability to work independently.
* Up to 30% travel, including travel to CPS sites in Santa Ana, CA and Richmond, VA and to various supplier sites as required.
\#LI\-JM3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130">
      <c r="A130" t="inlineStr">
        <is>
          <t>in-7d1378837b45daf5</t>
        </is>
      </c>
      <c r="B130" t="inlineStr">
        <is>
          <t>Data Storage Managed Services Technical Product Manager - CTO Office</t>
        </is>
      </c>
      <c r="C130" t="inlineStr">
        <is>
          <t>Bloomberg</t>
        </is>
      </c>
      <c r="D130" t="inlineStr">
        <is>
          <t>indeed</t>
        </is>
      </c>
      <c r="E130">
        <f>HYPERLINK("https://www.indeed.com/viewjob?jk=7d1378837b45daf5", "https://www.indeed.com/viewjob?jk=7d1378837b45daf5")</f>
        <v/>
      </c>
      <c r="F130">
        <f>HYPERLINK("https://click.appcast.io/t/z3sqec5_I_5KyvP0N9O3TtLKr00nJDbqNcj2ciEEAdc=", "https://click.appcast.io/t/z3sqec5_I_5KyvP0N9O3TtLKr00nJDbqNcj2ciEEAdc=")</f>
        <v/>
      </c>
      <c r="G130" t="inlineStr">
        <is>
          <t>New York, NY, US</t>
        </is>
      </c>
      <c r="H130" s="3" t="n">
        <v>46050</v>
      </c>
      <c r="I130" t="inlineStr">
        <is>
          <t>Data Storage Managed Services Technical Product Manager \- CTO Office
Location
New York
Business Area
Engineering and CTO
Ref \#
10048955
**Description \&amp; Requirements**
-------------------------------
Bloomberg is a data company. Delivering timely insights to our clients requires extensive specialized databases and data augmentation pipelines, fusing data from a variety of structured and unstructured data stores. Curating quality insights requires collecting data from sources built on a variety of open source and home\-grown solutions, from streaming real\-time market data to long\-term data storage.  
In this role within the CTO Infrastructure team, you will develop the vision for Bloomberg’s managed data services, supporting the next evolution of structured and unstructured data storage. You will define unified products and capabilities, and partner tightly with engineering teams to develop the architecture and deliver these products, directly serving business needs. You will bring your technical expertise to help bridge business needs and technology delivery.  
**You’ll need to have:**
* 10\+ years of experience working on databases or unstructured data storage technologies as a developer.
* Strong written and verbal communication skills.
* A bachelor’s degree in systems engineering, electrical engineering or computer science, or equivalent.
* A strong understanding of relational (SQL), non\-relational (NoSQL) databases, from an operational, scale, and design perspective.
* Ability to define and evaluate architectures for scalable, resilient, durable and high\-performance data stores, including both geographically distributed on\-premises and public cloud implementations.
* Working knowledge of caching technologies, data access APIs, query languages, and data integration patterns.
* Ability to work with or define SDKs or connectors for integration.
* Familiarity with unstructured data storage technologies (such as Ceph with RADOS).
* Knowledge of security and compliance controls, such as encryption at rest/in transit, access controls, integration into data governance regimes, and compliance standards.
* Experience integrating security controls across diverse data storage technologies including secure by default configurations, Enterprise IAM (authentication \&amp; authorization), and encryption strategies in\-transit (TLS) and at\-rest (storage\-level, TDE, and application/client\-side methods).
* Developer Experience Focus
* User\-centric approach, ability to synthesize user requirements and journeys for a wide variety of users (i.e. developers, data engineers, data scientists, etc.).
* Define standards/policies, maturity levels and other guidelines to ensure consistency.
* Focus on API\-driven self\-service enablement and management.
* Product Management
* Ability to develop, refine and communicate a compelling product vision and roadmap based on customer and stakeholder input, aligning with customer needs, business goals and engineering capabilities.
* Strong ability to translate technical features into business value; interface with engineering, operations, legal, security teams as well as executive stakeholders.
* Able to communicate with empathy to understand pain points for users.
* An understanding of the use of KPI frameworks (OKRs, success metrics) to drive product outcomes. DORA
* Ability to collaborate with others to evolve the enterprise data maturity model through data classification, data governance frameworks, and data catalog technologies
* Good insight into integrating reliability, robustness, resilience, security and scalability into a roadmap, alongside customer features and capabilities. Able to make the right trade\-off between technical debt and new features.
**We’d like to see:**
* 2\+ years of experience as an infrastructure technical product manager or similar role focused on product development and “go to market” strategies.
* A strong philosophy of creating reusable, reliable and robust shared services.
* Experience with automation technologies (i.e. Ansible, Chef, Salt, etc.) for managing infrastructure at scale, as well as resource management technologies (e.g. Kubernetes, OpenStack).
* Industry/community involvement in databases and data storage, through open source contribution, standards development, academic journals, conference presentations, or the equivalent.
* Understanding of observability tools for performance monitoring for a variety of user personas.
* AI\-Related Database Technologies \&amp; Tools, including but not limited to Vector DBs for RAG, indexing methods, inference, etc.
* Data lifecycle management techniques and technologies.
Salary Range \= 240000 \- 330000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31">
      <c r="A131" t="inlineStr">
        <is>
          <t>in-3102584576e42cd9</t>
        </is>
      </c>
      <c r="B131" t="inlineStr">
        <is>
          <t>Sr. Product Manager Technical, Deal Tooling &amp; Insights, Strategic Customer Engagements</t>
        </is>
      </c>
      <c r="C131" t="inlineStr">
        <is>
          <t>Amazon Web Services</t>
        </is>
      </c>
      <c r="D131" t="inlineStr">
        <is>
          <t>indeed</t>
        </is>
      </c>
      <c r="E131">
        <f>HYPERLINK("https://www.indeed.com/viewjob?jk=3102584576e42cd9", "https://www.indeed.com/viewjob?jk=3102584576e42cd9")</f>
        <v/>
      </c>
      <c r="F131">
        <f>HYPERLINK("https://www.amazon.jobs/jobs/3138889/sr-product-manager-technical-deal-tooling--insights-strategic-customer-engagements?cmpid=DA_INAD200785B", "https://www.amazon.jobs/jobs/3138889/sr-product-manager-technical-deal-tooling--insights-strategic-customer-engagements?cmpid=DA_INAD200785B")</f>
        <v/>
      </c>
      <c r="G131" t="inlineStr">
        <is>
          <t>New York, NY, US</t>
        </is>
      </c>
      <c r="H131" s="3" t="n">
        <v>45994</v>
      </c>
      <c r="I13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2">
      <c r="A132" t="inlineStr">
        <is>
          <t>in-74e4b4db85e891fa</t>
        </is>
      </c>
      <c r="B132" t="inlineStr">
        <is>
          <t>Sr. Product Manager Technical, Deal Tooling &amp; Insights, Strategic Customer Engagements</t>
        </is>
      </c>
      <c r="C132" t="inlineStr">
        <is>
          <t>Amazon Web Services</t>
        </is>
      </c>
      <c r="D132" t="inlineStr">
        <is>
          <t>indeed</t>
        </is>
      </c>
      <c r="E132">
        <f>HYPERLINK("https://www.indeed.com/viewjob?jk=74e4b4db85e891fa", "https://www.indeed.com/viewjob?jk=74e4b4db85e891fa")</f>
        <v/>
      </c>
      <c r="F132">
        <f>HYPERLINK("https://www.amazon.jobs/jobs/3138889/sr-product-manager-technical-deal-tooling--insights-strategic-customer-engagements?cmpid=DA_INAD200785B", "https://www.amazon.jobs/jobs/3138889/sr-product-manager-technical-deal-tooling--insights-strategic-customer-engagements?cmpid=DA_INAD200785B")</f>
        <v/>
      </c>
      <c r="G132" t="inlineStr">
        <is>
          <t>Herndon, VA, US</t>
        </is>
      </c>
      <c r="H132" s="3" t="n">
        <v>45994</v>
      </c>
      <c r="I13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3">
      <c r="A133" t="inlineStr">
        <is>
          <t>in-74d004a47394b22d</t>
        </is>
      </c>
      <c r="B133" t="inlineStr">
        <is>
          <t>Sr. Product Manager Technical, Deal Tooling &amp; Insights, Strategic Customer Engagements</t>
        </is>
      </c>
      <c r="C133" t="inlineStr">
        <is>
          <t>Amazon Web Services</t>
        </is>
      </c>
      <c r="D133" t="inlineStr">
        <is>
          <t>indeed</t>
        </is>
      </c>
      <c r="E133">
        <f>HYPERLINK("https://www.indeed.com/viewjob?jk=74d004a47394b22d", "https://www.indeed.com/viewjob?jk=74d004a47394b22d")</f>
        <v/>
      </c>
      <c r="F133">
        <f>HYPERLINK("https://www.amazon.jobs/jobs/3138889/sr-product-manager-technical-deal-tooling--insights-strategic-customer-engagements?cmpid=DA_INAD200785B", "https://www.amazon.jobs/jobs/3138889/sr-product-manager-technical-deal-tooling--insights-strategic-customer-engagements?cmpid=DA_INAD200785B")</f>
        <v/>
      </c>
      <c r="G133" t="inlineStr">
        <is>
          <t>Arlington, VA, US</t>
        </is>
      </c>
      <c r="H133" s="3" t="n">
        <v>45994</v>
      </c>
      <c r="I13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4">
      <c r="A134" t="inlineStr">
        <is>
          <t>in-f6c0f8c3d10975e0</t>
        </is>
      </c>
      <c r="B134" t="inlineStr">
        <is>
          <t>Sr. Product Manager Technical, Deal Tooling &amp; Insights, Strategic Customer Engagements</t>
        </is>
      </c>
      <c r="C134" t="inlineStr">
        <is>
          <t>Amazon Web Services</t>
        </is>
      </c>
      <c r="D134" t="inlineStr">
        <is>
          <t>indeed</t>
        </is>
      </c>
      <c r="E134">
        <f>HYPERLINK("https://www.indeed.com/viewjob?jk=f6c0f8c3d10975e0", "https://www.indeed.com/viewjob?jk=f6c0f8c3d10975e0")</f>
        <v/>
      </c>
      <c r="F134">
        <f>HYPERLINK("https://www.amazon.jobs/jobs/3138889/sr-product-manager-technical-deal-tooling--insights-strategic-customer-engagements?cmpid=DA_INAD200785B", "https://www.amazon.jobs/jobs/3138889/sr-product-manager-technical-deal-tooling--insights-strategic-customer-engagements?cmpid=DA_INAD200785B")</f>
        <v/>
      </c>
      <c r="G134" t="inlineStr">
        <is>
          <t>Austin, TX, US</t>
        </is>
      </c>
      <c r="H134" s="3" t="n">
        <v>45994</v>
      </c>
      <c r="I13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5">
      <c r="A135" t="inlineStr">
        <is>
          <t>in-30b8ac8dc49817e9</t>
        </is>
      </c>
      <c r="B135" t="inlineStr">
        <is>
          <t>Sr. Product Manager Technical, Deal Tooling &amp; Insights, Strategic Customer Engagements</t>
        </is>
      </c>
      <c r="C135" t="inlineStr">
        <is>
          <t>Amazon Web Services</t>
        </is>
      </c>
      <c r="D135" t="inlineStr">
        <is>
          <t>indeed</t>
        </is>
      </c>
      <c r="E135">
        <f>HYPERLINK("https://www.indeed.com/viewjob?jk=30b8ac8dc49817e9", "https://www.indeed.com/viewjob?jk=30b8ac8dc49817e9")</f>
        <v/>
      </c>
      <c r="F135">
        <f>HYPERLINK("https://www.amazon.jobs/jobs/3138889/sr-product-manager-technical-deal-tooling--insights-strategic-customer-engagements?cmpid=DA_INAD200785B", "https://www.amazon.jobs/jobs/3138889/sr-product-manager-technical-deal-tooling--insights-strategic-customer-engagements?cmpid=DA_INAD200785B")</f>
        <v/>
      </c>
      <c r="G135" t="inlineStr">
        <is>
          <t>Seattle, WA, US</t>
        </is>
      </c>
      <c r="H135" s="3" t="n">
        <v>45994</v>
      </c>
      <c r="I13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6">
      <c r="A136" t="inlineStr">
        <is>
          <t>in-49e0bc3263adbe01</t>
        </is>
      </c>
      <c r="B136" t="inlineStr">
        <is>
          <t>Sr. Product Manager Technical, Deal Tooling &amp; Insights, Strategic Customer Engagements</t>
        </is>
      </c>
      <c r="C136" t="inlineStr">
        <is>
          <t>Amazon Web Services</t>
        </is>
      </c>
      <c r="D136" t="inlineStr">
        <is>
          <t>indeed</t>
        </is>
      </c>
      <c r="E136">
        <f>HYPERLINK("https://www.indeed.com/viewjob?jk=49e0bc3263adbe01", "https://www.indeed.com/viewjob?jk=49e0bc3263adbe01")</f>
        <v/>
      </c>
      <c r="F136">
        <f>HYPERLINK("https://www.amazon.jobs/jobs/3138889/sr-product-manager-technical-deal-tooling--insights-strategic-customer-engagements?cmpid=DA_INAD200785B", "https://www.amazon.jobs/jobs/3138889/sr-product-manager-technical-deal-tooling--insights-strategic-customer-engagements?cmpid=DA_INAD200785B")</f>
        <v/>
      </c>
      <c r="G136" t="inlineStr">
        <is>
          <t>Dallas, TX, US</t>
        </is>
      </c>
      <c r="H136" s="3" t="n">
        <v>45994</v>
      </c>
      <c r="I13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7">
      <c r="A137" t="inlineStr">
        <is>
          <t>in-dcb23079e9a974f1</t>
        </is>
      </c>
      <c r="B137" t="inlineStr">
        <is>
          <t>Sr. Product Manager - Tech, WHS Data-Tech</t>
        </is>
      </c>
      <c r="C137" t="inlineStr">
        <is>
          <t>Amazon.com</t>
        </is>
      </c>
      <c r="D137" t="inlineStr">
        <is>
          <t>indeed</t>
        </is>
      </c>
      <c r="E137">
        <f>HYPERLINK("https://www.indeed.com/viewjob?jk=dcb23079e9a974f1", "https://www.indeed.com/viewjob?jk=dcb23079e9a974f1")</f>
        <v/>
      </c>
      <c r="F137">
        <f>HYPERLINK("https://www.amazon.jobs/jobs/3156736/sr-product-manager--tech-whs-datatech?cmpid=DA_INAD200785B", "https://www.amazon.jobs/jobs/3156736/sr-product-manager--tech-whs-datatech?cmpid=DA_INAD200785B")</f>
        <v/>
      </c>
      <c r="G137" t="inlineStr">
        <is>
          <t>Arlington, VA, US</t>
        </is>
      </c>
      <c r="H137" s="3" t="n">
        <v>45836</v>
      </c>
      <c r="I13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38">
      <c r="A138" t="inlineStr">
        <is>
          <t>in-b81c623bf19a7ec0</t>
        </is>
      </c>
      <c r="B138" t="inlineStr">
        <is>
          <t>Sr. Product Manager - Tech, WHS Data-Tech</t>
        </is>
      </c>
      <c r="C138" t="inlineStr">
        <is>
          <t>Amazon.com</t>
        </is>
      </c>
      <c r="D138" t="inlineStr">
        <is>
          <t>indeed</t>
        </is>
      </c>
      <c r="E138">
        <f>HYPERLINK("https://www.indeed.com/viewjob?jk=b81c623bf19a7ec0", "https://www.indeed.com/viewjob?jk=b81c623bf19a7ec0")</f>
        <v/>
      </c>
      <c r="F138">
        <f>HYPERLINK("https://www.amazon.jobs/jobs/3156736/sr-product-manager--tech-whs-datatech?cmpid=DA_INAD200785B", "https://www.amazon.jobs/jobs/3156736/sr-product-manager--tech-whs-datatech?cmpid=DA_INAD200785B")</f>
        <v/>
      </c>
      <c r="G138" t="inlineStr">
        <is>
          <t>Nashville, TN, US</t>
        </is>
      </c>
      <c r="H138" s="3" t="n">
        <v>45836</v>
      </c>
      <c r="I13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39">
      <c r="A139" t="inlineStr">
        <is>
          <t>in-20bdeb99aa1f3471</t>
        </is>
      </c>
      <c r="B139" t="inlineStr">
        <is>
          <t>Sr. Product Manager - Tech, WHS Data-Tech</t>
        </is>
      </c>
      <c r="C139" t="inlineStr">
        <is>
          <t>Amazon.com</t>
        </is>
      </c>
      <c r="D139" t="inlineStr">
        <is>
          <t>indeed</t>
        </is>
      </c>
      <c r="E139">
        <f>HYPERLINK("https://www.indeed.com/viewjob?jk=20bdeb99aa1f3471", "https://www.indeed.com/viewjob?jk=20bdeb99aa1f3471")</f>
        <v/>
      </c>
      <c r="F139">
        <f>HYPERLINK("https://www.amazon.jobs/jobs/3156736/sr-product-manager--tech-whs-datatech?cmpid=DA_INAD200785B", "https://www.amazon.jobs/jobs/3156736/sr-product-manager--tech-whs-datatech?cmpid=DA_INAD200785B")</f>
        <v/>
      </c>
      <c r="G139" t="inlineStr">
        <is>
          <t>Bellevue, WA, US</t>
        </is>
      </c>
      <c r="H139" s="3" t="n">
        <v>45836</v>
      </c>
      <c r="I13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0">
      <c r="A140" t="inlineStr">
        <is>
          <t>in-4b8493981cdde2ee</t>
        </is>
      </c>
      <c r="B140" t="inlineStr">
        <is>
          <t>Product Manager</t>
        </is>
      </c>
      <c r="C140" t="inlineStr">
        <is>
          <t>Lumin Digital</t>
        </is>
      </c>
      <c r="D140" t="inlineStr">
        <is>
          <t>indeed</t>
        </is>
      </c>
      <c r="E140">
        <f>HYPERLINK("https://www.indeed.com/viewjob?jk=4b8493981cdde2ee", "https://www.indeed.com/viewjob?jk=4b8493981cdde2ee")</f>
        <v/>
      </c>
      <c r="F140">
        <f>HYPERLINK("https://jobs.lever.co/LuminDigital/38c2a7fd-b9d6-4637-bd87-fa7d49c5cc02?lever-source=Indeed", "https://jobs.lever.co/LuminDigital/38c2a7fd-b9d6-4637-bd87-fa7d49c5cc02?lever-source=Indeed")</f>
        <v/>
      </c>
      <c r="G140" t="inlineStr">
        <is>
          <t>Remote, US</t>
        </is>
      </c>
      <c r="H140" s="3" t="n">
        <v>46050</v>
      </c>
      <c r="I140" t="inlineStr">
        <is>
          <t>**Basic Function**
Are you looking for a challenging career where you can change the lives of millions of Americans, work with the most talented team in the field, and become the best version of yourself? If so, join Lumin Digital as a Product Manager. In this role, you will own the product lifecycle, collaborate with cross\-functional teams, and deliver innovative digital banking solutions. Your work will directly enhance the financial lives of users and contribute to Lumin Digital’s mission to redefine digital banking. **Essential Functions, Responsibilities, Experience:**  
Be a true leader, working alongside engineers, project managers, and professional services teams to design, develop, and launch software solutions.
Own the product lifecycle from concept to delivery, managing requirements gathering, documentation, timelines, user experience, quality assurance, and performance metrics.
Collaborate with cross\-functional teams of designers, engineers, data scientists, and trainers to bring innovative products to market.
Craft and communicate a compelling product vision and strategy with stakeholders, including internal teams, clients, and prospects.
Utilize user, platform, and third\-party data to develop exciting features that improve the financial lives of consumers.
Monitor and measure launched products to drive continuous improvements in usability, incorporating insights into future development cycles.
Engage with the Lumin Digital community, contributing to organizational growth through honest, candid, and respectful feedback.
Perform other duties as assigned. **Role Growth:**
30 days: Gain an understanding of Lumin Digital’s product portfolio, processes, and key stakeholders while building relationships with cross\-functional teams.
90 days: Take ownership of key product initiatives, contributing to the development of innovative features and solutions.
1 year: Deliver impactful products that demonstrate measurable improvements in user adoption, client satisfaction, and business outcomes. **Position Specifications** **Knowledge, Skills, \&amp; Abilities:**
At least 3 years of experience in product management or related disciplines, ideally within the Banking or FinTech sectors.
Experience working with clients to deliver product based functionality and solutions.
Proven ability to craft and communicate a compelling product vision and strategy to diverse audiences.
Strong organizational, communication, and analytical skills.
Experience managing multiple, competing priorities in a fast\-paced, innovative environment.
Proficiency in Agile methodologies and tools (e.g., JIRA, Confluence).
Nice\-to\-Have:
Experience with other third\-party integrations, APIs, SSO, and banking platforms.
Background in data\-driven product development and collaborating with clients and development teams to deliver new products**Education:**
BA/BS degree or equivalent educational and professional experience. **Travel:**
Minimal, generally 12 days or less per year, \~2X team get togethers a year
**LIFE AT LUMIN DIGITAL**  
Lumin Digital is a trailblazer in digital banking solutions, driven by a unique approach to technology, service, and people. We empower credit unions and banks by creating cutting\-edge digital experiences that continuously serve, engage, and grow their membership base. Lumin is 100% cloud\-native, purpose\-built to unlock the full advantages of the cloud for financial institutions and their users.  
At Lumin, we thrive on curiosity and innovation. Our culture fosters trust \- in our expertise and decisions, respect \- for diverse perspectives and talents, and boldness \- in pursuing innovative paths. These values guide us, shaping a workplace where collaboration thrives, ideas flourish, and new possibilities are discovered. Focused on continuous improvement and innovation, we encourage our team to explore, experiment, and put new ideas into action, challenging the usual way of doing things.  
Lumin Digital is an equal opportunity employer. We consider all qualified applicants without regard to race, color, religion, sex, national origin, disability, protected veteran status, sexual orientation, gender identity, or any other legally protected basis, in accordance with applicable law.  
For more information, visit lumindigital.com.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1">
      <c r="A141" t="inlineStr">
        <is>
          <t>in-67d11a1ea50ae5a4</t>
        </is>
      </c>
      <c r="B141" t="inlineStr">
        <is>
          <t>Lead Core UX Product Manager</t>
        </is>
      </c>
      <c r="C141" t="inlineStr">
        <is>
          <t>Quizlet</t>
        </is>
      </c>
      <c r="D141" t="inlineStr">
        <is>
          <t>indeed</t>
        </is>
      </c>
      <c r="E141">
        <f>HYPERLINK("https://www.indeed.com/viewjob?jk=67d11a1ea50ae5a4", "https://www.indeed.com/viewjob?jk=67d11a1ea50ae5a4")</f>
        <v/>
      </c>
      <c r="F141">
        <f>HYPERLINK("https://jobs.lever.co/quizlet-2/6753c86d-775c-4a25-b303-fafbbf89fea6?lever-source=Indeed", "https://jobs.lever.co/quizlet-2/6753c86d-775c-4a25-b303-fafbbf89fea6?lever-source=Indeed")</f>
        <v/>
      </c>
      <c r="G141" t="inlineStr">
        <is>
          <t>San Francisco, CA, US</t>
        </is>
      </c>
      <c r="H141" s="3" t="n">
        <v>46050</v>
      </c>
      <c r="I14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core product team at Quizlet is dedicated to evolving the learning process for students into a guided, multi\-session, full\-learning experience that helps students make tangible progress toward their learning goals. Leveraging data science\-driven recommendations and a deeply integrated, course\-centric product structure, our goal is to ensure students are studying the most relevant material in the most effective way.  
About the Role:  
We are seeking a Lead Core UX Product Manager who will drive the product vision and strategy for our core study modes. They will pair AI and learning science to unlock new use cases that allow our students to get to deeper levels of learning. They will collaborate cross\-functionally with engineering managers, designers, data scientists, and other product development teams to make our core study modes the best way to practice and master material.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 **In this role, you will:**
* **Drive Product Vision:** Develop and articulate a bold product strategy that ensures Quizlet leverages the latest advancements to support new use cases and serve our students effectively
* **Conduct User Research:** Partner with user research and design teams to conduct user interviews, synthesize insights, and inform the product roadmap
* **Problem\-Solving and Prioritization:** Break down large, ambiguous problem spaces, prioritize them, and focus the team on key hypotheses
* **Feature Development:** Work closely with cross\-functional teams to define product requirements, prioritize features, and deliver high\-quality, impactful study\-enhancing features
* **Cross\-Functional Coordination:** Collaborate with marketing and subscription teams to ensure features reach the right users at the optimal time in their learning journey
* **Be a Thought Leader:** Advocate for the role of user\-centric design and UX in the overall Quizlet product roadmap
### **What you bring to the table:**
* **Experience:** 8\+ years of product management experience with a focus on user experience, consumer products and data\-science baked products
* **User\-Centric Approach:** Proven track record of building and testing delightful user experiences and delivering quantifiable results.
* **Comprehensive Involvement:** Enthusiasm for being involved in every step of the product development process, from understanding user needs to analyzing metrics and building roadmaps
* **Adaptability**: Ability to thrive in a fast\-paced startup environment with imperfect information and limited resources
* **Passion for Education**: Excitement about enhancing learning experiences for millions of students worldwide through innovative online study tools
### **Bonus points if you have:**
* EdTech or an educational background in learning science
* Used Quizlet to teach or study
###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$190,000 \- $230,000, depending on location and experience, as well as company stock options
* Collaborate with your manager and team to create a healthy work\-life balance
* 20 vacation days (and we expect you to take them!)
* Competitive health, dental, and vision insurance (100% employee and 75% dependent PPO, HMO, VSP Choice)
* Employer\-sponsored 401k plan with company match
* Access to LinkedIn Learning and other resources to support professional growth
* Paid Family Leave, FSA, HSA, Commuter benefits, Wellness benefits
* 40 hours of annual paid time off to participate in volunteer programs of choice
**Why Join Quizlet?**  
 \\uD83C\\uDF0E Massive reach: 60M\+ users, 1B\+ interactions per week
 \\uD83E\\uDDE0 Cutting\-edge tech: Generative AI, adaptive learning, cognitive science
 \\uD83D\\uDCC8 Strong momentum: Top\-tier investors, sustainable business, real traction
 \\uD83C\\uDFAF Mission\-first: Work that makes a difference in people’s lives
 \\uD83E\\uDD1D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\#LI\-FT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2">
      <c r="A142" t="inlineStr">
        <is>
          <t>in-cd3803884b4c8976</t>
        </is>
      </c>
      <c r="B142" t="inlineStr">
        <is>
          <t>Principle Product Manager, AVC (Audio, Video &amp; Communications)</t>
        </is>
      </c>
      <c r="C142" t="inlineStr">
        <is>
          <t>Roblox</t>
        </is>
      </c>
      <c r="D142" t="inlineStr">
        <is>
          <t>indeed</t>
        </is>
      </c>
      <c r="E142">
        <f>HYPERLINK("https://www.indeed.com/viewjob?jk=cd3803884b4c8976", "https://www.indeed.com/viewjob?jk=cd3803884b4c8976")</f>
        <v/>
      </c>
      <c r="F142">
        <f>HYPERLINK("https://grnh.se/r6ccmgi71us", "https://grnh.se/r6ccmgi71us")</f>
        <v/>
      </c>
      <c r="G142" t="inlineStr">
        <is>
          <t>San Mateo, CA, US</t>
        </is>
      </c>
      <c r="H142" s="3" t="n">
        <v>46050</v>
      </c>
      <c r="I14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Product Manager on the Audio, Video and Communications (AVC) team, you will define and drive the vision, strategy, and roadmap for immersive audio technologies, video encoding and playback, and the core technology enabling voice communication on the platform. You will collaborate with a diverse team of engineers, designers, data scientists and other product leaders to deliver industry leading solutions.
**You will:**
* Define and execute the product roadmap for the Audio, Video, and Communications team, ensuring alignment with company goals.
* Drive business outcomes \- increasing the quality of user experience and engagement.
* Steer cross\-functional teams (engineering, design, product marketing, etc.) to deliver innovative features that delight our users and streamline creator workflows.
* Partner with internal and external stakeholders to gather feedback, prioritize improvements, and ensure our systems meet evolving user needs.
* Leverage deep user empathy, UX insight, and a data\-informed approach to identify opportunities for product optimization, iteration, and long\-term growth.
**You have:**
* Over 5 years of experience as a product manager, preferably in the areas of audio, video, or communication software.
* A Bachelor's degree in Computer Science, Engineering, or a similar technical field.
* Demonstrated technical knowledge in one of the following areas: interactive audio, content creation workflows, video streaming, and voice communication protocols.
* Expertise in presenting clear business cases, creating detailed product specs, and helping design scalable solutions.
* A passion for driving user\-centric product decisions that are backed by data and insights.
* A history of successfully collaborating with engineering, design, and other stakeholders to deliver complex, technical products on time.
* A hands on approach. You use the product daily and can clearly express what does/doesn't work well.
\#LI\-FO1  
\#LI\-Onsite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43">
      <c r="A143" t="inlineStr">
        <is>
          <t>in-1031224ef9355aba</t>
        </is>
      </c>
      <c r="B143" t="inlineStr">
        <is>
          <t>Principal Product Manager - Tech, Recommender Systems, Prime Video Personalization &amp; Discovery</t>
        </is>
      </c>
      <c r="C143" t="inlineStr">
        <is>
          <t>Amazon.com</t>
        </is>
      </c>
      <c r="D143" t="inlineStr">
        <is>
          <t>indeed</t>
        </is>
      </c>
      <c r="E143">
        <f>HYPERLINK("https://www.indeed.com/viewjob?jk=1031224ef9355aba", "https://www.indeed.com/viewjob?jk=1031224ef9355aba")</f>
        <v/>
      </c>
      <c r="F143">
        <f>HYPERLINK("https://www.amazon.jobs/jobs/2956622/principal-product-manager--tech-recommender-systems-prime-video-personalization--discovery-?cmpid=DA_INAD200785B", "https://www.amazon.jobs/jobs/2956622/principal-product-manager--tech-recommender-systems-prime-video-personalization--discovery-?cmpid=DA_INAD200785B")</f>
        <v/>
      </c>
      <c r="G143" t="inlineStr">
        <is>
          <t>Washington, DC, US</t>
        </is>
      </c>
      <c r="H143" s="3" t="n">
        <v>45753</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in-674b89a38f2841f9</t>
        </is>
      </c>
      <c r="B144" t="inlineStr">
        <is>
          <t>Principal Product Manager - Tech, Recommender Systems, Prime Video Personalization &amp; Discovery</t>
        </is>
      </c>
      <c r="C144" t="inlineStr">
        <is>
          <t>Amazon.com</t>
        </is>
      </c>
      <c r="D144" t="inlineStr">
        <is>
          <t>indeed</t>
        </is>
      </c>
      <c r="E144">
        <f>HYPERLINK("https://www.indeed.com/viewjob?jk=674b89a38f2841f9", "https://www.indeed.com/viewjob?jk=674b89a38f2841f9")</f>
        <v/>
      </c>
      <c r="F144">
        <f>HYPERLINK("https://www.amazon.jobs/jobs/2956622/principal-product-manager--tech-recommender-systems-prime-video-personalization--discovery-?cmpid=DA_INAD200785B", "https://www.amazon.jobs/jobs/2956622/principal-product-manager--tech-recommender-systems-prime-video-personalization--discovery-?cmpid=DA_INAD200785B")</f>
        <v/>
      </c>
      <c r="G144" t="inlineStr">
        <is>
          <t>Seattle, WA, US</t>
        </is>
      </c>
      <c r="H144" s="3" t="n">
        <v>45753</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li-4367319957</t>
        </is>
      </c>
      <c r="B2" t="inlineStr">
        <is>
          <t>Senior Product Manager</t>
        </is>
      </c>
      <c r="C2" t="inlineStr">
        <is>
          <t>uShip</t>
        </is>
      </c>
      <c r="D2" t="inlineStr">
        <is>
          <t>linkedin</t>
        </is>
      </c>
      <c r="E2" t="inlineStr"/>
      <c r="F2" t="inlineStr"/>
      <c r="G2" t="inlineStr">
        <is>
          <t>Austin, TX</t>
        </is>
      </c>
      <c r="H2" t="inlineStr"/>
      <c r="I2" t="inlineStr">
        <is>
          <t>uShip’s Product Management team is seeking a versatile and highly motivated Senior Product Manager. As a part of the product management team, you must possess a unique blend of business acumen, user experience and technical skills. You will serve as a product expert, combining industry analysis, extensive market research, end\-user feedback and site usage data to manage the overall product lifecycle: setting the strategic vision and product roadmap, defining requirements, collaborating with user experience and development to define, implement, deploy, A/B test, measure, and refine new features to deliver a world\-class experience in the shipping industry.
**Responsibilities**
* Create the roadmap and manage priorities for your product
* Define KPIs and regularly measure progress toward your products’ goals
* Manage the portfolio lifecycle and solutions from strategic planning to end\-user adoption
* Work with the product leadership team on strategic alignment
* Work closely with UX designers to research, define, and test next generation experiences that increase the adoption of the products, improve conversion of new customers, and improve customer satisfaction
* Work closely with customer experience and sales to ingest user feedback from the field
* Actively participate in the agile product development process for roadmap implementation, writing product requirements, user stories, and maintaining the product backlog of priorities in close collaboration with design and engineering
* Define analytics and reporting requirements and drive implementation with the data engineering and business intelligence teams
* Design, implement and analyze A/B tests to optimize the user experience and drive key performance metrics
* Meet frequently with users and business stakeholders to develop a deep understanding of their business processes and needs
* Relate policies and complex processes into product capability to support the portfolio vision and roadmap
* Own prioritization decisions by aligning the product roadmap and team key results with company goals, balancing customer impact, business value, and delivery constraints
* Continuously ideate and evaluate new product opportunities, developing clear product briefs and testable hypotheses tied to revenue growth, and lead execution from concept through measurable impact
* Launch new products by collaborating with customer service, product marketing and marketing on go\-to\-market and lifecycle marketing strategies
* Handle critical, time\-sensitive incidents of high impact to the company and perform post\-mortem to analyze gaps and identify optimizations to products, policies and processes
* Mentor other product managers on industry best practices and demonstrate leadership throughout the entire uShip organization
**Requirements**
* 5\-7 years of experience in product management at an e\-commerce or software company
* Experience working on an e\-commerce or B2B marketplace product is strongly preferred
* Experience building a new product from the ground up; research and ideation from conception through launch
* Experience in completing market assessments to define KPIs and product tracking is strongly preferred
* Ability to think strategically and act tactically
* Data\-driven decision maker who balances stakeholder inputs and customer insights
* Experience with A/B testing to drive improvement in customer experience and business results
* Experience utilizing web analytics and data analysis to aid business decisions
* Experience with customer centricity and voice of the customer programs
* Ability to collaborate closely with designers and usability researchers to drive product features and enhancements
* Strong communication and presentation abilities
* High level of initiative and commitment to building a premier user experience for our customers
**Location:** 
 Austin, TX 78701, remote or hybrid optional team environment
**Salary:** 
 $130\-150k base salary ($150\-170k estimated total comp)
* We are unable to employ remote workers in New York City, Massachusetts, Montana, Hawaii, Alaska, California, or any location outside the U.S
* We are unable to consider candidates requiring visa sponsorship or transfer, including OPT and H\-1B, now or in the future
* We are not accepting applications from agencies or independent contractors at this time
**Why uShip?**
 uShip offers big\-company benefits in a small\-sized company because we really value and are committed to our people. There are even some extras that will surprise you.
* Remote or hybrid work options
* Monthly Wellness Reimbursements
* Home office Reimbursements
* Company paid meal delivery pass
* 100% Paid Health and Dental available
* 401(k) matching, no vesting
* Stock Options
* Pet Insurance
* Dog\-friendly downtown office
**Company Overview**
 uShip is the world’s first and largest shipping marketplace, making it quicker, easier, and more affordable to ship large or bulky items. Consumers and businesses can compare and book bids from hundreds of thousands of customer\-reviewed transportation service providers, ranging from independent owner\-operators to the largest freight carriers and brokers. From cars to cranes and furniture to freight, our straightforward and transparent platform helps people, businesses, e\-commerce sellers, and multinational logistics companies ship with greater speed and efficiency. Customers save money and service providers make money using their empty cargo space – everyone wins!
 We welcome diversity in all its forms, and believe we’re better collaborators, strategizers, and thinkers because of it. uShip is an equal opportunity employer. We are inspired to find candidates who embody our Core Values. uShip prohibits discrimination and harassment of any type and affords equal employment opportunities to employees and applicants without regard to race, color, religion, sex, gender identity, age, parental status, national origin, disability, or veteran status. We celebrate our differences and are committed to creating an inclusive environment for all employees.
 Powered by JazzHR
 0LU4qIo1RF</t>
        </is>
      </c>
    </row>
    <row r="3">
      <c r="A3" t="inlineStr">
        <is>
          <t>li-4367339301</t>
        </is>
      </c>
      <c r="B3" t="inlineStr">
        <is>
          <t>Product Manager</t>
        </is>
      </c>
      <c r="C3" t="inlineStr">
        <is>
          <t>Sidekick</t>
        </is>
      </c>
      <c r="D3" t="inlineStr">
        <is>
          <t>linkedin</t>
        </is>
      </c>
      <c r="E3" t="inlineStr"/>
      <c r="F3" t="inlineStr"/>
      <c r="G3" t="inlineStr"/>
      <c r="H3" t="inlineStr"/>
      <c r="I3" t="inlineStr">
        <is>
          <t>**Company Description** 
 Sidekick began by revolutionizing crypto wallet technologies, introducing features such as live transaction simulations, automation, private transactions, and purchase prioritization. Leveraging its robust infrastructure, the company now offers a diverse suite of products including NFT minting tools, Telegram trading platforms, market data pipelines, and node hosting. With a commitment to innovation and user empowerment, Sidekick has become a trusted name in the tech space.
**Role Description** 
 This is a full\-time, remote role for a Product Manager for our upcoming mobile apps. The Product Manager will oversee the lifecycle of Sidekick's innovative products, working collaboratively with cross\-functional teams to define strategies, prioritize features, and ensure successful product launches. Responsibilities include conducting market research, gathering stakeholder requirements, managing product roadmaps, and facilitating the development process to align with user needs and company goals. The role also involves analyzing product performance metrics, identifying opportunities for improvements, and providing leadership and direction to drive customer satisfaction and business growth.
**Qualifications** 
* Proven experience in product management, project management, and roadmap development
* Strong problem\-solving and analytical skills, including market research and competitive analysis
* Excellent leadership, collaboration, and communication skills to work effectively with cross\-functional teams
* Understanding of user\-centric design principles, product development cycles, and Agile methodologies
* Technical proficiency or familiarity with concepts related to blockchain, cryptocurrency, or related technologies is highly desirable
* Ability to work in a fast\-paced environment with strong organizational and time management skills
* Adaptability and a proactive mindset to drive innovation and align with business objectives</t>
        </is>
      </c>
    </row>
    <row r="4">
      <c r="A4" t="inlineStr">
        <is>
          <t>li-4343964044</t>
        </is>
      </c>
      <c r="B4" t="inlineStr">
        <is>
          <t>Product Manager</t>
        </is>
      </c>
      <c r="C4" t="inlineStr">
        <is>
          <t>Elucid</t>
        </is>
      </c>
      <c r="D4" t="inlineStr">
        <is>
          <t>linkedin</t>
        </is>
      </c>
      <c r="E4" t="inlineStr"/>
      <c r="F4" t="inlineStr"/>
      <c r="G4" t="inlineStr">
        <is>
          <t>Boston, MA</t>
        </is>
      </c>
      <c r="H4" t="inlineStr"/>
      <c r="I4" t="inlineStr">
        <is>
          <t>We are a rapidly growing, Boston\-based medical technology company using AI to enable clinicians to make informed decisions on cardiovascular care \- leading to better patient outcomes, improved quality of care, and reduced healthcare costs. Come work at Elucid and be part of delivering on our mission to prevent heart attacks and strokes!
 At Elucid, Product Management defines the vision, strategy, and roadmap for innovations that transform patient outcomes. As a Product Manager, you'll clarify product vision and drive development priorities within our agile teams, steering initiatives from initial concept through successful launch. Your technical background in medical imaging and ability to build strong cross\-functional relationships will enable collaboration with our engineers to scope features and partnership across sales, marketing, and product teams to ensure everything we build delivers real value to physicians and their patients.
**The Ideal Candidate Will Have**
* 3\+ years of experience as a Product Manager, preferably working with Medical Device or Medical Imaging. AI/ML products experience is a plus.
* Prior experience at a startup or small organization strongly preferred. Ability to thrive in a fast\-paced, dynamic startup environment and comfortability with changing priorities and ambiguity.
* Strong understanding of modern, agile software development methodologies.
* Excellent communication and interpersonal skills to effectively collaborate with cross\-functional teams and stakeholders.
* Ability to condense highly complex technical topics into concise, clear direction in both written and verbal communications.
* Define product requirements by synthesizing customer needs, market research, and competitive insights.
* Analytical mindset and data\-driven decision\-making skills.
**Work Location:**
* This role is based out of our office in Boston, MA. For local candidates, we operate in a hybrid model with regular in\-office collaboration. Candidates outside of the Boston area are invited to apply as fully\-remote employees.
**Salary Range:**
* The anticipated base salary range for this position at Elucid is $135,000\-$160,000\. Compensation will be influenced by a wide array of factors including but not limited to internal pay equity, job\-related knowledge, skills, education, relevant experience, certifications, and geography as outlined in the job description.
 At Elucid, we believe the best work happens in a flexible hybrid environment. Boston\-area employees are encouraged to work from the office on Mondays and Wednesdays, with the option to come in additional days if they prefer. Fully remote employees outside the Boston area come in as needed.
 We are an equal opportunity employer and value diversity at Elucid. We do not discriminate based on race, religion, color, national origin, gender, sexual orientation, age, marital status, veteran status, or disability.
*We understand that self\-doubt can sometimes prevent great candidates from applying. If you believe you can make an impact at Elucid, even if you don’t meet every qualification, we encourage you to apply!*</t>
        </is>
      </c>
    </row>
    <row r="5">
      <c r="A5" t="inlineStr">
        <is>
          <t>li-4367300298</t>
        </is>
      </c>
      <c r="B5" t="inlineStr">
        <is>
          <t>Product Manager - Harry Potter</t>
        </is>
      </c>
      <c r="C5" t="inlineStr">
        <is>
          <t>Zynga</t>
        </is>
      </c>
      <c r="D5" t="inlineStr">
        <is>
          <t>linkedin</t>
        </is>
      </c>
      <c r="E5" t="inlineStr"/>
      <c r="F5" t="inlineStr"/>
      <c r="G5" t="inlineStr"/>
      <c r="H5" t="inlineStr"/>
      <c r="I5"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6">
      <c r="A6" t="inlineStr">
        <is>
          <t>li-4366891598</t>
        </is>
      </c>
      <c r="B6" t="inlineStr">
        <is>
          <t>Product Manager, gUP</t>
        </is>
      </c>
      <c r="C6" t="inlineStr">
        <is>
          <t>Google</t>
        </is>
      </c>
      <c r="D6" t="inlineStr">
        <is>
          <t>linkedin</t>
        </is>
      </c>
      <c r="E6" t="inlineStr"/>
      <c r="F6" t="inlineStr"/>
      <c r="G6" t="inlineStr">
        <is>
          <t>Sunnyvale, CA</t>
        </is>
      </c>
      <c r="H6" t="inlineStr"/>
      <c r="I6" t="inlineStr">
        <is>
          <t>**Minimum qualifications:**
* Bachelor's degree or equivalent practical experience.
* 5 years of experience in product management or related technical roles.
* 2 years of experience taking technical products from conception to launch (e.g., ideation to execution, end\-to\-end, 0 to 1, etc.).
* Experience working with Generative AI or Agentic AI products.
**Preferred qualifications:**
* Experience turning broad, ambiguous problems into clear, well\-structured projects.
* Experience working closely with engineering to understand infrastructure design and tradeoffs.
* Ability to define metrics, analyze experiments, generate insights, and communicate results to the wider organization.
* Ability to collaborate with cross\-functional teams on high\-velocity projects.
* Excellent communication skills including presenting regularly to executive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Partner and Operations Solutions team at Google is responsible for developing and maintaining a suite of critical tools that empower partners and internal operations teams.
 As a Product Manager, gTech Users and Products (gUP), you will focus on Tomo, our partner customer relationship management (CRM) product. You will be responsible for gathering requirements, writing clear specifications, coordinating with Engineering partners, and working with partner\-facing teams to ensure new features and capabilities are built, adopted, and driving the expected impact. You will be adept at defining and tracking key metrics to measure success, and making data\-driven decisions to optimize user engagement and support outcomes.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product development lifecycle for specific features or components, from requirements gathering to launch and post\-launch analysis.
* Conduct user and agent research, analyze behavior, and leverage data to identify pain points and opportunities, ensuring features meet user needs and business objectives.
* Define clear and concise product requirements, user stories, and acceptance criteria. Prioritize features and backlog items based on impact and feasibility.
* Partner closely with Engineering, UX, Research, and Operations teams to ensure alignment, clear communication, and smooth execution throughout the product development process.
* Define key success metrics for your features, monitor performance, and iterate based on data to improve user outcomes and achieve product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
      <c r="A7" t="inlineStr">
        <is>
          <t>li-4356636602</t>
        </is>
      </c>
      <c r="B7" t="inlineStr">
        <is>
          <t>Product Manager, Content Platform Operations and Publishing</t>
        </is>
      </c>
      <c r="C7" t="inlineStr">
        <is>
          <t>Netflix</t>
        </is>
      </c>
      <c r="D7" t="inlineStr">
        <is>
          <t>linkedin</t>
        </is>
      </c>
      <c r="E7" t="inlineStr"/>
      <c r="F7" t="inlineStr"/>
      <c r="G7" t="inlineStr">
        <is>
          <t>Los Gatos, CA</t>
        </is>
      </c>
      <c r="H7" t="inlineStr"/>
      <c r="I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unique culture drives our approach to innovation, and our small, focused product teams empower individuals to make a big impact. We strongly believe that a diversity of experiences and backgrounds leads to a better environment for our employees and better products for our customers.
**Location**
 Los Gatos, CA, Los Angeles, CA, or Remote (within the US). Regular travel to Los Gatos and Los Angeles is required.
****The Team****
 The Content Platform Operations \&amp; Publishing (CPOP) team sits at the intersection of AI and machine learning, the consumer experience and the Netflix Studio. We are an integral part of making the Netflix experience feel personal and relevant by developing innovative approaches to how we promote, localize, and distribute our content. Our products impact both our members and the content creators, linguists, editors and executives who make our shows and films possible.
 We are seeking a Product Manager with strong understanding of machine learning and passion for AI innovation and technology to lead strategic initiatives that will transform our internal tools and content operations
 **.**
**In This Role, You Will**
* Drive the integration of state\-of\-the\-art AI and machine learning models into our content platform and publishing tools enabling hyper\-personalized and contextually relevant experiences for global audiences.
* Collaborate with cross\-functional teams to develop intelligent systems that automate and optimize the creation of high\-quality promotional assets, supporting our rapidly expanding content catalog.
* Identify and implement novel AI\-driven solutions to complex challenges in content distribution, asset management, and language experiences, ensuring our platform remains at the cutting edge of entertainment technology.
* Partner with researchers, engineers, and stakeholders to translate the latest advancements in AI into scalable, user\-centric products that empower both Netflix members and our creative partners.
 If you thrive at the intersection of AI technology and entertainment, and are excited to shape the future of content operations through innovation, we’d love to hear from you!
**Responsibilities Include**
* Build strategic roadmaps, taking product concepts from idea through validation, shipping, measurement, and iteration. You will author strategy memos and presentations to represent your team's work to senior executives.
* Lead the incubation and system design of new Machine Learning or AI capabilities, from idea to production in partnership with applied researchers, data scientists, and engineers, and integrating these capabilities into our suite of tools.
* Discover new needs that artists, creators and content executives have, distilling their needs into product roadmaps and delivering solutions that drive real business impact.
* Communicate your vision and strategy broadly throughout the organization, presenting technical and complex information to non\-technical audiences.
* Use exceptional analytical and ML/AI evaluation skills and a rigorous, hypothesis\-driven approach to inform priorities, build business cases, and measure impact.
**What We’re Looking For**
 While no candidate will check every box, we are looking for a senior Product Manager with a proven track record of success.
* 7\+ years of product management experience with a proven record of prioritizing and successfully launching impactful products or platforms.
* Intermediate or advanced knowledge of Machine Learning techniques and evaluation best practices
* Ability to mobilize an entire organization toward a common goal and build strong relationships across functions and geographies.
* Previous experience in leading end\-to\-end products that incorporate Machine Learning and AI focused solutions, including experience launching AI\-enabled products and perfecting/customizing underlying models.
* Previous experience with the ML lifecycle (data collection and labeling, model evaluation, etc.).
* Applied experience using data to inform priorities and evaluate impact.
* Excellent written and verbal communication skills.
* Experience building products for creative teams, internal partners, or B2B enterprise clients.
* Experience with media supply chains, localization, or translation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
      <c r="A8" t="inlineStr">
        <is>
          <t>li-4367311157</t>
        </is>
      </c>
      <c r="B8" t="inlineStr">
        <is>
          <t>Product Manager</t>
        </is>
      </c>
      <c r="C8" t="inlineStr">
        <is>
          <t>Lumio Solutions (Formerly SRA Watchtower)</t>
        </is>
      </c>
      <c r="D8" t="inlineStr">
        <is>
          <t>linkedin</t>
        </is>
      </c>
      <c r="E8" t="inlineStr"/>
      <c r="F8" t="inlineStr"/>
      <c r="G8" t="inlineStr">
        <is>
          <t>Glen Allen, VA</t>
        </is>
      </c>
      <c r="H8" t="inlineStr"/>
      <c r="I8" t="inlineStr">
        <is>
          <t>**About Lumio Solutions** 
 Lumio Solutions is a SaaS technology provider helping community financial institutions across the U.S. make better, risk\-informed decisions through innovative data and technology platforms. We empower credit unions and regional banks with tools that enhance their ability to manage risk, serve members, and grow sustainably.
**The Opportunity** 
 We’re looking for a Product Manager to help shape the future of Lumio’s platform. This role is focused on product strategy, execution, and customer collaboration. You’ll work closely with leadership, engineering, and customers to translate business needs into clear requirements that drive high\-impact product outcomes.
 **What You’ll Do** 
* Own and maintain the product roadmap and backlog
* Write clear Product Requirements Documents (PRDs), user stories, and acceptance criteria
* Gather and translate customer feedback, business needs, and regulatory considerations into actionable requirements
* Partner with engineering to prioritize work, clarify scope, and support on\-time delivery
* Participate in sprint planning, backlog grooming, and reviews
* Validate solutions through customer feedback, data, and ongoing iteration
**What We’re Looking For** 
* 2–4 years of experience in a Product Owner or Product Management role, ideally in financial services, SaaS, or risk management technology
* Experience working closely with engineering teams and senior stakeholders
* Strong ability to balance customer needs, business objectives, and technical constraints
* Excellent written and verbal communication skills
* Strong analytical and problem\-solving abilities
* Familiarity with Agile/Scrum methodologies
**Location** 
 Remote. Preferred candidates located near Richmond or Charlottesville, VA. Periodic travel may be required for team meetings or customer engagement.
**Why Join Lumio** 
 At Lumio, you’ll play a key role in building products that help community financial institutions thrive. We’re a collaborative, mission\-driven team focused on using data and technology to deliver practical, user\-centered solutions.
-</t>
        </is>
      </c>
    </row>
    <row r="9">
      <c r="A9" t="inlineStr">
        <is>
          <t>li-4344481541</t>
        </is>
      </c>
      <c r="B9" t="inlineStr">
        <is>
          <t>Games Product Manager, Mainstream</t>
        </is>
      </c>
      <c r="C9" t="inlineStr">
        <is>
          <t>Netflix</t>
        </is>
      </c>
      <c r="D9" t="inlineStr">
        <is>
          <t>linkedin</t>
        </is>
      </c>
      <c r="E9" t="inlineStr"/>
      <c r="F9" t="inlineStr"/>
      <c r="G9" t="inlineStr"/>
      <c r="H9" t="inlineStr"/>
      <c r="I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Netflix is one of the world's leading entertainment services, with over 300 million paid memberships in over 190 countries enjoying TV series, films, and games across a wide variety of genres and languages. Members can play, pause, and resume watching or playing as much as they want, anytime, anywhere — and can change their plans at any time.
 Netflix is looking for a versatile, strategic, and industrious Games Product Manager to join our Mainstream Games team supporting a diverse slate of mobile and cloud titles. Our goal is to entertain the world and your job will be to help deliver on a suite of games to do just that. As a part of Netflix, we strive to hire the best and value integrity, excellence, respect, inclusion, and collaboration.
 As a Games Product Manager for Mainstream, you will play a critical role in shaping and operating the lifecycle of a sub\-section of our portfolio of games — working closely with game and production teams, data scientists, creative leads, and cross\-functional partners to drive engagement, retention, and long\-term value. You will create experiences that feel accessible, exciting, and worth coming back to through defining the right feature sets, systems, and live service rhythms to meet both the functional and emotional needs of mainstream players.
 The preferred location for this role is Los Angeles, though remote work will be considered, with a preference for candidates in the PST time zone who are able to travel. Travel is required for quarterly in\-person onsites held at our Los Angeles or Los Gatos offices.
**Responsibilities**
* Partner with game development teams to ensure execution of the performance strategy for a portion of our mainstream portfolio, driving towards improvements on acquisition, retention, engagement, and repeat play.
* Partner with game developers to design and optimize player onboarding, seasonal updates, content refreshes etc that are scalable and repeatable.
* Leverage player behavior, telemetry, and observational research to improve game performance, while considering how different genre audiences engage with your titles.
* Define and monitor key performance indicators (KPIs) related to our games
* Collaborate with internal cross\-functional teams (including production, design, marketing, product, finance, data science, and engineering)
* Guide game teams through the transition from launch to live service, ensuring a seamless post\-launch plan with clear rhythms.
* Champion experimentation, learning, and iteration — from UI tweaks to new gameplay modules — always with our core player and their joy at the center.
* Help ensure our games are must\-play games to a diverse global audience.
**Requirements**
* 7\+ years of experience in product management for games or highly related role
* Experience in live service games with massive communities is strongly preferred
* Deep understanding of live game systems including content updates, events, progression, and repeat play hooks
* Strong data fluency with a track record of using insights to drive product decisions
* Ability to think strategically and execute tactically, balancing long\-term roadmap with day\-to\-day operations
* Excellent collaboration and communication skills; comfortable influencing across teams and disciplines
* Adaptability and comfort navigating ambiguity in a rapidly evolving organization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$210,000\.00 \- $300,000\.00\.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0">
      <c r="A10" t="inlineStr">
        <is>
          <t>li-4356607245</t>
        </is>
      </c>
      <c r="B10" t="inlineStr">
        <is>
          <t>Technical Product Manager</t>
        </is>
      </c>
      <c r="C10" t="inlineStr">
        <is>
          <t>Sono Bello</t>
        </is>
      </c>
      <c r="D10" t="inlineStr">
        <is>
          <t>linkedin</t>
        </is>
      </c>
      <c r="E10" t="inlineStr"/>
      <c r="F10" t="inlineStr"/>
      <c r="G10" t="inlineStr">
        <is>
          <t>Bellevue, WA</t>
        </is>
      </c>
      <c r="H10" t="inlineStr"/>
      <c r="I10" t="inlineStr">
        <is>
          <t>Sono Bello is America's top cosmetic surgery specialist, with 185\+ board\-certified surgeons who have performed over 300,000 laser liposuction and body contouring procedures. A career at Sono Bello means being part of a dynamic and high\-energy work environment where every team member can make a difference. We love what we do, and it shows! We believe everyone deserves to have their best body today and pursue their best life now.
***This position is based on\-site in the Greater Seattle Area.***
 A career at Sono Bello means being part of a dynamic, high\-energy work environment where every team member can make a difference. We love what we do, and it shows. As the national leader in providing cutting\-edge, personalized body transformations, we believe everyone deserves their best body today and the opportunity to pursue their best life now. With over 100 locations, Sono Bello is the largest and fastest\-growing cosmetic surgery practice in the nation.
 The Technical Product Manager leads the definition, prioritization, and delivery of technology solutions that support Sono Bello’s Patient Journey, including lead lifecycle, marketing platforms, and call center work flows. This role works closely with Technology, Marketing, and the Call Center to turn business needs into clear product requirements, user stories, and features.
 The TPM helps evolve Sono Bello’s marketing technology stack by ensuring systems and data are well integrated to support customer acquisition, lead conversion, and digital engagement
 This role requires strong technical skills, experience in modern software development environments, and the ability to partner effectively with engineers, data teams, vendors, and business stakeholders.
**Essential Duties And Responsibilties**
* Product Strategy \&amp; Road mapping
+ Develop and maintain the product roadmap for Sono Bello Patient Journey, including lead management, digital experience, automation, and call\-center systems.
+ Translate business goals into actionable product initiatives grounded in data, customer insights, and operational needs.
+ Define and measure success metrics/KPIs for product features.
**User Stories \&amp; Requirements Development**
* Convert business requirements into detailed user stories, workflows, and acceptance criteria for engineering teams.
* Facilitate backlog grooming and feature prioritization across Technology, Marketing, and Call Center leadership.
* Ensure requirements reflect both business value and technical feasibility.
**Cross\-Functional Collaboration**
* Partner closely with Engineering, Data Science, and DevOps to ensure seamless delivery of platform changes and enhancements.
* Work directly with Marketing and PAC to deeply understand user needs, pain points, and process requirements.
* Coordinate delivery across multiple teams, ensuring alignment on goals, dependencies, and timelines.
**Technical Ownership \&amp; Execution**
* Maintain a deep understanding of integrated technology stacks: marketing automation, CRM, contact center systems, CDPs, APIs, and data pipelines
* Serve as the subject matter expert for system behavior, integrations, and workflows
* Validate features pre\- and post\-release to ensure quality, usability, and expected business outcomes
* Partner with third\-party vendors and engineering teams to scope work, manage deliverables, and evaluate new capabilities.
**Required Skills And Abilities**
* 5–8\+ years of experience as a Product Manager, Product Owner, Business Systems Analyst, or Technical Program Manager.
* Demonstrated experience working with software engineering lifecycles, agile methodologies, and backlog management.
* Strong technical skills and experience with modern marketing and CRM platforms, including marketing automation, CDPs, CRMs, and contact center tools
* Ability to define user stories, functional requirements, and acceptance criteria with clarity and precision.
* Experience working cross functional teams
* Excellent communication skillable to translate between business and technical audiences.
**Education And Experience Required**
* Experience supporting call center operations, lead lifecycle management, or customer acquisition systems.
* Experience with workflow automation, customer data platforms (CDPs), and omnichannel marketing systems.
* Experience using data analytics tools such as SQL, Tableau, and Kusto
* Previous Experience as a software engineer is a plus
* Bachelor's degree or equivalent experience in a STEM subject such as Computer Science, Engineering, Information Systems, Analytics, Mathematics, Physics, Applied Sciences
**Work Environment**
 Work onsite at the Corporate Office in Bellevue, WA for a minimum of 3 days a week. May work in remote office locations on Wednesdays and Fridays.
**Compensation**
 At Sono Bello, we believe that our team members are the keys to our success. The compensation range for this role is $108,000 \- $135,000 depending on experience.
**Benefits**
* Medical
* Dental
* Vision
* Life Insurance
* 401K
* EAP
* PTO \&amp; Paid Holidays
 Compensation Range: $108,000 USD \- $135,000 USD
 Pay may vary by location, and actual compensation depends on factors like qualifications, experience, skills, and business needs. Sono Bello may adjust this range in the future. Full\-time employees may also receive benefits such as incentives, equity, health coverage, 401(k) matching, paid time off, and parental leave.
 Benefits Package includes Medical, Dental, Vision, Life Insurance, 401K, EAP, PTO, and Paid Holidays.
 For applicants located in CA: link</t>
        </is>
      </c>
    </row>
    <row r="11">
      <c r="A11" t="inlineStr">
        <is>
          <t>li-4367196677</t>
        </is>
      </c>
      <c r="B11" t="inlineStr">
        <is>
          <t>Product Manager - Harry Potter</t>
        </is>
      </c>
      <c r="C11" t="inlineStr">
        <is>
          <t>Zynga</t>
        </is>
      </c>
      <c r="D11" t="inlineStr">
        <is>
          <t>linkedin</t>
        </is>
      </c>
      <c r="E11" t="inlineStr"/>
      <c r="F11" t="inlineStr"/>
      <c r="G11" t="inlineStr">
        <is>
          <t>Austin, TX</t>
        </is>
      </c>
      <c r="H11" t="inlineStr"/>
      <c r="I11"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12">
      <c r="A12" t="inlineStr">
        <is>
          <t>li-4366888625</t>
        </is>
      </c>
      <c r="B12" t="inlineStr">
        <is>
          <t>Product Manager, Help Guide, gUP</t>
        </is>
      </c>
      <c r="C12" t="inlineStr">
        <is>
          <t>Google</t>
        </is>
      </c>
      <c r="D12" t="inlineStr">
        <is>
          <t>linkedin</t>
        </is>
      </c>
      <c r="E12" t="inlineStr"/>
      <c r="F12" t="inlineStr"/>
      <c r="G12" t="inlineStr">
        <is>
          <t>Irvine, CA</t>
        </is>
      </c>
      <c r="H12" t="inlineStr"/>
      <c r="I12"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3 years of experience in product management or related technical roles.
* 1 year of experience taking technical products from conception to launch.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strategic direction, and ensure it aligns with gUP’s and the Product Area’s overall goals.
* Analyze every touch point across the self\-help journey and optimize conversational AI for consumer support within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
      <c r="A13" t="inlineStr">
        <is>
          <t>li-4356567716</t>
        </is>
      </c>
      <c r="B13" t="inlineStr">
        <is>
          <t>Product Owner</t>
        </is>
      </c>
      <c r="C13" t="inlineStr">
        <is>
          <t>McGraw Hill</t>
        </is>
      </c>
      <c r="D13" t="inlineStr">
        <is>
          <t>linkedin</t>
        </is>
      </c>
      <c r="E13" t="inlineStr"/>
      <c r="F13" t="inlineStr"/>
      <c r="G13" t="inlineStr"/>
      <c r="H13" t="inlineStr"/>
      <c r="I13" t="inlineStr">
        <is>
          <t>**Overview**
**Build the Future**
 At McGraw Hill, we are dedicated to delivering learning experiences that transform education for learners and educators. Our focus is on creating seamless, impactful products that truly benefit our users while supporting growth and collaboration across teams. We foster a culture that values innovation, teamwork, and a balance between career growth and personal well\-being.
**How can you make an impact?**
 Join our dynamic team that is passionate about developing educational solutions for the K\-12 market. We are committed to providing innovative, research\-based resources that empower educators and inspire students. As a Product Owner, you will play a key role in driving the development of our Mathematics curricula, ensuring that our products meet the needs of teachers and learners around the globe.
 As a Product Owner for the Math curricula team, you will lead the creation and development of print and digital education solutions. You will work closely with cross\-functional teams, including curriculum designers, educators, engineers, and marketers, to deliver comprehensive updates and enhancements to existing Science program that aligns with educational standards, market\-needs, and supports diverse student needs.
**This is a remote position open to applicants authorized to work for any employer within the United States.**
**What You’ll Do:**
* Collaborate with stakeholders to define the product vision, strategy, and roadmap for the product you own.
* Act as the voice of the customer, gathering and prioritizing requirements to ensure the curriculum meets the needs of students, teachers, and educational institutions.
* Create and manage the product backlog, clearly defining user stories, acceptance criteria, and priorities for the development team.
* Work closely with Agile teams, including developers, designers, and QA, to ensure timely and high\-quality delivery of features.
* Conduct market research and competitive analysis to identify trends and opportunities within the educational landscape.
* Monitor and report on product performance, leveraging data and analytics to drive continuous improvement and innovation.
* Engage with educators, administrators, and other stakeholders to gather feedback and ensure the product aligns with the latest educational standards and practices.
* Influence cross\-functional design teams to execute on the iterative, product roadmap set forth by your Math Product Management team.
* Participate in Agile ceremonies such as daily stand\-ups, sprint planning, and retrospectives to provide guidance and clarity to the team.
* Support in\-market activities like proposals, responses to RFPs, rubrics, sales operations and funding requests that leverage your knowledge of product\-market fit and the product roadmap.
**What you bring:**
* Bachelor’s degree in Education, Curriculum Design, Business, or a related field.
* 3\+ years of experience as a Product Owner or similar role, optimally in the education or EdTech sector.
* An ability to thrive in a changing, dynamic, and honestly sometimes chaotic environment.
* Understanding of Agile methodologies and experience working on Agile teams.
* Strong ability to keep track of details, use supporting technologies (like Jira and others) and make tough but smart decisions under pressure.
* Excellent communication, collaboration, decision\-making, and stakeholder management skills.
* Ability to analyze data and make data\-driven decisions to drive product success.
* Passion for education and a commitment to improving Science outcomes for all students
**Why work for us?**
 The pay range for this position is between $71,300\-$100,000 annually. However, base pay offered may vary depending on job\-related knowledge, skills, experience, and location. Additionally, a full range of medical and/or other benefits may be provided, depending on the position offered. Click here to learn more about our benefit offerings.
*McGraw Hill recruiters always use a “@mheducation.com or @careers.mheducation.com” email address and/or from our Applicant Tracking System, iCIMS. Any variation of this email domain should be considered suspicious. Additionally, McGraw Hill recruiters and authorized representatives will never request sensitive information in email.*
 50257</t>
        </is>
      </c>
    </row>
    <row r="14">
      <c r="A14" t="inlineStr">
        <is>
          <t>li-4366896813</t>
        </is>
      </c>
      <c r="B14" t="inlineStr">
        <is>
          <t>Technical Product Manager</t>
        </is>
      </c>
      <c r="C14" t="inlineStr">
        <is>
          <t>Coforge</t>
        </is>
      </c>
      <c r="D14" t="inlineStr">
        <is>
          <t>linkedin</t>
        </is>
      </c>
      <c r="E14" t="inlineStr"/>
      <c r="F14" t="inlineStr"/>
      <c r="G14" t="inlineStr">
        <is>
          <t>Pittsburgh, PA</t>
        </is>
      </c>
      <c r="H14" t="inlineStr"/>
      <c r="I14" t="inlineStr">
        <is>
          <t>Job Title: Technical Product Manager
 Skills: Product roadmap, data strategy and governance, modern cloud‑native architecture
 Experience: 12\-16 Years
 Location: Arlington, VA
 Job Type: Fulltime
 We at Coforge are hiring for Technical Product Manager with the following skills:
* We are seeking an experienced Onshore Technical Product Manager to lead the evolution of its core platform as it scales across multiple states.
* This role combines product strategy, technical architecture leadership, and strong data competency to ensure a secure, reliable, and extensible platform.
* The TPM will own the multi‑year product roadmap, partner with executive leadership on state‑expansion strategy, and translate regulatory and customer needs into actionable product requirements.
* They will work closely with engineering to drive modern cloud‑native architecture, oversee platform scalability, reliability, and security, and prioritize technical debt and modernization.
* A key focus is data strategy and governance—shaping data models, supporting analytics and machine learning, and ensuring quality, compliance, and privacy across state implementations. The role requires seamless cross‑functional collaboration with engineering, data, UX, and customer\-facing teams to deliver high\-quality increments and ensure successful customer adoption.
* The TPM will also engage directly with state agencies and partner organizations, communicating roadmap changes, platform capabilities, and deployment readiness.
* Ideal candidates bring 7\+ years of technical product leadership, deep understanding of cloud architectures and distributed systems, experience scaling SaaS platforms, strong data fluency, and excellent communication and execution skills. Experience in public sector or multi\-stakeholder environments is a plus.
* This is a high\-impact role First Match’s national growth to ensuring a scalable architecture, robust data foundation, smooth multi‑state onboarding, and strong client outcomes.</t>
        </is>
      </c>
    </row>
    <row r="15">
      <c r="A15" t="inlineStr">
        <is>
          <t>li-4367312064</t>
        </is>
      </c>
      <c r="B15" t="inlineStr">
        <is>
          <t>Product Manager - Horizontal Integrations</t>
        </is>
      </c>
      <c r="C15" t="inlineStr">
        <is>
          <t>Raydar</t>
        </is>
      </c>
      <c r="D15" t="inlineStr">
        <is>
          <t>linkedin</t>
        </is>
      </c>
      <c r="E15" t="inlineStr"/>
      <c r="F15" t="inlineStr"/>
      <c r="G15" t="inlineStr"/>
      <c r="H15" t="inlineStr"/>
      <c r="I15" t="inlineStr">
        <is>
          <t>About the Role
 Our client is looking for a Product Manager to own a horizontal integrations platform—responsible for launching and scaling high\-impact integrations that touch multiple parts of the product (think Stripe\-style integrations). This role sits at the center of engineering, partnerships, and enterprise customers, driving “thin\-slice” go\-lives while coordinating across multiple engineering pods.
 This is an execution\-heavy, IC\-focused role suited for someone who thrives in early\-stage or startup environments and enjoys shipping practical, customer\-driven integrations at pace (5–10 per month).
 What You’ll Do
* Own the end\-to\-end delivery of new integrations across multiple product surfaces
* Define data models and map complex system requirements into clear, buildable integration scopes
* Lead “thin\-slice” integration launches that deliver fast customer value
* Coordinate execution across multiple engineering pods and stakeholders
* Partner closely with Business Development / Partnerships to support ecosystem growth
* Conduct discovery with enterprise customers to identify integration needs and define clear requirements
* Prioritize and manage multiple integration efforts simultaneously with a detail\-oriented delivery mindset
 What We’re Looking For
* Experience leading complex integrations that touch multiple systems or teams
* Strong ability to define data models and integration requirements
* Comfortable aligning and coordinating multiple engineering pods
* Experience building or operating platform products or partner ecosystems
* Proven discovery skills with enterprise customers
* Strong execution and delivery orientation (not purely strategy\-focused)
* Startup or early\-stage execution experience preferred
* IC mindset with strong ownership and follow\-through</t>
        </is>
      </c>
    </row>
    <row r="16">
      <c r="A16" t="inlineStr">
        <is>
          <t>li-4367325394</t>
        </is>
      </c>
      <c r="B16" t="inlineStr">
        <is>
          <t>Senior Product Manager - Experience</t>
        </is>
      </c>
      <c r="C16" t="inlineStr">
        <is>
          <t>Zippy</t>
        </is>
      </c>
      <c r="D16" t="inlineStr">
        <is>
          <t>linkedin</t>
        </is>
      </c>
      <c r="E16" t="inlineStr"/>
      <c r="F16" t="inlineStr"/>
      <c r="G16" t="inlineStr">
        <is>
          <t>Dallas, TX</t>
        </is>
      </c>
      <c r="H16" t="inlineStr"/>
      <c r="I16" t="inlineStr">
        <is>
          <t>Zippy was founded with one mission: to make getting a loan for a manufactured home simple, fast, and fully online. We believe modern manufactured homes are affordable, well\-built, eco\-friendly, and stylish, but finding a lender who understands this market can be challenging. That’s why Zippy focuses exclusively on manufactured home loans, offering a seamless, digital experience.
 Headquartered in Dallas, TX, with an office in Tempe, AZ, Zippy provides home loans and insurance to manufactured home buyers throughout the United States. Our remote\-first team is spread across cities like Dallas, Houston, Knoxville, Omaha, Philadelphia, Phoenix, and several other states and cities. Backed by institutional investors, we offer competitive pay, stock options, and excellent benefits. At Zippy, we pride ourselves on our commitment to finance happiness through the power of home. We are dedicated to enhancing consumers' financial outcomes and tackling the affordable housing crisis through cutting\-edge technology and innovative solutions.
**The Role**
 At Zippy, we believe everyone deserves access to affordable, high\-quality housing, but outdated lending processes have made homeownership increasingly difficult to achieve. We’re on a mission to change that by making financing for manufactured homes faster, simpler, and more accessible than ever before.
 As a Senior Product Manager at Zippy, you will play a key role in shaping the end\-to\-end experience across all of our customer segments. This includes home buyers, retail partners, and internal users who rely on our products every day. You will focus on ensuring the experiences are intuitive, consistent, and scalable, while meeting the needs of different user types across the business.
 This role spans multiple areas of the product. You will work cross\-functionally to define experience strategy, improve usability across journeys, and ensure that our products are easy to adopt, efficient to use, and aligned with Zippy’s business goals. You will focus on driving clarity, reducing friction, and delivering experiences that support both growth and operational excellence.
 This is a great opportunity for a product generalist who enjoys working across user journeys, balancing competing needs, and building experiences that work well for customers and internal teams alike.
 What You’ll Do
* Own the strategy and execution for your product area, aligning with Zippy’s mission and business goals.
* Use data, A/B testing, and customer insights to drive decisions, optimize experiences, and measure success.
* Lead the product lifecycle, from discovery and roadmap definition to launch and iteration.
* Balance short\-term wins with long\-term impact, ensuring quick iterations drive lasting value.
* Solve complex problems, considering customer needs, business growth, and technical feasibility.
* Work cross\-functionally to align teams, remove roadblocks, and ensure smooth execution of product initiatives.
* Thrive in a fast\-paced startup, adapting quickly, making bold bets, and iterating to improve.
 What We’re Looking For
* 5\+ years of product management experience in fintech, with a strong focus on customer\-facing or internal product experiences.
* Extensive experience building and improving complex user journeys across multiple customer types, balancing usability, efficiency, and business outcomes.
* Strong customer and business intuition, with a data\-driven approach to decision\-making.
* Ability to thrive in a fast\-paced startup environment, balancing speed with quality while adapting to evolving priorities.
* Excellent problem\-solving skills, with the ability to navigate ambiguity and drive clarity.
* Exceptional collaboration and communication skills, with experience working across teams like engineering, design, sales, and operations.
* Passion for creating products and experiences that drive impact.
 At Zippy, we believe in empowering our team to own their work, take bold bets, and build products that redefine the industry. If you're excited about creating innovative experiences that shape the future of lending, we'd love to hear from you.
**Important Applicant Information**
* While many of our interviews are conducted virtually, all applicants should be prepared to potentially meet in person as part of the process.
* As a participating employer, we will use E\-Verify to confirm employment eligibility.
* Please note that we are currently only hiring candidates who reside in the following states: Arizona, Connecticut, Florida, Georgia, Illinois, Indiana, Louisiana, Maryland, Michigan, Missouri, Montana, Nebraska, Nevada, New York, North Carolina, Ohio, Oklahoma, Oregon, Pennsylvania, South Carolina, South Dakota, Tennessee, Texas, and Wisconsin. Applicants that do not reside in the bolded states will be rejected.
**Total Rewards**
 At Zippy, we're passionate about creating a workplace where people love to work. We put a lot of heart into building and nurturing a company culture that not only supports our team but also inspires them to do their best work.
 Our benefits and perks are always evolving, but here’s what we offer right now:
* Competitive Compensation: We offer a competitive salary with the potential for annual bonuses and variable pay, depending on your skills and experience.
* Equity for All: As a part of our commitment to shared success, all employees receive equity in the company, allowing you to share in the growth and achievements of Zippy.
* Remote Work: Enjoy the flexibility of working from home in a dynamic, remote\-first environment.
* Comprehensive Health Coverage: We provide medical, dental, and vision insurance, along with company\-subsidized benefits like STD, LTD, and life insurance for you and your family.
* Flexible Spending Accounts: Take advantage of medical \&amp; dependent care FSAs to help manage your expenses.
* Training \&amp; Licensing Support: We invest in your professional growth with resources for training and licensing.
* Paid Time Off: We offer generous PTO—and we encourage you to use it!
* Wellbeing Programs: Access a variety of wellbeing resources, including Headspace, Gympass\+, Fetch, Spring Health, SoFi, Perkspot, Ladder, and more through our Sequoia Wellbeing Programs.
* Parental Leave: We provide paid parental leave to support you and your growing family.
* No Meeting Wednesdays: Enjoy a mid\-week break from meetings to focus and recharge.
* Vibrant Slack Community: Engage with colleagues in our lively remote Slack community, featuring fun channels that connect people around shared interests like travel, pets, sports, food, and more.
* Career Growth: We believe in promoting from within, offering you opportunities to grow your career with us.
 Beyond the tangible benefits:
* Core Values: At the heart of everything we do are our core values: Lead with Passion, Own It, Build a Better Way, Results Driven, and The Golden Rule. These values guide our decisions, shape our culture, and inspire us to achieve our best every day.
* Join a Growing Team: Be part of a dynamic team at a pivotal moment in Zippy’s growth, where every contribution makes a significant impact.
* Innovative Work: Collaborate with sharp, passionate teammates to tackle unique challenges in the Manufactured Housing market, positioning our product as a top\-tier lending solution.
* Supportive Culture: You’ll be welcomed into a collaborative environment that fosters camaraderie, respect, and a deep sense of belonging.
* Diversity \&amp; Inclusion: We’re committed to empowering a diverse and inclusive workforce, celebrating our differences, and ensuring everyone feels safe to bring their whole selves to work.
* Inspirational Leadership: Work alongside leaders who are not only approachable but also dedicated to providing guidance, mentorship, and support to help you succeed.
* Meaningful Impact: Be part of a mission\-driven team that’s making housing more affordable for everyone, helping prospective buyers secure fast and simple online loans to purchase manufactured homes. By joining Zippy you will help improve the lives of over 22 million Americans who live in manufactured homes today.
 Zippy is an equal opportunity employer that is committed to diversity and inclusion. We do not discriminate based on race, color, national origin, religion, gender, gender expression, sexual orientation, age, veteran status, disability status, or marital status. If you are excited about the role but do not meet 100% of the qualifications listed above, we encourage you to apply. Nothing in this job posting should be construed as an offer or guarantee of employment.</t>
        </is>
      </c>
    </row>
    <row r="17">
      <c r="A17" t="inlineStr">
        <is>
          <t>li-4367315218</t>
        </is>
      </c>
      <c r="B17" t="inlineStr">
        <is>
          <t>Product Manager - Harry Potter</t>
        </is>
      </c>
      <c r="C17" t="inlineStr">
        <is>
          <t>Zynga</t>
        </is>
      </c>
      <c r="D17" t="inlineStr">
        <is>
          <t>linkedin</t>
        </is>
      </c>
      <c r="E17" t="inlineStr"/>
      <c r="F17" t="inlineStr"/>
      <c r="G17" t="inlineStr">
        <is>
          <t>Eugene, OR</t>
        </is>
      </c>
      <c r="H17" t="inlineStr"/>
      <c r="I17"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18">
      <c r="A18" t="inlineStr">
        <is>
          <t>li-4356627500</t>
        </is>
      </c>
      <c r="B18" t="inlineStr">
        <is>
          <t>Product Manager</t>
        </is>
      </c>
      <c r="C18" t="inlineStr">
        <is>
          <t>Pathfinders Executive Search</t>
        </is>
      </c>
      <c r="D18" t="inlineStr">
        <is>
          <t>linkedin</t>
        </is>
      </c>
      <c r="E18" t="inlineStr"/>
      <c r="F18" t="inlineStr"/>
      <c r="G18" t="inlineStr"/>
      <c r="H18" t="inlineStr"/>
      <c r="I18" t="inlineStr">
        <is>
          <t>**Senior Online Subscription Marketing Manager/Product Manager (Remote)** 
**About the Company** 
 We’re a data\-driven financial intelligence company on a mission to help consumers and professionals make smarter, safer investment decisions. Our work is built on independence, objectivity, and performance—and our products are trusted by serious investors who want clarity in a noisy market.
**About the Platform** 
 Our flagship subscription platform delivers real\-time, objective market insights and premium tools built for action\-oriented investors, including:
* A top\-tier stock rating system with premium features
* Advanced filters and screening tools to identify opportunities faster
* Real\-time Buy/Sell alerts powered by data\-driven signals
* A deep database covering tens of thousands of stocks, ETFs, and mutual funds
**The Opportunity** 
 We’re hiring a results\-driven
 **Senior Online Subscription Marketing Manager** 
 to accelerate growth for our subscription platform—owning strategy and execution across acquisition funnels, conversion optimization, onboarding, retention, and churn reduction.
 This role is perfect for someone who understands the
 **subscription lifecycle end\-to\-end** 
 , loves testing and iterating, and knows how to scale memberships through multiple traffic sources.
**What You’ll Own** 
* **Subscription Growth Strategy:** 
 Build and execute plans to increase paid subscribers across acquisition, conversion, activation, retention, and win\-back.
* **Lifecycle Optimization:** 
 Improve key subscription metrics—paywall conversion, checkout performance, onboarding completion, retention, and churn.
* **Acquisition \&amp; Paid Membership Growth:** 
 Drive new subscriber acquisition through diversified traffic strategies (paid, organic, partnerships, affiliate, email, etc.).
* **Funnel Development:** 
 Partner with copywriters, designers, and developers to launch high\-performing landing pages, sales pages, and checkout/cart experiences.
* **Cross\-Functional Execution:** 
 Collaborate with Agile teams (engineering, design, data, marketing) to ship improvements quickly and efficiently.
* **Experimentation \&amp; Testing:** 
 Run A/B tests and experiments across the funnel—define hypotheses, measure impact, and scale winners.
* **Data\-Driven Decisions:** 
 Use quantitative and qualitative insights to prioritize roadmap improvements and continuously refine growth strategy.
* **Stakeholder Communication:** 
 Present performance, learnings, and next\-step recommendations clearly to leadership and internal teams.
**What We’re Looking For** 
* **5\+ years** 
 in subscription growth, lifecycle marketing, or product\-led subscription marketing (DTC or web subscription experience strongly preferred)
* Proven track record improving
 **conversion rates, onboarding, retention, and churn**
* Experience building and optimizing subscription funnel components:
 **paywalls, checkout, upsells, trials, pricing tests**
* Strong analytical ability with comfort using data to drive decisions (dashboards, cohorts, conversion analysis, experimentation)
* Experience collaborating across functions (copy, creative, engineering, analytics/data)
* Familiarity with tools like
 **Jira/Confluence** 
 , analytics platforms, and experimentation frameworks
* Bonus points for experience in
 **financial services, investing, or market data products**
* Bonus points for direct response copy / performance marketing mindset
* Bachelor’s degree preferred; certifications (CSPO, PMP) are a plus
**Why You’ll Love This Role** 
* Make a measurable impact on a high\-visibility subscription business
* Work remotely with a fast\-moving, collaborative team
* Build products and funnels that help users make smarter financial decisions
* Competitive compensation and benefits</t>
        </is>
      </c>
    </row>
    <row r="19">
      <c r="A19" t="inlineStr">
        <is>
          <t>li-4349472421</t>
        </is>
      </c>
      <c r="B19" t="inlineStr">
        <is>
          <t>Product Manager</t>
        </is>
      </c>
      <c r="C19" t="inlineStr">
        <is>
          <t>Social Native</t>
        </is>
      </c>
      <c r="D19" t="inlineStr">
        <is>
          <t>linkedin</t>
        </is>
      </c>
      <c r="E19" t="inlineStr"/>
      <c r="F19" t="inlineStr"/>
      <c r="G19" t="inlineStr">
        <is>
          <t>Los Angeles, CA</t>
        </is>
      </c>
      <c r="H19" t="inlineStr"/>
      <c r="I19" t="inlineStr">
        <is>
          <t>Described as the “Uber of Content,” Social Native is a marketplace technology company providing brands the ability to scale high\-quality content creation and optimize their cross\-channel digital marketing strategies. By connecting brands \&amp; agencies with a diverse network of creators, we provide data\-driven insights, streamline content production, and improve performance across social and e\-commerce channels. Brands like Unilever, Adidas, L’Oréal, Crocs, and Nestlé trust Social Native to enhance their paid and organic social strategies through user\-generated content (UGC), branded content, and content editing solutions, ensuring they have the right creative assets to drive engagement and conversions.
 We are seeking a dynamic and results\-driven Product Manager to join our team. The ideal candidate will have hands\-on experience within the broader digital media, adtech, or martech landscape—ideally with exposure to influencer marketing or paid social. This role requires a proven track record of managing customer\-facing products and features, with the ability to thrive in a fast\-paced, start\-up environment and juggle multiple products simultaneously. The successful candidate will bring deep experience leveraging AI to streamline product operations and ideation, and will excel at cross\-functional communication and collaboration across teams.
**Key Responsibilities:**
* **Product Ownership:** 
 Lead the end\-to\-end lifecycle of customer\-facing products, from ideation and requirement gathering to launch, optimization, and sunset.
* **Market Research:** 
 Conduct competitive analysis and gather insights to inform product strategy and identify new opportunities within the digital media, adtech, and influencer marketing ecosystems.
* **Cross\-Functional Collaboration:** 
 Work closely with engineering, design, sales, and marketing teams to ensure alignment on product goals, priorities, and execution.
* **Feature Development:** 
 Prioritize and define product features that align with customer needs and business objectives. Create detailed product specs, user stories, and wireframes.
* **Customer Focus:** 
 Engage with users to gather feedback and continuously improve the product experience. Serve as the voice of the customer in product planning and decision\-making.
* **AI\-Driven Product Innovation:** 
 Leverage AI tools and frameworks to optimize workflows, enhance ideation, and improve product decision\-making and operational efficiency.
* **Roadmap Management:** 
 Maintain a product roadmap that aligns with company goals and communicates this vision effectively across the organization.
* **Data\-Driven Decisions:** 
 Utilize data analytics to track product performance, measure success against KPIs, and iterate on product features to drive continuous improvement.
* **Agility:** 
 Thrive in a fast\-paced environment with the ability to manage multiple products simultaneously, quickly pivoting when necessary to meet evolving business needs.
**Qualifications:**
* **Experience:** 
 2–4\+ years as a Product Manager within the digital media, adtech, martech, or related domains. Experience in influencer marketing or paid social is a strong plus.
* **Industry Knowledge:** 
 Solid understanding of customer\-facing digital products, advertising ecosystems, and performance\-driven product development.
* **AI Fluency:** 
 Experience applying AI or automation tools to enhance product operations, ideation, or customer experiences.
* **Start\-Up Experience:** 
 Proven ability to work in a high\-speed, start\-up environment where adaptability and resourcefulness are key.
* **Technical Skills:** 
 Familiarity with product management tools (e.g., JIRA), wireframing tools (e.g., Figma), and a good understanding of software development processes.
* **Communication:** 
 Exceptional verbal and written communication skills, with the ability to articulate complex concepts clearly and persuasively across teams and stakeholders.
* **Customer\-Centric:** 
 Deep passion for understanding customer needs and translating them into compelling product features and experiences.
* **Education:** 
 Bachelor’s degree required.
**Social Native Perks:** 
 One of the best perks of Social Native is working with amazing talented people! Come see what it’s like to work at a fast\-paced, venture\-backed tech company. We are looking for smart, driven, fun people who are eager to take ownership of exciting projects and be a part of building something great.
* Attractive health, dental, and vision insurance coverage
* Competitive compensation
* 401(k) Retirement Plan
* Unlimited Vacation Policy</t>
        </is>
      </c>
    </row>
    <row r="20">
      <c r="A20" t="inlineStr">
        <is>
          <t>li-4356527488</t>
        </is>
      </c>
      <c r="B20" t="inlineStr">
        <is>
          <t>Product Manager, Mobile Applications</t>
        </is>
      </c>
      <c r="C20" t="inlineStr">
        <is>
          <t>LodgeLink</t>
        </is>
      </c>
      <c r="D20" t="inlineStr">
        <is>
          <t>linkedin</t>
        </is>
      </c>
      <c r="E20" t="inlineStr"/>
      <c r="F20" t="inlineStr"/>
      <c r="G20" t="inlineStr">
        <is>
          <t>Scottsdale, AZ</t>
        </is>
      </c>
      <c r="H20" t="inlineStr"/>
      <c r="I20"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21">
      <c r="A21" t="inlineStr">
        <is>
          <t>li-4365186805</t>
        </is>
      </c>
      <c r="B21" t="inlineStr">
        <is>
          <t>Software Product Manager</t>
        </is>
      </c>
      <c r="C21" t="inlineStr">
        <is>
          <t>SoLa Impact</t>
        </is>
      </c>
      <c r="D21" t="inlineStr">
        <is>
          <t>linkedin</t>
        </is>
      </c>
      <c r="E21" t="inlineStr"/>
      <c r="F21" t="inlineStr"/>
      <c r="G21" t="inlineStr">
        <is>
          <t>Los Angeles, CA</t>
        </is>
      </c>
      <c r="H21" t="inlineStr"/>
      <c r="I21" t="inlineStr">
        <is>
          <t>**JOB SUMMARY** 
 Model/Z seeks an experienced and dynamic Software Product Manager to provide technical oversight and leadership in managing the software development process. In this role, you will turn business requirements into technical specifications, define and design intuitive UI/UX, define AI agent user journeys, and establish clear communication between internal stakeholders and external development teams. You will manage release schedules, conduct code and quality reviews, identify technical risks, and work with the existing product team to ensure compliance with security policies and industry regulations.
**SALARY{{:}} $180K\-$250K PER YEAR** 
**LOCATION{{:}}** 
 740 E. 111th Place, Los Angeles, CA 90059 Watts
**SCHEDULE{{:}}** 
 9\-10 Hour Workdays, 4 days a week (Monday \- Thursday), with occasional remote. Friday meetings if needed. 3 \- 4 days per week in person. The schedule is subject to change to an 8\-hour, 5\-day workweek in the future.
**ABOUT THE COMPANY** 
 Model/Z is a trailblazing enterprise focused on reinventing multifamily housing through the development of standardized, modular units. Our mission is to provide high\-quality, low\-cost, and net\-zero\-ready housing solutions that are both scalable and practical, aiming to significantly mitigate homelessness and enhance living conditions for underrepresented communities. As a majority Black\-owned and operated business based in Southern California, Model/Z is poised to establish the first standardized modular housing factory in the region.
 Located in the historic Watts neighborhood of South Los Angeles, Model/Z is committed to revitalizing communities by employing local community members and paying living wages. Our innovative approach revolutionizes construction, transforming a traditional linear process into a parallel manufacturing system that allows us to build high\-quality apartment homes in a factory before the concrete is even poured on\-site. By empowering Black and brown families and institutions and unlocking the value of underutilized land, Model/Z embodies a model of equitable growth, addressing the urgent need for affordable housing in Southern California and beyond.
**Requirements**
**ESSENTIAL DUTIES** 
* Serve as a primary point of contact between Model/Z and development partners and ensure adherence to timelines, deliverables, and performance standards
* Define project scope, objectives, and deliverables that align with business goals in collaboration with senior management
* Work closely with internal stakeholders to ensure all requirements are well understood and documented and ensure that changes in scope or timelines are communicated and managed appropriately
* Lead the planning, execution, and delivery of software development projects, ensuring alignment with strategic objectives
* Identify Opportunities for AI agents and related technology to add value for Model/Z customers
* Define User journeys to ensure customer requirements are met while prioritizing business objectives
* Provide guidance and mockups/wireframes to ensure beautiful and intuitive UI/UX interfaces
* Identify and mitigate potential technical risks associated with the development and delivery of the software
* Implement contingency plans to address potential delays, resource challenges, or quality concerns
* Manage release schedules, ensuring timely delivery of software updates and new features
* Manage and track the financial aspects of the project to ensure delivery of project within approved budget
* Ensure that the software development process complies with internal security policies, industry standards, and regulatory requirements
**EDUCATION \&amp; EXPERIENCE** 
* Bachelor's degree in Computer Science, Software Engineering, or a related field (Master's preferred)
* Proven experience (3\+ years) in product management, with a focus on software architecture, UI/UX, and coding standards
* Experience managing software development teams or working with external development partners
* Strong technical background in software development, including experience with software architecture, development methodologies, and QA/testing processes.
* Excellent communication, leadership, and problem\-solving skills
* Experience in UI/UX design is a plus
**SKILLS \&amp; ABILITIES** 
 ●
 **Technical Expertise{{:}}** 
 Strong understanding of software architecture, UI/UX design principles, and coding standards, with the ability to evaluate and improve technical solutions
 ●
 **Communication \&amp; Collaboration{{:}}** 
 Excellent communication skills, with the ability to establish clear lines of communication between internal stakeholders and external development teams
 ●
 **Project Management{{:}}** 
 Skilled in managing software release schedules, ensuring timely delivery of features and updates
 ●
 **Code \&amp; Quality Review{{:}}** 
 Proficient in conducting thorough code and quality reviews to ensure alignment with technical standards and functionality requirements
 ●
 **Risk Identification \&amp; Troubleshooting{{:}}** 
 Ability to identify potential technical risks early in the development process and effectively troubleshoot complex technical issues
 ●
 **Compliance \&amp; Security{{:}}** 
 Knowledgeable in internal security policies, industry standards, and regulatory requirements, ensuring software development compliance
 ●
 **Continuous Improvement{{:}}** 
 Ability to propose and implement technical improvements to enhance software performance, functionality, and user experience
**● Team Leadership{{:}}** 
 Potential to lead and manage an internal software team in the future, fostering innovation and collaboration within the development process
**● Design \&amp; UX{{:}}** 
 An eye for design and a knack for creating intuitive click paths for a seamless user experience is a plus
**Benefits**
 Model/Z offers a comprehensive benefits package that includes paid vacation, medical, dental, vision, and life insurance, as well as pet insurance, sick leave, 10 paid holidays, and bereavement days. This package is designed to provide employees with a range of important benefits that help to support their physical and emotional well\-being, while also providing financial protection and peace of mind.
*At Model/Z, we believe work environment, culture, and the opportunity to learn and grow are key elements when considering a new job. We are just the right size to provide the resources and support you need without the bureaucracy of a large corporate environment. We foster a family\-friendly and supportive workplace, collaborative and employee\-focused with an emphasis on quality, integrity, trust, and accountability. We are looking to bring someone on board as soon as possible. We provide a rewarding and challenging environment. We expect a lot, but give a lot in return. Strongly prefer candidates local to Los Angeles as no relocation assistance will be provided. All qualified candidates will be contacted directly.* 
 At Model/Z, we believe the work environment, culture, and the opportunity to learn and grow are key elements when considering a new job. We are just the right size to provide the resources and support you need without the bureaucracy of a large corporate environment. We are a fast paced startup environment that is well funded. We foster a supportive, collaborative and employee\-focused workplace with an emphasis on quality, integrity, trust, and accountability. We are looking to bring someone on board as soon as possible. We provide a rewarding and challenging environment. We expect a lot, but give a lot in return. Strongly prefer candidates local to Los Angeles as no relocation assistance will be provided. All qualified candidates will be contacted directly.
*Model/Z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***\*\*The submission of your job application certifies that all information provided in this application is true, accurate, and complete to the best of your knowledge. You understand that any false statements, misrepresentations, or omissions—including those related to education or employment history—may result in rescission of an employment offer or termination of employment.\*\****</t>
        </is>
      </c>
    </row>
    <row r="22">
      <c r="A22" t="inlineStr">
        <is>
          <t>li-4367348105</t>
        </is>
      </c>
      <c r="B22" t="inlineStr">
        <is>
          <t>Senior Product Manager || Hybrid - NYC or Austin</t>
        </is>
      </c>
      <c r="C22" t="inlineStr">
        <is>
          <t>Buoy Software</t>
        </is>
      </c>
      <c r="D22" t="inlineStr">
        <is>
          <t>linkedin</t>
        </is>
      </c>
      <c r="E22" t="inlineStr"/>
      <c r="F22" t="inlineStr"/>
      <c r="G22" t="inlineStr">
        <is>
          <t>New York, NY</t>
        </is>
      </c>
      <c r="H22" t="inlineStr"/>
      <c r="I22" t="inlineStr">
        <is>
          <t>**Who We Are:**
 Buoy is a modern, cloud\-based software platform powering the blood and plasma collection industry. Buoy builds software that supports the entire donor journey and manages complex clinical and operational workflows, and delivers a faster, safer, and more welcoming donor experience, all while meeting strict regulatory requirements.
 Buoy was founded in 2019 to help close a critical gap in the global blood product supply. Amid a global blood and plasma shortage, the company is focused on making donations faster, more welcoming, and more accessible through a modern, tech\-enabled experience.
**Where You Are:**
 This is a fully remote position open to candidates living in the United States. Buoy is unable to provide visa sponsorship for this position. Candidates must be authorized to work in the United States without the need for sponsorship, now or in the future.
**This is a hybrid role that will require working in\-person at least 2 days per week (Austin, TX or New York, NY) and visiting collection centers roughly once a quarter.**
**What You'll Do:**
* Product Vision and Roadmap \- You will drive the end\-to\-end product vision, strategy, and execution for your domain to evolve our platform and meet ambitious company goals
* End\-to\-end ownership \- You’ll own a set of key customer and business problems from discovery through delivery. You’ll shape priorities for the team, balancing customer needs, operational efficiency, regulatory requirements, and technical debt
* Cross\-functional delivery \- You’ll work alongside an Engineering Manager and a pod of engineers to build products that power thousands of donations daily. You’ll lead engineering, design, and operations through discovery, definition, and delivery \- ensuring we ship software that actually gets adopted and drives business outcomes
* Customer insight \- You’ll develop a deep understanding of how centers operate \- shadowing workflows, conducting site visits, running customer calls, and analyzing data to identify what’s working and what’s not
* Regulatory alignment \- You’ll partner with our Quality and Regulatory team to ensure features meet FDA, AABB, FACT and PPTA requirements, balancing compliance with velocity and usability
**Who You Are:**
* 3\-6\+ years in product management with a track record of shipping products that solve real business problems, not just features that check boxes
* Experience in complex, regulated, or operationally intensive environments. Healthcare, fintech, logistics, or similar domains where you can’t just move fast and break things
* Internal tools or operational systems expertise. You understand workflow automation, exception handling, and what it takes to build for scale
* Systems thinking. You see how pieces connect and design for flexibility, not just the immediate use case
* Cross\-functional leadership. You’ve led initiatives requiring coordination across engineering, operations, and business stakeholders, balancing technical complexity with business needs
* Deep customer instincts. You get energy from being in the field: sitting with users, watching how they work, and seeing your ideas come to life
* Adaptable in high\-growth environments. You thrive when priorities shift, scope evolves, and you’re asked to reprioritize on the fly. You see constant change as a feature of the job, not a bug
* Relentless problem solver. You’re solution\-oriented and resourceful. When something’s not working, you find another way. When you make a commitment, you go the extra mile to hit it
* Curious and forward\-looking. You stay current with AI tools and industry trends, and you’re eager to apply them, whether to accelerate your own workflows or bring automation into the product
* Clear thinker, clear communicator. You translate technical and operational complexity into crisp communication that aligns stakeholders and drives decisions. You sweat the details in requirements, documenting edge cases early to reduce rework downstream
* Thrives in execution. You don’t just set direction, you stay close to the work. You care about the details, follow through on the small stuff, and take pride in shipping something that actually works as intended
**What Will Make You Successful:**
* One team \- You work across roles and functions to get to the best outcome. You give direct feedback, support your teammates, and celebrate wins together
* Own the outcome \- You take initiative when something is unclear, blocked, or broken. You follow through on commitments, and when plans change, you communicate quickly and find a path forward. You focus on learning, not blame
* Customer obsession \- You advocate for center staff and donors, but you ship pragmatic solutions that work within real constraints
* Curiosity and continuous growth \- You ask questions, seek diverse perspectives, and stay current with tools like AI to accelerate your work, while still applying judgment and critical thinking
* High standards, always \- You take pride in your craft. You set a high bar for quality, prepare and plan ahead, and raise issues early so the team can adjust
**What We Offer:**
 At Buoy Software, we’re a team of curious, mission\-driven people who care deeply about building software that makes a real difference \- and about building a company we’re proud to be part of. We know that doing great work starts with feeling supported, valued, and empowered, both personally and professionally.
 Our benefits are designed to help you do your best work and live a full life outside of it. We offer comprehensive health plans, a 401k program, generous parental leave, a flexible time off policy, and a home office stipend to support your hybrid work setup. We also invest in creating a connected, collaborative culture and thoughtful onboarding to help new hires feel welcomed and set up for success.
 We believe diverse backgrounds, perspectives, and experiences make our work stronger. Buoy Software is proud to be an equal\-opportunity employer, and we’re committed to building a culture of inclusion and belonging. We welcome applicants from all walks of life and are dedicated to ensuring every team member feels respected, supported, and able to thrive.
 The selected candidate will be required to complete a background check, employment verification, and provide references.
 Candidates should expect to be brought in at the lower half of the compensation band ($135,000\-$160,000\). This approach helps us maintain internal equity across the team based on current experience levels and responsibilities. As part of our commitment to growth and fairness, we regularly review compensation and performance to ensure team members are recognized as they take on more scope and impact over time.</t>
        </is>
      </c>
    </row>
    <row r="23">
      <c r="A23" t="inlineStr">
        <is>
          <t>li-4366892732</t>
        </is>
      </c>
      <c r="B23" t="inlineStr">
        <is>
          <t>Sr. Product Manager, Value Servicing</t>
        </is>
      </c>
      <c r="C23" t="inlineStr">
        <is>
          <t>Delta Air Lines</t>
        </is>
      </c>
      <c r="D23" t="inlineStr">
        <is>
          <t>linkedin</t>
        </is>
      </c>
      <c r="E23" t="inlineStr"/>
      <c r="F23" t="inlineStr"/>
      <c r="G23" t="inlineStr">
        <is>
          <t>Atlanta, GA</t>
        </is>
      </c>
      <c r="H23" t="inlineStr"/>
      <c r="I23"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We are seeking a Senior Product Manager to lead the strategy, roadmap, and execution of Servicing capabilities across digital and agent‑assisted channels. This role combines deep servicing expertise, retail/offer‑order thinking, and enterprise product leadership, operating at the intersection of commercial strategy, operations, and core technical platforms.
 This Product Manager will own the next generation of how customers view, receive, and redeem value across our ecosystem. They will lead the vision, strategy, and execution of end‑to‑end value delivery experiences — redefining what “value” means for customers and how seamlessly it shows up in their journey. Ultimately, this PM will transform value from a static benefit into a dynamic, differentiated experience that reinforces why customers choose and stay with us.
**Key Responsibilities**
* Own the end‑to‑end product strategy for servicing and value\-delivery capabilities, defining long‑term vision, outcomes, and measurable success criteria.
* Lead the next generation of customer value experiences, ensuring customers clearly understand, receive, and redeem value seamlessly across their journey.
* Develop and manage a multi‑year roadmap that balances modernization of core servicing platforms with customer‑facing experience improvements.
* Partner with Engineering, CX, Operations, Marketing, and Commercial teams to deliver scalable, flexible, and reliable servicing solutions.
* Define and evolve value distribution and redemption mechanisms, optimizing for transparency, speed, and personalization.
* Drive requirements, prioritization, and tradeoff decisions, ensuring delivery remains aligned to business goals and platform constraints.
* Champion customer insights and data‑driven decisions to identify friction points, unlock new servicing opportunities, and continuously refine the experience.
* Ensure alignment across the enterprise by communicating strategy, progress, and impacts to senior leadership and key stakeholders.
* Promote operational excellence, ensuring solutions scale efficiently, reduce agent pain points, and support effective servicing workflows.
**What You Need To Succeed (Minimum Qualifications)**
* Proven success in understanding and managing complex processes.
* Able to demonstrate intellectual curiosity and critical thinking
* Experience translating a business vision into written technical requirements.
* Ability to communicate clearly to business leaders and technical developers.
* Must have the ability to work well with diverse groups in a time sensitive and team environment with minimal supervision.
* Results oriented and capable of meeting or exceeding deadlines with attention to detail and follow through.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with at least 5\+ years of relevant work experience.
* Preferred Major in quantitative discipline such as Management Information Systems, Business Administration, Economics, Finance, or Engineering.
* Combination of at least 5\+ years of relevant working experience in Revenue Management, Internal or External channels, Business Intelligence, and Data Analytics.
* Experience in at least one commercial or operations function such as Reservations, ACS, eCommerce, Revenue Management, Sales, or IT preferred.
* Experience working in an Agile environment as a Product Manager/Owner.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24">
      <c r="A24" t="inlineStr">
        <is>
          <t>li-4367018494</t>
        </is>
      </c>
      <c r="B24" t="inlineStr">
        <is>
          <t>Technical Product Manager- Issuers (Wallet, Payments &amp; Commerce)</t>
        </is>
      </c>
      <c r="C24" t="inlineStr">
        <is>
          <t>Apple</t>
        </is>
      </c>
      <c r="D24" t="inlineStr">
        <is>
          <t>linkedin</t>
        </is>
      </c>
      <c r="E24" t="inlineStr"/>
      <c r="F24" t="inlineStr"/>
      <c r="G24" t="inlineStr">
        <is>
          <t>Cupertino, CA</t>
        </is>
      </c>
      <c r="H24" t="inlineStr"/>
      <c r="I24" t="inlineStr">
        <is>
          <t>**Summary**
 This role will help scale and advance the Apple Pay ecosystem by working with leading issuers, networks, PSPs, payment processors, FinTechs and channel partners to deliver seamless, Apple Pay experiences.
 We're seeking a “hybrid” product/project professional to provide key subject matter expertise during the initial engagement with new Apple Pay partners and to implement new features with existing strategic Apple Pay Partners .
**Description**
 In this role, you will collaborate closely with BD, Product, Developer Relations, and engineering teams to implement new Apple Pay and Wallet features.
 You will drive partner integrations, design scalable technical solutions, and communicate clearly with internal and external stakeholders.
 You will work hands\-on with a variety of ecosystem partners such as: Issuers, payment processors, networks, FinTechs, POS vendors and labs to resolve issues, enable new capabilities, and maintain strong technical relationships that directly impact business outcomes.
 You will lead multiple Apple Pay projects from conception through execution, ensuring alignment across partners and internal teams. Your work will enable consistent, high\-quality payment experiences and contribute to the ongoing innovation of Apple Pay and the broader Wallet ecosystem.
 You will also evangelize Apple Pay technology to and drive Wallet adoption through solving customer problems and also understand industry standards and technology trends.
**Responsibilities**
* Integrate Apple Wallet functionality with key Issuers and Issuer ecosystem partners.
* Define technical requirements, integration and testing plans, and launch milestones in collaboration with cross\-functional teams.
* Lead partner onboarding and implementations end\-to\-end, resolving technical blockers and driving execution across internal teams.
* Provide ongoing technical support and feature enablement for existing partners to increase conversion and customer usage.
* Translate partner needs into clear technical requirements and product improvements, leveraging data and recurring feedback.
* Develop and refine documentation, APIs/SDKs, and tooling to simplify integrations and reduce partner onboarding friction.
* Serve as SME on contactless payments, EMV, tokenization, provisioning, and Apple Pay flows to guide troubleshooting and partner architecture reviews.
* Monitor ecosystem trends (tap\-to\-pay, token provisioning, network changes, payment trends) and advise internal teams on market\-ready enhancements.
**Minimum Qualifications**
* 7\+ years of experience as an engineering project/program/product manager, ideally within fintech or core payment technologies
* Experience in the payments industry, digital wallets,
* Ability to lead complex initiatives with hands\-on technical expertise across the payment ecosystem, including NFC/contactless payments, EMV, payment rails, gateways, PSPs, acquirers, and payment terminals
* Proven ability to communicate effectively with partners and stakeholders at all levels
* Strong analytical and critical thinking skills, with the ability to navigate ambiguity and make sound decisions
* B.A./B.S./M.S. EE/CS degree required
**Preferred Qualifications**
* Direct experience working with external partners on cross channel initiatives and new technologies
* Deep understanding of Network Tokenization standards, NFC Technologies, EMV contactless, 3DS, ISO 8583/ISO 20022 , RTP, WSDL and mobile technology
* Experience in payment processing, mobile payments, issuer apps, electronic commerce, NFC ecosystem and applications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
      <c r="A25" t="inlineStr">
        <is>
          <t>li-4367000849</t>
        </is>
      </c>
      <c r="B25" t="inlineStr">
        <is>
          <t>Product Manager, Data Collaboration</t>
        </is>
      </c>
      <c r="C25" t="inlineStr">
        <is>
          <t>Take-Two Interactive</t>
        </is>
      </c>
      <c r="D25" t="inlineStr">
        <is>
          <t>linkedin</t>
        </is>
      </c>
      <c r="E25" t="inlineStr"/>
      <c r="F25" t="inlineStr"/>
      <c r="G25" t="inlineStr">
        <is>
          <t>New York, United States</t>
        </is>
      </c>
      <c r="H25" t="inlineStr"/>
      <c r="I25" t="inlineStr">
        <is>
          <t>**Who We Are**
 Headquartered in New York City, Take\-Two Interactive Software, Inc. is a leading developer, publisher, and marketer of interactive entertainment for consumers around the globe. We develop and publish products principally through Rockstar Games, 2K, and Zynga. Our strategy is to create hit entertainment experiences, delivered on every platform relevant to our audience through a variety of sound business models. Our pillars \- creativity, innovation, and efficiency \- guide us as we strive to create the highest quality, most captivating experiences for our consumers. The Company’s common stock is publicly traded on NASDAQ under the symbol TTWO. For more corporate and product information please visit our website at http://www.take2games.com.
 While our offices (physical and virtual) are casual and inviting, we are deeply committed to our core tenets of creativity, innovation and efficiency, and individual and team development opportunities. Our industry and business are continually evolving and fast\-paced, providing numerous opportunities to learn and hone your skills. We work hard, but we also like to have fun, and believe that we provide a great place to come to work each day to pursue your passions.
**The Challenge**
 Take\-Two Interactive is seeking a Product Manager (Data Collaboration) to join our Marketing Innovation and Technology (MIT) department. In this role, you will coordinate strategic data initiatives across our gaming labels (2K, Zynga, and Rockstar Games) while managing relationships with a global network of technology vendors, advertising platforms, and data partners.
 You will be responsible for the end\-to\-end lifecycle of data collaboration solutions: identifying new market opportunities, pitching innovative partnership ideas, and operationalizing scalable technical workflows that drive measurable business value. This position requires a builder’s mindset, combining technical product management with proactive business development to move our capabilities from experimental to permanent, automated functions within the interactive entertainment industry.
**What You’ll Take On**
**Within 90 Days:**
* Learn and Adapt: Immerse yourself in the technology stack, day\-to\-day operations, and the specific business needs of 2K, Zynga, and Rockstar Games.
* Understand the Roadmap: Gain a deep understanding of our current goals, objectives, and the long\-term data collaboration strategy.
* System Onboarding: Begin taking on responsibility for specific workflows and assume partial ownership of key internal data collaboration systems and partner relationships.
**Within 180 Days:**
* Full Ownership: Transition to full ownership of designated systems and platform relationships, serving as the primary point of contact for technical and operational issues.
* Proactive Growth: Identify and pitch new partnership opportunities or technology integrations that drive further value to the business.
* Operational Impact: Drive measurable improvements in team productivity, product quality, and the efficiency of our data collaboration workflows.
**Product strategy \&amp; development**
* Identify and prioritize opportunities for value creation, enhanced usability, and technical feasibility by analyzing technology\-related business needs.
* Formulate technical requirements and create associated documentation (PRDs) to establish and maintain the product roadmap.
* Partner with engineering and cross functional teams to determine feasibility, prioritize features, and ensure the successful implementation of requirements.
* Improve media efficiency and attribution accuracy through technical solutions that strengthen marketing performance and ROI.
* Support the adoption of new solutions, ensuring they meet the complex needs of our players, marketers, and partners.
**Relationship management**
* Actively evaluate the market for new data partners and technology solutions; identify and establish strategic relationships that drive business value.
* Effectively pitch data collaboration concepts and technical solutions to internal labels and external partners to secure buy\-in and expand our reach.
* Establish and maintain strong relationships with Marketing, Technology, and Data leaders across 2K, Zynga, and Rockstar Games.
* Coordinate with vendors and supporting teams within Take\-Two to solve technical and operational problems.
* Define and communicate the features and benefits of technology solutions to partners and manage commercial/data agreements for renewals and marketing opportunities.
**Innovation and value generation**
* Stay current with emerging technology and market trends to improve internal capabilities and maintain a strategic advantage.
* Expand Data Clean Room (DCR) capabilities across the key pillars of Insights, Activation, and Measurement, ensuring alignment with company core tenets.
* Position and advocate for data innovation to leadership, using metrics (e.g., acquisition, engagement, retention, LTV) to showcase value and impact.
**Operational excellence**
* Oversee the technical management of DCR platforms, including scoping, onboarding, and maintenance.
* Guide the Data Collaboration Governance Committee to standardize frameworks that facilitate secure data collaboration and insights.
* Drive continuous improvement in team processes, including procurement, budgeting, compliance, and product delivery workflows to enhance productivity and quality.
**What You Bring**
 As a Product Manager (Data Collaboration), you focus on execution and solving ambiguous problems that support the product strategy. You define and launch product solutions for complex user needs (player, marketer, partner).
* 3\-5\+ years of practical experience developing and driving solutions powered by technology, with a strong emphasis on the partnership landscape.
* Practical experience with Data Clean Room platforms (e.g., Meta Advanced Analytics, Google Ads Data Hub, Snowflake, LiveRamp, or InfoSum).
* Ability to speak to partners, pitch complex ideas, and build long term relationships. You know how to navigate the market to find and establish new value\-driving relationships.
* Solid understanding of digital advertising, marketing partnerships, and data architecture. You must understand the AdTech and Identity worlds (DSPs, Identity Brokers, and Advertising Platforms).
* Clear communicator with the ability to explain technical concepts and solutions to various audiences, ranging from leadership to technical vendors.
* Understanding of privacy\-related regulations (e.g. COPPA, GDPR, CCPA, etc.) and experience managing sensitive data in a compliant manner.
* Strong background in digital innovation, preferably experience in the interactive entertainment industry.
* Ability to establish and navigate high\-level relationships, prioritizing timely updates \&amp; risk management.
* Demonstrates strong creativity and scrappiness and can handle constraints with grace.
* Practical experience with budgeting, contract management, and compliance in a tech environment.
**What We Offer You**
* Great Company Culture. Ranked as one of the most creative and innovative places to work, creativity, innovation, efficiency, diversity and philanthropy are among the core tenets of our organization and are integral drivers of our continued success.
* Growth: As a global entertainment company, we pride ourselves on creating environments where employees are encouraged to be themselves, inquisitive, collaborative and to grow within and around the company.
* Work Hard, Play Hard. Our employees bond, blow\-off steam, and flex some creative muscles – through corporate boot camp classes, company parties, game release events, monthly socials, and team challenges.
* Benefits. Medical (HSA \&amp; FSA), dental, vision, 401(k) with company match, employee stock purchase plan, commuter benefits, in\-house wellness program, broad learning \&amp; development opportunities, a charitable giving platform with company match and more!
* Perks. Fitness allowance, employee discount programs, free games \&amp; events and stocked pantries.
*The pay range for this position in New York at the start of employment is expected to be between $85,700 and $126,860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employees in regular roles may also include other elements, including a bonus and/or equity awards, in addition to a full range of medical, financial, and/or other benefits, provided that temporary or intern roles will not be eligible for many of these payments or benefits. Details of participation in compensation and benefit plans (if applicable)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*Please be aware that Take\-Two does not conduct job interviews or make job offers over third\-party messaging apps such as Telegram, WhatsApp, or others. Take\-Two also does not engage in any financial exchanges during the recruitment or onboarding process, and the Company will never ask a candidate for their personal or financial information over an app or other unofficial chat channel. Any attempt to do so may be the result of a scam or phishing exercise. Take\-Two’s in\-house recruitment team will only contact individuals through their official Company email addresses (i.e., via a take2games.com email domain). If you need to report an issue or otherwise have questions, please contact Careers@take2games.com*
*As an equal opportunity employer, Take\-Two Interactive Software, Inc. (“Take\-Two”) is committed to fostering and celebrating the diverse thoughts, cultures, and backgrounds of its talent, partners, and communities throughout its organization. Consistent with this commitment, Take\-Two does not discriminate or retaliate against any employee or job applicant because of their race, color, religion, sex (including pregnancy, sexual orientation, and gender identity), national origin, age, disability, and genetic information (including family medical history), or on the basis of any other trait protected by applicable law. If you need to report a concern or have questions regarding Take\-Two’s equal opportunity commitment, please contact Careers@take2games.com.*</t>
        </is>
      </c>
    </row>
    <row r="26">
      <c r="A26" t="inlineStr">
        <is>
          <t>li-4366887685</t>
        </is>
      </c>
      <c r="B26" t="inlineStr">
        <is>
          <t>Product Manager, Help Guide, gUP</t>
        </is>
      </c>
      <c r="C26" t="inlineStr">
        <is>
          <t>Google</t>
        </is>
      </c>
      <c r="D26" t="inlineStr">
        <is>
          <t>linkedin</t>
        </is>
      </c>
      <c r="E26" t="inlineStr"/>
      <c r="F26" t="inlineStr"/>
      <c r="G26" t="inlineStr">
        <is>
          <t>San Francisco, CA</t>
        </is>
      </c>
      <c r="H26" t="inlineStr"/>
      <c r="I26" t="inlineStr">
        <is>
          <t>Applicants in San Francisco: Qualified applications with arrest or conviction records will be considered for employment in accordance with the San Francisco Fair Chance Ordinance for Employers and the California Fair Chance Act.
 The application window will be open until at least Feburary 4,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**Sunnyvale, CA, USA; Boulder, CO, USA; San Francisco, CA, USA; Irvine, CA, USA; Pittsburgh, PA, USA** 
 .
 **Minimum qualifications:**
* Bachelor's degree or equivalent practical experience.
* 5 years of experience in product management or related technical roles.
* 2 years of experience taking technical products from conception to launch (e.g., ideation to execution, end\-to\-end, 0 to 1, etc.).
* Experience with the domain area of Generative AI or Large Language Models.
**Preferred qualifications:**
* Experience turning broad, ambiguous problems into clear, well\-structured projects.
* Experience working closely with engineering to understand infrastructure design and tradeoffs.
* Knowledge of consumer products, customer support, next generation technologies.
* Ability to define metrics, analyze experiments, generate insights, and communicate results to the wider organization.
* Ability to collaborate with cross\-functional teams on high\-velocity projects.
* Excellent communication skills including presenting regularly to executive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You will have experience with Generative AI, and managing problems, and building capabilities from scratch.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direction, and ensure it aligns with gUP’s and the product area’s overall goals.
* Analyze every touchpoint across the self\-help journey and optimize conversational AI for consumer support w/in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li-4352083014</t>
        </is>
      </c>
      <c r="B27" t="inlineStr">
        <is>
          <t>Product Manager</t>
        </is>
      </c>
      <c r="C27" t="inlineStr">
        <is>
          <t>i360</t>
        </is>
      </c>
      <c r="D27" t="inlineStr">
        <is>
          <t>linkedin</t>
        </is>
      </c>
      <c r="E27" t="inlineStr"/>
      <c r="F27" t="inlineStr"/>
      <c r="G27" t="inlineStr">
        <is>
          <t>Arlington, VA</t>
        </is>
      </c>
      <c r="H27" t="inlineStr"/>
      <c r="I27" t="inlineStr">
        <is>
          <t>**Your Job**
 The Product Manager is a key member of our growing and sizable software team \-\- working with other Product Managers, UX / UI designers, and Software Developers. You will identify features needed by our customers, collaborate on the development of mockups, write user stories and acceptance criteria, and assist in the implementation, testing, and launch of the finished product.
**Our Team**
 i360 is the leading data and technology provider for the pro\-free market political and advocacy community. Located in the Washington, DC, area, i360 builds solutions central to how issue advocacy groups and political campaigns use data and technology. As a result, i360 sits at the center of driving voter engagement. We value teammates with strong communication skills, a passion for leveraging front\-end technologies to create user\-friendly applications, and a desire to see their work significantly impact and empower people to participate in the political process.
**What You Will Do**
* Ability to analyze business requirements and translate those needs into functional requirements that clearly state project scope for specific products and features
* Create clear, concise, and complete user stories \&amp; acceptance criteria
* Collaborate with developers to test and verify that solutions will meet the business requirements
* Interact with Account Representatives to understand business processes and key requirements, proactively work to resolve client issues.
* Act as liaison between Accounts and Development Team in all areas of customer support and enhancements
* Excellent communication and problem\-solving skills, with experience interfacing directly with business end\-users in design and requirements planning
* Ability to manage tasks and timelines effectively
* Passion for free\-market principles
* The right candidate is a strong communicator with a passion for managing projects in a fast\-paced environment and a desire to have their work significantly impact and empower people to participate in the political process
* Participating in daily scrum with Developers and QA
* Discussing current and future road map features with various members of the team including Accounts team representatives
* Reviewing customer reported issues and working to prioritize fixes based on severity
**Who You Are (Basic Qualifications)**
* Experience in Product Management, Interaction Design, Interface Design, Product Design (web and/or native), User Experience, or Usability Engineering
* Ability collaborating cross\-functionally with key stakeholders, data \&amp; software engineers, and visual designers
* Experience writing user stories and acceptance criteria for software development teams
* Prior experience being the Product Manager for a SaaS product and/or product set.
**What Will Put You Ahead**
* Experience working in an Agile environment
* Excellent verbal and written communications skills
* Bachelor’s or Master’s degree in Computer Science, Computer Engineering, or Engineering
* Demonstrate advanced technical writing skills through writing samples, that demonstrate experience in writing specifications for robust API development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i360 works across industry lines to bring unique data, technology and analytics solutions to help our customers win. Our analysts and data scientists build and refine proven, sophisticated models that help customers understand and reach their target audience, visualize data and expand their reach.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28">
      <c r="A28" t="inlineStr">
        <is>
          <t>li-4367300742</t>
        </is>
      </c>
      <c r="B28" t="inlineStr">
        <is>
          <t>Product Manager, HealthTech</t>
        </is>
      </c>
      <c r="C28" t="inlineStr">
        <is>
          <t>Star</t>
        </is>
      </c>
      <c r="D28" t="inlineStr">
        <is>
          <t>linkedin</t>
        </is>
      </c>
      <c r="E28" t="inlineStr"/>
      <c r="F28" t="inlineStr"/>
      <c r="G28" t="inlineStr"/>
      <c r="H28" t="inlineStr"/>
      <c r="I28" t="inlineStr">
        <is>
          <t>**We are looking for you!**
 We are looking for an exceptionally self\-motivated problem solver with a positive attitude and the ability to work well in a team.
 As our Principal Product Manager, you will be a part of the community that builds innovative solutions for real users and businesses and work with the latest technologies and frameworks. We've been working with a number of companies over the years, from startups to huge corporations and everything in between.
**Skills and experience you can bring to this role!**
**Product Champion** 
 . You are passionate about building products that customers love. New Healthtech challenges do not slow you down; rather, you dive into them with a healthy “challenge accepted” attitude.
**Facilitator.** 
 You easily capture business and product requirements for complex products where user experience, business processes, hardware constraints, and software integrations unite. Your exceptional soft skills, complemented by advanced communication techniques and advanced English, eliminate all barriers with international stakeholders and SMEs.
**Consultant.** 
 The ability to explain domain complexity, challenges, and opportunities to stakeholders with different backgrounds is crucial. You are sharp\-eyed for logical gaps and unpolished design but know how to develop optimal solutions relevant to business situations.
**Entrepreneur.** 
 You are commercially minded and have a strong sense of use cases that lead to commercial success. That allows you to find a “golden middle” between long\-term vision and immediate business value, which is so important for evolving products and transforming businesses.
*Qualifications and experience:*
* 5\+ years of hands\-on professional experience in consultancy or product management delivering healthcare software solutions, preferably regulated SaMD and interoperable healthcare products on US, UK, or EU markets;
* Solid understanding of the Healthcare domain: latest trends, technologies, priority clinical areas, and challenges;
* Hands\-on experience in performing clinical and patient workflow analysis. Working with healthcare institutions and medical personnel;
* General knowledge of healthcare, data privacy, and security regulations (e.g., HIPAA, GDPR, ISO27k) and the ability to find gaps and ensure product compliance.
*Nice\-to\-have:*
* Experience with interoperability standards (HL7 v2\.x, FHIR, work with FHIR profiles, SMART on FHIR, CDA, DICOM) and medical data codification systems (SNOMED, LOINC);
* Experience with electronic health records (EHR, see Epic, Cerner, Meditech, Allscripts) systems and Healthcare Integration Engines (see Iguana, Mirth, Epic, Cerner, Allscripts).
**What Impact You’ll Make**
* Pre\-Sales and Discovery
+ Active involvement in pre\-sales, discovery, and customer development activities
+ Working with pre\-sales teams on solution definition, preparing solution proposals, and WBS
+ Delivering and pitching solution proposals to client stakeholders
* Product Development:
+ Collaboration with the key stakeholders to understand their needs and ensure complete alignment on product vision, goals, priorities, and quality expectations of all involved parties
+ Ownership of the product development roadmap
+ Backlog management (incl. clarification, prioritization, and estimation)
+ Work closely with designers and engineers on the best UX
+ Definition of business success metrics and KPIs for new features
+ Facilitate product research needed for high\-quality decisions
* Expertise Leadership:
+ Gain deep domain expertise and product\-specific knowledge and ensure effective information sharing within the project team
+ Proactive contribution to the domain expertise on the corporate level (Industrial Expertise Teams, Product Community, PMO)
+ Be a product ambassador at professional meetups, business development activities (incl. presales), and corporate events.
**What You’ll Get**
 Regardless of your position or role, we have in place a wide array of benefits, including flexible working (hybrid/remote models) and generous time\-off policies (unlimited vacations, sick and parental leaves) to make it easier for all people to thrive and succeed at Star. On top of that, we offer an extensive reward and compensation package, intellectually and creatively stimulating space, health insurance and unique travel opportunities.
 Your holistic well\-being is central at Star. You'll join a warm and vibrant multinational environment filled with impactful projects, career development opportunities, mentorship and training programs, fun sports activities, workshops, networking and outdoor meet\-ups.</t>
        </is>
      </c>
    </row>
    <row r="29">
      <c r="A29" t="inlineStr">
        <is>
          <t>li-4367015521</t>
        </is>
      </c>
      <c r="B29" t="inlineStr">
        <is>
          <t>Product Manager II, Lottery Consumer</t>
        </is>
      </c>
      <c r="C29" t="inlineStr">
        <is>
          <t>DraftKings Inc.</t>
        </is>
      </c>
      <c r="D29" t="inlineStr">
        <is>
          <t>linkedin</t>
        </is>
      </c>
      <c r="E29" t="inlineStr"/>
      <c r="F29" t="inlineStr"/>
      <c r="G29" t="inlineStr">
        <is>
          <t>Massachusetts, United States</t>
        </is>
      </c>
      <c r="H29" t="inlineStr"/>
      <c r="I29"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Product Manager II, Lottery Consumer, you’ll lead the product strategy behind our cart, checkout, and subscription experiences across web and mobile. You’ll work across teams to prioritize and deliver solutions that reduce friction, build trust at the point of purchase, and drive meaningful business outcomes. Your work will directly impact commerce KPIs like checkout conversion, average order value, and recurring subscription revenue. With a focus on experimentation, data\-driven iteration, and cross\-functional alignment, you’ll shape a seamless, scalable commerce journey that serves millions of players.
 What you’ll do as Product Manager II, Lottery Consumer
* Own the product vision, roadmap, and outcomes for Core Commerce and Checkout experiences across iOS, Android, and web platforms.
* Identify and prioritize initiatives that drive improvements in checkout conversion, cart abandonment, AOV, and subscription revenue.
* Lead end\-to\-end product development, from problem definition and user stories to launch and post\-release iteration.
* Define success metrics and drive structured experimentation through A/B testing and optimization.
* Collaborate with Design to deliver accessible, high\-confidence purchase flows that reduce user friction.
* Partner with Engineering to ensure experiences are fast, resilient, well\-instrumented, and scalable.
* Work cross\-functionally with Analytics, Research, Operations, Legal, and Customer Experience to align solutions with customer needs and regulatory requirements.
* Monitor industry trends and commerce innovations to continuously evolve the checkout and subscription experience.
 What you’ll bring
* Bachelor’s Degree or any suitable combination of education, training, and experience.
* At least 5 years of experience in product management, with a focus on delivering consumer\-facing products across mobile and web.
* Proven ownership of commerce funnels such as checkout and subscription journeys, with a record of driving measurable impact.
* Strong analytical capabilities including funnel analysis, A/B test design, and metric\-based decision\-making.
* Excellent judgment and communication skills, with the ability to drive clear tradeoffs and alignment across stakeholders.
* Deep experience collaborating with Engineering and Design from ideation through launch.
* Comfortable operating in fast\-paced, complex, and regulated environments.
* Passion for customer experience, with a focus on reducing friction and increasing trust at the point of purchase.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117,900\.00 USD \- 147,400\.00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30">
      <c r="A30" t="inlineStr">
        <is>
          <t>li-4367000483</t>
        </is>
      </c>
      <c r="B30" t="inlineStr">
        <is>
          <t>Associate Product Owner</t>
        </is>
      </c>
      <c r="C30" t="inlineStr">
        <is>
          <t>Haystack</t>
        </is>
      </c>
      <c r="D30" t="inlineStr">
        <is>
          <t>linkedin</t>
        </is>
      </c>
      <c r="E30" t="inlineStr"/>
      <c r="F30" t="inlineStr"/>
      <c r="G30" t="inlineStr"/>
      <c r="H30" t="inlineStr"/>
      <c r="I30" t="inlineStr">
        <is>
          <t>Systems Engineer Product Owner \- Visual Systems \| Hazelwood, Missouri, United States \| Hybrid \| $91800\-124200 USD yearly
 Associate to Mid level roles available.
 We're working with Boeing on this exciting opportunity. This role focuses on translating mission objectives into system requirements and ensuring the delivery of visual systems in an agile environment. You'll be a key player in bridging the gap between stakeholders and engineering teams to innovate and deliver cutting\-edge visual solutions.
 The Role
 • Own and prioritize the systems engineering product backlog for visual systems.
 • Translate stakeholder needs and program objectives into clear user stories and system requirements.
 • Collaborate with cross\-functional engineering teams (software, hardware, test, safety) to ensure integrated solutions.
 • Maintain traceability between requirements, implementations, verification artifacts, and certification evidence.
 • Lead and participate in Agile ceremonies, representing systems priorities.
 • Support Product Managers in decomposing system capabilities into manageable work packages.
 What You'll Need
 • Bachelor of Science degree in Engineering, Computer Science, Data Science, Mathematics, Physics, Chemistry, or equivalent.
 • 3\+ years of experience operating in an Agile work environment.
 • Experience decomposing high\-level work packages into stories, defining work, and identifying dependencies.
 • Experience with engineering projects leveraging computer science, computer engineering, software engineering, network engineering, and/or cybersecurity.
 • Ability to obtain a U.S. Security Clearance (U.S. Citizenship required).
 • Strong communication and collaboration skills.
 What's On Offer
 • Opportunity to work with a leading aerospace company on innovative visual systems.
 • Comprehensive benefits package including health insurance, retirement plans, and paid time off.
 • Relocation assistance for eligible candidates.
 • Engaging hybrid work environment to foster collaboration and flexibility.
 Apply via Haystack today!</t>
        </is>
      </c>
    </row>
    <row r="31">
      <c r="A31" t="inlineStr">
        <is>
          <t>li-4367303786</t>
        </is>
      </c>
      <c r="B31" t="inlineStr">
        <is>
          <t>Group Product Manager - Growth</t>
        </is>
      </c>
      <c r="C31" t="inlineStr">
        <is>
          <t>Revalia Bio</t>
        </is>
      </c>
      <c r="D31" t="inlineStr">
        <is>
          <t>linkedin</t>
        </is>
      </c>
      <c r="E31" t="inlineStr"/>
      <c r="F31" t="inlineStr"/>
      <c r="G31" t="inlineStr">
        <is>
          <t>New Haven, CT</t>
        </is>
      </c>
      <c r="H31" t="inlineStr"/>
      <c r="I31" t="inlineStr">
        <is>
          <t>**About Revalia**
 Revalia is pioneering Human Data Trials — a new paradigm for accelerating translational medicine by linking donated human organs to cutting\-edge research. Our platform provides biotech, pharma, and medtech innovators with unparalleled access to human biology at scale, reducing reliance on animal models and speeding the path to patients.
**About The Role**
 We're seeking an experienced Group Product Manager \- Growth with deep expertise in growing our research software based business in biotech and pharmaceutical. This is a crucial role that builds 0\-1 products and refine our customer features, funnel strategies, and pricing models for our new lines of software products. Successful candidate will leverage deep understanding of data\-driven customer feedback, user behavior, and market trends to implement effective growth tactics and retention mechanisms.
****Location****
 This position is fully remote with the expectation to travel quarterly to our office in New Haven, CT. We do not provide work visa sponsorship. This position is only open to candidates who are legally eligible to work in the United States without sponsorship.
**Culture Requirements**
* Role model the Revalia Bio’s Company Values of world class collaboration, cultivating deep trust, relentless adaptability, and to persevere with uncommon grit.
* Display high levels of personal integrity and be able to express opinions or concerns directly and without triangulation, demonstrating honesty, openness, and a positive outlook at all times.
* Seek to promote collaboration and be curious (and not judgmental) about opposing opinions.
* Ability to adapt to changing business needs or to personal development opportunities. Able to fully embrace feedback and training to continuously improve performance and relationships.
* Display determination and perseverance to problem solve, create, innovate, and develop.
* Demonstrate commitment to own personal growth and development. Be “all \-in” when participating in Company activities and programs related to personal and professional development and training.
* Commitment to the growth and development of their team including participation in 360 reviews where requested.
**Skill Requirements**
* 5\+ years of experience in product management, with 2\-3 years in a Growth role, preferably in a health\-tech business (Biotech, Pharma is a plus).
* Startup\-ready mindset: resourceful, experimental, and energized by ambiguity.
* Deep knowledge of growth experimentation tactics, with a strong understanding of the customer journey, and a proven track record of new market penetration as well as driving subscriber growth and retention.
* Strong proficiency in data analytics, A/B testing, experimentation, and funnel optimization and define metrics and evaluate performance
* Experience developing pricing and packaging strategies that drive revenue growth and deliver strong biotech/pharmaceutical price\-to\-value for users.
* Experience working with research, science, analytics, health\-tech softwares.
* Technical enough to manage engineers and scope growth\-related features.
* Knowledge of product management frameworks and their practical applications.
* Familiarity with user experience best practices, with a keen eye for intuitive design and user journeys. Experience conducting user research and usability testing.
* Exceptional cross\-functional collaboration skills.
**Bonus Skills**
* Quantitative, technical, or scientific academic background preferred (science, economics, engineering, applied math, CS, etc.).
* Experimentation depth: hypothesis → design → instrumentation → analysis; comfortable with statistics and tradeoffs.
* Strong product sense \+ UX for conversational and mobile flows; can review copy, prompts, and edge cases
* AI product experience: shipped features using LLMs/agents/automations that replaced or augmented manual workflows.
**Responsibilities**
* Lead the development and execution of product strategy and vision to penetrate the biotech and pharmaceutical market and increase subscription growth and improve retention rates, leveraging insights into customer behavior and market trends.
* Lead a team of engineers and an analyst to ship growth features quickly and thoughtfully. \+ Collaborate cross\-functionally with Design, Analytics, Marketing, and Science teams.
* Continuously optimize the pricing model through different products and test our hypothesis through various interviews through GLG and others.
* Research customer journey, identifying pain points and opportunities to improve the user experience and increase conversion.
* Leverage data and analytics to guide decisions, identify growth opportunities, and establish clear success metrics.
* Drive product strategy in ambiguous settings, employing product management frameworks to clarify objectives, mediate diverse viewpoints, and propel product growth and user engagement.
* Understand customer needs and behaviors by conducting research, data analysis, and usability testing to inform strategies to reduce friction along the key steps of customer journey.
* Collaborate with Engineering to shape analytics infrastructure, event tracking, and attribution.
* Identify and size new growth opportunities, balancing speed with rigor.
* Translate experiment results into actionable insights for product and company strategy.
**Compensation, Benefits, And Diversity Commitment**
 Our compensation structure includes a base and semi\-annual bonus. Revalia Bio operates a growth culture focused on High Performance Teams and individual personal development. Along with monthly coaching, we provide extensive opportunities for professional development, training and mentoring.
 Revalia Bio provides comprehensive benefits including Health, Dental, Vision, Retirement, Disability, and a wellness program available on day one of employment. Full\-time employees are eligible for up to 5 paid sick days and 23 PTO days per calendar year, excluding national holidays.
 Revalia Bio acknowledges and celebrates the diversity of our workforce, is dedicated to creating an equitable workplace, is committed to fostering an inclusive environment, and aims to create a workplace culture where every individual feels a sense of belonging. We are an equal opportunity employer and do not discriminate on the basis of race, religion, color, national origin, sex, sexual orientation, gender, gender identity or expression, age, disability, or genetic makeup. For individuals with disabilities who would like to request accommodations, please email culture@revaliabio.com.
**The Pay Range For This Role Is**
 120,000 \- 180,000 USD per year(Remote (New Haven, Connecticut, US))</t>
        </is>
      </c>
    </row>
    <row r="32">
      <c r="A32" t="inlineStr">
        <is>
          <t>li-4366897450</t>
        </is>
      </c>
      <c r="B32" t="inlineStr">
        <is>
          <t>Product Manager, User Voice gTech Users and Products</t>
        </is>
      </c>
      <c r="C32" t="inlineStr">
        <is>
          <t>Google</t>
        </is>
      </c>
      <c r="D32" t="inlineStr">
        <is>
          <t>linkedin</t>
        </is>
      </c>
      <c r="E32" t="inlineStr"/>
      <c r="F32" t="inlineStr"/>
      <c r="G32" t="inlineStr">
        <is>
          <t>Boulder, CO</t>
        </is>
      </c>
      <c r="H32" t="inlineStr"/>
      <c r="I32" t="inlineStr">
        <is>
          <t>The application window will be open until at least February 5, 2025\. This opportunity will remain online based on business needs which may be before or after the specified date.
 **Minimum qualifications:**
* Bachelor's degree or equivalent practical experience.
* 5 years of experience in product management or related technical roles.
* 2 years of experience taking technical products from conception to launch (e.g., ideation to execution, end\-to\-end, 0 to 1, etc).
* Experience with the domain area of Generative AI or Large Language Models.
**Preferred qualifications:**
* Experience turning broad, ambiguous problems into clear, well\-structured projects.
* Experience working closely with engineering to understand infrastructure design and tradeoffs.
* Track record of great collaboration with complex, cross\-functional teams on high\-velocity projects.
* Ability to define metrics, analyze experiments, generate insights, and communicate results to the wider organization.
* Excellent communication skills including presenting regularly to executive leadership.
* Passionate about Consumer Products, Customer Support, next generation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(PM) in gTech Users and Products Technical Solutions and Insights (gUP TSI), you will drive improvements within our User Voice platforms, responsible for how Google captures, analyzes, and acts on user feedback at scale across consumer products. In this role, you will own the product lifecycle for key features, from ideation through launch and iteration. You will collaborate closely with Engineering, User Experience (UX), and Research to translate user needs and business goals into clear product requirements and delightful user experiences. You will conduct user research and data analysis to inform product decisions, define and track success metrics, and contribute to the overall product strategy and roadmap. You will work cross\-functionally to ensure timely delivery and landing of high\-quality features that enhance the effectiveness of our self\-help support offerings.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various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product development lifecycle for specific features or components, from requirements gathering to launch and post\-launch analysis.
* Conduct user research, analyze user behavior, and leverage data to identify pain points and opportunities, ensuring features meet user needs and business objectives.
* Define clear and concise product requirements, user stories, and acceptance criteria. Effectively prioritize features and backlog items based on impact and feasibility.
* Partner closely with Engineering, UX, Research, Content, and Operations teams to ensure alignment, clear communication, and smooth execution throughout the product development process.
* Define key success metrics for your features, monitor performance, and iterate based on data to improve user outcomes and achieve product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
      <c r="A33" t="inlineStr">
        <is>
          <t>li-4366891597</t>
        </is>
      </c>
      <c r="B33" t="inlineStr">
        <is>
          <t>Senior Product Manager, gUP</t>
        </is>
      </c>
      <c r="C33" t="inlineStr">
        <is>
          <t>Google</t>
        </is>
      </c>
      <c r="D33" t="inlineStr">
        <is>
          <t>linkedin</t>
        </is>
      </c>
      <c r="E33" t="inlineStr"/>
      <c r="F33" t="inlineStr"/>
      <c r="G33" t="inlineStr">
        <is>
          <t>Sunnyvale, CA</t>
        </is>
      </c>
      <c r="H33" t="inlineStr"/>
      <c r="I33" t="inlineStr">
        <is>
          <t>**Minimum qualifications:**
* Bachelor's degree or equivalent practical experience.
* 8 years of experience in product management or related technical roles.
* 3 years of experience taking technical products from conception to launch (e.g., ideation to execution, end\-to\-end, 0 to 1, etc.).
* Experience with the domain area of Generative AI or Large Language Models.
**Preferred qualifications:**
* Experience turning broad, ambiguous problems into clear, well\-structured projects.
* Experience working closely with engineering to understand infrastructure design and tradeoffs.
* Knowledge about consumer products, customer support, next generation technologies.
* Ability to define metrics, analyze experiments, generate insights, and communicate results to the wider organization.
* Ability to collaborate with cross\-functional teams on high\-velocity projects.
* Excellent communication skills including presenting regularly to executive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Partner and Operations Solutions team at Google is responsible for developing and maintaining a suite of critical tools that empower partners and internal operations teams.
 As a Senior Prodcut Manager, gTech Users and Products (gUP), you will focus on Tomo, our partner customer relationship management (CRM) product. This role involves leading the end\-to\-end product lifecycle, from ideation and requirements definition through to launch and iteration, working closely with Engineering, UX, and Partner\-facing teams. You will be adept at defining and tracking key metrics to measure success, and making data\-driven decisions to optimize user engagement and support outcomes.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advocate the product goal, strategy, and multi\-year roadmap for your area, aligning with gUP, product area, and user goals.
* Conduct user research, journey analysis, and market analysis to identify and prioritize key opportunities.
* Drive the full product lifecycle, from ideation to launch and iteration, collaborating closely with Engineering, UX, Partner\-facing teams, and Operations to deliver impactful solutions.
* Define and analyze key metrics to measure success, make informed product decisions, and develop strategies to improve user engagement, satisfaction, and support outcomes.
* Lead and influence cross\-functional partners to ensure alignment and delivery. Mentor junior product managers, fostering product craft and team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li-4367010491</t>
        </is>
      </c>
      <c r="B34" t="inlineStr">
        <is>
          <t>Product Owner/Senior Product Owner</t>
        </is>
      </c>
      <c r="C34" t="inlineStr">
        <is>
          <t>AIPSO</t>
        </is>
      </c>
      <c r="D34" t="inlineStr">
        <is>
          <t>linkedin</t>
        </is>
      </c>
      <c r="E34" t="inlineStr"/>
      <c r="F34" t="inlineStr"/>
      <c r="G34" t="inlineStr">
        <is>
          <t>Johnston, RI</t>
        </is>
      </c>
      <c r="H34" t="inlineStr"/>
      <c r="I34" t="inlineStr">
        <is>
          <t>AIPSO is a management organization and service provider for various insurance industry groups responsible for administering the residual market. We are a national organization that serves local customer needs. Centralization and standardization are key to many AIPSO services because of the inherent economies of scale and other efficiencies. However, our organization is based on customer focus and recognizes the need for flexibility in serving customer groups with diverse interests.
**Essential Duties \&amp; Responsibilities**
* Refine the backlog; ensure the product backlog items are clearly defined and properly estimated with sizing; follow up with key stakeholders to confirm and clarify understanding of requirements.
* Act as a customer advocate and as the primary link to the business and technology strategy; work with stakeholders to assess value, develop cases, and prioritize epics, features, and stories to ensure work aligns with product strategy; evaluate options especially in the areas of risk and issue resolution, and functionality needed to address capability gaps.
* Work closely with the internal teams to track and identify dependencies and coordinate data releases with software releases when needed.
* Develop user stories and acceptance criteria using accepted business analysis standards and incorporate into the product roadmap.
* Make decisions for the features to include in each sprint release based on the value delivered to customers; monitor and make decisions on test failures; as well as resolving any resource assignment conflicts.
* Facilitate regular communications with stakeholders and remediate any disconnects; regularly share status with cross functional teams.
* Facilitate regular standups and track release burndown at the story, feature, and epic level. Resolve issues and blockers for the team; communicate and escalate issues appropriately through all applicable channels when issues arise.
* Refine our agile methodology based on results and feedback.
**Education**
 Bachelor's degree (BA/BS) from four\-year college or university preferred. Additional appropriate experience will be considered in lieu of a degree.
**Experience**
 3 or more years of experience as a Product Owner/Product Manager role. Insurance industry experience and an understanding of Policy Administration Systems required. Commercial automobile insurance experience and/or familiarity with the residual market preferred.
**Skills/Knowledge**
* Working knowledge of Agile Frameworks, preferably Scrum and/or SAFe.
* Ability to effectively manage conflicting needs of stakeholders.
* Effective problem\-solving and critical thinking skills, including ability to analyze and break down complex issues, find the root cause of the problem, and consider a wide range of alternatives before acting.
* Demonstrate strong verbal and written communication skills, including ability to effectively present information and respond to questions from groups or individuals.
* Ability to multi\-task and demonstrate flexibility while maintaining attention to detail within established timeframe.
* Demonstrate excellent organizational and customer service skills.
* Ability to work independently and interact professionally and effectively in a team environment.
* Provide leadership by example through feedback and input in group meetings and discussions.
* Proficient in the use of Microsoft Office productivity tools (e.g. Outlook, Word, Excel, Visio) to manage work.
**Salary Range** 
**: $82,000 \- $131,000/$97,900 \- $156,300 Annual** 
 . Actual salary for this position will be determined by a number of factors, including the scope, complexity, and location of the role as well as the cost of labor in the market; the skills, education, training, credentials, and experience of the candidate; internal equity and other conditions of employment.
*AIPSO is an equal opportunity employer. To this end, all employment related decisions are made on a non\-discriminatory basis and in full compliance with federal, state, and local laws prohibiting discrimination in employment.*
 This is a non\-management position
 This is a full time position</t>
        </is>
      </c>
    </row>
    <row r="35">
      <c r="A35" t="inlineStr">
        <is>
          <t>li-4365330038</t>
        </is>
      </c>
      <c r="B35" t="inlineStr">
        <is>
          <t>Senior Product Manager</t>
        </is>
      </c>
      <c r="C35" t="inlineStr">
        <is>
          <t>Storm2</t>
        </is>
      </c>
      <c r="D35" t="inlineStr">
        <is>
          <t>linkedin</t>
        </is>
      </c>
      <c r="E35" t="inlineStr"/>
      <c r="F35" t="inlineStr"/>
      <c r="G35" t="inlineStr">
        <is>
          <t>Sunnyvale, CA</t>
        </is>
      </c>
      <c r="H35" t="inlineStr"/>
      <c r="I35" t="inlineStr">
        <is>
          <t>🚀 Senior Product Manager/ Product Lead
 🌎 Sunnyvale \- Based
 ⚡Competitive Base (DOE) \+ Meaningful Equity
**The Company:** 
 We are a pioneering company in the blockchain\-based payments and identity management sectors. Our mission is to build innovative products that transform the digital payments landscape, offering unparalleled solutions for currency exchange, money movement, and settlement processes.
**Job Overview:** 
 Someone who will bring strong Payments and product management leadership skills which are required to successfully collaborate with cross\-functional internal teams and the service ecosystem of partners/customers to identify and build core platform\-level product capabilities around company flagship service.
 ✅
 **Responsibilities:** 
* Develop, implement, and optimize processes for handling payment reversals within the payment network
* Design and maintain a comprehensive disputes framework within the payment network ecosystem.
* Continuously evaluate and optimize payment logic algorithms to improve transaction success rates and reduce failures.
* Conduct data analysis and A/B testing to identify opportunities for enhancing payment routing and decision\-making processes.
* Conduct a thorough review of existing network and product rules governing payment transactions
* Collaborate closely with engineering, operations, legal, compliance, and business development teams to define product strategies and priorities.
 ✅
 **Qualifications:** 
* Domain expertise in payment processing methods including card network, ACH, check, virtual cards, digital wallets, and international payments.
* 5\+ years product management experience, with proven experience driving forward\-thinking vision and payments product roadmap operating at significant scale
* Deep understanding of payment network infrastructure, including transaction processing, authorization, and settlement.
* Proven track record of driving product initiatives from concept to launch in a fast\-paced, dynamic environment.
* Familiarity with regulatory requirements and industry standards governing payment networks is a plus.
 ✅
 **Why apply** 
 :
* Equity at a scaling company 💸
* Career growth opportunity 📈
* Join a rapidly growing, well\-funded start\-up with significant upside potential, working with a stellar team utilizing blockchain to effect global change
* Real ownership over core payments systems
 📧 Interested in applying? Please click on the ‘Easy Apply’ button. 😊
**Important:** 
 Our client cannot provide sponsorship, so you must be a
 **US citizen or Green Card holder** 
 .</t>
        </is>
      </c>
    </row>
    <row r="36">
      <c r="A36" t="inlineStr">
        <is>
          <t>li-4366884960</t>
        </is>
      </c>
      <c r="B36" t="inlineStr">
        <is>
          <t>Enterprise Product Owner, Digital Portfolio Office</t>
        </is>
      </c>
      <c r="C36" t="inlineStr">
        <is>
          <t>Delta Air Lines</t>
        </is>
      </c>
      <c r="D36" t="inlineStr">
        <is>
          <t>linkedin</t>
        </is>
      </c>
      <c r="E36" t="inlineStr"/>
      <c r="F36" t="inlineStr"/>
      <c r="G36" t="inlineStr">
        <is>
          <t>Atlanta, GA</t>
        </is>
      </c>
      <c r="H36" t="inlineStr"/>
      <c r="I36" t="inlineStr">
        <is>
          <t>**How You'll Help Us Keep Climbing (Overview \&amp; Key Responsibilities)**
 Join us as a driving force behind digital innovation, where your expertise will not only shape the future of our products but also open doors to new growth opportunities across the organization. In this dynamic role, you'll collaborate with diverse squads across multiple business areas, gaining unparalleled cross\-divisional visibility. By working with various teams and navigating complex challenges, you’ll become a well\-rounded Product Owner with a deep understanding of how interconnected efforts drive enterprise success. This is your chance to elevate both your strategic impact and your professional growth in a fast\-paced, ever\-evolving environment.
 We are seeking a highly adaptable, strategic, and detail\-oriented Enterprise Product Owner to act as a key driver of product execution and alignment with enterprise priorities. This role requires a dynamic individual who can be deployed to various areas of the business based on organizational needs, delivering value by translating high\-level product strategy into actionable development steps. As a centralized product owner, you will collaborate with multiple squads across the organization, using agile best practices to ensure a consistent, data\-driven approach to delivering product features. Additionally, you will foster upskilling opportunities across teams, elevating capabilities in areas that need development to support a culture of continuous improvement and innovation. The ideal candidate will not only have a strong grasp of agile methodologies but will also be skilled at navigating cross\-functional relationships and handling shifting priorities in a fast\-paced environment. This role is uniquely designed for a visionary Product Owner who thrives on complexity and cross\-functional challenges.
**Responsibilities**
**Strategic Product Execution**
* Partner with product leaders to translate high\-level product strategy into executable backlogs, ensuring alignment with enterprise priorities and business objectives.
* Rapidly assess and understand key product features that will have a significant impact on the assigned squads.
* Work with various squads to craft clear and concise user stories with defined acceptance criteria.
* Manage the entire product lifecycle within the development teams, facilitating delivery through continuous feedback loops with stakeholders.
* Lead sprint demos and ensure the successful delivery of features that meet predefined business criteria.
* Ensure alignment between product vision and execution across different product squads, coordinating efforts with other Product Owners as necessary.
**Cross\-Squad Collaboration and Leadership**
* Lead and actively participate in all squad ceremonies, including daily stand\-ups, sprint planning, backlog refinement, and retrospectives.
* Facilitate backlog refinement meetings to ensure user stories are broken down into manageable, deliverable increments within each sprint.
* Act as the primary point of contact for integrating cross\-squad efforts, ensuring coherent and consistent product development across teams.
* Foster a culture of continuous improvement by contributing to and facilitating Product Owner communities of practice, sharing knowledge and best practices across squads.
**Stakeholder Engagement**
* Serve as the bridge between stakeholders and development squads, ensuring that feedback is rapidly integrated and business objectives are consistently communicated and aligned.
* Engage regularly with stakeholders and Product Managers to provide insights on progress, aligning deliverables with the overarching enterprise strategy.
* Use a data\-driven approach to validate decisions and provide evidence\-based recommendations for new features and iterations.
**Agile Methodology Advocacy**
* Champion agile practices within the squads, ensuring that teams are following agile best practices to deliver high\-quality features.
* Utilize agile management tools like Agility and Aha! to track product development progress and maintain data integrity.
* Promote a culture of flexibility and responsiveness, adapting the development process as priorities shift.
**What You Need To Succeed (Minimum Qualifications)**
* Proven experience as a Product Owner or in a similar role within a fast\-paced, agile environment (4\+ years preferred).
* Expertise working in an agile organization
* Demonstrated ability to lead cross\-functional teams and manage shifting priorities while delivering on business objectives.
* Strong stakeholder management skills, with the ability to translate complex technical concepts for non\-technical audiences.
* Exceptional communication skills, both written and verbal, with a strong emphasis on clarity and influence.
* Proficiency with enterprise tool for Agile and Roadmapping (e.g., Agility, Aha!) and an ability to maintain data hygiene.
* Analytical and problem\-solving skills, with experience leveraging data to drive decision\-making and feature prioritization.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Degree in Business, Computer Science, Engineering, alignment to STEM discipline or equivalent experience
* Experience in large\-scale enterprise\-level ways of working and initiatives, with a focus on cross\-squad coordination and integration.
* Familiarity with the airline industry
* Prior experience in customer and employee journey optimization and understanding of consumer behavior within digital spaces.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37">
      <c r="A37" t="inlineStr">
        <is>
          <t>li-4366891781</t>
        </is>
      </c>
      <c r="B37" t="inlineStr">
        <is>
          <t>Product Manager, Principal</t>
        </is>
      </c>
      <c r="C37" t="inlineStr">
        <is>
          <t>Strategy</t>
        </is>
      </c>
      <c r="D37" t="inlineStr">
        <is>
          <t>linkedin</t>
        </is>
      </c>
      <c r="E37" t="inlineStr"/>
      <c r="F37" t="inlineStr"/>
      <c r="G37" t="inlineStr">
        <is>
          <t>Tysons Corner, VA</t>
        </is>
      </c>
      <c r="H37" t="inlineStr"/>
      <c r="I37" t="inlineStr">
        <is>
          <t>**Company Description**
**Strategy (Nasdaq: MSTR)** 
 is at the forefront of transforming organizations into intelligent enterprises through data\-driven innovation. We don't just follow trends—we set them and drive change. As a market leader in enterprise analytics and mobility software, we've pioneered the BI and analytics space, empowering people to make better decisions and revolutionizing how businesses operate.
 But that's not all. Strategy is also leading a groundbreaking shift in how companies approach their treasury reserve strategy, boldly adopting Bitcoin as a key asset. This visionary move is reshaping the financial landscape and solidifying our position as a forward\-thinking, innovative force in the market. Four years after adopting the Bitcoin Standard, Strategy's stock has outperformed every company in the S\&amp;P 500\.
 Our people are the core of our success. At Strategy, you'll join a team of smart, creative minds working on dynamic projects with cutting\-edge technologies. We thrive on curiosity, innovation, and a relentless pursuit of excellence.
 Our corporate values—bold, agile, engaged, impactful, and united—are the foundation of our culture. As we lead the charge into the new era of AI and financial innovation, we foster an environment where every employee's contributions are recognized and valued.
 Join us and be part of an organization that lives and breathes innovation every day. At Strategy, you're not just another employee, you're a crucial part of a mission to push the boundaries of analytics and redefine financial investment
**Job Description**
**Job Description**
**The Role** 
 The Product Management team at Strategy sits at the intersection of customer need, market opportunity, and technological innovation, directly shaping our product vision and continuous evolution. As a Product Manager, your focus will span from understanding customer challenges and market dynamics to defining solutions, driving adoption, and achieving measurable business outcomes.
 You'll thrive in a dynamic, fast\-paced environment where no two days look alike. Leveraging your customer empathy and market insights, you'll identify high\-impact capabilities and enhancements, translating them into strategic product initiatives. Your success will be measured by the tangible impact your products deliver—driving adoption, customer value, and incremental revenue growth.
 You'll operate as part of a collaborative pod, partnering closely with Design, Engineering, and customer\-facing teams, reporting directly to a VP of Product Management.
**Location:** 
 This role is based at our Tysons Corner, VA headquarters, requiring in\-person attendance four days a week, with limited travel for customer meetings and industry conferences.
**Your Focus** 
* Discovery \&amp; Strategy: Engage deeply with customers, leveraging qualitative and quantitative data to understand pain points and opportunities.
* Roadmap \&amp; Prioritization: Own and continuously refine your product backlog, ensuring alignment with customer value, strategic vision, and revenue goals.
* Execution \&amp; Delivery: Collaborate daily with Engineering and Design teams in agile environments, managing priorities, trade\-offs, and timelines effectively.
* Adoption \&amp; Outcomes: Define clear success metrics, instrument analytics, and partner cross\-functionally to drive customer adoption and measure post\-launch impact.
* Continuous Improvement: Regularly assess performance, solicit customer feedback, and conduct competitive analyses to inform iterative enhancements.
**About You**
* Resilience \&amp; Accountability: You bring perseverance and follow\-through to your work. When you commit to a goal, you take ownership and drive it to completion.
* Intellectual Curiosity: You regularly ask “why” and “how” to better understand industry challenges, improve processes, and enhance customer and product experiences.
* Design Mindset: You appreciate thoughtful design and user experience, and you value how strong product and system design influence usability, adoption, and customer satisfaction.
* Execution \&amp; Collaboration: You are action\-oriented and work effectively across teams to deliver outcomes, manage priorities, and contribute to shared success.
* Data \&amp; Metrics Orientation: You are comfortable working with key performance metrics such as funnels, adoption, retention, and upsell. You use data to inform decisions and understand how product choices impact business outcomes.
**Required Experience \&amp; Skills**
* 5\-8 years of experience in Product Management or an adjacent role delivering B2B data, analytics, or software products.
* Strong understanding of data concepts including SQL based application, cloud data platforms (e.g., Snowflake, BigQuery, Redshift), AI/ML fundamentals, and data governance.
* Demonstrated ability to translate complex customer and market insights into clear product strategies and measurable business outcomes.
* Excellent communication skills, capable of effectively engaging diverse stakeholders from engineering teams to executive leadership.
**Additional Information**
 Strategy is an equal opportunity employer. All applicants will receive consideration for employment without regard to race, creed, color, religion, national origin, gender, sex, sexual orientation, gender identity, disability, veteran status, age, genetic information, or any other legally\-protected basis.
 Strategy provides reasonable accommodation for qualified individuals with disabilities in the hiring process. If you have any difficulty using our online system and you need an accommodation due to a disability, you may contact us about your interest in employment at application\_accommodations@strategy.com.
 Visit Strategy’s Careers page for additional information.</t>
        </is>
      </c>
    </row>
    <row r="38">
      <c r="A38" t="inlineStr">
        <is>
          <t>li-4367319938</t>
        </is>
      </c>
      <c r="B38" t="inlineStr">
        <is>
          <t>Principal Product Manager</t>
        </is>
      </c>
      <c r="C38" t="inlineStr">
        <is>
          <t>Zscaler</t>
        </is>
      </c>
      <c r="D38" t="inlineStr">
        <is>
          <t>linkedin</t>
        </is>
      </c>
      <c r="E38" t="inlineStr"/>
      <c r="F38" t="inlineStr"/>
      <c r="G38" t="inlineStr">
        <is>
          <t>San Jose, CA</t>
        </is>
      </c>
      <c r="H38" t="inlineStr"/>
      <c r="I38"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Principal Product Manager to join our team. This role offers flexible location options including onsite or hybrid at our San Jose Office, or remote within the USA, reporting to the Senior Manager, Product Management. Join our data fabric and SecOps platform team, working specifically within the analytics and investigation product areas. You will lead the product effort for search and SOC investigation flow capabilities, enabling best\-in\-market product capabilities and UX that will be used by our security operations applications offerings and personas.
**What You’ll Do (Role Expectations)**
* Lead product discovery by deeply understanding customer problems, business goals, and operational constraints across search and investigation products, including market research and experience design
* Define the product vision and roadmap for SaaS data, search, and investigation products, managing the journey from initial discovery through launch and iteration
* Work day\-to\-day with engineering and data teams to prioritize backlogs, clarify scope, and ensure high\-quality execution
* Collaborate with customers to facilitate feedback across multiple personas and partner with go\-to\-market and sales teams to support pilots, launches, and customer adoption
* Measure product success using adoption, usage, customer value, and business outcome metrics
**Who You Are (Success Profile)**
* You act like an owner. Your passion for the mission fuels your bias for action. You operate with integrity because you genuinely care about the outcome. You adapt to what’s needed, navigating seamlessly between high\-level strategy and hands\-on execution.
* You are a learner. You have a true growth mindset and never stop developing yourself, actively seeking feedback to become a better partner and a stronger teammate. You love what you do and you do it with purpose.
* You are customer\-obsessed. You build deep empathy for the customer—both internal and external—and anchor your decisions in solving their real\-world problems. You champion their needs from start to finish, knowing their success is our success.
* You are a pragmatic builder. You are obsessed with creating, iterating, and shipping. You aren't afraid to roll up your sleeves and build the first version yourself, balancing the drive for technical excellence with the need to deliver value to users quickly.
* You are resilient and adaptable. You view change as an opportunity and setbacks as temporary. You maintain composure and focus in high\-pressure situations, guiding yourself and your team through complexity with a steady, positive hand.
**What We’re Looking For (Minimum Qualifications)**
* 5\-7 years of Product Management experience with SaaS and/or platform products in the security operations space
* Proven experience delivering complex data, analytics, query, and search capabilities, spanning both UI/UX and deep technical back\-end functionality
* Prior hands\-on inbound product management experience at top\-tier industry security operations or SIEM solutions
**What Will Make You Stand Out (Preferred Qualifications)**
* Bachelor’s degree in Computer Science, Engineering, or a related field; a Master’s or MBA is a plus
* Previous experience as a hands\-on analyst in the security space or other domains, specifically working with SIEM or general BI solutions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$164,500 \- $235,000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39">
      <c r="A39" t="inlineStr">
        <is>
          <t>li-4367312235</t>
        </is>
      </c>
      <c r="B39" t="inlineStr">
        <is>
          <t>Senior Product Manager - Words With Friends</t>
        </is>
      </c>
      <c r="C39" t="inlineStr">
        <is>
          <t>Zynga</t>
        </is>
      </c>
      <c r="D39" t="inlineStr">
        <is>
          <t>linkedin</t>
        </is>
      </c>
      <c r="E39" t="inlineStr"/>
      <c r="F39" t="inlineStr"/>
      <c r="G39" t="inlineStr"/>
      <c r="H39" t="inlineStr"/>
      <c r="I39"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Zynga’s Words with Friends is seeking a dedicated and passionate Senior Product Manager to help shape the future of one of the world's most beloved social games.
 We are looking for a product leader who can own critical projects, drive results, and directly impact the business performance of a large\-scale live service. In this role, you will work closely with a cross\-functional team of engineers, designers, analysts, and marketers to define, build, and launch features that delight millions of players every day.
**What You'll Do**
* Own the Product Lifecycle: Manage the end\-to\-end lifecycle for new features and optimizations, from initial concept and specification writing through to launch and post\-launch analysis.
* Design Features: Author clear and comprehensive product specifications, user stories, and wireframes to guide the development team.
* Execute on Strategy: Partner with leadership to inform and execute the product strategy and roadmap for your area of focus, ensuring alignment with our core business goals.
* Be Data\-Driven: Define, monitor, and analyze core metrics and KPIs. Use a hypothesis\-driven approach to design and execute A/B tests and other experiments to drive continuous improvement.
* Lead a Cross\-Functional Team: Collaborate daily with engineering, design, art, and data science to balance business objectives, player experience, and technical investment.
* Be the Voice of the Player: Translate player feedback, community insights, and market analysis into actionable product requirements and innovative feature ideas.
* Drive Results: Take full ownership of your features' performance, consistently tracking results against defined expectations and communicating outcomes to the broader team.
**What You Bring**
* Product Management Experience: 3\+ years of product management experience, preferably in consumer\-facing mobile apps, web, or game development.
* Strong Product Sense: A proven ability to concept new feature ideas, understand the competitive market landscape, and deconstruct user\-facing problems.
* Analytical Acumen: Excellent analytical and quantitative skills; a natural curiosity for data and the ability to use it to make informed, high\-impact decisions. Experience with SQL mandatory.
* Exceptional Communication: Outstanding written, oral, and presentation skills. You can effectively articulate complex ideas to diverse audiences, from small teams to senior leadership.
* Execution and Organization: Proven ability to manage multiple projects in a fast\-paced environment, with strong organizational skills and meticulous attention to detail.
* Collaborative Spirit: A team\-first mentality, with experience interpreting community feedback and a passion for sharing insights that help other PMs grow.
* Passion for Games: A genuine passion for games and crafting fun, compelling, and exciting user experiences.
* Education: BA/BS degree or equivalent practical experience.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*$108,900 \- $161,160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pay range for this position in Toronto at the start of employment is expected to be between $96,400 and $142,660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40">
      <c r="A40" t="inlineStr">
        <is>
          <t>li-4366890576</t>
        </is>
      </c>
      <c r="B40" t="inlineStr">
        <is>
          <t>Product Manager, Help Guide, gUP</t>
        </is>
      </c>
      <c r="C40" t="inlineStr">
        <is>
          <t>Google</t>
        </is>
      </c>
      <c r="D40" t="inlineStr">
        <is>
          <t>linkedin</t>
        </is>
      </c>
      <c r="E40" t="inlineStr"/>
      <c r="F40" t="inlineStr"/>
      <c r="G40" t="inlineStr">
        <is>
          <t>Boulder, CO</t>
        </is>
      </c>
      <c r="H40" t="inlineStr"/>
      <c r="I40" t="inlineStr">
        <is>
          <t>Applicants in San Francisco: Qualified applications with arrest or conviction records will be considered for employment in accordance with the San Francisco Fair Chance Ordinance for Employers and the California Fair Chance Act.
 The application window will be open until at least Feburary 4,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**Sunnyvale, CA, USA; Boulder, CO, USA; San Francisco, CA, USA; Irvine, CA, USA; Pittsburgh, PA, USA** 
 .
 **Minimum qualifications:**
* Bachelor's degree or equivalent practical experience.
* 5 years of experience in product management or related technical roles.
* 2 years of experience taking technical products from conception to launch (e.g., ideation to execution, end\-to\-end, 0 to 1, etc.).
* Experience with the domain area of Generative AI or Large Language Models.
**Preferred qualifications:**
* Experience turning broad, ambiguous problems into clear, well\-structured projects.
* Experience working closely with engineering to understand infrastructure design and tradeoffs.
* Knowledge of consumer products, customer support, next generation technologies.
* Ability to define metrics, analyze experiments, generate insights, and communicate results to the wider organization.
* Ability to collaborate with cross\-functional teams on high\-velocity projects.
* Excellent communication skills including presenting regularly to executive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You will have experience with Generative AI, and managing problems, and building capabilities from scratch.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direction, and ensure it aligns with gUP’s and the product area’s overall goals.
* Analyze every touchpoint across the self\-help journey and optimize conversational AI for consumer support w/in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1">
      <c r="A41" t="inlineStr">
        <is>
          <t>li-4367021309</t>
        </is>
      </c>
      <c r="B41" t="inlineStr">
        <is>
          <t>Website Product Owner</t>
        </is>
      </c>
      <c r="C41" t="inlineStr">
        <is>
          <t>MetLife</t>
        </is>
      </c>
      <c r="D41" t="inlineStr">
        <is>
          <t>linkedin</t>
        </is>
      </c>
      <c r="E41" t="inlineStr"/>
      <c r="F41" t="inlineStr"/>
      <c r="G41" t="inlineStr">
        <is>
          <t>New York, United States</t>
        </is>
      </c>
      <c r="H41" t="inlineStr"/>
      <c r="I41" t="inlineStr">
        <is>
          <t>**Requirements**
**Description and Requirements**
**Role Value Proposition:**
 MetLife, through its subsidiaries and affiliates, is one of the world’s leading financial services companies, providing insurance, annuities, employee benefits, and asset management to individual and institutional customers. We’re united by our purpose to help our customers and each other create a confident future; we’re guided by empathy; and we’re inspired by each other to make a difference in the lives of our coworkers, customers, communities, and the world at large. At MetLife, it’s \#AllTogetherPossible . Join us!
 The MetLife Marketing organization is evolving to enable our New Frontier strategy. The organization has outlined a new vision – to be a customer\-centric and data\-driven growth engine that takes accountability for contributing meaningful enterprise value and building customer equity.
 The organization is on a journey to create a high\-performing team equipped with modern capabilities. This will require us to meet the organization’s expectations of marketing and shift the Marketing focus areas. The expected outcomes of this evolution are 1\) growth – marketing as an investment with a predictable contribution to enterprise value, 2\) efficiency/effectiveness through a data\-driven DNA, 3\) capability maturity leading to sophisticated technical and strategic capabilities, and 4\) talent alignment to enable a modern, agile marketing organization that nurtures, develops, and attracts top talent.
 Shape MetLife.com into the ultimate digital expression of our brand and a powerful digital channel that supports key stakeholders’ journeys driving measurable engagement and conversion. Combine digital marketing strategy with Agile product management to deliver customer\-focused experiences, boost performance, and align global teams around measurable outcomes. From ideation to launch, you’ll own the full product lifecycle and drive results at scale.
**Key Responsibilities:**
* Define and communicate the product vision and strategy to stakeholders
* Develop and maintain a product roadmap that aligns with business goals and customer needs
* Drive planning and translating business goals into actionable features and user stories and backlog
* Partner closely with CX, UX design, authoring and development teams to drive delivery
* Lead Agile ceremonies and collaborate with stakeholders to gather requirements and manage expectations.
* Identify and resolve cross\-team dependencies and risks to maintain delivery commitments.
* Monitor industry trends, emerging technologies and competitive benchmarks to inform product strategy
* Ensure all digital experiences meet accessibility, compliance and brand standards
* Continuously seeking effectiveness and efficiency opportunities
**Essential Business Experience and Technical Skills:**
 Required:
* Strategic thinker with a knack for execution
* 5\+ years of hands\-on web marketing and/or digital delivery experience in a matrixed environment
* Strong knowledge of UX principles, user journeys and web best practices.
* Outstanding written and verbal communication skills with the ability to drive alignment across stakeholders.
* Creative problem\-solving skills to address complex challenges and deliver value
* Experience leading Agile ceremonies
 Preferred:
* Bachelor's Degree in a related field preferred.
* Strong understanding of the Adobe stack (Adobe Analytics, Adobe Campaign, Customer Data Platform, Journey Optimizer, Marketo, Experience Manager, DAM, Target, Workfront)
* Experience working with onshore, offshore and remote resources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$107,300 \- $142,900\.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$107,300 \- $142,900</t>
        </is>
      </c>
    </row>
    <row r="42">
      <c r="A42" t="inlineStr">
        <is>
          <t>li-4366882663</t>
        </is>
      </c>
      <c r="B42" t="inlineStr">
        <is>
          <t>Associate Product Manager, Claims Processes</t>
        </is>
      </c>
      <c r="C42" t="inlineStr">
        <is>
          <t>Maven Clinic</t>
        </is>
      </c>
      <c r="D42" t="inlineStr">
        <is>
          <t>linkedin</t>
        </is>
      </c>
      <c r="E42" t="inlineStr"/>
      <c r="F42" t="inlineStr"/>
      <c r="G42" t="inlineStr">
        <is>
          <t>New York, NY</t>
        </is>
      </c>
      <c r="H42" t="inlineStr"/>
      <c r="I42"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Maven’s product team is growing quickly to accelerate our mission of driving better health outcomes for our members through a human\-centered product experience. As Associate Product Manager for Claims Processes, you will deeply understand business, client and member needs and design innovative solutions that create ongoing value and drive meaningful retention.
 You will support the strategy, execution, and continuous improvement of Maven’s claims and reimbursement processes, helping ensure accurate, timely, and scalable experiences for members, providers, and operations teams. You’ll partner closely with Product, Engineering, Operations, Finance, and external partners to streamline workflows, reduce manual effort, and improve reliability across claims intake, adjudication, and payment. In this role, you’ll help translate complex operational and regulatory requirements into clear product requirements, support experimentation and iteration, and contribute to building a more efficient, trusted claims platform as Maven scales.
**As an Associate** 
**Product Manager** 
**at Maven, you will:**
* Identity key product opportunities and act as the primary driver for vision, strategy, and investment for content \&amp; community, in alignment with the broader organization and company goals
* Lead, support, and partner with your pod and cross\-functional partners to build a best\-in\-class experience for Maven members
* Define, track, and deliver on core product success measures, pod KPIs, and hypotheses to support company OKRs
* Use data and insights, including product analytics, market research, user research, and business needs, to inform product work and prioritization
* Drive experimentation plans and new learnings across 0\-1 and .1\-1 spaces, like support groups, forums, homepage, and content discovery \&amp; interaction
* Build for the long term \- design and deliver features and systems that scale to support our business’ growth
* Become an expert in the members’ experiences, becoming a champion of their needs and journey within the experience, driving member engagement and qualitative outcomes throughout a member’s journey
* Mentor and support broader product team and improve on product best practices at Maven
**We’re looking for you to bring:**
* 1–3\+ years of Product Management experience or equivalent experience in healthcare, operations, consulting, or technology; exposure to claims workflows, eligibility, payer data, or health data integrations preferred
* Foundational understanding of the healthcare ecosystem and health consumer mindset, with interest in translating complex claims and backend processes into clear, reliable internal and member\-facing experiences Demonstrated ability to support product development from discovery through launch, including writing requirements, supporting experimentation, and iterating based on data and feedback
* Strong analytical skills and product judgment, with the ability to use data, user insights, and operational context to inform decisions and measure impact Experience working cross\-functionally with engineering, data, design, and operations partners in a collaborative, fast\-paced environment, with a willingness to learn and grow into increased ownership
 The base salary range for this role is $125,000 \- $145,000 per year. You will also be entitled to receive stock options and benefits. Individual pay decisions are based on a number of factors, including qualifications for the role, experience level, and skillset.
 Maven embraces a flexible hybrid work model. Our teams primarily operate from the New York Metropolitan area, NY, San Francisco/Bay Area, CA, Seattle, WA, Boston, MA, Chicago, IL, and Washington, D.C.
 **This role is exclusively open to candidates in these locations.**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43">
      <c r="A43" t="inlineStr">
        <is>
          <t>li-4367009321</t>
        </is>
      </c>
      <c r="B43" t="inlineStr">
        <is>
          <t>Senior Product Manager, Measurement (Experimentation)</t>
        </is>
      </c>
      <c r="C43" t="inlineStr">
        <is>
          <t>TikTok</t>
        </is>
      </c>
      <c r="D43" t="inlineStr">
        <is>
          <t>linkedin</t>
        </is>
      </c>
      <c r="E43" t="inlineStr"/>
      <c r="F43" t="inlineStr"/>
      <c r="G43" t="inlineStr">
        <is>
          <t>San Francisco, CA</t>
        </is>
      </c>
      <c r="H43" t="inlineStr"/>
      <c r="I43" t="inlineStr">
        <is>
          <t>**Responsibilities**
 About the team
 TikTok's Measurement Product team builds experimentation products that help marketers and brands realize their true business value generated by TikTok and across all of their paid channels. Our team drives innovation and performance across our advertising platform by working with cross\-functional teams across the globe on products that touch millions of advertisers. We're looking for a Product Manager to continue building our experimentation infrastructure and measurement products.
 Responsibilities
 \- Set the vision, develop the roadmap, build and launch measurement products that help advertisers meet their goals and see their true business value generated by TikTok
 \- Collaborate with senior leaders and cross\-functional teams, including Engineering, Data Science, and Product Marketing, to define priorities and execute shared goals for measurement products.
 \- Own the underlying experimentation infrastructure and methodology, from randomization to inference methods
 \- Define success metrics and analyze data to inform product strategy and prioritization
 \- Write all technical specs and product requirements for development
**Qualifications**
 Minimum Qualifications:
 \- Bachelor's degree or higher with a major in a quantitative field such as Statistics, Economics, and Social Sciences or equivalent science/technical field is preferred
 \- 3\+ years of experience in product management, having taken one or more internet products through the full product cycle, from requirements to launch
 \- Knowledge of causal inference and experimental design, as well as the broader measurement ecosystem
 \- Experience defining vision, strategy and roadmap for a software product
 \- Experience in ads monetization business and ecosystem
 \- Experience working with data teams and external partners to build measurement models and frameworks
 Preferred Qualifications
 \- Deep understanding of ad tech and the measurement space, including direct response and brand advertising
 \- PhD in a quantitative field such as statistics, economics or social sciences, or MS/MA degree with 2\+ years of experience in advanced ads measurement
 \- Fluency in both English and Mandarin required: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4">
      <c r="A44" t="inlineStr">
        <is>
          <t>li-4366893582</t>
        </is>
      </c>
      <c r="B44" t="inlineStr">
        <is>
          <t>Product Manager</t>
        </is>
      </c>
      <c r="C44" t="inlineStr">
        <is>
          <t>Securin Inc.</t>
        </is>
      </c>
      <c r="D44" t="inlineStr">
        <is>
          <t>linkedin</t>
        </is>
      </c>
      <c r="E44" t="inlineStr"/>
      <c r="F44" t="inlineStr"/>
      <c r="G44" t="inlineStr">
        <is>
          <t>Albuquerque, NM</t>
        </is>
      </c>
      <c r="H44" t="inlineStr"/>
      <c r="I44" t="inlineStr">
        <is>
          <t>**Who are we?** 
 Securin is a leading provider of tech\-enabled cybersecurity solutions, helping hundreds of customers worldwide gain resilience against emerging threats. Our products are powered by accurate vulnerability intelligence, human expertise, and automation, enabling enterprises to make crucial security decisions to manage their expanding attack surfaces
 .Securin is built on the foundation of in\-depth penetration testing and vulnerability research to help organizations continuously improve their security posture. Our team of intelligence experts is one of the best in the industry and our comprehensive portfolio of tech\-enabled solutions include Attack Surface Management (ASM), Vulnerability Intelligence (VI), Penetration Testing, and Vulnerability Management. These solutions allow our customers to gain complete visibility of their attack surfaces, stay informed of the latest security threats and trends, and proactively address risks.
**What do we promis** 
 e?
* A chance to be on the leading edge of cybersecurity and AI
* An opportunity to build and lead a critical function from the ground
* Ability to have direct impact on company growth and revenue strategy
* A collaborative and high\-growth environment where you will work very closely with executive leadership and your expertise will be valued.
**About the Role:** 
 Location: Albuquerque, NM (on\-site or within commuting distance required). We are seeking a highly strategic and execution\-focused Product Manager to lead key product initiatives that drive customer value and business growth. This is an individual contributor role that requires a strong mix of leadership, cross\-functional collaboration, and product strategy. You will own the product roadmap for complex, high\-impact features and work closely with engineering, design, go\-to\-market teams, and executive stakeholders to deliver best\-in\-class solutions.
**Key Responsibilities:** 
* **Product Ownership:** 
 Own and drive the end\-to\-end product lifecycle for a key domain or product area — from ideation and customer discovery to launch and iteration.
* **Strategy \&amp; Vision:** 
 Define and communicate a bold product vision and strategy aligned with company goals. Translate business and customer needs into a clear product roadmap.
* **Execution \&amp; Delivery:** 
 Collaborate with cross\-functional teams to execute product plans, deliver quality features on time, and iterate based on user feedback.
* **Customer Advocacy:** 
 Deeply understand customer problems through user research, analytics, and customer feedback. Use insights to inform decisions and build impactful products.
* **Mentorship \&amp; Leadership:** 
 Serve as a product thought leader and mentor within the product team. Help elevate the craft of product management across the organization.
* **Metrics \&amp; Outcomes:** 
 Define success metrics, monitor product performance, and continuously optimize for customer and business impact.
**Qualifications:** 
* **Must be local to or within a reasonable commuting distance to Albuquerque, NM.**
* Bachelor’s Degree (MBA preferred)
* 5\+ years of product management experience, ideally with experience in a Product Manager or equivalent role.
* Proven success in leading product initiatives at scale in SaaS, B2B, or platform environments.
* Experience in cybersecurity or tech industry.
* Strong technical fluency — able to partner effectively with engineering teams.
* Experience with data analysis and leveraging metrics to drive decisions.
* Experience working in high\-growth or startup environments (preferred).
* Thorough understanding of emerging technologies like GenAI and LLM in cybersecurity contexts.
* Familiarity with applying regulatory frameworks to product design and requirements.
**Soft Skills:** 
* Exceptional communication and stakeholder management skills.
* Demonstrated ability to think strategically while managing tactical execution.
* Passion for building intuitive, customer\-centric products.
* Ability to influence cross\-functional teams without direct authority.
* Strong leadership and mentoring abilities.
* Curious, proactive, and comfortable with ambiguity in a fast\-paced environment.</t>
        </is>
      </c>
    </row>
    <row r="45">
      <c r="A45" t="inlineStr">
        <is>
          <t>li-4367009771</t>
        </is>
      </c>
      <c r="B45" t="inlineStr">
        <is>
          <t>AI Product Manager -  (Only on W2)</t>
        </is>
      </c>
      <c r="C45" t="inlineStr">
        <is>
          <t>Miracle Software Systems, Inc</t>
        </is>
      </c>
      <c r="D45" t="inlineStr">
        <is>
          <t>linkedin</t>
        </is>
      </c>
      <c r="E45" t="inlineStr"/>
      <c r="F45" t="inlineStr"/>
      <c r="G45" t="inlineStr">
        <is>
          <t>Dearborn, MI</t>
        </is>
      </c>
      <c r="H45" t="inlineStr"/>
      <c r="I45" t="inlineStr">
        <is>
          <t>We,
 **(Miracle Software Systems, Inc),** 
 are actively looking for
 **"** 
 AI Product Manager
 **"** 
 to work
 **\#Full\-Time / Contract on W2 with our Direct Client.** 
**\-\-\-\-\-\-\-\-\-\-\-\-\-\-\-\-\-\-\-\-\-\-\-\-\-\-\-\-\-\-\-\-\-\-\-\-\-\-\-\-\-\-\-\-\-\-\-\-\-\-\-\-\-\-\-\-\-\-\-\-\-\-\-\-\-\-\-\-\-\-\-\-\-\-\-\-\-\-\-\-\-\-\-\-\-\-\-\-\-\-\-\-\-\-\-\-\-\-\-\-\-\-\-\-\-\-\-\-\-\-\-\-\-\-\-\-\-\-\-\-\-\-\-\-\-\-\-\-\-\-\-\-\-\-\-\-\-\-** 
**Position Description:**
 As a Sales \&amp; Services AI Product Manager, you will lead the strategy, development and delivery of key AI products. Imagine and deliver the next generation of AI\-powered products that transform our business from reactive to predictive, personalized and seamless. Be at the forefront of the AI revolution to build intelligent solutions that enhance various touchpoints of the journey by anticipating needs, resolving issues instantly, build lasting loyalty while optimizing business operations.
**Product Strategy \&amp; Vision:**
* Develop and articulate the product vision working closely with business partners and product group leadership, aligning it with client's broader digital transformation goals. Products are focused on using AI to improve the effectiveness of the Sales \&amp; Services organization.
* Empathize and deeply understand your target audience and personas to define the right problem to solve with AI.
* Define and drive the product roadmap, ensuring it reflects the evolving needs of the business, technological advancements, and market trends.
* Prioritize product features and enhancements based on customer feedback, data\-driven insights, and business impact.
* Focus on Product Market Fit by maintaining a balance between business viability, user desirability and technical feasibility.
* Define quantitative and qualitative measures of success that drive value to client's core objectives.
**Stakeholder Management:**
* Collaborate with key stakeholders across various business units to understand their needs and translate them into product features.
* Manage relationships with product stakeholders, providing regular updates on progress, challenges, and opportunities.
* Act as a liaison between technical teams and business units, ensuring clear communication and alignment of goals.
* Champion an iterative development approach with our business partners, driving delivery of
* Minimum Viable Products and continuous improvement through careful and deliberate prioritization.
* Engage with your target audience in understanding their jobs to be done and needs leading to high quality product development.
**Development \&amp; Delivery:**
* Lead a cross\-functional product team (AI engineering, software engineering, design, data engineering, etc.) in the design, development, and deployment of the AI products.
* Collaborate with product group leaders to lead and adopt operational standards to streamline value delivery and maximize outcomes within rapidly moving enterprise\-level initiatives
* Work hands\-on with the development team to prioritize, plan and deliver AI solutions that deliver business outcomes.
* Ensure the solution is scalable, secure, and reliable.
* Drive the integration of AI/ML capabilities into customer and business facing applications.
* Collaborate with the product team to define specifications, requirements and acceptance criteria for deliverables
* Work with Product Designers to ensure timely delivery of designs and assets to the development team.
* Create assets to guide product development work (Discovery, Framing \&amp; Scoping
* Documents, PRDs, Journey Maps, opportunity trees, user stories)
* Maintain an actionable backlog of user stories for development team.
* Define, track and analyze key product metrics and KPIs to inform product strategy, prioritize features and drive continuous improvement and business outcomes
**User Experience \&amp; Adoption:**
* Design and implement user onboarding and training programs to increase adoption.
* Gather and analyze user feedback to continuously improve the solutions usability, performance, and feature set.
* Develop documentation, guides, and best practices to support users in effectively leveraging the solution for their needs.
* Conduct product experiments, user interviews and other validation techniques to gather feedback and product insights.
* Leverage analytical methods to understand and analyze user experience and adoption.
* Continuous Learning, Innovation \&amp; Contribution:
* Stay informed about the latest trends and technologies in AI and cloud computing to drive innovation.
* Encourage a culture of continuous improvement within the team, fostering innovation and experimentation to keep the solution at the forefront of industry standards.
* Actively participate in nurturing the Product Management Community of Practice
* Help innovate and iterate on agile PM processes and share learnings.
**Qualifications:**
* Bachelor's degree in Computer Science, Computer Engineering, Systems Engineering or
* related field or a combination of education and equivalent work experience.
* 5\+ years with progressive responsibilities in an agile software development environment.
* 3\+ years of experience as a Product Manager with responsibilities to include defining product
* vision, strategy, product roadmaps and building and managing backlogs and similar.
**Preferred
 :** 
* Master's Degree in Computer Science, Computer Engineering, Systems Engineering orrelated field or an MBA
* Leadership experience
* Experience collaborating directly with Agile software methodologies (Scrum, eXtreme Programming, Kanban)
* Skilled at defining and prioritizing product features.
* Strong leadership and communication skills and the ability to teach others.
* Ability to work collaboratively with others and navigate complex decision making.
* Ability to collaborate well with engineers, designers, and business partners.
* Previous success delivering a product to market with an Agile development team, and ongoing development and support of production applications.
* Curious about new technologies and a demonstrated history of continuous learing mindset.
* Practice in Lean/Lean Startup thinking, human\-centered product development and Agile Software development
* Have exposure to lightweight product development methods such as user story mapping and/ or rapid prototyping
**\-\-\-\-\-\-\-\-\-\-\-\-\-\-\-\-\-\-\-\-\-\-\-\-\-\-\-\-\-\-\-\-\-\-\-\-\-\-\-\-\-\-\-\-\-\-\-\-\-\-\-\-\-\-\-\-\-\-\-\-\-\-\-\-\-\-\-\-\-\-\-\-\-\-\-\-\-\-\-\-\-\-\-\-\-\-\-\-\-\-\-\-\-\-\-\-\-\-\-\-\-\-\-\-\-\-\-\-\-\-\-\-\-\-\-\-\-\-\-\-\-\-\-\-\-\-\-\-\-\-\-\-\-\-\-\-\-\-** 
**About Miracle Software Systems:** 
 Miracle Software Systems, Inc. is Premier Partner of IBM and a National Implementation Partner of SAP since 1998\. Been in business for the last 30 years specializing on SAP Implementations, SOA / EAI / B2B Technologies. We are also a reseller of IBM Software Products. We are a Global Systems Integrator with Presence in 6 Countries. We also have a Large Offshore Facility located in India. We specialize on BPM tools like IBM Lombardi / BPM7\.5 and also have a large Sterling Commerce Practice. We also have a large E\-Commerce Practice based on IBM Portals / WebSphere Commerce Server. Miracle B2B Practice has been built on WTX / Gentran / Data Power / WPG / Trading Manager / Sterling GIS and other leading Products in the Market. We are based out of Novi, Michigan.
**If interested please send your updated resume and details to \#pcheedi@miraclesoft.com** 
 or call me at
 **\#248\-233\-3625** 
 .</t>
        </is>
      </c>
    </row>
    <row r="46">
      <c r="A46" t="inlineStr">
        <is>
          <t>li-4367318187</t>
        </is>
      </c>
      <c r="B46" t="inlineStr">
        <is>
          <t>Sr Product Manager - Monetization (Wizard of Oz Slots)</t>
        </is>
      </c>
      <c r="C46" t="inlineStr">
        <is>
          <t>Zynga</t>
        </is>
      </c>
      <c r="D46" t="inlineStr">
        <is>
          <t>linkedin</t>
        </is>
      </c>
      <c r="E46" t="inlineStr"/>
      <c r="F46" t="inlineStr"/>
      <c r="G46" t="inlineStr">
        <is>
          <t>Austin, TX</t>
        </is>
      </c>
      <c r="H46" t="inlineStr"/>
      <c r="I46"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As a Product Manager \- Monetization (Live Ops) at Zynga, you will be responsible for implementing the best monetization strategies and delivering a segmented user experience aligned with the overall strategy of our games. You will operate autonomously within the studio, collaborating closely with the entire game team, particularly the Product, Creative, and Analytics teams. You get to decide what our players see every day and make decisions that will affect millions of them.
**What You'll Do**
* Contribute to the development of the game monetization strategy and its implementation by analyzing relevant data, player behavior, and engagement.
* Be accountable for the revenue of the game(s)/area(s) covered, in line with strategic growth plans.
* Propose, design, and lead corrective actions to ensure sustainable revenue growth.
* Collaborate with Product and Game Economy teams to determine the best revenue generation methods based on user segmentation.
* Provide guidance on monetization\-related queries from team members and stakeholders.
* Design and act as Product Owner of new Live Ops events and features utilizing data driven insights and hypotheses.
* Assist in planning monetization events, including special sales and limited\-time offers, to maximise player monetization opportunities. Utilise A/B testing in decision making.
* Configure in\-game events and champion improvements in tools for enhancing Live Operations efficiency.
* Undertake projects aimed at improving the availability of data, player insights, and market insights, and ensure these insights are shared effectively across the studio.
* Benchmark and analyze Live Ops best practices in the industry.
**What You Bring**
* 4\+ years of experience in mobile/freemium games, with a focus on Live Operations, Monetization, Product Management, or data analytics.
* Strong analytical and logical thinking skills, with a user\-centric and data\-driven approach. Conducting and analysing A/B tests.
* Ability to work collaboratively and with an open\-minded, self\-motivated attitude. Collaborate with multiple disciplines to achieve a common goal.
* Creative, out of the box thinker. Able to understand how players think and intrigued by it.
* Excellent interpersonal and communication skills, with the ability to collaborate effectively across teams, departments, and diverse cultures, languages, work styles, and personalities.
* Strong communication skills, with fluency in both written and spoken English.
**What We Offer**
 Zynga offers a world\-class benefits package that helps support and balance the needs of our teams. To find out more about our benefits, visit the Zynga Benefits site
*The pay range for this position in California at the start of employment is expected to be between $108,900 and $161,160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pay range for this position in Toronto at the start of employment is expected to be between $96,400 and $142,660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47">
      <c r="A47" t="inlineStr">
        <is>
          <t>li-4356645777</t>
        </is>
      </c>
      <c r="B47" t="inlineStr">
        <is>
          <t>Product Manager with Automobile Manufacturing (Sales Service &amp; Field Service)</t>
        </is>
      </c>
      <c r="C47" t="inlineStr">
        <is>
          <t>Triunity Software, Inc.</t>
        </is>
      </c>
      <c r="D47" t="inlineStr">
        <is>
          <t>linkedin</t>
        </is>
      </c>
      <c r="E47" t="inlineStr"/>
      <c r="F47" t="inlineStr"/>
      <c r="G47" t="inlineStr"/>
      <c r="H47" t="inlineStr"/>
      <c r="I47" t="inlineStr">
        <is>
          <t>Job Description
**Role Overview** 
 As a
 **Product Manager – Field Service \&amp; AI Innovation** 
 , you will play a central role in defining and delivering our roadmap. You’ll collaborate with engineering, design, sales, and customer success to identify high\-value problems in the service lifecycle and deliver solutions that are
 **AI\-native, scalable, and loved by users** 
 .
 This is both a
 **builder** 
 and a
 **visionary** 
 role: someone who thrives on understanding customer pain points, shaping the product strategy, and learning from industry best practices.
**Qualifications** 
* **3–8\+ years of product management experience** 
 , ideally in
 **Field Service Management, Service Lifecycle Management, or Aftermarket Solutions** 
 .
* Exposure to
 **AI/ML applications in enterprise software** 
 (e.g., optimization, recommendation systems, conversational AI).
* Strong understanding of
 **FSM workflows** 
 : scheduling/dispatch, mobile technician enablement, service contracts, parts \&amp; warranty.
* Excellent skills in
 **roadmap planning, stakeholder alignment, and customer discovery** 
 .
* A balance of
 **strategic vision and execution detail** 
 —you can zoom out and zoom in with ease.
* Strong communicator who can influence cross\-functional teams and industry stakeholders.
 Roles \&amp; Responsibilities
**Responsibilities** 
* Own the
 **product strategy and roadmap** 
 for AI\-driven field service capabilities.
* Identify and prioritize
 **high\-impact AI use cases** 
 across technician experience, scheduling optimization, predictive maintenance, knowledge management, and customer engagement.
* Work closely with engineering and data science to
 **translate AI/ML capabilities into practical workflows** 
 .
* Partner with customers, prospects, and industry leaders to gather insights and validate ideas.
* Define clear
 **KPIs and success metrics** 
 (adoption, efficiency gains, cost savings).
* Stay ahead of the market—analyze competitors, trends, and evolving AI capabilities in FSM.
* Contribute to thought leadership (blogs, events, webinars) to position the product as a category leader.</t>
        </is>
      </c>
    </row>
    <row r="48">
      <c r="A48" t="inlineStr">
        <is>
          <t>li-4367324604</t>
        </is>
      </c>
      <c r="B48" t="inlineStr">
        <is>
          <t>Senior Product Manager, OTA CX Analytics</t>
        </is>
      </c>
      <c r="C48" t="inlineStr">
        <is>
          <t>General Motors</t>
        </is>
      </c>
      <c r="D48" t="inlineStr">
        <is>
          <t>linkedin</t>
        </is>
      </c>
      <c r="E48" t="inlineStr"/>
      <c r="F48" t="inlineStr"/>
      <c r="G48" t="inlineStr">
        <is>
          <t>Warren, MI</t>
        </is>
      </c>
      <c r="H48" t="inlineStr"/>
      <c r="I48"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Senior Product Manager responsible for OTA CX Analytics you will lead several transformative initiatives in our analytics ecosystem: building dashboards that surface the customer experience of over\-the\-air (OTA) software updates. While our current analytics emphasize operational metrics like completion rates and system efficiency, they fall short in capturing how customers engage with and perceive these updates.
 As the complexity and frequency of OTA updates grow, this blind spot poses increasing risk—limiting our ability to detect friction, respond to feedback, and make customer\-informed decisions. This role will close that gap by designing and delivering experience\-focused dashboards that provide a holistic, actionable view of how updates are performing from the customer’s perspective.
**What You’ll Do**
* Define and execute the product strategy for customer experience analytics related to OTA software updates.
* Lead the development of dashboards that surface user\-centric metrics such as engagement, sentiment, friction points, and satisfaction.
* Collaborate with data engineering, UX research, customer support, and vehicle software teams to integrate diverse data sources into a unified experience view.
* Translate customer feedback and behavioral data into actionable insights for product, engineering, and operations teams.
* Establish KPIs and success metrics that reflect real\-world customer impact, not just technical success.
* Champion a culture of customer empathy and data\-driven decision\-making across the OTA ecosystem.
* Present findings and recommendations to senior leadership to influence roadmap and prioritization.
**Your Skills \&amp; Abilities (Required Qualifications)**
* Bachelor’s degree in Engineering, Computer Science, or a related technical field (or equivalent experience)
* 5\+ years of product management experience
* Proven ability to define product strategy and drive cross\-functional execution.
* Strong analytical and communication skills; adept at influencing technical and business stakeholders.
* Exceptional relationship\-building and stakeholder management skills.
* Experience working with executive leadership and functional teams to drive innovation and adoption.
**What Will Give You a Competitive Advantage (Preferred Qualifications)**
* Master’s degree in a relevant field (MBA, Computer Science, AI, or related discipline).
* Background in automotive, manufacturing, or large\-scale industrial software environments.
**Hybrid:** 
 This role is categorized as hybrid. This means the successful candidate is expected to report to the office three times per week, at minimum. This position will be located at: Cole Engineering Center in Warren, MI, Austin IT Innovation Center, or Mountain View Technical Center.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9">
      <c r="A49" t="inlineStr">
        <is>
          <t>li-4367001207</t>
        </is>
      </c>
      <c r="B49" t="inlineStr">
        <is>
          <t>Product Manager, Agent AI, gUP</t>
        </is>
      </c>
      <c r="C49" t="inlineStr">
        <is>
          <t>Google</t>
        </is>
      </c>
      <c r="D49" t="inlineStr">
        <is>
          <t>linkedin</t>
        </is>
      </c>
      <c r="E49" t="inlineStr"/>
      <c r="F49" t="inlineStr"/>
      <c r="G49" t="inlineStr">
        <is>
          <t>Pittsburgh, PA</t>
        </is>
      </c>
      <c r="H49" t="inlineStr"/>
      <c r="I49" t="inlineStr">
        <is>
          <t>The application window will be open until at least February 5th,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Boulder, CO, USA; Irvine, CA, USA; Pittsburgh, PA, USA; San Francisco, CA, USA** 
 .
 **Minimum qualifications:**
* Bachelor's degree or equivalent practical experience.
* 5 years of experience in product management or related technical roles.
* 2 years of experience taking technical products from conception to launch (e.g., ideation to execution, end\-to\-end, 0 to 1, etc).
* Experience working with Generative AI or Agentic AI products.
**Preferred qualifications:**
* Experience working closely with engineering to understand infrastructure design and tradeoffs.
* Experience turning broad, ambiguous problems into clear, well\-structured projects.
* Ability to define metrics, analyze experiments, generate insights, and communicate results to the wider organization.
* Ability to collaborate with complex, cross\-functional teams on high\-velocity projects.
* Excellent communication skills including presenting regularly to executive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gUP TSI, you will help drive the next generation of agent tooling capabilities, leveraging AI to advance how we enable the human agents to deliver exceptional support. You will be responsible for gathering requirements, writing clear specifications, conducting data analysis to understand agent and user behavior, and coordinating with cross\-functional teams to ensure new features and capabilities are delivered effectively to address user needs and contribute to business objectives. You will need to have experience with Generative AI, are comfortable with ambiguity and address tough problems, and have experience building capabilities from scratch.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product development lifecycle for specific features or components, from requirements gathering to launch and post\-launch analysis.
* Conduct user and agent research, analyze behavior, and leverage data to identify pain points and opportunities, ensure features meet user needs and business objectives.
* Define clear and concise product requirements, user stories, and acceptance criteria. Prioritize features and backlog items based on impact and feasibility.
* Partner closely with Engineering, UX, Research, and Operations teams to ensure alignment, clear communication, and smooth execution throughout the product development process.
* Define key success metrics for your features, monitor performance, and iterate based on data to improve user outcomes and achieve product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0">
      <c r="A50" t="inlineStr">
        <is>
          <t>li-4367007461</t>
        </is>
      </c>
      <c r="B50" t="inlineStr">
        <is>
          <t>Product Manager - Utility Bedding</t>
        </is>
      </c>
      <c r="C50" t="inlineStr">
        <is>
          <t>Fourth Floor</t>
        </is>
      </c>
      <c r="D50" t="inlineStr">
        <is>
          <t>linkedin</t>
        </is>
      </c>
      <c r="E50" t="inlineStr"/>
      <c r="F50" t="inlineStr"/>
      <c r="G50" t="inlineStr"/>
      <c r="H50" t="inlineStr"/>
      <c r="I50" t="inlineStr">
        <is>
          <t>A client of ours is looking for a product manager for their utility bedding division.
**Overview** 
* Owns end\-to\-end product development for utility bedding categories (e.g., protectors, toppers, pillows)
* Drives product strategy aligned with brand, sales, and margin goals
* Acts as a central partner across design, sales, vendors, packaging, and compliance
**Key Responsibilities** 
* Lead product development from concept through launch
* Manage category performance, including sales and margin targets
* Partner cross\-functionally to deliver on product calendars and launches
* Analyze competitive landscape and identify growth opportunities
* Collaborate with vendors on sourcing, costing, and production
* Support buyer meetings and key account presentations
**Qualifications** 
* 5\+ years of product management or buying experience
* Strong understanding of retail cycles and product development
* Highly organized, proactive, and comfortable in a fast\-paced environment
* Strong communication and cross\-functional collaboration skills
**Compensation** 
* Competitive base salary
* Bonus potential
* Comprehensive benefits package
 Please submit your resume for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t>
        </is>
      </c>
    </row>
    <row r="51">
      <c r="A51" t="inlineStr">
        <is>
          <t>li-4356636679</t>
        </is>
      </c>
      <c r="B51" t="inlineStr">
        <is>
          <t>Principal Product Manager, LogIn</t>
        </is>
      </c>
      <c r="C51" t="inlineStr">
        <is>
          <t>Okta</t>
        </is>
      </c>
      <c r="D51" t="inlineStr">
        <is>
          <t>linkedin</t>
        </is>
      </c>
      <c r="E51" t="inlineStr"/>
      <c r="F51" t="inlineStr"/>
      <c r="G51" t="inlineStr">
        <is>
          <t>Chicago, IL</t>
        </is>
      </c>
      <c r="H51" t="inlineStr"/>
      <c r="I51"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Background
 As the Principal Product Manager for Login, you will own the "front door" for hundreds of millions of users accessing thousands of global products and services. The Login team at Auth0 provides highly secure, customizable, and performant hosted login authentication, enabling billions of successful logins for end\-users around the world.
 This is a high\-impact, high\-visibility role. You will be responsible for defining the future of the hosted login experience—defining secure\-by\-design authentication flows that empower customers to offer the low\-friction UX that modern brands demand. You aren't just building a login box; you are building flexible, secure, and seamless access to products and services offered by the worlds biggest and most recognizable brands.
 Role overview
 We need an experienced, technical product manager to direct the evolution of Universal Login and supporting capabilities to yield measurable business outcomes.
 The Principal Product Manager in this role will translate high\-level, strategic direction into actionable requirements and user stories. They will work with stakeholders to deliver rapid, incremental customer value aligned with a north star vision for providing world\-class authentication methods. They will actively negotiate scope to maintain momentum, balance technical innovation with customer requests, and ensure exceptional standards of quality.
 The Principal Product Manager will not merely execute a roadmap, but will architect long\-term plans and define a vision for the future of Login. This is a leadership role, requiring effective collaboration with product, engineering, design, executive leadership, and customers. The product manager will partner with marketing, documentation, design, and other teams to bring new capabilities to market. More details in the candidate shape / job description.
 Must Have
* Developer awareness/experience \- Our primary personas are developers. The PM must understand developer needs first\-hand; especially as many capabilities are exposed via Actions (experience with Node.js is a huge plus).
* Familiarity with Identity, Login and Multi\-Factor Authentication patterns, products, and concepts
* Leadership qualities \- A PM is a leadership role and and the PM is expected to exhibit initiative, discretion, calm amidst stress, and be able to represent their work up and across the organization
* Strong desire to learn \- Auth0 is a large, complex product and the PM has to invest the time to learn how MFA/authentication methods work across the product; both from a customer perspective and in terms of dependencies/interactivity
 Nice To Have:
* Experience implementing CIC/Auth0
* Previous employment in identity, security, or adjacent companies
 P\-3290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$220,000—$302,500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52">
      <c r="A52" t="inlineStr">
        <is>
          <t>li-4338316327</t>
        </is>
      </c>
      <c r="B52" t="inlineStr">
        <is>
          <t>Senior Product Manager, Skyflow Secure Workflows</t>
        </is>
      </c>
      <c r="C52" t="inlineStr">
        <is>
          <t>Skyflow</t>
        </is>
      </c>
      <c r="D52" t="inlineStr">
        <is>
          <t>linkedin</t>
        </is>
      </c>
      <c r="E52" t="inlineStr"/>
      <c r="F52" t="inlineStr"/>
      <c r="G52" t="inlineStr"/>
      <c r="H52" t="inlineStr"/>
      <c r="I52" t="inlineStr">
        <is>
          <t>Skyflow is a data privacy vault company built to radically simplify how companies isolate, protect, and govern their customers’ most sensitive data. With its global network of data privacy vaults, Skyflow is also a comprehensive solution for companies around the world looking to meet complex data localization requirements. Skyflow currently supports a diverse customer base that spans verticals like fintech, retail, travel, and healthtech.
 Skyflow is headquartered in Palo Alto, California and was founded in 2019\. For more information, visit www.skyflow.com or follow on X and LinkedIn.
**About The Role**
 Secure Workflows is at the heart of Skyflow’s integration strategy. It defines how customers connect Skyflow to the rest of their ecosystem—through APIs, batch pipelines, webhooks, triggers, and event\-based notifications. It’s how we make data protection effortless for developers, while keeping compliance airtight.
 As the Product Manager for Secure Workflows, you’ll own the vision, strategy, and execution for this critical product area. You’ll help define how developers and partners interact with Skyflow, and ensure every data movement is secure, compliant, and beautifully simple.
**What You’ll Do**
* Lead the vision and roadmap for Secure Workflows, shaping the way customers integrate with Skyflow especially across their Agentic AI architectures and workflow
* Collaborate closely with engineering and design to build scalable, reliable features that power data movement at global scale.
* Enable first\-class support for unstructured data flowing into AI workflows, AI and agent\-native workflows in close partnership with adjacent product areas.
* Partner with customers and technology partners to expand Skyflow’s ecosystem and build frictionless integrated experiences.
* Translate Skyflow’s privacy mission into a cohesive product strategy turning customer insights, feedback, and data into clear execution plans.
* Work cross\-functionally to drive outcomes, prioritize effectively, and bring clarity in an evolving, fast\-paced environment.
* Define success metrics and iterate relentlessly to improve developer experience and platform adoption.
* Partner closely with engineering and design to deliver scalable, reliable, enterprise\-grade workflow orchestration (e.g., triggers, conditional execution, containerized steps, simplified connections).
* Work with customers, ISVs, and technology partners to validate real\-world workflows and ensure extensibility across ecosystems.
* Collaborate cross\-functionally with Solutions, CX, and GTM teams to ensure workflows are operable, supportable, and adoptable at scale.
 What You’ll Bring
* 3\+ years of technical product management experience, ideally in developer\-facing, integration or platform products.
* 2\+ years of experience working on SaaS platforms in security, privacy, or data infrastructure.
* Familiarity with AI or agent\-based systems (e.g., tool invocation, orchestration, MCP\-style patterns) you don’t need to be an ML expert, but you understand how AI systems operate in production
* Experience collaborating with partners and customers to design scalable solutions. Strong communication skills you can explain complex systems in simple, human terms.
* A bias for action, with the ability to execute and adapt in an ambiguous environment.
* Comfort operating in ambiguity and making progress in fast\-evolving technical domains.
**Benefits**
* Work from home expense (U.S., Canada, and Australia)
* Excellent Health, Dental, and Vision Insurance Options (Varies by Country)
* Vanguard 401k
* Flexible Paid Time Off (Unlimited)
* Generous Equity
 At Skyflow, we believe that diverse teams are the strongest teams. We invite applicants of all genders, races, ethnicities, nationalities, ages, religions, sexual orientations, disability statuses, educational experiences, family situations, and socio\-economic backgrounds.</t>
        </is>
      </c>
    </row>
    <row r="53">
      <c r="A53" t="inlineStr">
        <is>
          <t>li-4367317041</t>
        </is>
      </c>
      <c r="B53" t="inlineStr">
        <is>
          <t>Product Owner</t>
        </is>
      </c>
      <c r="C53" t="inlineStr">
        <is>
          <t>O'Reilly Auto Parts</t>
        </is>
      </c>
      <c r="D53" t="inlineStr">
        <is>
          <t>linkedin</t>
        </is>
      </c>
      <c r="E53" t="inlineStr"/>
      <c r="F53" t="inlineStr"/>
      <c r="G53" t="inlineStr">
        <is>
          <t>Springfield, MO</t>
        </is>
      </c>
      <c r="H53" t="inlineStr"/>
      <c r="I53" t="inlineStr">
        <is>
          <t>The
 **Product Owner** 
 manages Scrum teams to transfer the project/product vision to design, development, and delivery. Guide the team through the product backlog toward building the right product, considering the vision, planning, and budgets of the business, customers, or use.
**This is an on site position located in Springfield, MO.**
**Responsibilities And Duties**
* Take responsibility for all aspects of a life cycle of a product or set of products, including long\- and short\-term development and marketing. Stay abreast of trends in the marketplace to ensure the product's competitive position.
* Analyze and evaluate the feasibility and relevance of proposed complex products and services and develop and amend, as necessary, with guidance from senior colleagues. May also be responsible for supervising activities performed by a product development or specialist team.
* Evaluate the feasibility/relevance of proposed solutions, working in cross\-functional or agile teams to develop and deliver significant aspects of the development program.
* Research data from digital product/service performance, customer behavior, and market trends to identify opportunities for product/service improvement.
* Execute the development plan for a new product or service, managing project schedules, identifying risks, and communicating to project stakeholders.
* Plan and re\-plan software releases for medium\-sized projects as they are produced to ensure timely updates and to deliver the planned benefits as early as possible in the project or program.
* Review the backlog of work for a medium\-sized project and reprioritize the work and the deployment of project resources to reduce costs and increase the value of the work delivered to the business.
* Explore and develop a detailed understanding of external developments or emerging issues and contribute to the evaluation of their potential impact on, or usefulness to, the organization.
* Deliver baseline assessments and post\-implementation analyses to evaluate and track the realization of business benefits.
* Contribute to and maintain a roadmap to facilitate application software development and ensure the development work is prioritized in line with business requirements.
* Demonstrate the most valuable features/attributes of the product/service; lead a team of demo specialists to bring the highest value to customers during demonstrations.
*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in\-depth understanding of technology, external regulation, and industry best practices through ongoing education, attending conferences, and reading specialist media.
**Skills**
**Required:**
* Manages and develops all aspects of a product or service to ensure it achieves its full impact and value in the market.
* Oversees and manages all stages of a product's lifecycle, from ideation to retirement, ensuring efficient processes, timely delivery, and adherence to quality standards.
* Operates as a recognized expert to plan, organize, prioritize and oversee activities to efficiently meet objectives.
* Communicates and articulates potential resolutions or strategies in a clear, compelling, and tailored manner to address specific challenges or meet organizational needs.
* Analyzes and researches market conditions and facts in order to develop a full and comprehensive understanding of the market to enable it to be utilized for the benefit of the organization.
* Determines and analyzes trends from data that is collected to assist in compiling reports that will help in decision\-making.
* Identifies potential stakeholders, analyzes their expectations, and develops strategies for managing stakeholders and their expectations.
* Identifies, sequences, and resources project schedules for timely completion.
* Plans, identifies, monitors, analyzes, and prioritizes risks (threats and opportunities), creates response plans, and manages the risk if it occurs.
* Identifies, verifies, and manages changes to the scope of the project or program, utilizing the most appropriate approach.
* Identifies appropriate measures for assessing solution performance and limitations, validates with key stakeholders, and collects appropriate performance measures to assess overall solution performance to recommend specific actions to increase solution value.
* Identifies, tracks, and enables the achievement of the planned benefits and intended outcomes of a program and associated projects.
* Develops an effective change strategy based on gap analyses and enterprise readiness assessment results, including transitions states and release plans.
 Education: Bachelor's Degree or Equivalent Level
 Experience: Experienced practitioner able to deal with the majority of situations and to advise others (3 to 6 years)
 Managerial Experience: Experience supervising and directing team members and utilizing resources to achieve specific end results within limited timeframes (1 to 3 years)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
*Qualified individuals with a disability may be entitled to reasonable accommodation under the Americans with Disabilities Act. If you require a reasonable accommodation during the application or employment process, please send an email to:* 
*rar@oreillyauto.com* 
*or call (800\) 471\-7431 option , and provide your requested accommodation, and position details.*</t>
        </is>
      </c>
    </row>
    <row r="54">
      <c r="A54" t="inlineStr">
        <is>
          <t>li-4366894557</t>
        </is>
      </c>
      <c r="B54" t="inlineStr">
        <is>
          <t>Senior Product Manager, Help Guide, gUP</t>
        </is>
      </c>
      <c r="C54" t="inlineStr">
        <is>
          <t>Google</t>
        </is>
      </c>
      <c r="D54" t="inlineStr">
        <is>
          <t>linkedin</t>
        </is>
      </c>
      <c r="E54" t="inlineStr"/>
      <c r="F54" t="inlineStr"/>
      <c r="G54" t="inlineStr">
        <is>
          <t>Sunnyvale, CA</t>
        </is>
      </c>
      <c r="H54" t="inlineStr"/>
      <c r="I54"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8 years of experience in product management or related technical roles.
* 3 years of experience taking technical products from conception to launch (e.g., ideation to execution, end\-to\-end, 0 to 1, etc).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Help Guide’s horizontal capabilities, gathering requirements, writing clear specifications, conducting data analysis to understand user and system behavior, and coordinating with cross\-functional teams to ensure new features and capabilities are delivered effectively to meet business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advocate the Help Guide platform goal, strategy, and multi\-year roadmap.
* Drive the full product life\-cycle, from ideation to launch and iteration, collaborating closely with Engineering, UX, Product Management, and Analytics to deliver impactful solutions.
* Define and analyze key metrics to measure success, make informed product decisions, and develop strategies to improve user engagement, satisfaction, and support outcomes.
* Lead and influence local and cross\-functional partners to ensure alignment and delivery. Mentor junior PMs, fostering product craft and team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li-4367004979</t>
        </is>
      </c>
      <c r="B55" t="inlineStr">
        <is>
          <t>Product Manager (Korean Bilingual)</t>
        </is>
      </c>
      <c r="C55" t="inlineStr">
        <is>
          <t>Daesang America Inc</t>
        </is>
      </c>
      <c r="D55" t="inlineStr">
        <is>
          <t>linkedin</t>
        </is>
      </c>
      <c r="E55" t="inlineStr"/>
      <c r="F55" t="inlineStr"/>
      <c r="G55" t="inlineStr">
        <is>
          <t>City of Industry, CA</t>
        </is>
      </c>
      <c r="H55" t="inlineStr"/>
      <c r="I55" t="inlineStr">
        <is>
          <t>**About Daesang Corporation** 
 Daesang Corporation was founded in 1956 in South Korea and has since grown to become one of the world's leading producers of consumer food products Daesang boasts about 40 sales and manufacturing subsidiaries in South Korea, United States, Europe, Japan, Hong Kong, China, Indonesia, and Vietnam Daesang’s Jongga and Chung Jung One brands are brands of Korean Food in South Korea as well as in the US We have an ambitious goal to bring authentic and delicious Korean foods to prominence in the US
**About Daesang America** 
 Daesang America is the US branch of Daesang Corporation Daesang America is committed to marketing and distributing food and ingredient products in the US market The company’s major clients are American retailers such as Walmart, Costco, Trader Joe's, Kroger, Safeway, H Mart, and other markets It currently operates two offices, one in New Jersey as its headquarters office and the other in California as our west office
**Job Responsibilities:**
 • Work with cross\-functional team on developing product from conceptualization to commercialization across all categories.
 • Conduct competitive analysis and research industry trends for product development direction.
 • Analyze current and future product lines profitability/viability, provide reports and make recommendations to the leadership.
 • Assist with developing and executing short\-term NPD pipeline to drive long\-term brand objectives and business goals.
 • Support go\-to\-market plan and ensure successful launch execution.
 • Track effectiveness of product launch campaigns/programs and reporting findings/insights to the relevant business teams.
 • Develop trade promotion materials including trade shows, brand related events.
 • Manage all product specs and sales information, such as sell sheets, brochures, and etc.
**Skills/Qualifications:**
 • Bachelor’s Degree required, preferably in Marketing or related field
 • 3\+ years of experience in CPG brand marketing experience is essential
 • Proven history of marketing, strategy and planning, as well as new product development
 • Excellent time management, attention to details, and project prioritization skills
 • Ability to analyze data and transform into meaning insights is a plus
 • Influencing skills and team player; able to manage and motivate people
 • Strong project management skills and proficient with Microsoft Office (Word, Excel, PowerPoint)
 • Bilingual is Korean is preferred but not required.
**Location:** 
  CA 
**Benefits** 
 • Paid holidays
 • Vacation and Sick days
 • Full Insurance (Health, Dental, Vision \&amp; Life)
 • Retirement Plan
 • Phone Allowances
 • Lunch Allowances
 • Team lunch expense
**Salary Range:** 
  $70,000 \~ $100,000</t>
        </is>
      </c>
    </row>
    <row r="56">
      <c r="A56" t="inlineStr">
        <is>
          <t>li-4356476972</t>
        </is>
      </c>
      <c r="B56" t="inlineStr">
        <is>
          <t>Staff Product Manager, Vision</t>
        </is>
      </c>
      <c r="C56" t="inlineStr">
        <is>
          <t>Motive</t>
        </is>
      </c>
      <c r="D56" t="inlineStr">
        <is>
          <t>linkedin</t>
        </is>
      </c>
      <c r="E56" t="inlineStr"/>
      <c r="F56" t="inlineStr"/>
      <c r="G56" t="inlineStr"/>
      <c r="H56" t="inlineStr"/>
      <c r="I56"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We are not solving a small problem, and we’re not addressing a small market. We are addressing significant issues faced by trillion\-dollar industries that power the physical economy, including logistics, transportation, food \&amp; beverage, HVAC, construction, and oil \&amp; gas. These businesses continue to be the lifelines of our economy. The opportunity here is enormous, and you will have a massive impact.
 We are seeking an experienced product manager to join our Product team, where you will be owning a suite of integrated, intelligent solutions for operators, fleets and partners. The role demands technical depth, principled thinking, a high bar for quality, structured communication, bold innovation, and a mentality of starting with the customer and working backwards. You will work alongside a star team from engineering, data science, computer vision, research \&amp; design, marketing, operations, legal, sales \&amp; customer success in a fast\-paced, rapidly growing, technology environment to build intelligent experiences and drive ROI\-positive impact for customers.
 This role in particular requires a unique combination of strategic insight, technical acumen, and execution leadership to launch entirely new product lines for Motive.
**What You’ll Do**
* Develop new AI products that solve hard operational challenges across diverse verticals (e.g., waste services, construction, field services), driving the product line from conception to successful market launch (0\-to\-1\)
* Own the entire product lifecycle, defining the long\-term vision, strategy, and roadmap
* Conduct deep market and customer surveys to identify high\-value, unmet operational needs uniquely solvable by Motive’s AI development capabilities
* Define clear, actionable product requirements for AI models, edge hardware integration, and software features, managing trade\-offs with Engineering and AI teams.
* Lead the GTM strategy in partnership with Sales, Marketing, and Customer Success, developing positioning, pricing, and enablement materials necessary for rapid market adoption.
* Act as the primary voice of the customer and the market, deeply engaging with early adopter customers to validate prototypes, gather feedback, and ensure strong product\-market fit.
* Cultivate a high\-performing, collaborative team environment across Engineering, AI R\&amp;D, Design, and Operations, motivating and influencing teams without direct reporting authority to deliver exceptional results.
* Define and track key product and business metrics (e.g., model precision, recall, adoption rate, revenue) to measure the success of the new product line and inform subsequent investment decisions.
**What We’re Looking For**
* 7\+ years of experience with Product Management
* High customer empathy, with a desire to get in the shoes of our customers
* Have high “EQ”; be even\-keeled, flexible, and able to quickly adapt to unexpected changes
* Proven experience in delivering commercially successful software products
* Be data\-driven; you regularly seek out and use hard data and metrics to back up assumptions and opinions
* You are comfortable and confident sharing your thoughts in verbal or written form. You can engage constructively in debate and discussion with different personality types and seniority levels.
* You are a trailblazer who is humble, kind, and open to learning new stuff. You can take a stand yet commit even when you disagree. You have a strong bias to action (aka hustle) and are not afraid to get your hands dirty.
* Have enough technical knowledge to enough to gain the respect of engineers
* Experience working effectively with remote/offshore teams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$180,000—$240,000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57">
      <c r="A57" t="inlineStr">
        <is>
          <t>li-4367008080</t>
        </is>
      </c>
      <c r="B57" t="inlineStr">
        <is>
          <t>Growth Product Manager, Consumer</t>
        </is>
      </c>
      <c r="C57" t="inlineStr">
        <is>
          <t>Mill</t>
        </is>
      </c>
      <c r="D57" t="inlineStr">
        <is>
          <t>linkedin</t>
        </is>
      </c>
      <c r="E57" t="inlineStr"/>
      <c r="F57" t="inlineStr"/>
      <c r="G57" t="inlineStr">
        <is>
          <t>San Bruno, CA</t>
        </is>
      </c>
      <c r="H57" t="inlineStr"/>
      <c r="I57" t="inlineStr">
        <is>
          <t>Mill is a waste prevention technology company reimagining what it means to eliminate waste, starting with food. We build smart systems and infrastructure for homes, businesses, and municipalities that transform food scraps from landfill\-bound waste into valuable resources, including chicken feed. Tens of thousands of Mil’s residential food recyclers are already helping households divert millions of pounds of food scraps every year, paving the way for our upcoming launch of Mill Commercial—the industry’s first end\-to\-end solution for managing, understanding, and preventing food waste in commercial environments (e.g. grocery, restaurants, food services). At Mill, we are passionate about building easy\-to\-use, beautifully designed technologies that keep food in the food system and out of landfills.
 In this role you will lead growth initiatives across Mill's consumer product experience, driving sustainable revenue growth and customer lifetime value through strategic experimentation, product optimization, and data\-driven decision making. You'll own key growth levers including pricing strategy, conversion optimization, and new feature adoption. You'll partner closely with Product, Marketing, Engineering, Finance, and Operations to identify opportunities, run experiments, and scale what works across the customer journey.
**Key Responsibilities**
* Own Mill's growth roadmap across acquisition and merchandising, identifying and prioritizing the highest\-impact opportunities to drive customer growth and revenue.
* Develop and optimize pricing strategy across core products, accessories, and add\-ons
* Test new pricing models, bundles, and offers to increase customer adoption and satisfaction.
* Analyze customer behavior to inform pricing decisions and identify new monetization opportunities.
* Drive conversion rate optimization across key user flows (signup, checkout, feature adoption).
* Own activation and onboarding experiences that help customers realize value quickly
* Partner with Product and Engineering to build and optimize growth features and experiments.
* Stay close to competitive benchmarks, customer insights, and market data to ensure Mill’s offerings remain compelling and differentiated.
* Drive program intake, business case refinement, and launch scoping to ensure each initiative is clearly defined, well\-resourced, and sequenced effectively.
* Lead end\-to\-end program management to ensure merchandising initiatives are executed seamlessly across the entire customer journey — from marketing and checkout through retention.
* Partner with cross\-functional leads to ensure roadmaps are prioritized and sequenced to maximize revenue, improve attach, and strengthen Mill’s overall business performance.
**About You**
* You have 5\+ years of experience in growth product management, growth analytics, or product management with a focus on growth. Experience in consumer hardware, DTC, or subscription\-based businesses is a strong plus.
* You're equally comfortable working on acquisition, activation and merchandising \- and understand how they connect.
* You design rigorous experiments, learn quickly from results, and scale what works. You're comfortable with both wins and failures.
* You dig deep into data, build models, and use insights to drive decisions. SQL and analytics tools are second nature to you.
* You think about growth through a product lens \- building features and experiences, not just running campaigns.
* You understand second\-order effects and how changes in one part of the funnel impact the whole customer journey.
* You love talking to customers, understanding their needs, and using those insights to drive outcomes.
* You build alignment across disciplines and know how to influence without authority.
* You've developed or optimized pricing strategies and understand how pricing impacts customer perception, conversion, and retention.
* You care deeply about Mill's mission to reduce waste and make sustainable living simple and joyful.
* You're highly organized, proactive, and detail\-oriented with strong communication skills.
**This role is based out of our San Bruno location and in\-office 2 days/week.**
*The estimated base salary range for this position is $195k to $245k, which does not include any benefits or equity. Various factors are considered in making compensation decisions, including but not limited to experience, training, licensure and certifications, and business and organizational needs.*</t>
        </is>
      </c>
    </row>
    <row r="58">
      <c r="A58" t="inlineStr">
        <is>
          <t>li-4329655349</t>
        </is>
      </c>
      <c r="B58" t="inlineStr">
        <is>
          <t>Product Manager, Data Analytics</t>
        </is>
      </c>
      <c r="C58" t="inlineStr">
        <is>
          <t>Equity Residential</t>
        </is>
      </c>
      <c r="D58" t="inlineStr">
        <is>
          <t>linkedin</t>
        </is>
      </c>
      <c r="E58" t="inlineStr"/>
      <c r="F58" t="inlineStr"/>
      <c r="G58" t="inlineStr">
        <is>
          <t>Chicago, IL</t>
        </is>
      </c>
      <c r="H58" t="inlineStr"/>
      <c r="I58" t="inlineStr">
        <is>
          <t>At Equity Residential, we're dedicated to creating thriving communities, and we invite you to be part of our team. Embracing values like Diversity, Sustainability, and Total Wellbeing, we foster a workplace culture of authenticity and collaboration.
**How We Deliver a Winning Performance:** 
* Question Authority
* Walk the Talk
* Share Knowledge
* Listen, not just Hear
* See the Glass Half Full
* Take Educated Risks
* Enjoy the Ride
* Share the Spotlight
* Do the Right Thing
* Test Your Limits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**What You’ll Be Doing:** 
 The Product Manager, Data Analytics defines, delivers, and continuously enhances Equity Residential’s analytics and machine\-learning–enabled products. This role sits at the intersection of data science, software engineering, and business strategy, translating analytical insights into scalable systems and partnering with technical teams to operationalize ML models into production\-grade applications. 
 The ideal candidate brings a blend of product management discipline, technical fluency in machine learning and data pipelines, and strong program management skills. This role collaborates closely with the Senior Software Engineer, data scientists, and business partners to build intuitive, reliable products that drive measurable impact on pricing, forecasting, and operational decision\-making. 
***ESSENTIAL FUNCTIONS:***
**Product Strategy \&amp; Roadmap** 
* Collaborates with business, analytics, and engineering teams to define the vision, strategy, and long\-term roadmap for data and machine learning products.
* Translates complex pricing, forecasting, and operational needs into clear product requirements, user stories, and acceptance criteria.
* Leads prioritization across competing business and technical needs, managing backlogs and release plans.
* Serves as product spokesperson and subject matter expert for analytics capabilities across the enterprise.
**Machine Learning \&amp; Technical Collaboration** 
* Works directly with data scientists to understand and refine model outputs, feature relevance, performance metrics, and constraints.
* Applies strong technical knowledge of machine learning workflows, pipelines, APIs, and model monitoring to guide product direction and evaluate trade\-offs.
* Partners with the Senior Software Engineer – Data \&amp; Analytics Products to operationalize models into user\-facing applications and enterprise systems.
* Ensures all ML\-driven product features emphasize explainability, compliance, and reliability.
**Program Management \&amp; KPI Governance** 
* Defines and tracks key KPIs (e.g., model accuracy, revenue lift, adoption, system reliability) to measure product performance and business impact.
* Establishes a structured cadence for reviewing KPIs with cross\-functional partners and initiating corrective actions or enhancements.
* Drives successful delivery of milestones across pilots, MVP releases, and product iterations.
* Leads retrospectives and drives continuous improvement of analytics workflows, model governance, and product execution processes.
**Stakeholder Partnership \&amp; Communication** 
* Acts as the bridge between data scientists, software engineers, IT, Pricing, and Operations teams.
* Facilitates workshops, demos, feedback sessions, and cross\-functional updates to maintain alignment and transparency.
* Communicates complex analytical concepts in a clear, business\-relevant manner for stakeholders at all levels.
* Supports change management, training, and adoption for new analytics capabilities across the organization.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***JOB QUALIFICATION REQUIREMENTS***
* Bachelor’s degree required; degree in Business, Computer Science, Engineering, Analytics, Economics, or related field preferred.
* 5\+ years of experience in Product Management, Technical Program Management, or Engineering, with a focus on data, analytics, or platform development.
* Strong technical working knowledge of machine learning models, data pipelines, model deployment workflows, and APIs—with hands\-on experience partnering with data scientists and engineers.
* Demonstrated ability to integrate ML\-driven features into end\-to\-end production systems and evaluate model performance.
* Proficiency with SQL, analytics environments, and BI tools (Power BI, Tableau, etc.).
* Proven experience with Agile methodologies, backlog management, sprint execution, and iterative product delivery.
* Experience defining and managing program\-level KPIs, establishing review cadences, and leading data\-driven decision processes.
* Preferred: Experience in Revenue Management, pricing optimization, forecasting, yield management, or similar analytical domains (real estate, hospitality, travel, etc.).
* Excellent verbal and written communication skills with ability to translate between technical and non\-technical stakeholders.
***COMPENSATION*
 :**
 $106,228 to $132,785 
 *per year; in addition to base salary, a discretionary annual 16% bonus is provided.* 
*The successful candidate's starting pay will be determined based on job\-related skills, experience, and qualifications.* 
***WORKING ENVIRONMENT:***
*In alignment with the company's hybrid attendance policy, Monday\-Thursday in office at 2 N. Riverside Plaza, Chicago, IL (Friday is a remote work day).* 
***RELOCATION:***
*Equity Residential does not cover relocation costs for this opportunity; all relocation and related expenses are the responsibility of the candidate.* 
***PHYSICAL AND VISUAL ACTIVITIES:***
 Ability to hear and speak well enough to converse verbally over the phone and in\-person (expressing or exchanging ideas by means of the spoken or written word). Ability to interpret, evaluate and communicate detailed written or verbal instructions to others accurately and easily. Able to see well enough to use the computer effectively and read written communications. Ability to lift, push, pull or carry up to 15 pounds for the dissemination of documents, supplies, materials, etc. to various locations throughout the office/facility. May be required to climb stairs depending on the property structure.
 The above describes the physical and visual activities that are commonly associated with the performance of the essential functions of this job. “Commonly associated” is not intended to mean 
 always
  or 
 only
 . Reasonable accommodation will be provided as required by law to enable otherwise qualified employees with a known disability to perform the essential functions of the job.</t>
        </is>
      </c>
    </row>
    <row r="59">
      <c r="A59" t="inlineStr">
        <is>
          <t>li-4367346151</t>
        </is>
      </c>
      <c r="B59" t="inlineStr">
        <is>
          <t>Product Owner</t>
        </is>
      </c>
      <c r="C59" t="inlineStr">
        <is>
          <t>Capgemini</t>
        </is>
      </c>
      <c r="D59" t="inlineStr">
        <is>
          <t>linkedin</t>
        </is>
      </c>
      <c r="E59" t="inlineStr"/>
      <c r="F59" t="inlineStr"/>
      <c r="G59" t="inlineStr">
        <is>
          <t>New York, NY</t>
        </is>
      </c>
      <c r="H59" t="inlineStr"/>
      <c r="I5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Role Summary
 As a Senior Product Owner Annuity you will be responsible for defining and driving product roadmaps integrating customer research and ensuring compliance with data 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 to market readiness activities as the team prepares for release including reviewing the release plan with the PDM
 Bachelors degree or equivalent work experience
 Must Have
 A minimum of 5 to 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 functional teams
 Excellent communication and teamwork skills
 Ability to manage multiple tasks and meet deadlines
**Required Skills**
 Objectives and Key Results OKR
 Product Requirements
 Product Backlog Management
 Root Cause Analysis RCA
 Solution Delivery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Salary Information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$75716 to $132762/yearly.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t>
        </is>
      </c>
    </row>
    <row r="60">
      <c r="A60" t="inlineStr">
        <is>
          <t>li-4315770995</t>
        </is>
      </c>
      <c r="B60" t="inlineStr">
        <is>
          <t>Senior Product Manager, Mobile</t>
        </is>
      </c>
      <c r="C60" t="inlineStr">
        <is>
          <t>Canary Technologies</t>
        </is>
      </c>
      <c r="D60" t="inlineStr">
        <is>
          <t>linkedin</t>
        </is>
      </c>
      <c r="E60" t="inlineStr"/>
      <c r="F60" t="inlineStr"/>
      <c r="G60" t="inlineStr">
        <is>
          <t>New York, NY</t>
        </is>
      </c>
      <c r="H60" t="inlineStr"/>
      <c r="I60" t="inlineStr">
        <is>
          <t>**About Us**
 Canary Technologies is changing the game for hotels with modern software powered by Canary's hospitality\-specific AI platform.
 Canary is utilized by 20,000\+ hoteliers in 100\+ countries to equip hoteliers with the technology they need to work smarter and wow their guests. Major hotel brands such as Wyndham, Marriott, IHG, Four Seasons, Rosewood, and Best Western trust Canary to deliver results.
 Canary was named a 2024 Deloitte Technology Fast 500™ company, a Most Innovative Company by Fast Company and a HotelTechReport Best Place to Work — and is backed by top Silicon Valley investors like Y Combinator, F\-Prime, Brighton Park Capital and Insight Partners.
***Join us in shaping the future of hospitality!***
**About The Role**
 Canary Technologies is hiring a Senior Product Manager, Mobile to lead and scale our mobile portfolio: our native guest app, the hotel Staff App, and our developer SDKs. You will evolve these products, strengthening their reliability, performance, and usability while expanding capabilities that drive measurable business impact. Partner closely with Design and Engineering to ship best\-in\-class iOS and Android releases, improve SDK developer experience and documentation, and ensure mobile continues to be a strategic growth lever for Canary. Own outcomes that matter for hotels and guests, balancing usability, performance, and platform constraints.
**Responsibilities**
* Steward and scale our mobile portfolio: native guest app, Staff App, and developer SDKs, with a clear multi\-quarter roadmap
* Evolve our SDKs to be even easier to adopt, well\-documented, versioned, and observable for reliability
* Lead execution on our guest and staff\-facing mobile capabilities including authentication, messaging, payments, offline support, and notifications
* Partner with Design and Eng to establish mobile UI patterns, accessibility standards, and performance budgets (startup time, bundle size, battery/CPU)
* Set quality bars for mobile releases including telemetry, alerting, and crash\-free thresholds; partner with QA to scale automated test coverage
* Collaborate with Platform, Payments, and Integrations teams to unlock mobile\-first experiences powered by Canary’s core services
* Drive rollout plans, experimentation, and measurement to improve activation, engagement, retention, and app store ratings
* Champion security, privacy, and compliance across mobile (PII handling, PCI concerns, secure storage, secrets, and transport)
**Qualifications**
* Required Experience
* 6\+ years in Product Management with 3\+ years working on native mobile apps and/or SDKs
* Proven track record shipping high\-quality iOS and/or Android features end\-to\-end with measurable impact
* Experience defining and delivering developer SDKs or mobile frameworks with strong docs, samples, and semantic versioning
* Familiarity with modern mobile architectures, tooling, and telemetry (e.g., Swift/SwiftUI, Kotlin/Jetpack, Gradle, Xcode, Play Console, TestFlight, Crashlytics)
* Technical \&amp; Product Acumen
* Strong product sense for mobile UX including performance, accessibility, and offline\-first design
* Comfort working through mobile platform constraints such as background execution, push notifications, permissions, and app store policies
* Ability to create clear API contracts, run RFCs with Engineering, and manage deprecation paths
* Data fluency; can instrument event schemas and define KPIs for adoption, stability, and engagement
* Leadership \&amp; Communication
* Excellent written and verbal communication with engineers, designers, GTM, and external partners
* Demonstrated success leading cross\-functional work in fast\-paced environments with high ambiguity
* Customer empathy for hotel staff workflows and guest journeys; can translate insights into mobile\-first solutions
* Preferred Qualifications
* Experience in hospitality, travel, or other two\-sided marketplaces
* Background in payments and secure mobile data handling (PCI considerations)
* Track record improving App Store and Play Store ratings and review response programs
 $160,000 \- $220,000 a year
 The base Salary Range for our New York and SF offices for this role is $160,000 – $220,000 annualized salary. This is subject to standard withholding and applicable taxes. Actual compensation will be commensurate with the candidate’s skill level, experience, and specific work location. This role may also include the opportunity to earn a discretionary bonus and/or equity.
 We also work hard to ensure Canary is a fun and exciting place to work! Here are some of the additional benefits:
**Canary Days:** 
 As a company we want to ensure that the team has time to recharge. Each month we provide company wide days off to ensure there is at least one extended weekend or day off.
**Self Improvement Club:** 
 We meet each month and share our personal goals for the month. Each individual is provided a budget towards any purchases that help us achieve these goals.
**Professional Development Chats:** 
 We provide budget to help drive cross functional professional development conversations across the organization.
**Travel Reimbursement:** 
 Team members are able to visit our offices across New York, San Francisco or Dallas when they choose, and are provided a travel stipend for doing so. Spend time working with the team in their office, and use the rest of your time exploring a new city!
**Personal Travel Reimbursement:** 
 If you stay at a hotel that Canary works with, we provide a credit towards your stay.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t>
        </is>
      </c>
    </row>
    <row r="61">
      <c r="A61" t="inlineStr">
        <is>
          <t>li-4367012509</t>
        </is>
      </c>
      <c r="B61" t="inlineStr">
        <is>
          <t>Digital Product Manager – Identity &amp; Access Management</t>
        </is>
      </c>
      <c r="C61" t="inlineStr">
        <is>
          <t>Allstate</t>
        </is>
      </c>
      <c r="D61" t="inlineStr">
        <is>
          <t>linkedin</t>
        </is>
      </c>
      <c r="E61" t="inlineStr"/>
      <c r="F61" t="inlineStr"/>
      <c r="G61" t="inlineStr"/>
      <c r="H61" t="inlineStr"/>
      <c r="I61"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As the Digital Product Manager for the Customer Digital Identity (CDI) team within the Identity and Access Management (IAM) program, you will lead strategy and execution for enterprise\-wide access control capabilities. This includes shaping secure, scalable solutions for authentication, authorization, and user access experiences. You’ll collaborate across cybersecurity, IT, UX, and business teams to deliver intuitive platforms that reduce friction and improve operational efficiency.
 The CDI team plays a pivotal role in advancing IAM initiatives across the organization, including customer identity and access management. In partnership with engineering and product leadership, you will define strategic direction, manage roadmaps and performance outcomes, and drive adoption of integrated access solutions that support the enterprise’s broader security and digital transformation goals.
 The Architecture Compute, and Engineering organization provides a transformative platform ecosystem with a comprehensive set of capabilities that empowers end users and digital product teams to innovate seamlessly and drive growth for Allstate through the Consumer Connected Cloud mission. This ecosystem aims to provide an absolute frictionless experience for our user community.
 As a Digital Product Manager in the ACE organization, you'll be contributing towards defining, delivering, and managing the lifecycle of one or more products ensuring they meet the needs of the customers and align with the company’s strategic goals. This role requires a blend of strategic thinking, technical understanding, and business acumen.
 A career as a Digital Product Manager is both challenging and rewarding, offering the opportunity to innovate and shape the future of digital products. Ideal candidates are strategic thinkers with strong technical and communication skills, capable of driving product success in a fast\-paced environment.
**Key Responsibilities**
* Product Strategy and Vision: Develop and communicate the vision and strategy for digital product/s.
* Market Research: Conduct market and user research to identify trends, customer needs, and competitive landscape.
* Product Development: Collaborate with cross\-functional teams to design, develop, and launch new digital products.
* Roadmap Management: Create and continuously maintain a product roadmap that aligns with business goals and customer needs.
* Ongoing Management: Work with the Digital Product team to write \&amp; groom stories, prioritize, and manage the backlog.
* Performance Monitoring: Define product performance metrics \&amp; monitor product performance using analytics tools and make data\-driven decisions.
* Stakeholder Communication: Communicate product progress and updates to internal stakeholders and external partners.
* Budget Management: Manage product budgets and resources efficiently.
* Customer Feedback: Gather and analyze customer feedback to continually improve the product.
**Qualifications**
* 3 years’ experience as a Digital Product Manager
* 3 years’ experience with authentication/identity management solutions in the digital channels.
* Experience with Agile methodologies and product management tooling.
* Technical Skills: Understanding of development processes, human centered design, UX/UI design, and Identity and Access Management concepts and technologies.
* Analytical Skills: Proficiency in data analysis and interpretation to inform product decisions.
* Communication Skills: Excellent verbal and written communication skills.
* Leadership: Proven ability to lead and inspire cross\-functional teams.
* Problem\-Solving: Strong problem\-solving skills and creativity in finding solutions.
* Experience with authentication/identity management solutions in the digital channels.
* The ability to identify high\-impact authentication/identity management use cases and translate them into a clear product vision.
**Desirable Skills**
* Previously held a leadership/coaching position within a global cross functional team
**Skills**
 Agile Methodology, Authentication, Business Case Analyses, Coaching, Collaborating, Data Analysis, Identity Access Management (IAM), Product Management, Product Management Leadership, Product Roadmap, Product Roadmapping, Product Strategies, Product Vision, Systems Thinking
**Compensation**
 Compensation offered for this role is 120,000\.00 \- 193,725\.00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62">
      <c r="A62" t="inlineStr">
        <is>
          <t>li-4367013473</t>
        </is>
      </c>
      <c r="B62" t="inlineStr">
        <is>
          <t>Senior Product Manager , Data Management</t>
        </is>
      </c>
      <c r="C62" t="inlineStr">
        <is>
          <t>Autodesk</t>
        </is>
      </c>
      <c r="D62" t="inlineStr">
        <is>
          <t>linkedin</t>
        </is>
      </c>
      <c r="E62" t="inlineStr"/>
      <c r="F62" t="inlineStr"/>
      <c r="G62" t="inlineStr">
        <is>
          <t>Georgia, United States</t>
        </is>
      </c>
      <c r="H62" t="inlineStr"/>
      <c r="I62" t="inlineStr">
        <is>
          <t>**Job Requisition ID \#**
 25WD93633
**Senior Product Manager – Data Management (P4\)**
 Position Overview
 Are you passionate about platforms that are changing how businesses operate and grow? Are you curious about how data can break down industry silos, increase collaboration, and create opportunities for innovation? Are you passionate about strategies to build, expand, and manage a data platform ecosystem?
 We are seeking a curious, data\-driven, and strategic storyteller to join Autodesk data platform team. Autodesk design and make platform offerings are APIs, services, and an ecosystem marketplace that accelerates digital transformation and drives better results.
 As a
 **Senior Technical Product Manager** 
 for the platform, you will be at the forefront to define and drive a set of large\-scale, cross\-company initiatives powered by Data Access Services. These services are used by almost every Autodesk industry vertical product to store and manage CAD data on the cloud and provide granular API access.
 In this role, you’ll oversee expanding the service capabilities of the foundational service, Autodesk Data Models, from the lens of the Manufacturing industry. You’ll be required to learn about cloud platform systems and manufacturing software that help design \&amp; manufacture consumer and industrial products.
 Additionally, you will make sure that the foundational services scale to support exabytes of data while operating at low\-latency performance, secure \&amp; compliant storage, highly resilient and with a delightful developer experience that facilitates onboarding of products onto the platform.
 You will build roadmaps which not only articulates technical investments but how it impacts business outcomes with a data\-driven approach and work with stakeholders to onboard more data onto the platform which enables innovation in the Manufacturing industry.
 Furthermore, you will work with a pool of talented Engineers, Experience Designers, Product Managers, and Software Architects to deliver best\-in\-class enhancements that meet company objectives and goals. You are expected to be an excellent communicator and comfortable speaking with junior engineers as you are with senior executives.
**Responsibilities**
* Drive the vision and strategy for foundational data management solutions that can scale and perform under demanding read and write operations
* Lay out an API strategy that enables easier platform onboarding of internal customers.
* Develop and manage relationships with architecture, engineering, and product teams to deliver customer outcomes at scale and low\-latency performance.
* Manage product lifecycle, including product roadmap, release planning, and positioning.
* Work directly with Autodesk product teams and 3rd party developer ecosystem to define, prioritize, and plan development of new features and capabilities.
* Articulate platform value to internal stakeholders while differentiating platform from competitive offerings.
* Distill high\-level customer outcomes into low\-level capabilities that are easily understood and executed by engineering team through detailed Product Requirement Documents (PRD)
**Minimum Qualifications**
* BS Degree in Computer Science or equivalent
* Experience in building data management solutions at scale and with low\-latency performance
* Experience in platform cost optimization strategies and mitigation plans
* 5\+ years of product management experience in a SaaS/Technology company building platforms
* Passion for data and finding ways for it to be organized, accessed, and used to address customer problems.
* Ability to easily articulate complex technical and business concepts in simply understood terms.
* Ability to take high\-level outcomes and distill them into low\-level requirements
* Strong prioritization, relationship building, and organization skills with exceptional storytelling.
* Being at ease leading and influencing cross\-functional teams and junior team members
* Experience and comfortable managing stakeholders, risk, and ambiguity.
* Ability to effectively collaborate with a global team and travel for work on occasion.
**Preferred Qualifications**
* BS Degree in Computer Science or Engineering
* Experience in launching platform capabilities (such as APIs, SDKs) and driving platform adoption.
* Exposure to working with software architects and engineers to build a world\-class data platform (services and APIs).
* Knowledge and familiarity with CAD design \&amp; make domain and tools like Revit, AutoCAD, Fusion, Inventor, etc.
* Familiarity with scrum/agile methodologies
 See how we’re building a diverse workforce and a culture of belonging to give more people the chance to imagine, design, and create a better world. Learn about all things \#AutodeskLife by following us on Instagram, X, Facebook, LinkedIn, and Glassdoor.
 At Autodesk, we are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Senior Product Manager – Gestion des données (P4\)
**Présentation du poste**
 Êtes\-vous passionné par les plateformes qui transforment la manière dont les entreprises opèrent et grandissent? Êtes\-vous curieux de voir comment les données peuvent briser les silos sectoriels, augmenter la collaboration et créer de nouvelles opportunités d’innovation? Êtes\-vous motivé par les stratégies permettant de construire, développer et gérer un écosystème de plateforme de données?
 Nous recherchons un(e) gestionnaire de produit sénior, curieux·se, guidé·e par les données, et excellent·e conteur/conteuse stratégique pour rejoindre l’équipe de la plateforme de données d’Autodesk. Les offres de la
 **Design and Make Platform** 
 d’Autodesk sont des API, des services et une place de marché qui accélèrent la transformation numérique et génèrent de meilleurs résultats.
 En tant que
 **Senior Product Manager** 
 pour la plateforme, vous serez à l’avant\-plan pour définir et piloter un ensemble d’initiatives d’envergure, transverses à l’entreprise, reposant sur les
 **Data Access Services** 
 . Ces services sont utilisés par pratiquement tous les produits Autodesk dans nos différents secteurs pour stocker et gérer les données CAO dans le cloud et fournir un accès granulaires via des API.
 Dans ce rôle, vous serez responsable de l’ensemble du cycle de vie de la plateforme, de la stratégie API et de la conception de l’expérience développeur, jusqu’à l’intégration des partenaires, l’analyse de l’usage et les initiatives de croissance de l’écosystème. Vous veillerez également à ce que les services fondamentaux de gestion de données puissent évoluer pour supporter des exaoctets de données, tout en offrant des performances à faible latence, un stockage sécurisé et conforme, une résilience élevée et une expérience développeur agréable facilitant l’intégration des produits sur la plateforme.
 Même si ces services fondamentaux sont principalement destinés à la consommation interne (produits Autodesk), vous élaborerez des feuilles de route qui articulent non seulement les investissements techniques, mais aussi leur impact sur les résultats business, avec une approche guidée par les données. Vous collaborerez avec les parties prenantes pour embarquer toujours plus de données sur la plateforme, ce qui permet l’innovation dans les trois industries que sert Autodesk (AEC, MFG, M\&amp;E).
 Vous travaillerez avec une équipe de talents composés d’ingénieurs, de designers d’expérience, de gestionnaires de produits et d’architectes logiciels pour livrer des améliorations de classe mondiale alignées sur les objectifs de l’entreprise. Vous êtes un excellent communicant, à l’aise autant avec les ingénieurs juniors qu’avec les cadres dirigeants.
**Responsabilités**
* Porter la vision et la stratégie des solutions fondamentales de gestion des données capables de monter en charge et de supporter des charges de lecture et d’écriture exigeantes.
* Définir une stratégie API qui facilite l’intégration des clients internes à la plateforme.
* Développer et gérer les relations avec les équipes d’architecture, d’ingénierie et de produit afin de délivrer des résultats clients à grande échelle, avec des performances à faible latence.
* Gérer le cycle de vie du produit, incluant la feuille de route, la planification des versions et le positionnement.
* Travailler directement avec les équipes produit Autodesk et l’écosystème de développeurs tiers pour définir, prioriser et planifier le développement de nouvelles fonctionnalités et capacités.
* Articuler la valeur de la plateforme auprès des parties prenantes internes tout en la différenciant des offres concurrentes.
* Transformer des objectifs clients de haut niveau en capacités détaillées, facilement compréhensibles et actionnables par les équipes d’ingénierie, via des Product Requirement Documents (PRD) précis.
**Qualifications Minimales**
* Baccalauréat en informatique ou équivalent.
* Expérience dans la création de solutions de gestion de données à grande échelle avec des performances à faible latence.
* Expérience dans les stratégies d’optimisation des coûts de plateforme et les plans d’atténuation.
* 5\+ années d’expérience en gestion de produit dans une entreprise SaaS/technologique construisant des plateformes.
* Passion pour les données et la manière de les organiser, d’y accéder et de les utiliser pour résoudre des problèmes clients.
* Capacité à articuler aisément des concepts techniques et business complexes en termes simples.
* Capacité à partir d’objectifs de haut niveau et à les décliner en exigences détaillées.
* Excellentes compétences en priorisation, en gestion des relations et en organisation, avec un sens aigu du storytelling.
* À l’aise pour diriger et influencer des équipes transverses ainsi que des membres plus juniors.
* Expérience et aisance dans la gestion des parties prenantes, du risque et de l’ambiguïté.
* Capacité à collaborer efficacement avec une équipe mondiale et à voyager occasionnellement dans le cadre du travail.
**Qualifications Souhaitées**
* Baccalauréat en informatique ou en génie.
* Expérience dans le lancement de capacités de plateforme (par exemple APIs, SDKs) et dans la conduite de leur adoption.
* Expérience de collaboration avec des architectes logiciels et des ingénieurs pour construire une plateforme de données de classe mondiale (services et APIs).
* Connaissance et familiarité avec le domaine de la conception \&amp; fabrication (CAD) et des outils tels que Revit, AutoCAD, Fusion, Inventor, etc.
* Familiarité avec les méthodologies agiles/Scrum.
**Diversité, inclusion et égalité des chances**
 Découvrez comment nous construisons une main\-d’œuvre diversifiée et une culture d’appartenance afin de donner au plus grand nombre la possibilité d’imaginer, de concevoir et de créer un monde meilleur. Pour en savoir plus sur la vie chez Autodesk (\#AutodeskLife), suivez\-nous sur Instagram, X, Facebook, LinkedIn et Glassdoor.
 Chez Autodesk, nous construisons un environnement de travail diversifié et une culture inclusive pour donner à davantage de personnes la possibilité d’imaginer, de concevoir et de réaliser un monde meilleur. Autodesk est fier d’être un employeur offrant l’égalité des chances et considère tous les candidats qualifiés sans distinction de race, de couleur, de religion, d’âge, de sexe, d’orientation sexuelle, de genre, d’identité de genre, d’origine nationale, de handicap, du statut d’ancien combattant ou de toute autre caractéristique protégée par la loi.
 Nous étudions également toutes les candidatures qualifiées, quels que soient les antécédents judiciaires, conformément aux lois applicables.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$134,000 and $216,700\.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63">
      <c r="A63" t="inlineStr">
        <is>
          <t>li-4367307536</t>
        </is>
      </c>
      <c r="B63" t="inlineStr">
        <is>
          <t>Global Connected Services Product Manager</t>
        </is>
      </c>
      <c r="C63" t="inlineStr">
        <is>
          <t>CNH</t>
        </is>
      </c>
      <c r="D63" t="inlineStr">
        <is>
          <t>linkedin</t>
        </is>
      </c>
      <c r="E63" t="inlineStr"/>
      <c r="F63" t="inlineStr"/>
      <c r="G63" t="inlineStr">
        <is>
          <t>Racine County, WI</t>
        </is>
      </c>
      <c r="H63" t="inlineStr"/>
      <c r="I63"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Global Connected Services Product Manager drives the strategy, roadmap, delivery, and adoption of Connected Services for Construction Equipment customers worldwide. This position ensures seamless integration between telematics, customer digital touchpoints, service organizations, dealer networks, and business intelligence systems.
 You will lead cross\-functional teams, coordinate with regional stakeholders, and partner with digital, IT and parts\&amp;service organization to deliver high\-impact connected experiences.
**Key Responsibilities**
* Lead global delivery of connected services for Construction, partnering with cross\-functional agile teams
* Own product strategy, roadmap, and backlog driven by customer, dealer, and market needs
* Execute go\-to\-market activities including pilots, launches, training, and dealer enablement
* Ensure quality and integration across IoT, APIs, telematics, and data platforms
* Serve as business owner for the customer portal, driving feature delivery, adoption, and performance
* Establish data governance and partner with IT to optimize data pipelines
* Deliver executive\-level dashboards and KPI reporting using Azure and Power BI
* Communicate effectively with global stakeholders and support change adoption
**Experience Required**
* Bachelors Degree related to Technology, Leadership, Project Management or equivalent
* 5\+ years of relevant Product Management experience
* Familiarity with machine data analytics and uptime service models.
* Proven ability to coordinate global teams across regions and cultures
**Preferred Qualifications**
* Background in Connected Services / telematics product management
* Experience in digital customer portals, TSP (Telematics Service Portal), MyServiceHub, or similar ecosystems.
* Previous experience working within and IT Development team or project
**Pay Transparency**
 The annual salary for this role is USD $119,250\.00 \- $174,900\.00 plus any applicable bonus (Actual salaries will vary and will be based on various factors, such as skill, experience and qualification for the role.)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 Flexible work arrangements
* Savings \&amp; Retirement benefits
* Tuition reimbursement
* Parental leave
* Adoption assistance
* Fertility \&amp; Family building support
* Employee Assistance Programs
* Charitable contribution matching and Volunteer Time Off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64">
      <c r="A64" t="inlineStr">
        <is>
          <t>li-4339583951</t>
        </is>
      </c>
      <c r="B64" t="inlineStr">
        <is>
          <t>Salesforce Product Owner</t>
        </is>
      </c>
      <c r="C64" t="inlineStr">
        <is>
          <t>Topgolf</t>
        </is>
      </c>
      <c r="D64" t="inlineStr">
        <is>
          <t>linkedin</t>
        </is>
      </c>
      <c r="E64" t="inlineStr"/>
      <c r="F64" t="inlineStr"/>
      <c r="G64" t="inlineStr">
        <is>
          <t>Dallas, TX</t>
        </is>
      </c>
      <c r="H64" t="inlineStr"/>
      <c r="I64" t="inlineStr">
        <is>
          <t>Topgolf is seeking a Product Owner (Salesforce) to drive the evolution of our event sales technology ecosystem. This role sits within the Sales Systems team and is responsible for enhancing the Salesforce\-powered sales experience through ideation, design, and collaboration with development teams.
 As the Product Owner, you will combine Salesforce expertise with strong business acumen to simplify processes, improve efficiency, and deliver value to sales and events teams. You will work closely with stakeholders to define requirements, manage the product backlog, and guide cross\-functional teams to deliver scalable, impactful solutions.
 The ideal candidate will have a strong technical background and hands\-on Salesforce experience across Sales Cloud, CPQ and Service Cloud, coupled with the ability to translate business needs into clear product direction.
**Key Responsibilities**
* Partner with sales, operations, marketing, and other stakeholders to identify business requirements and opportunities for system improvements.
* Lead end\-end process of documenting, building requirements for new or enhanced Salesforce features gaining alignment across stakeholders, and ensuring timeliness of deliverables cross\-functionally.
* Own and maintain the roadmap, product backlog; write clear product requirements, epics, and user stories with well\-defined acceptance criteria.
* Lead feature kickoffs and facilitate technical and design discussions (including APIs and integrations) ensuring each initiative is assessed for business priority maximizing impact and resource allocation.
* Collaborate with engineering, design, and QA to ensure high\-quality, timely delivery of features.
* Define release plans, manage expectations, and ensure delivery aligns with business value.
* Support QA strategy and test coverage, including automation pipeline development.
* Drive and support User Acceptance Testing (UAT), coordinating with business partners to ensure readiness.
* Assist in triaging, tracking, and resolving critical issues, including root cause analysis, next\-phase solutions, and mapping ongoing maintenance for stability.
* Stay current on Salesforce platform capabilities, industry trends, and emerging technologies.
**Required Qualifications**
* BS/MS in Information Systems, Computer Science, or related technical field, or equivalent practical experience.
* 5\-7 years of experience as a Salesforce Product Owner / Technical Product Manager, delivering solutions in an Agile environment.
* Strong understanding of sales and marketing processes, including opportunity management, quoting, pricing, and CPQ workflows.
* Hands\-on experience with Salesforce configuration and administration.
* Strong knowledge of Salesforce core objects, workflows, reporting, and dashboards.
* Ability to collaborate with distributed development teams and manage solution delivery in a Salesforce environment.
* Demonstrated experience in managing cross\-functional projects, tracking milestones and ensuring timely delivery of technology solutions.
* Excellent communication, presentation, and interpersonal skills.
* Collaborative, team\-oriented approach with a positive, proactive attitude.
* Willingness to work onsite 4 days/week at Topgolf’s Dallas Corporate Office.
**Desired Qualifications**
* Strong analytical and problem\-solving skills.
* Ability to manage multiple priorities in a fast\-paced environment.
* Experience working with offshore developers and QA teams.
* Detail\-oriented with excellent organizational skills.
* Comfortable translating technical solutions into business terms.
* Salesforce Administrator Certification (or higher).
* Experience managing Salesforce projects in large, complex, global environments.
* Solid understanding of integrations, database concepts, and service\-oriented architectures.
* Exposure to Salesforce marketing cloud
* Familiarity with Agile/Scrum practices and tools (e.g., JIRA, Confluence).
* Excellent documentation skills with the ability to create clear, user\-friendly content.
* Passion for technology and continuous learning.
 ADA
 The above statements cover what are generally believed to be principal and essential functions of the job. Specific circumstances may allow or require some incumbents assigned to the job to perform a different combination of duties.
 EEO Statement
 Topgolf is a global sports and entertainment community and is committed to equal opportunity and is firmly committed to preventing discrimination and harassment, including sexual misconduct, based on legally protected diversity characteristics (such as race, color, religion, national origin, sex, age, disability, sexual orientation, gender identity or expression, family status, citizenship, genetic information and veteran status) in its application and hiring processes and in its employment decisions. As an affirmative action employer, Topgolf also takes steps to prevent retaliation and to create a respectful, equitable and inclusive environment for our Guests, Associates, business partners, vendors, and the communities we serve.
 Topgolf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Topgolf Entertainment Group does not accept unsolicited agency resumes. Please do not forward unsolicited agency resumes to our website, employees or Human Resources. Topgolf will not pay fees for unsolicited agency resumes and will not be responsible for any agency fees associated with unsolicited resumes. Unsolicited resumes received will be considered property of Topgolf Entertainment Group and will be processed accordingly without fee.
 Topgolf participates in E\-Verify and will provide the federal government with your Form I\-9 information to confirm that you are authorized to work in the U.S.</t>
        </is>
      </c>
    </row>
    <row r="65">
      <c r="A65" t="inlineStr">
        <is>
          <t>li-4367030093</t>
        </is>
      </c>
      <c r="B65" t="inlineStr">
        <is>
          <t>Principle Product Manager, AVC (Audio, Video &amp; Communications)</t>
        </is>
      </c>
      <c r="C65" t="inlineStr">
        <is>
          <t>Roblox</t>
        </is>
      </c>
      <c r="D65" t="inlineStr">
        <is>
          <t>linkedin</t>
        </is>
      </c>
      <c r="E65" t="inlineStr"/>
      <c r="F65" t="inlineStr"/>
      <c r="G65" t="inlineStr">
        <is>
          <t>San Mateo, CA</t>
        </is>
      </c>
      <c r="H65" t="inlineStr"/>
      <c r="I6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Product Manager on the Audio, Video and Communications (AVC) team, you will define and drive the vision, strategy, and roadmap for immersive audio technologies, video encoding and playback, and the core technology enabling voice communication on the platform. You will collaborate with a diverse team of engineers, designers, data scientists and other product leaders to deliver industry leading solutions.
**You Will**
* Define and execute the product roadmap for the Audio, Video, and Communications team, ensuring alignment with company goals.
* Drive business outcomes \- increasing the quality of user experience and engagement.
* Steer cross\-functional teams (engineering, design, product marketing, etc.) to deliver innovative features that delight our users and streamline creator workflows.
* Partner with internal and external stakeholders to gather feedback, prioritize improvements, and ensure our systems meet evolving user needs.
* Leverage deep user empathy, UX insight, and a data\-informed approach to identify opportunities for product optimization, iteration, and long\-term growth.
**You Have**
* Over 5 years of experience as a product manager, preferably in the areas of audio, video, or communication software.
* A Bachelor's degree in Computer Science, Engineering, or a similar technical field.
* Demonstrated technical knowledge in one of the following areas: interactive audio, content creation workflows, video streaming, and voice communication protocols.
* Expertise in presenting clear business cases, creating detailed product specs, and helping design scalable solutions.
* A passion for driving user\-centric product decisions that are backed by data and insights.
* A history of successfully collaborating with engineering, design, and other stakeholders to deliver complex, technical products on time.
* A hands on approach. You use the product daily and can clearly express what does/doesn’t work well.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$330,950—$383,120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6">
      <c r="A66" t="inlineStr">
        <is>
          <t>li-4358984215</t>
        </is>
      </c>
      <c r="B66" t="inlineStr">
        <is>
          <t>Technology Product Owner</t>
        </is>
      </c>
      <c r="C66" t="inlineStr">
        <is>
          <t>Johnson &amp; Johnson MedTech</t>
        </is>
      </c>
      <c r="D66" t="inlineStr">
        <is>
          <t>linkedin</t>
        </is>
      </c>
      <c r="E66" t="inlineStr"/>
      <c r="F66" t="inlineStr"/>
      <c r="G66" t="inlineStr">
        <is>
          <t>Danvers, MA</t>
        </is>
      </c>
      <c r="H66" t="inlineStr"/>
      <c r="I66"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
**Job Sub Function**
 Technical Product Management
**Job Category**
 People Leader
**All Job Posting Locations:**
 Danvers, Massachusetts, United States of America
**Job Description**
**Johnson \&amp; Johnson MedTech – Heart Recovery (Abiomed)
 Primary Location: Danvers, Massachusetts**
**About Johnson \&amp; Johnson**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**Position Summary**
 Johnson \&amp; Johnson Heart Recovery is seeking a Technology Product Owner for the Patient Case Squad within the Heart Recovery business (Abiomed). This role is primarily based in Danvers, Massachusetts.
 The Technology Product Owner is responsible for the end\-to\-end delivery of business and patient outcomes through ownership, evolution, and optimization of the Patient Case Management application. This role blends product strategy, engineering leadership, user\-centric design, and strong business partnership to deliver capabilities that increase rep productivity, improve data quality, enhance physician and patient support, and drive adoption and utilization of Abiomed heart pumps.
**Key Responsibilities**
**Product Strategy \&amp; Roadmap**
* Own the patient case product vision and translate user needs, business priorities, and strategic objectives into a clear and actionable product roadmap.
* Identify opportunities that leverage technology—including AI, automation, and advanced analytics—to improve business performance and patient outcomes.
* Define value realization frameworks, including success metrics, KR/KPIs, and measurement plans tied to business and patient impact.
**Technology Delivery \&amp; Engineering Leadership**
* Lead and partner with engineering teams to ensure high\-quality, timely delivery of new capabilities and platform improvements.
* Oversee backlog management, user story quality, sequencing, and sprint execution.
* Remove blockers, guide decision\-making, and maintain clarity and alignment across teams.
**Agile Product Operating Model**
* Serve as a champion of the J\&amp;J MedTech Product Operating Model, driving user\-centricity, iterative learning, transparency, and outcome\-focused delivery.
* Lead adoption of Agile frameworks, ensuring effective ceremonies, continuous improvement, and alignment to team metrics.
**Business Partnership \&amp; User Engagement**
* Partner closely with Commercial, Field, and other business teams to understand workflows, pain points, and strategic priorities.
* Lead discovery, user research, business process analysis, and problem framing aligned to company strategy and the Heart Recovery Tactical Plan.
* Manage and set expectations on feasibility, sequencing, and platform constraints.
**Innovation \&amp; Emerging Technology**
* Identify and champion opportunities to apply AI, GenAI, automation, and digital data\-capture technologies to solve key business challenges.
* Provide conceptual solution designs and effort estimates in collaboration with engineering teams, grounded in deep Salesforce expertise.
**General Domain Expertise**
* Strong understanding of standard product management practices, technology principles, and digital product delivery.
* Experience translating user needs and business goals into a compelling product vision and roadmap.
* Proven ability to manage backlogs, run Agile ceremonies, track team metrics, and orchestrate cross\-functional releases.
* Experience designing systems that enhance customer engagement and field collaboration.
**Salesforce Expertise**
* Advanced, hands\-on experience with Salesforce CRM, including configuration capabilities and platform limitations.
* Ability to create high\-level conceptual solution designs and provide level\-of\-effort estimates.
* Strong expectation\-setting with business partners based on technology feasibility and constraints.
**Leadership Skills \&amp; Behaviors**
* Create a culture that focuses on helping people, improving workflows, and delivering measurable impact.
* Ability to understand and visualize key business processes and articulate to engineering teams and business partners.
* Demonstrate commitment to diversity, equity, and inclusion, ensuring the attraction, development, and retention of diverse talent.
* Apply user\-centric methods to build empathy and incorporate insights into product decisions including prototype development, user journey mapping, and business process flow.
* Lead with business agility, strong problem\-solving abilities, and a test\-and\-learn mindset.
* Inspire, motivate, influence, and ability to teach and grow engineering, cross\-functional teams, and business partners.
* Exhibit sound judgment and confidence in challenging assumptions and proposing innovative ideas.
**Qualifications**
* 10\+ years of experience in Technology, IT, or Product Management.
* 8\+ Years of Experience working with CRM Solutions or Certifications in CRM Platforms
* Advanced Salesforce CRM expertise, including understanding of platform capabilities, configuration, and solution design.
* Bachelor’s degree in Business, Engineering, Computer Science, or a related field (or equivalent experience).
* Technical skills in Salesforce, CRM, Agile, Scrum, and product lifecycle management.
* Strong soft skills: proactive mindset, ability to lead through ambiguity, excellent communication, stakeholder management, and structured problem\-solving.
**Preferred Attributes**
* Passion for healthcare, clinical technology, and improving patient and physician support workflows.
* Highly organized, detail\-oriented, and process\-driven.
* Ability to empower teams while providing clarity, alignment, and strategic direction.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The anticipated base pay range for this position is $102,000 to $177,100\.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(401k).This position is eligible to participate in the Company’s long\-term incentive program.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Work, Personal and Family Time \- up to 40 hours per calendar year. For additional general information on Company benefits, please go to: \-  https://www.careers.jnj.com/employee\-benefits This job posting is anticipated to close on February 15 2026\. The Company may however extend this time\-period, in which case the posting will remain available on https://www.careers.jnj.com to accept additional applications.
**Required Skills**
**Preferred Skills:**
 Analytical Reasoning, Consulting, Cost Management, Developing Others, Human\-Computer Interaction (HCI), Inclusive Leadership, Leadership, People Performance Management, Performance Measurement, Product Development, Product Strategies, Project Management Methodology (PMM), Research and Development, Resource Management, Software Development Management, Strategic Supply Chain Management, Team Management</t>
        </is>
      </c>
    </row>
    <row r="67">
      <c r="A67" t="inlineStr">
        <is>
          <t>li-4367321501</t>
        </is>
      </c>
      <c r="B67" t="inlineStr">
        <is>
          <t>Senior Product Manager - Application Security</t>
        </is>
      </c>
      <c r="C67" t="inlineStr">
        <is>
          <t>Contrast Security</t>
        </is>
      </c>
      <c r="D67" t="inlineStr">
        <is>
          <t>linkedin</t>
        </is>
      </c>
      <c r="E67" t="inlineStr"/>
      <c r="F67" t="inlineStr"/>
      <c r="G67" t="inlineStr"/>
      <c r="H67" t="inlineStr"/>
      <c r="I67" t="inlineStr">
        <is>
          <t>At Contrast Security, we’re redefining how organizations protect their software at the speed of modern development. With industry\-leading Application Detection and Response (ADR), we give teams the power to detect, stop and fix real threats in real time. If you're passionate about building smarter, faster, more effective security, you’ll fit right in.
 We’re looking for sharp minds, fearless builders, and problem\-solvers who thrive on turning complex challenges into innovative solutions.
**About The Position**
 Our mission is to revolutionize application security. At Contrast Security, we offer a new approach to code security and application protection, from developers analyzing the first line of code through instrumenting a sophisticated enterprise DevSecOps lifecycle, and deploying apps at\-scale.
 As a Senior Product Manager for Application Security, you will drive the strategy and execution for our core security platform. This is a highly visible and cross\-functional role that requires a deep understanding of the modern AppSec landscape, including how security integrates into development environments and CI/CD pipelines. You will work closely with enterprise customers, field teams, and engineering to define a roadmap that ensures broad security coverage and a seamless user experience across the DevSecOps lifecycle for users that include Developers, AppSec teams, and SOC teams.
 We are looking for a technical candidate with a mix of business and organizational skills who can operate in a matrixed environment. This role is ideal for candidates with a background in application security, DevOps, AppSec / Vulnerability management, or SRE.
**Key Responsibilities**
* Strategy and Roadmap: Own and lead the Application Security product roadmap and strategy, ensuring alignment with overall business goals.
* Customer Engagement: Work closely with customers to understand their security requirements, technical environments, and operating models for scaling security programs.
* Product Lifecycle: Lead the complete product lifecycle, from high\-level strategy and market analysis to detailed user stories and product requirements.
* Cross\-Functional Leadership: Act as a liaison between technical teams (engineering and design) and business stakeholders to ensure alignment on goals and timelines.
* Metrics and KPIs: Establish and track clear metrics to measure product success and customer adoption.
* Market Trends: Maintain a deep understanding of AppSec market trends and technologies to create a compelling and competitive product strategy.
**Qualifications**
* Experience: 5\+ years of product management experience, with at least 3 years focused on security software such as AppSec, Security Testing (SAST/DAST/SCA), XDR, or APM.
* Technical Acumen: Strong technical background with the ability to influence software architecture, API design, and cloud integrations. Experience in software engineering or DevOps is highly desirable.
* Strategic Thinking: Proven experience developing and executing product strategies that drive customer value and business growth.
* Customer Focus: Ability to translate complex customer needs into actionable product requirements and a superior product experience.
* Communication: Excellent written and verbal communication skills, with the ability to articulate complex technical concepts to both technical and non\-technical stakeholders.
* Project Management: Proven track record of managing large, complex projects with multiple stakeholders in a fast\-paced environment.
 We're transforming the way the world secures software. If you're ready to make a real impact, thrive in a fast\-paced environment, and grow alongside a team of passionate professionals, we’d love to hear from you.
 Apply today and help us shape the future of application security.</t>
        </is>
      </c>
    </row>
    <row r="68">
      <c r="A68" t="inlineStr">
        <is>
          <t>li-4367325296</t>
        </is>
      </c>
      <c r="B68" t="inlineStr">
        <is>
          <t>Product Manager</t>
        </is>
      </c>
      <c r="C68" t="inlineStr">
        <is>
          <t>CareersInFood.com</t>
        </is>
      </c>
      <c r="D68" t="inlineStr">
        <is>
          <t>linkedin</t>
        </is>
      </c>
      <c r="E68" t="inlineStr"/>
      <c r="F68" t="inlineStr"/>
      <c r="G68" t="inlineStr">
        <is>
          <t>Chicago, IL</t>
        </is>
      </c>
      <c r="H68" t="inlineStr"/>
      <c r="I68" t="inlineStr">
        <is>
          <t>Double Good’s mission is to create joy. We create joy with our delectable and award\-winning popcorn. We create joy with our easy\-to\-use fundraising platform that raises a meaningful amount of money for youth sports and activities, empowering kids to pursue their dreams. We create joy through our Kids Foundation which hosts Double Good Days events across the country to bring all\-ability fun to children with special needs and their families. As featured on the Today Show, Double Good is not just about the product; we have a strong social mission.
 In recent years, Double Good has seen 40% year over year growth, and we’re excited about our future! We’re excited about the possibility of you joining our mission. We are looking for a Product Manager with mobile experience to join our growing Product Management team.
*Location \- This role will operate on a hybrid schedule based out of our downtown Chicago office.* 
**About the role:** 
 Drive the strategy and execution of mobile experiences that improve user discovery, navigation, and engagement, using data, user insights, and cross\-functional collaboration to deliver impactful, high\-quality features aligned with business goals
**Scope \&amp; Range:** 
* Own the end\-to\-end mobile experience within a domain\-based pod, focusing on the user journey from first interaction to long\-term engagement. This includes identifying opportunities through user research and data, defining clear priorities, and managing the product lifecycle from concept to launch and iteration.
* Collaborate closely with design, engineering, marketing, and customer support to ensure cohesive, high\-quality execution and measurable business impact.
* Balance user needs with technical feasibility and strategic goals to continuously improve the product experience and drive key metrics such as engagement, retention, and satisfaction.
**Responsibilities:** 
* Collaborate with cross\-functional teams including design, engineering, user research, marketing, customer support and operations to optimize the mobile user journey and deepen understanding of user behaviors, motivations, and pain points
* Own and drive mobile growth initiatives that influence key behaviors across the user lifecycle, from activation to engagement
* Design, execute, and analyze A/B and multivariate experiments to validate hypotheses, improve in\-app flows, and optimize for measurable outcomes
* Define and monitor core behavioral metrics for mobile usage, reviewing analytics to identify trends, diagnose friction points, and uncover opportunities for improvement
* Lead data\-informed product discovery, combining quantitative insights with qualitative research and market analysis to shape mobile strategies and feature development
* Present findings, experiment outcomes, and recommendations to cross\-functional partners and leadership, translating insights into actionable product decisions
* Partner with design and engineering to build and iterate on mobile experiences that influence key user behaviors, drive satisfaction and deepen engagement
**Experience \&amp; Skills we value:** 
* 3 5 years of end\-to\-end ownership of a mobile product or core app experience, with a proven track record of driving measurable growth in engagement, retention, and revenue
* Proven experience managing high\-impact product outcomes, typically within organizations exceeding $50M\+ in annual recurring revenue (ARR) or 10K\+ monthly active users (MAU)
* Deep empathy for users and curiosity to uncover the why behind behavior to design intuitive, meaningful, outcome\-driven experiences
* Proven ability to use data and experimentation, including A/B testing, analytics, and SQL (or similar), to validate hypotheses and inform product decision making
* Experience building and leveraging financial and performance models to forecast impact, evaluate ROI, and inform prioritization of initiatives
* Skilled in defining and tracking behavioral KPIs to measure user outcomes, product health, and business impact
* Exceptional collaboration and communication skills, with the ability to synthesize insights across design, engineering, and leadership teams
* Bachelor's Degree in Computer Science, Software Engineering, Business Administration, Data Science, Analytics, or a related field
**Equal Pay Disclosure(s):** 
 We’re on a mission to create more joy in people’s lives, and that includes our internal employees. We create a place people love to be a part of, where people can discover and practice their unique skill sets, a place where they can contribute and do their best work. We do this by offering our employees a competitive compensation \&amp; benefits plan.
 Base Pay range for this position:
* $130,000 \- $150,000 annually
* Target Annual Bonus: 10% of base salary
 The final discretionary compensation that will be offered for this role depends on a variety of factors, including job\-related knowledge, skills, experience, and market location.
***Work Authorization Requirement:***
*This position requires current authorization to work in the United States. We do not provide visa sponsorship, including support for F\-1 Optional Practical Training (OPT), STEM OPT extensions, or other temporary work authorization programs.* 
 Benefits:
* Double Good offers competitive benefits including medical, dental and vision coverage with plans that can fit each teammate’s needs. We offer immediate vesting in our 401k plan, paid time off, company\-paid leaves and other perks including a Popcorn Allowance (yup, free popcorn!).
* Visit the Careers page on our website for more information at https://www.doublegood.com/careers.
*Double Good is an Equal Opportunity and Affirmative Action employer, working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Right to Work Statement (English and Spanish).* 
 This employer participates in E Verify. The employer will provide the Social Security Administration (SSA) and, if necessary, the Department of Homeland Security (DHS), with information from each new employee’s Form I 9 to confirm work authorization.</t>
        </is>
      </c>
    </row>
    <row r="69">
      <c r="A69" t="inlineStr">
        <is>
          <t>li-4330917624</t>
        </is>
      </c>
      <c r="B69" t="inlineStr">
        <is>
          <t>Sr Product Manager (Senior Care Administration)</t>
        </is>
      </c>
      <c r="C69" t="inlineStr">
        <is>
          <t>PointClickCare</t>
        </is>
      </c>
      <c r="D69" t="inlineStr">
        <is>
          <t>linkedin</t>
        </is>
      </c>
      <c r="E69" t="inlineStr"/>
      <c r="F69" t="inlineStr"/>
      <c r="G69" t="inlineStr"/>
      <c r="H69" t="inlineStr"/>
      <c r="I69"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Travel to Office expectations\*\*
**For Remote Roles** 
 : If this role is remote, there will be in\-office events that will require travel to and from the Mississauga and/or Salt Lake City office. These will include, but not limited to, onboarding, team events, semi\-annual and annual team meetings.
**For Hybrid Roles** 
 :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**Job Summary**
*The Senior Product Manager (Senior Care Administration) is responsible for owning the strategy, roadmap, and execution of PointClickCare’s Skilled Nursing Facility Administration product suite, including Admissions, Utilization Management, Census, and Discharge workflows.*
*This role leads cross\-functional product delivery across clinical, operational, and financial domains, with a focus on improving administrative efficiency, regulatory compliance, and customer outcomes. The role also helps shape and deliver AI\-enabled capabilities that support automation, decision support, and insights in a regulated healthcare environment.*
**Key Duties And Responsibilities**
* Product Strategy and Roadmap
* Define and own the product vision and multi\-year roadmap for SNF Administration and Census capabilities
* Identify and prioritize opportunities aligned to customer needs, market trends, regulatory requirements, and business outcomes
* Partner with leadership to align roadmap priorities with organizational strategy
* AI and Data\-Enabled Capabilities
* Identify use cases where AI, automation, and analytics can improve administrative workflows, accuracy, and decision\-making
* Partner with engineering, data, and platform teams to deliver responsible AI\-enabled features
* Ensure AI features are transparent, explainable, and aligned with healthcare and organizational standards
* Customer and Market Understanding
* Serve as the voice of the customer by deeply understanding SNF administrative workflows and payer requirements
* Gather and synthesize customer feedback, usage data, and market insights to inform product decisions
* Validate product hypotheses through customer engagement and data analysis
* Product Delivery and Execution
* Define product requirements, epics, and user stories in collaboration with engineering and UX teams
* Drive delivery from discovery through launch and adoption
* Manage trade\-offs across scope, quality, timing, and risk
* Cross\-Functional Collaboration
* Collaborate with Engineering, UX, Data and Analytics, GTM, Professional Services, and Customer Success teams
* Communicate priorities, progress, and outcomes to stakeholders and leadership
* Influence decisions without direct authority through data and customer insight
* Measurement and Adoption
* Define success metrics and KPIs for product initiatives, including AI\-enabled features
* Partner with Analytics teams to measure outcomes beyond UI engagement, including efficiency, accuracy, and financial impact
* Support adoption and continuous improvement post\-launch
**Your Key Strengths**
* 5\+Years Product management experience in healthcare technology, preferably in Senior Care or Post Acute space.
* Proven experience owning complex products end\-to\-end
* Experience delivering products that leverage data, analytics, automation, or AI
* Strong understanding of how AI can be applied to enterprise software and operational workflows
* Ability to translate business and customer needs into clear product requirements
* Strong cross\-functional leadership and stakeholder management skills
* Experience working in Agile development environments
* Excellent written and verbal communication skills
* Bachelor’s degree in Business, Computer Science, Healthcare, Engineering (Preferred, not required)
* Experience in post\-acute care, long\-term care, or skilled nursing environments
* Familiarity with healthcare data standards and interoperability, including interop standards such as HL7
* Understanding of payer models such as PDPM and managed care
* Experience partnering with data science or platform teams in regulated environments
* Experience using analytics or AI\-enabled tools to support product decision\-making
* Level Expectations with other Sr Product Managers
* Independently owns a significant product area with minimal supervision
 Tech D\-P3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 and more!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As part of our commitment to a streamlined and equitable hiring experience, PointClickCare uses AI tools to assist with candidate screening and assessment.
 When you apply for a position, your information is processed and stored with Lever, in accordance with Lever’s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US: At PointClickCare, base salary is one of the many components that make up our total rewards package. The US base salary range for this position is $145,000 \-$160,000 \+ 12\.5% bonus and Full\-time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row r="70">
      <c r="A70" t="inlineStr">
        <is>
          <t>li-4366880886</t>
        </is>
      </c>
      <c r="B70" t="inlineStr">
        <is>
          <t>Lead Group Product Manager, Hiring and Onboarding Products</t>
        </is>
      </c>
      <c r="C70" t="inlineStr">
        <is>
          <t>Google</t>
        </is>
      </c>
      <c r="D70" t="inlineStr">
        <is>
          <t>linkedin</t>
        </is>
      </c>
      <c r="E70" t="inlineStr"/>
      <c r="F70" t="inlineStr"/>
      <c r="G70" t="inlineStr">
        <is>
          <t>Sunnyvale, CA</t>
        </is>
      </c>
      <c r="H70" t="inlineStr"/>
      <c r="I70" t="inlineStr">
        <is>
          <t>Note: By applying to this position you will have an opportunity to share your preferred working location from the following:
 **New York, NY, USA; Austin, TX, USA; Sunnyvale, CA, USA** 
 .
 **Minimum qualifications:**
* Bachelor's degree or equivalent practical experience.
* 10 years of experience in product management or related technical role.
* 5 years of experience taking technical products from conception to launch (e.g., ideation to execution, end\-to\-end, 0 to 1, etc).
* 5 years of experience in people management, with technical leadership.
* Experience in Human Capital Management (HCM) product management with enterprise products.
**Preferred qualifications:**
* Master's degree in a technology or business related field.
* 10 years of people management including leading, mentoring, and growing high\-performing Product teams in modern product discovery techniques environments.
* Experience utilizing AI/ML foundations, including ethical development and AI\-powered product life\-cycles.
* Experience making prioritization decisions and allocating resources to deliver profound business impact through complex, strategic investments.
* Executive level communication skills, with the ability to define the problem space, align it with business strategy, and present a technical solution for senior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POps Engineering team builds people technology solutions that underpin the entirety of a Googler’s career. We partner with People Operations to create experiences for Googlers that power them to do their best work.
 The POps Engineering organization is seeking a leader to develop and lead an innovative, AI\-Forward digital product strategy and goals for our Hiring and Onboarding technology transformation that reshapes how we think about supporting Googlers. This transformation is centered on creating seamless user experiences powered by AI and connected data to maximize business value and create unparalleled experiences. This role requires cultivating a deep understanding of the needs of Hiring and Onboarding stakeholders, leaders across Google and employees to develop and drive a cohesive and engaged digital product strategy, roadmap, and execution.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goals, strategy and roadmap for the Hiring and Onboarding Product Area. Translate business objectives into specific product outcomes.
* Conduct deep customer discovery to validate the Four Big Risks (Value, Usability, Feasibility, Viability) using prototypes and data\-backed experiments.
* Use AI to boost impact and enhance product capabilities. Identify opportunities where Generative AI can solve enterprise workflow problems and provide predictive insights for HR leaders.
* Advocate the ethical use of AI in HR tech, ensuring all automated solutions are transparent, unbiased, and compliant with global people\-data standards.
* Advocate the product goals across the executive portfolio, partnering with Vice President (VP) stakeholders to navigate complex business needs and define a strategy that maximizes ROI and accelerates business value.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li-4367006262</t>
        </is>
      </c>
      <c r="B71" t="inlineStr">
        <is>
          <t>Sr Product Owner 12+ Years of experience Required.</t>
        </is>
      </c>
      <c r="C71" t="inlineStr">
        <is>
          <t>Jobs via Dice</t>
        </is>
      </c>
      <c r="D71" t="inlineStr">
        <is>
          <t>linkedin</t>
        </is>
      </c>
      <c r="E71" t="inlineStr"/>
      <c r="F71" t="inlineStr"/>
      <c r="G71" t="inlineStr"/>
      <c r="H71" t="inlineStr"/>
      <c r="I71" t="inlineStr">
        <is>
          <t>Dice is the leading career destination for tech experts at every stage of their careers. Our client, Symphony Corporation, is seeking the following. Apply via Dice today!
**Sr Product Owner – 12\+ Years of experience Required.**
**W2 Only** 
**(NO C2C)**
* Role Overview
* The Product Owner is accountable for one or more systems, leading a cross\-functional product team to deliver business value for both internal and external clients. This role closely partners with the Product Manager and broader firm leadership to shape, communicate, and deliver on the product strategy and roadmap. The Product Owner manages prioritization, requirements, timelines, and success criteria, harnessing multidisciplinary expertise to guide execution and maximize value delivery.
* Must Haves
* Bachelor’s degree in business administration, management information systems, computer science, or a related field
* Proven experience in product ownership or management within financial services, client onboarding, or customer relationship systems
* Broad and deep knowledge of financial services concepts, practices, and procedures, particularly in client onboarding or contact relationship systems
* Exceptional communication and interpersonal skills
* Demonstrated analytical ability and attention to detail
* Proven track record of leadership within matrixed teams, including task assignment, coaching, and mentoring
* Teamwork/collaboration mindset with a demonstrated ability to work with and influence stakeholders across functions
* Strong problem\-solving skills and the ability to overcome ambiguity
* Prior experience with Agile methodologies and a robust understanding of full software development lifecycle
* Good to Have
* Advanced understanding of Product Management and Design Thinking principles and ability to expand these capabilities across teams
* Experience in digital product ownership with exposure to high\-performing teams and ongoing professional development of team members
* History of working on multi\-disciplinary and cross\-divisional product teams
* Experience guiding the management of resource needs, dependencies, and stakeholder solution requirements
* Demonstrated ability to advise and align with adjacent product teams to ensure consistent and cohesive delivery across products
* Background in building business cases and measuring delivery against defined success criteria
* Key Responsibilities
* Align product strategy with execution, maintaining the product roadmap and prioritizing the body of work for current and future delivery
* Manage system plans and artifacts, ensuring timely delivery against resource, stakeholder, timeline, and milestone requirements
* Lead, coach, and develop a matrixed team in pursuit of the product vision and team member growth
* Advise and collaborate with other product teams to maintain unified product strategy and progression
 Thanks \&amp; Regards,
**Srikrishna P**
 Phone:
 Email:</t>
        </is>
      </c>
    </row>
    <row r="72">
      <c r="A72" t="inlineStr">
        <is>
          <t>li-4365886150</t>
        </is>
      </c>
      <c r="B72" t="inlineStr">
        <is>
          <t>AI/ML Technical Program Manager -generative AI Data Annotation- LLM</t>
        </is>
      </c>
      <c r="C72" t="inlineStr">
        <is>
          <t>Trilyon, Inc.</t>
        </is>
      </c>
      <c r="D72" t="inlineStr">
        <is>
          <t>linkedin</t>
        </is>
      </c>
      <c r="E72" t="inlineStr"/>
      <c r="F72" t="inlineStr"/>
      <c r="G72" t="inlineStr"/>
      <c r="H72" t="inlineStr"/>
      <c r="I72" t="inlineStr">
        <is>
          <t>* Location:
 **Hybrid \- Mountain View / San Francisco, CA**
 The Databricks R\&amp;D Operations Organization is seeking a highly motivated and technically skilled Technical Program Manager (TPM) to lead and oversee data annotation programs that power our cutting\-edge AI research initiatives. This role sits at the intersection of program management, data operations, and AI/ML, and will play a pivotal part in ensuring that our data annotation efforts are scalable, high\-quality, and aligned with the needs of our research and product teams.
 You will collaborate closely with researchers, data scientists, ML engineers, and vendor operations to drive the end\-to\-end lifecycle of large\-scale data labeling and curation efforts — from strategy and planning to execution, delivery, and quality evaluation.
**Responsibilities** 
* Program Ownership: Drive large\-scale data annotation programs end\-to\-end, from scoping requirements to delivery and post\-mortem analysis.
* Cross\-Functional Collaboration: Partner with AI Research leadership, AI researchers, data scientists, ML engineers, and product managers to define data needs, success metrics, and annotation guidelines.
* Vendor \&amp; Workforce Management: Manage external annotation vendors and internal labeling teams, including contract negotiation, SLAs, quality standards, and throughput planning.
* Quality \&amp; Process: Design and implement robust quality control pipelines, annotation tools, and feedback loops to ensure data quality at scale.
* Tooling \&amp; Automation: Collaborate with engineering to improve annotation infrastructure, workflows, and data pipelines for efficiency and scalability.
* Data Strategy \&amp; Governance: Contribute to data governance best practices, including privacy, security, ethics, and compliance in annotation workflows.
* Reporting \&amp; Metrics: Define and track key program metrics (cost, quality, speed, volume), and regularly communicate progress to stakeholders and leadership.
* Internal Adoption: Coordinate internal adoption of agentic AI products by building onboarding processes, workflows, and change management strategies.
* Data Quality Leadership: Establish and standardize processes for measuring, monitoring, and improving data quality across datasets and annotation teams.
* Customer Engagement: Collaborate with external customers and research partners on evaluation workshops, pilots, and feedback sessions to drive continuous improvement
 **.**
**Competencies and Requirements** 
* Bachelor’s or Master’s degree in a technical field (e.g. Computer Science, Data Science, Machine Learning, Information Systems) or equivalent practical experience.
* 7\+ years of experience in technical program management, project management, or operations in data\-centric or AI/ML environments.
* Strong understanding of ML development workflows, data pipelines, and annotation lifecycle.
* Experience managing large\-scale data labeling or data collection efforts, including working with third\-party vendors.
* Familiarity with big data platforms (e.g. Apache Spark, Databricks, Hadoop) and data warehousing concepts.
* Excellent organizational, problem\-solving, and communication skills with the ability to influence cross\-functional stakeholders.
* Proven track record of driving cross\-functional teams to deliver complex technical projects on time and with high quality.
* Excellent communication, negotiation and analytical skills, with the ability to document standard operating procedures and processes
* Advanced working SQL Knowledge, Ability to build and maintain analytics to track, forecast, and visualize consumption through ad\-hoc SQL, reports, and dashboards
* Experience performing root cause analysis on internal and external data and processes to answer specific business questions and identify opportunities for improvement.
* Self\-motivated and able to work independently, as well as in a team environment.
* Preferred good working knowledge of GPU technology and its applications in generative AI and machine learning.
* Familiarity with big data technologies such as Apache Spark, Delta Lake, and MLflow is a plus.</t>
        </is>
      </c>
    </row>
    <row r="73">
      <c r="A73" t="inlineStr">
        <is>
          <t>li-4365953054</t>
        </is>
      </c>
      <c r="B73" t="inlineStr">
        <is>
          <t>Product Manager</t>
        </is>
      </c>
      <c r="C73" t="inlineStr">
        <is>
          <t>Jobs via Dice</t>
        </is>
      </c>
      <c r="D73" t="inlineStr">
        <is>
          <t>linkedin</t>
        </is>
      </c>
      <c r="E73" t="inlineStr"/>
      <c r="F73" t="inlineStr"/>
      <c r="G73" t="inlineStr">
        <is>
          <t>Penn, PA</t>
        </is>
      </c>
      <c r="H73" t="inlineStr"/>
      <c r="I73" t="inlineStr">
        <is>
          <t>Duration: 11\+ Months
 Location: PA\-Philadelphia, Hybrid 3\-4 days onsite
 Overview: Every Turnberry consultant belongs to a practice, an internal group of consultants and leaders with shared experience and expertise. Each of these practices aligns to one of the core services Turnberry offers to clients. As a Product Manager, you will join Turnberry's Business Agility practice. Turnberry's Business Agility practice provides ways\-of\-working assessments with supporting improvement recommendations, Product Management and Agile Delivery education opportunities, team and enterprise\-level Product and Agile coaching, and strategic staffing for each of the skills required to drive Agile and/or Project to Product transformation journeys.
 Responsibilities:
 Articulate features that deliver the best content discovery, search, and personalization experiences in entertainment platforms
 Drive decision making by utilizing feature metrics, a/b testing, prototyping, and production iterations
 Take ownership and accountability of large complex features and take them from discovery through to delivery and beyond
 Collaborate closely with the rest of the organization as well as delivery, architecture, hardware, legal, UX, design and development teams globally to manage the product life cycle and bring ideas to life at the API and platform level
 Define quality epics and user stories to drive engineering work
 Perform competitive analysis and conducts market research
 Regular, consistent, and punctual attendance
 Must be able to work nights and weekends, variable schedule(s), and overtime as necessary
**Other Duties And Responsibilities As Assigned**
 Qualifications:
 Proven experience in Product Management, preferably related to platform APIs and services in the discovery space
 An established background in leading large\-scale projects across markets, multiple technical platforms, or a range of systems
 Expertise working with large amounts of data and self\-serving on analytical tools
 A passion for high quality customer and partner experiences and a genuine desire to convert complex problems into simple solutions
 Excellent communication skills with the ability to engage and influence colleagues and partners at all levels and across multiple business areas to drive collaboration and alignment
 The salary range for this role is $100,000 to $145,000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Americans with Disabilities Act (ADA)
 Turnberry will provide reasonable accommodation with our application process upon request as required to comply with applicable laws. If you have a disability and require accommodation assistance in this application process, please send an email to our Human Resources department at</t>
        </is>
      </c>
    </row>
    <row r="74">
      <c r="A74" t="inlineStr">
        <is>
          <t>li-4367004544</t>
        </is>
      </c>
      <c r="B74" t="inlineStr">
        <is>
          <t>Senior Product Manager (AI Safety Frameworks) - TikTok Safety Product (San Jose)</t>
        </is>
      </c>
      <c r="C74" t="inlineStr">
        <is>
          <t>TikTok</t>
        </is>
      </c>
      <c r="D74" t="inlineStr">
        <is>
          <t>linkedin</t>
        </is>
      </c>
      <c r="E74" t="inlineStr"/>
      <c r="F74" t="inlineStr"/>
      <c r="G74" t="inlineStr">
        <is>
          <t>San Jose, CA</t>
        </is>
      </c>
      <c r="H74" t="inlineStr"/>
      <c r="I74" t="inlineStr">
        <is>
          <t>**Responsibilities**
 About the Team
 The Safety Product (or Platform Responsibility)team is at the forefront of building and optimizing content safety systems. With a focus on optimizing and advancing content safety, we leverage advanced large language models to enhance review efficiency, risk control, and user trust. Working closely with business and technical stakeholders, we deliver scalable solutions that keep pace with rapid global growth.
 Responsibilities
 \- Lead the design and execution of AI\-driven safety frameworks that translate policy and risk requirements into scalable product solutions;
 \- Drive complex projects independently, define the roadmap for AI\-based safety products, set measurable success metrics, and ensure continuous iteration and improvement;
 \- Collaborate with cross\-functional partners (ML engineers, data scientists, policy experts, operations) to develop structured, interpretable, and automated systems that strengthen platform safety and governance;
 \- Apply data analysis, natural language processing, and large\-scale machine learning methodologies to identify risky content (e.g., violence, fraud, abuse) and design product strategies to mitigate harm;
 \- Establish workflows to analyze, prioritize, and validate AI\-based governance solutions across global markets.
**Qualifications**
 Minimum Qualifications
 \- 3\+ years of product management experience in consumer\-facing mobile/web companies, ideally in AI/ML or Trust \&amp; Safety domains;
 \- Hands\-on experience working with AI/ML systems or NLP technologies, and ability to translate model capabilities into product solutions;
 \- Proven track record of delivering impactful products and/or process improvements that enhance safety, governance, or user experience;
 \- Strong data analysis skills, with the ability to evaluate AI/ML model quality, interpret trade\-offs, and guide iteration;
 \- Excellent communication and project management skills, capable of influencing and aligning cross\-functional stakeholders.
 Preferred Qualifications
 \- Prior experience in Trust \&amp; Safety, safety\-by\-design, or risk/governance products;
 \- Familiarity with online safety regulations, AI policy trends, and emerging governance practices in the tech industry;
 \- Experience managing products with safety\-related metrics (e.g., precision/recall, error trade\-offs, governance impact);
 \- Experience with human\-in\-the\-loop and machine moderation systems for reducing harmful content;
 \- Experience working with international teams across diverse markets, time zones, and cultural contexts.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5">
      <c r="A75" t="inlineStr">
        <is>
          <t>li-4356655127</t>
        </is>
      </c>
      <c r="B75" t="inlineStr">
        <is>
          <t>Sr. AI Risk Product Manager, AI.x</t>
        </is>
      </c>
      <c r="C75" t="inlineStr">
        <is>
          <t>Charles Schwab</t>
        </is>
      </c>
      <c r="D75" t="inlineStr">
        <is>
          <t>linkedin</t>
        </is>
      </c>
      <c r="E75" t="inlineStr"/>
      <c r="F75" t="inlineStr"/>
      <c r="G75" t="inlineStr">
        <is>
          <t>San Francisco, CA</t>
        </is>
      </c>
      <c r="H75" t="inlineStr"/>
      <c r="I75" t="inlineStr">
        <is>
          <t>Your opportunity
 At Schwab, you will build a rewarding career while making a difference in the lives of our millions of clients. Here, innovative thinking meets creative problem solving as we work together to challenge the status quo. We believe in the power of collaboration and value being together in the office, which is why this role is based on\-site in our San Francisco office. Joining Schwab means joining a company committed to transforming the financial industry and putting clients at the center of everything we do.
 Schwab’s AI Strategy \&amp; Transformation team—known as AI.x—is the central hub for Artificial Intelligence at Schwab. We are an integrated product, engineering, strategy and risk team, all based in San Francisco. We help set the enterprise vision for AI, invest in the most promising opportunities, and accelerate delivery across the company. We also build the core platform that powers AI at scale and explore next\-generation GenAI efforts that will redefine how we serve our clients.
 Senior AI Product Managers on AI.x, play an essential role in advancing Schwab’s priorities by driving the development and execution of innovative AI product strategies. This position offers the opportunity to help shape Schwab’s future with AI, create transformative solutions that serve millions of clients, and grow your career in one of the most dynamic areas of technology today.
 As a Senior AI Risk Product Manager on AI.x, you will help advance Schwab’s risk management and compliance goals by driving the development and execution of innovative AI product \&amp; workflow experiences in partnership with our Risk Management, Compliance, and Cyber teams. Your work will focus on identifying and executing on opportunities to leverage GenAI to enhance control testing and risk monitoring across operational, corporate risk oversight, and cyber risk management. Long term, you will help develop agentic tools that reduce manual burden, improve detection, and drive stronger governance outcomes. This is an opportunity to shape the future of AI\-driven risk management, create transformative solutions, and grow your career in one of the most dynamic areas of technology today.
**What You’ll Do**
* Collaboratively define the GenAI platform vision and roadmap for risk, compliance, and cyber use cases.
* Partner with R\&amp;D and risk stakeholders to identify impactful projects and define evaluation strategies for measuring and monitoring the quality of generative AI output in risk and compliance contexts.
* Participate in model validation to ensure continued performance, regulatory alignment, and business value of AI tools.
* Define metrics to estimate hallucination impact, output acceptance, safety concerns, and compliance effectiveness.
* Communicate key metrics and risk insights to both technical and non\-technical stakeholders, highlighting trends, variance, and business impact.
* Distill MVPs and iterative deliverables from long\-term product visions and goals, focusing on risk and compliance transformation.
* Champion the near\-term product vision, ensuring alignment with Schwab’s strategic goals and regulatory requirements.
* Oversee the product lifecycle from concept to launch, including user research with risk and compliance teams, requirements gathering, and go\-to\-market strategy.
* Proactively identify and mitigate risks throughout the product development process, with a focus on regulatory and operational risk.
* Build enablement and onboarding plans to empower internal risk and compliance teams to leverage platform tools.
* Rigorously and dynamically prioritize the product roadmap, ensuring the development team is creating value with each iterative delivery.
 What you have
**Required Qualification**
* BA/BS degree
* 7\-10\+ years of professional IT or Product development experience
* 5\+ years of direct product experience
* 3\+ years of experience working closely with software engineers
* Demonstrable understanding of generative AI technology, architecture, and terminology including LLMs, RAG, system prompts, agentic, etc.
* Experience using/building generative AI solutions, ideally in risk, compliance, or cyber domains.
**Preferred Qualifications**
* MBA, JD or Graduate degree in Computer Science or other field related to AI.
* Professional experience in engineering, data science, risk management, compliance, or related field.
* Experience building Agentic workflows (e.g., with Copilot Studio, Vertex AI Agent builder etc.).
* Outstanding verbal and written communication skills with demonstrated ability to communicate effectively with all levels of the organization.
* Familiarity with financial services and the regulations that apply to the industry.
* Strong business influence skills.
* Ability to distill strategy, analytics and varied sets of input to drive decisions across stakeholder communities.
* Building credibility with peers and key stakeholders (at all levels of the organization) to be able to drive action.  Ability to develop multiple solutions to the same problem and identify the common failure modes associated with each.
* Passion for identifying user pain points, generating ideas to relieve them, and acting swiftly to test potential solutions.
* Self\-starter with outstanding organizational skills, attention to detail, and desire to continually reevaluate existing products and processes.
* Comfort in a dynamic and fast\-moving work environment, with a positive attitude and solid work ethic.
* Curiosity to continually learn and keep up to date with the latest GenAI capabilities.
* A strong track record of performance.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76">
      <c r="A76" t="inlineStr">
        <is>
          <t>li-4367005674</t>
        </is>
      </c>
      <c r="B76" t="inlineStr">
        <is>
          <t>presystem - Product Owner - Data Tools &amp;amp; AI (Charlotte, NC)</t>
        </is>
      </c>
      <c r="C76" t="inlineStr">
        <is>
          <t>Randstad Digital Americas</t>
        </is>
      </c>
      <c r="D76" t="inlineStr">
        <is>
          <t>linkedin</t>
        </is>
      </c>
      <c r="E76" t="inlineStr"/>
      <c r="F76" t="inlineStr"/>
      <c r="G76" t="inlineStr">
        <is>
          <t>Charlotte, NC</t>
        </is>
      </c>
      <c r="H76" t="inlineStr"/>
      <c r="I76" t="inlineStr">
        <is>
          <t>**Job Summary:**
 Product Owner \- Data Tools \&amp; AI
 Location: Charlotte, NC
 Work Model: Hybrid (3 days in office / 2 days remote)
 Visa Sponsorship: Not available
 We are seeking a Product Owner to support the Data Tools \&amp; AI product domain within the Finance Transformation Office. This role plays a pivotal part in shaping how data tools and AI capabilities accelerate Finance modernization. The Product Owner will lead requirements intake across Finance stakeholders, application tenants and perform deep assessments of capability needs, and steward delivery of high‑quality solutions supporting data ingestion, analytics, controls, change and distribution. The ideal candidate thrives in complex data environments, collaborates effectively across business and technology teams, and brings a structured, value‑driven approach to product ownership.
 Key Responsibilities
 Requirements Management \&amp; Analysis
 Lead end‑to‑end requirements gathering with Finance LOBs, Cross‑Product teams, Operations, and Technology partners.
 Conduct detailed requirements analysis and preliminary solution design to ensure accuracy, completeness, and alignment with the application framework.
 Rationalize, validate, and streamline business requirements to eliminate redundancy and simplify complexity.
 Translate business needs into clear epics, features, and user stories with complete acceptance criteria.
 Backlog Ownership \&amp; Delivery Execution
 Own, manage, and continuously refine the product backlog with clear prioritization and transparency.
 Partner with Agile delivery teams (Scrum and Kanban) to ensure scope clarity and timely execution.
 Facilitate backlog grooming, sprint planning, demos, and retrospectives to drive delivery consistency.
 Change Management \&amp; Release Management
 Oversee change management activities including impact assessments, communication, stakeholder alignment, and readiness.
 Collaborate with Technology teams on release planning, deployment validation, and post‑release monitoring.
 Ensure full traceability of requirements through development, testing, and deployment.
 Stakeholder Engagement \&amp; Leadership
 Serve as the primary liaison between business stakeholders and delivery teams to communicate scope, risks, and design decisions.
 Provide indirect leadership across cross‑functional groups to drive initiatives and resolve issues.
 Partner with mid‑level and senior leaders to align priorities, manage dependencies, and remove blockers.
**Required Qualifications**
 7\+ years of experience in Agile product ownership or product management (Scrum and Kanban).
 Proven experience gathering and analyzing requirements for data tools, data platforms, portals, or financial systems.
 Strong communication, storytelling, and stakeholder‑influencing skills.
 Technical and Functional expertise with data ingestion, distribution, adjustments, and data quality frameworks/tools.
 Strong SQL skills.
**Desired Qualifications**
 Experience creating wireframes and defining OKR's \&amp; KPIs.
 Ability to simplify complex data concepts for diverse audiences.
 Excellent critical‑thinking and problem‑solving skills with a customer‑focused mindset.
 Advanced SQL skills for data analysis and testing.
 Job Expectations
 Candidate must be local to Charlotte, NC.
 Hybrid model: 3 days onsite / 2 days remote (subject to business needs).
 This role is not eligible for visa sponsorship.
 location: Charlotte, North Carolina
 job type: Contract
 salary: $76\.25 \- 79\.00 per hour
 work hours: 8am to 5pm
 education: Bachelors
**Responsibilities:**
**Product Owner \- Data Tools \&amp; AI**
**Location:** 
 Charlotte, NC
**Work Model:** 
 Hybrid (3 days in office / 2 days remote)
**Visa Sponsorship:** 
 Not available
 We are seeking a
 **Product Owner** 
 to support the
 **Data Tools \&amp; AI product domain** 
 within the Finance Transformation Office. This role plays a pivotal part in shaping how data tools and AI capabilities accelerate Finance modernization. The Product Owner will lead requirements intake across Finance stakeholders, application tenants and perform deep assessments of capability needs, and steward delivery of high‑quality solutions supporting data ingestion, analytics, controls, change and distribution. The ideal candidate thrives in complex data environments, collaborates effectively across business and technology teams, and brings a structured, value‑driven approach to product ownership.
****Key Responsibilities****
**Requirements Management \&amp; Analysis**
* Lead end‑to‑end requirements gathering with Finance LOBs, Cross‑Product teams, Operations, and Technology partners.
* Conduct detailed requirements analysis and preliminary solution design to ensure accuracy, completeness, and alignment with the application framework.
* Rationalize, validate, and streamline business requirements to eliminate redundancy and simplify complexity.
* Translate business needs into clear epics, features, and user stories with complete acceptance criteria.
**Backlog Ownership \&amp; Delivery Execution**
* Own, manage, and continuously refine the product backlog with clear prioritization and transparency.
* Partner with Agile delivery teams (Scrum and Kanban) to ensure scope clarity and timely execution.
* Facilitate backlog grooming, sprint planning, demos, and retrospectives to drive delivery consistency.
**Change Management \&amp; Release Management**
* Oversee change management activities including impact assessments, communication, stakeholder alignment, and readiness.
* Collaborate with Technology teams on release planning, deployment validation, and post‑release monitoring.
* Ensure full traceability of requirements through development, testing, and deployment.
**Stakeholder Engagement \&amp; Leadership**
* Serve as the primary liaison between business stakeholders and delivery teams to communicate scope, risks, and design decisions.
* Provide indirect leadership across cross‑functional groups to drive initiatives and resolve issues.
* Partner with mid‑level and senior leaders to align priorities, manage dependencies, and remove blockers.
****Required Qualifications****
* 7\+ years of experience in Agile product ownership or product management (Scrum and Kanban).
* Proven experience gathering and analyzing requirements for data tools, data platforms, portals, or financial systems .
* Strong communication, storytelling, and stakeholder‑influencing skills.
* Technical and Functional expertise with data ingestion, distribution, adjustments, and data quality frameworks/tools .
* Strong SQL skills.
****Desired Qualifications****
* Experience creating wireframes and defining OKR's \&amp; KPIs .
* Ability to simplify complex data concepts for diverse audiences.
* Excellent critical‑thinking and problem‑solving skills with a customer‑focused mindset.
* Advanced SQL skills for data analysis and testing.
**Job Expectations**
* Candidate must be local to Charlotte, NC .
* Hybrid model: 3 days onsite / 2 days remote (subject to business needs).
* This role is not eligible for visa sponsorship.
**Qualifications:**
 Desired Qualifications
 Experience creating wireframes and defining OKR's \&amp; KPIs.
 Ability to simplify complex data concepts for diverse audiences.
 Excellent critical‑thinking and problem‑solving skills with a customer‑focused mindset.
 Advanced SQL skills for data analysis and testing.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77">
      <c r="A77" t="inlineStr">
        <is>
          <t>li-4362425570</t>
        </is>
      </c>
      <c r="B77" t="inlineStr">
        <is>
          <t>Senior Product Manager, Embedded Partnerships</t>
        </is>
      </c>
      <c r="C77" t="inlineStr">
        <is>
          <t>TheGuarantors</t>
        </is>
      </c>
      <c r="D77" t="inlineStr">
        <is>
          <t>linkedin</t>
        </is>
      </c>
      <c r="E77" t="inlineStr"/>
      <c r="F77" t="inlineStr"/>
      <c r="G77" t="inlineStr">
        <is>
          <t>New York, NY</t>
        </is>
      </c>
      <c r="H77" t="inlineStr"/>
      <c r="I77" t="inlineStr">
        <is>
          <t>TheGuarantors is a cutting edge fintech company setting the standard in rent coverage with unrivaled insurance products. With a deep understanding of owner, operator, and renter needs, we believe renters deserve better access to the home of their dreams and operators deserve greater protection and growth opportunities. That’s why we’re leveraging our expertise in real estate and using AI\-based technology to help operators qualify renters faster while mitigating the risk of rental income loss. With $5B\+ in rent and deposits guaranteed, we work with 9 of the country’s top 10 operators and have been named one of Inc. 5000’s fastest\-growing companies, one of Forbes’ Best Startup Employers, and one of Deloitte’s Technology Fast 500\.
****The Role****
 We’re looking for a
 ****Senior Product Manager****
 to lead our
 ****embedded channel partnerships and Property Management System (PMS) integrations****
 . This role will own the strategy, roadmap, and execution for our
 ****customer\-facing APIs****
 , powering seamless integrations between TheGuarantors’ products and our partners’ platforms.
 You’ll act as the voice of the developer and integration partner, ensuring our APIs deliver exceptional usability, reliability, and value to both internal teams and external stakeholders. You’ll work cross\-functionally with engineering, design, partnerships, marketing, and customer success to bring integrations to market that expand our reach and improve customer workflows.
 Achievements in this role include launching and scaling TheGuarantors’ customer\-facing API, enabling new distribution channels and embedded partnerships. Also delivering a best\-in\-class developer experience that makes integrating with TheGuarantors seamless and building the foundation for long\-term platform scalability and partner ecosystem growth.
**What You’ll Do**
* Own the customer\-facing API product: Define the roadmap, prioritize enhancements, and drive execution across teams to ensure smooth and scalable partner integrations.
* Launch APIs to market: Partner with engineering and marketing to deliver high\-quality developer documentation, onboarding resources, and go\-to\-market materials that drive adoption.
* Represent the developer user: Advocate for the needs of external developers and technical partners throughout the product lifecycle, ensuring our APIs are intuitive and easy to use.
* Lead PMS integration strategy: Manage integrations with leading Property Management Systems (PMS), ensuring they’re deeply embedded, reliable, and valuable for property managers and operators.
* Collaborate cross\-functionally: Work closely with partnerships, engineering, and operations teams to prioritize technical enablement that aligns with business goals and market opportunities.
* Monitor performance and adoption: Define success metrics, track partner integration performance, and continuously optimize for growth and user satisfaction.
* Own partner enablement tools: Oversee API documentation, sandbox environments, and integration guides to reduce friction for external developers.
**What We Are Looking For**
* 4\+ years of experience in product management, ideally with experience in API, platform, or B2B integrations.
* Proven track record of launching APIs or developer products to market, including documentation and developer experience.
* Strong understanding of partner and property management workflows, especially in the real estate, fintech, or proptech industries.
* Strong collaboration and communication skills, with the ability to align both technical and non\-technical audiences to drive adoption and deliver measurable outcomes.
* Excellent problem\-solving and strategic thinking abilities, with experience operating in fast\-paced, ambiguous environments.
**Benefits**
* Opportunities to make an impact within a fast growing company
* Medical, dental, \&amp; vision insurance, beginning day one
* Health savings account with employer contribution
* Generous PTO and paid holidays
* Flexible working hours
* 401(k)
* Paid parental leave
* Company sponsored short and long term disability
* Flexible spending accounts (healthcare, dependent care, commuter)
****Base Salary****
*****The base salary range is between $150,000 \- $180,000 annually.*****
 Base salary does not include other forms of compensation or benefits. Final offer amounts are determined by multiple factors, including prior experience, expertise, location and current market data and may vary from the range above.
****Stay in Touch****
 Does this role not quite match your skills, but you’re still interested in what we're doing? Stay In Touch and apply to our Dream Job to be one of the first to hear about future opportunities!
 TheGuarantors is an Equal Opportunity Employer. We celebrate diversity and are committed to an inclusive environment for all.</t>
        </is>
      </c>
    </row>
    <row r="78">
      <c r="A78" t="inlineStr">
        <is>
          <t>li-4366866326</t>
        </is>
      </c>
      <c r="B78" t="inlineStr">
        <is>
          <t>Business Program Manager - ROI &amp; Delivery</t>
        </is>
      </c>
      <c r="C78" t="inlineStr">
        <is>
          <t>techolution</t>
        </is>
      </c>
      <c r="D78" t="inlineStr">
        <is>
          <t>linkedin</t>
        </is>
      </c>
      <c r="E78" t="inlineStr"/>
      <c r="F78" t="inlineStr"/>
      <c r="G78" t="inlineStr">
        <is>
          <t>Ridgewood, NJ</t>
        </is>
      </c>
      <c r="H78" t="inlineStr"/>
      <c r="I78" t="inlineStr">
        <is>
          <t>We are seeking a
 **Business Program Manager \- ROI \&amp; Delivery** 
 with the authority to serve as the
 **economic conscience** 
 for our AI and transformation portfolio. This role is not about after\-the\-fact reporting—it’s about
 **rigorous upfront evaluation** 
 , ensuring every initiative proves its worth
 **before any investment or execution begins** 
 .
**Job Title: Business Program Manager \- ROI \&amp; Delivery** 
**Location: Ridgewood, NJ (hybrid work, 3 days onsite)** 
**Core Responsibilities** 
* Lead structured discovery to define
 **business problems, process ownership, baseline economics, success metrics, and risks** 
 before solutioning or investment decisions.
* Drive
 **upfront ROI and business case development** 
 , translating complex challenges into clear financial and operating models.
* Define
 **ROI thresholds, payback expectations, and go / redesign / stop decisions** 
 , ensuring initiatives proceed only with validated economic justification.
* Analyze and optimize
 **end\-to\-end business processes** 
 using Lean, Six Sigma, or equivalent methodologies to eliminate waste before automation or AI adoption.
* Advise on AI, automation, and SaaS investments with a focus on
 **measurable business impact** 
 , avoiding unnecessary complexity or low\-return initiatives.
* Build and validate
 **bottom\-up effort, cost, capacity, and scale models** 
 , including scenario and sensitivity analysis.
* Shape and govern
 **client transformation portfolios** 
 around high\-ROI initiatives, sequencing work to maximize value realization.
* Establish and monitor
 **ROI\-driven KPIs and dashboards** 
 to track realized value through execution.
* Course\-correct initiatives that deviate from expected economics to protect client outcomes.
* Identify and drive
 **client expansion opportunities** 
 by scaling proven ROI use cases across additional processes, functions, and business units.
* Use delivered results to support
 **data\-backed expansion and long\-term transformation roadmaps** 
 .
* Partner with client business, finance, IT, and operations leaders to align funding decisions, priorities, and accountability.
* Confidently challenge assumptions and prioritize
 **long\-term client value and sustainable expansion** 
 .
**Required Qualifications \&amp; Mindset:**
* Strong Experience in client\-facing roles such as
 **Program Manager,Client Partner, Management Consultant, Engagement Lead, or Strategic Advisor**
* Demonstrated experience owning
 **ROI, value realization, and economic outcomes** 
 for AI, automation, SaaS, or digital transformation initiatives
* Proven ability to lead
 **upfront discovery, business case development, and go / no\-go investment decisions**
* Strong expertise in
 **business process analysis and optimization** 
 using Lean, Six Sigma, or equivalent frameworks
* Hands\-on experience building
 **bottom\-up financial, effort, cost, and capacity models** 
 , including scenario and sensitivity analysis
* Experience advising enterprise clients on
 **AI, automation, and SaaS investments** 
 with a focus on measurable business impact
* Ability to influence and challenge senior stakeholders using
 **data\-driven insights**
* Excellent executive communication, stakeholder management, and cross\-functional collaboration skills
**About Techolution:** 
 Techolution is a next gen AI consulting firm on track to become one of the most admired brands in the world for "AI done right". Our purpose is to harness our expertise in novel technologies to deliver more profits for our enterprise clients while helping them deliver a better human experience for the communities they serve.
 At Techolution, we build
 **custom AI solutions** 
 that produce revolutionary outcomes for enterprises worldwide. Specializing in "AI Done Right," we leverage our expertise and proprietary IP to transform operations and help achieve business goals efficiently.
 We are honored to have recently received the prestigious
 Inc 500 Best In Business award
 , a testament to our commitment to excellence. We were also awarded \-
 AI Solution Provider of the Year
 by The AI Summit 2023, Platinum sponsor at
 **Advantage DoD 2024 Symposium** 
 and a lot more exciting stuff! While we are big enough to be trusted by some of the greatest brands in the world, we are small enough to care about delivering meaningful ROI\-generating innovation at a guaranteed price for each client that we serve.
 Our thought leader, Luv Tulsidas, wrote and published a book in collaboration with Forbes, “Failing Fast? Secrets to succeed fast with AI”. Refer here for more details on the content \-
 https://www.luvtulsidas.com/
**Let's explore further!** 
**Uncover our unique AI accelerators with us:** 
 1\.
 Enterprise LLM Studio
 : Our no\-code DIY AI studio for enterprises. Choose an LLM, connect it to your data, and create an expert\-level agent in 20 minutes.
 2\.
 AppMod. AI
 : Modernizes ancient tech stacks quickly, achieving over 80% autonomy for major brands!
 3\.
 ComputerVision. AI
 : Our ComputerVision. AI Offers customizable Computer Vision and Audio AI models, plus DIY tools and a Real\-Time Co\-Pilot for human\-AI collaboration!
 4\.
 Robotics and Edge Device Fabrication
 : Provides comprehensive robotics, hardware fabrication, and AI\-integrated edge design services.
 5\.
 RLEF AI Platform
 : Our proven Reinforcement Learning with Expert Feedback (RLEF) approach bridges Lab\-Grade AI to Real\-World AI.
**Some videos you wanna watch!** 
* Computer Vision demo at The AI Summit New York 2023
* Life at Techolution
* GoogleNext 2023
* Ai4 \- Artificial Intelligence Conferences 2023
* WaWa \- Solving Food Wastage
* Saving lives \- Brooklyn Hospital
* Innovation Done Right on Google Cloud
* Techolution featured on Worldwide Business with KathyIreland
* Techolution presented by ION World’s Greatest
 Visit us @
 www.techolution.com
 : To know more about our revolutionary core practices and getting to know in detail about how we enrich the human experience with technology.</t>
        </is>
      </c>
    </row>
    <row r="79">
      <c r="A79" t="inlineStr">
        <is>
          <t>li-4367356216</t>
        </is>
      </c>
      <c r="B79" t="inlineStr">
        <is>
          <t>Revenue Enablement Program Manager</t>
        </is>
      </c>
      <c r="C79" t="inlineStr">
        <is>
          <t>Later</t>
        </is>
      </c>
      <c r="D79" t="inlineStr">
        <is>
          <t>linkedin</t>
        </is>
      </c>
      <c r="E79" t="inlineStr"/>
      <c r="F79" t="inlineStr"/>
      <c r="G79" t="inlineStr">
        <is>
          <t>New York, NY</t>
        </is>
      </c>
      <c r="H79" t="inlineStr"/>
      <c r="I79" t="inlineStr">
        <is>
          <t>Later is the enterprise leader in social media and influencer marketing software, services, and data, trusted by leading brands and agencies worldwide. Following our acquisition of Mavely, the Everyday Influencer Platform®, Later enables brands to scale creator partnerships from nano to premium influencers while managing social media content and campaigns across all major social and affiliate networks. Through proprietary performance data, marketing leaders can drive attributable sales and optimize social commerce with our software platform or award\-winning services.
 Later is founded on two success stories that began in 2014: Mavrck, the industry\-leading influencer marketing solution (now Later Influence™), and Later, the best social media management platform (now Later Social™) and first\-to\-market link in bio tool, Later Link in Bio. In 2024, Mavrck and Later officially joined together as one unified business, with a shared vision: to enable the world to make a living with their creativity.
 We're trusted by the top social platforms, with partnerships and integrations with Meta, TikTok, LinkedIn, YouTube, and Pinterest.
 We enable marketers to create high\-performing content and engage in authentic collaborations with creators to reach new audiences, drive engagement, and generate predictable ROI.
**About this position:**
 We're hiring a
 **Revenue Enablement Program Manager** 
 to own the strategy, design, and execution of onboarding and continuous learning programs for our revenue\-generating teams. This role is critical to accelerating ramp time, improving seller consistency, and strengthening industry and product fluency across the customer lifecycle.
 Reporting to the
 **Sales Enablement Manager** 
 , you'll operate with a high degree of ownership—scoping, delivering, and optimizing enablement programs that directly impact revenue performance. You'll work closely with Sales, Customer Success, Product, Product Marketing, RevOps, and Services to ensure our teams are equipped to win in a competitive, fast\-moving market.
 This is an ideal role for someone who has independently built and scaled enablement programs before and thrives in an environment where enablement is treated as a strategic growth lever, not a support function.
**What You'll Do**
**Strategy**
* Design and own role\-specific onboarding and enablement programs that directly support GTM priorities and revenue goals
* Partner with Sales and CS leadership to define what "great" enablement looks like across the customer journey
* Translate business objectives, performance gaps, and field feedback into clear enablement roadmaps and priorities
**Technical / Execution**
* Build and maintain structured onboarding programs, learning tracks, and timelines across Sales and Customer Success roles
* Define onboarding KPIs, track rep progression, and continuously optimize programs using data, feedback, and performance insights
* Own and evolve the Industry Knowledge Program, ensuring content reflects market trends, product updates, and customer needs
* Deliver engaging live and asynchronous training that improves seller confidence, fluency, and execution across sales motions
* Develop high\-quality enablement content that supports enterprise selling, solution positioning, and customer conversations
**Team / Collaboration**
* Act as a program lead across multiple cross\-functional initiatives—owning timelines, deliverables, and stakeholder alignment end\-to\-end
* Partner closely with Product, Product Marketing, RevOps, and Services to ensure enablement content is accurate, relevant, and actionable
* Gather and synthesize feedback from the field to inform new programs, refresh existing content, and close performance gaps
**Research / Best Practices**
* Stay current on enablement best practices, GTM trends, and emerging tools to continuously raise the bar on program quality
* Benchmark onboarding and learning approaches to ensure our enablement strategy remains competitive and scalable
* Test, iterate, and document improvements to enablement programs to drive sustained impact over time
**What Success Looks Like**
* New Sales and CS hires ramp faster and hit productivity benchmarks sooner
* Sellers demonstrate strong industry, product, and solution fluency in customer conversations
* Enablement programs are measurable, repeatable, and clearly tied to revenue outcomes
* GTM leaders trust enablement as a strategic partner that improves performance—not just training completion
* Enablement content and programs remain current, engaging, and aligned with evolving GTM priorities
**What You Bring**
* 5\+ years of experience in Revenue Enablement, Program Management, Sales, Customer Success, or a related field
* Proven success building, launching, and scaling onboarding or learning programs with measurable business impact
* Strong understanding of sales and customer success workflows, particularly in complex or enterprise GTM motions
* Track record of using data and performance metrics to inform decisions and continuously improve programs
* Excellent communication and stakeholder management skills, including comfort presenting to senior leaders
* Hands\-on experience with tools such as Salesforce, Outreach, Gong, and LMS platforms (or equivalents)
* Experience enabling enterprise GTM teams is a strong plus
* Familiarity with the creator economy or adjacent industries is a strong plus
**How you work:**
* You're proactive and results\-driven, always taking initiative, aligning your actions with company goals, and delivering consistent outcomes.
* Strategic and forward\-thinking, you balance immediate needs with long\-term opportunities to drive impactful, innovative results.
* Your curiosity fuels success, keeping you sharp on industry trends, competition, and our cross\-functional business dynamics.
* Adaptable and resourceful, you handle shifting priorities with ease, manage your time effectively, and know when to ask for support.
* You share insights to help the team stay ahead and make informed decisions.
* You bring positivity and resilience to every challenge, tackling obstacles with grit and optimism that inspires those around you.
* You lead with emotional intelligence, building trust, supporting others, encouraging growth, and fostering strong relationships through empathy and collaboration.
**Our approach to compensation:**
 We take a market\-based \&amp; data\-driven approach to compensation. We leverage data from trusted third\-party compensation sources to help us understand the market value of a role based on function, level, geographic location, and scope. We evaluate compensation bi\-annually, including performance and market\-related factors.
 Our salaries are benchmarked against market Total Cash Compensation for the geographic location of our job posting. Compensation for some roles is structured as On Target Earnings (OTE \= base \+ commission/variable) while for others it is structured as Salary only.
 To comply with local legislation and ensure transparency, we share salary ranges on all job postings. Skills, experience and other factors help determine the final salary we offer which may vary from the original range posted.
 Additionally, all permanent team members are eligible to participate in various benefits plans as part of their overall compensation package.
 Salary Range:
 $ 100,000\- 120,000 USD
**Where we work:**
 We have offices in Boston, MA; Vancouver, BC; Chicago, IL; and Vancouver, WA. For select positions, we are open to hiring fully remote candidates. We post our positions in the location(s) where we are open to having the successful candidate be located.
**Diversity, inclusion, and accessibility:**
 At Later, we are committed to fostering a culture rooted in an
 **inclusion\-first mindset at every level** 
 of the company, embracing the importance of hiring and
 **building teams for culture add rather than culture fit** 
 . We openly build and maintain unbiased hiring, pay, and promotion practices to create a foundation for an equitable workplace, paving the way for systemic change.
 We are committed to creating a
 **diverse environment** 
 and are proud to be an
 **equal opportunity employer** 
 . All applications will receive consideration for employment without regard to race, color, religion, gender, gender identity or expression, national origin, disability, or age. Please let us know if you require any accommodations or support during the recruitment process.</t>
        </is>
      </c>
    </row>
    <row r="80">
      <c r="A80" t="inlineStr">
        <is>
          <t>li-4367327708</t>
        </is>
      </c>
      <c r="B80" t="inlineStr">
        <is>
          <t>Sales - Product Manager</t>
        </is>
      </c>
      <c r="C80" t="inlineStr">
        <is>
          <t>BlueLinx Corporation</t>
        </is>
      </c>
      <c r="D80" t="inlineStr">
        <is>
          <t>linkedin</t>
        </is>
      </c>
      <c r="E80" t="inlineStr"/>
      <c r="F80" t="inlineStr"/>
      <c r="G80" t="inlineStr">
        <is>
          <t>Independence, KY</t>
        </is>
      </c>
      <c r="H80" t="inlineStr"/>
      <c r="I80" t="inlineStr">
        <is>
          <t>**Build your Career with BlueLinx as a Product Sales Manager!**
 Are you a specialist in building products with a passion for sales and relationship building? BlueLinx is growing, and we’re looking for a Product Sales Manager to join our dynamic team. This role offers the opportunity to advance your career while working alongside sales management and growth\-minded customers. If you are confident in your product and analytical knowledge and comfortable working across the organization, with customers and suppliers, we want to hear from you!
**Why BlueLinx?**
- Competitive Salary \+ Bonus
- Comprehensive Benefits:
* Medical, Dental, Vision, Prescription
* 401(k) with company match
* Tuition reimbursement
* Life Insurance
* Generous Paid Time Off (PTO) and 8 Company Holidays
* Career Growth: Opportunity to develop and advance your career with a leading building products distributor.
**What You’ll Do**
* Build lasting client relationships to drive sales and long\-term profitability.
* Identify and capitalize on new sales opportunities with existing and prospective customers.
* Optimize profitability, product mix, and inventory turnover for assigned products.
* Ensure effective product performance while fostering strong customer and supplier relations.
* Provide sales and technical support, resolving customer service issues.
* Develop competitive pricing strategies and sales solutions.
* Communicate value propositions and refine sales approaches as needed.
* Promote existing products and introduce new opportunities to maximize revenue.
* Monitor sales performance and profitability, crafting strategic pricing models.
* Collaborate with internal teams, including branches, supply chain, and product management.
**What We’re Looking For**
* 4\+ years of experience with a bachelor’s degree; equivalent industry experience preferred.
* Proven ability to grow and maintain a large book of business.
* Strong organizational skills and ability to work cross\-functionally.
* Expertise in customer support, inventory management, and consultative sales.
**Our Values** 
 : With every decision and action, we put people first, keep the future in mind, and work as a team toward shared progress:
* Customer Centric
* Respect
* Collaboration
* Integrity
* Grit
**About Us**
 BlueLinx is one of America’s largest distributors of building products, with over 70k branded and private\-label SKUs. Headquartered in Marietta, Georgia, we have over 2,000 associates and distribute our comprehensive range of structural and specialty products to approximately 15k national, regional, and local dealers, as well as specialty distributors, national home centers, industrial, and manufactured housing customers.
 The salary range provided is a good faith estimate based on the position requirements and market data. Actual compensation will depend on factors including experience, qualifications, skills, geographic location, and other job\-related considerations. BlueLinx also offers a comprehensive benefits package including health care, dental, vision, life and disability insurance starting the first day of the month, 15 days of paid time off that start accruing your first day, and 8 paid holidays per year.
 To report any issues with this job posting, please contact talent@bluelinxco.com</t>
        </is>
      </c>
    </row>
    <row r="81">
      <c r="A81" t="inlineStr">
        <is>
          <t>li-4352152707</t>
        </is>
      </c>
      <c r="B81" t="inlineStr">
        <is>
          <t>Program Manager 4-ProdDev</t>
        </is>
      </c>
      <c r="C81" t="inlineStr">
        <is>
          <t>Oracle</t>
        </is>
      </c>
      <c r="D81" t="inlineStr">
        <is>
          <t>linkedin</t>
        </is>
      </c>
      <c r="E81" t="inlineStr"/>
      <c r="F81" t="inlineStr"/>
      <c r="G81" t="inlineStr"/>
      <c r="H81" t="inlineStr"/>
      <c r="I81" t="inlineStr">
        <is>
          <t>**Job Description**
**About Oracle Health:**
 At Oracle Health, we’re on a mission to reduce provider burden and accelerate care delivery through powerful, AI\-driven workflow innovation. Our Autonomous Reimbursement, Payer, and Interoperability teams are developing advanced solutions to streamline operations, increase compliance, and transform healthcare outcomes.
**About the Role:**
 We are seeking an accomplished Principal Technical Program Manager (TPM) to lead and drive TPM responsibilities within the Enterprise Analytics space, such as critical project reviews, security operation assessments, and improvements in release management for our AI\-powered healthcare applications. In this pivotal role, you will coordinate cross\-functional teams to ensure execution excellence, support ongoing security compliance, and optimize software release cycles for reliability and efficiency.
**Responsibilities**
**Key Responsibilities:**
* Guide security operations reviews, collaborating with Program Management and Engineering to improve SLAs and mitigate risk, ensure regulatory compliance, and advance operational integrity.
* Serve as a trusted partner for engineering, product, and program management leadership, driving alignment and maximizing delivery efficiency and impact.
* Identify and manage dependencies, risks, and bottlenecks, implementing corrective actions as needed to enable timely, secure, and high\-quality releases.
* Foster a culture of collaboration, continuous improvement, and accountability in a global, distributed team environment.
* Provide executive\-level reporting on project progress, roadblocks, and outcomes.
**Required Qualifications:**
* Bachelor’s or Master’s degree in Computer Science, Information Systems, Engineering, or a related technical field.
* More than 10 years of experience in technical program management, including direct oversight of large\-scale or mission\-critical programs.
* Substantial experience managing software release cycles and/or running critical programs in security operations.
* Demonstrated success in leading cross\-functional initiatives and delivering high\-impact technology programs, ideally within healthcare, SaaS, or cloud environments.
* Deep understanding of program and project management methodologies, risk management, and operational best practices.
* Strong analytical thinking, organizational, and communication skills, with experience engaging technical and non\-technical stakeholders.
* Proven ability to thrive in fast\-paced, ambiguous environments requiring creative problem\-solving and adaptability.
* Proficiency with standard program management tools such as Confluence and Jira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2">
      <c r="A82" t="inlineStr">
        <is>
          <t>li-4367303780</t>
        </is>
      </c>
      <c r="B82" t="inlineStr">
        <is>
          <t>Sr. Technical Program Manager</t>
        </is>
      </c>
      <c r="C82" t="inlineStr">
        <is>
          <t>iA</t>
        </is>
      </c>
      <c r="D82" t="inlineStr">
        <is>
          <t>linkedin</t>
        </is>
      </c>
      <c r="E82" t="inlineStr"/>
      <c r="F82" t="inlineStr"/>
      <c r="G82" t="inlineStr"/>
      <c r="H82" t="inlineStr"/>
      <c r="I82" t="inlineStr">
        <is>
          <t>**The Role**
 We are seeking an innovative Sr. Technical Program Manager (TPM) to lead and execute iA’s software modernization strategy, a critical initiative to modernize and re\-architect our NEXiA software platform and Unleash the Full Potential of Pharmacy.
 To ensure success, you should exhibit strong cross\-functional leadership skills and extensive experience in leading complex program management functions in a related industry. Top\-notch technical program managers combine their business knowledge with technological expertise to promote product innovation.
 You will be responsible for defining an organizational program and governance model, including best practices and lean process, for repeatable success. Along the way you’ll need to identify opportunities for improvements and put processes and tools in place to scale the program and support continual efficiency gains across iA’s Software Portfolio.
 The ideal candidate will be a strong leader with the ability to thrive in a fast\-paced environment with a high level of ambiguity, to build a program from the ground up, and dive deep to bring clarity around process/programs gaps and resolutions. The ideal candidate will be able to not only drive high\-level strategic initiatives, but also roll up their sleeves and wear many hats to get the job done.
**What you’ll do::**
* Drive prioritization of program goals that are aligned with technology, product, and commercialization strategy and business goals
* Coordinate across multiple teams/departments including Engineering, Product, QA,TPM,SW Implementation, and Support teams to ensure functional deliverables that support program objectives are on track
* Establishes program KPIs and communicates program health and updates to functional management and executive leadership. Provides data\-driven recommendations to remove or mitigate program risks
* Continuously incorporate learnings, optimize processes, and promote efficiency through project/program best practices
* Execute change management initiatives to ensure successful adoption of new processes within the program and across teams
* Leads the team to prepare for Phase Gate and other Go/No\-Go decisions by executive leadership, ensuring that decisions are advised by a balanced and clear representation of relevant data
* Independently determines and pursues courses of action vital to obtaining desired results
* Ability to influence and build trust with stakeholders across teams and generate broad support for program/project objectives. Promotes a culture where teams feel recognized, valued, and heard
* Leads cross\-functional teams through problem resolution including root cause analysis and corrective action
* Confidently leads large cross\-functional meetings and events/workshops that are structured, productive, and drive results
**Systems Used**
**Software – Azure DevOps, Microsoft Office Suite and Power BI, Smartsheet, Salesforce, others as necessary**
**Who You Are**
* 7\+ years in a technical program function
* Demonstrated experience leading or supporting software modernization efforts (e.g., re\-architecture, modularization, migration of legacy systems, or modernization of tech stacks)
* Strong understanding of software development and release readiness and the ability to bridge technical and business teams
* BA/BS or equivalent experience required
* Experience managing multiple medium to large projects/programs or multiple smaller projects/programs using core project/program management disciplines including scope, schedule, budget, quality, and risk management
* Strong technical acumen with expertise in software development methodologies
* Experience managing projects across functional teams, building sustainable processes, and coordinating readiness dependencies across multiple teams
* Ability to build strong partnerships across teams with stakeholders at varying levels of the organization, including senior and executive leaders
* Leadership, facilitation skills, strong written/verbal communication and organization skills
* Willing to roll sleeves up and work at a tactical level to drive results
**It Would Be Great If You Also Have**
* PMP or CSM Certification
* Well versed in iterative, agile, and prototype development practices.
* Experience working at a company through ahigh growth/scaling period
* High judgement and negotiation skills with demonstrated ability to influence
* Demonstrated ability to understand and discuss technical concepts and manage tradeoffs
**Applicants must be authorized to work for ANY employer in the U.S. Employer will not sponsor applicants for work visas.**
**What are the perks?**
* Generous time off policy that allows you to put your family first
* Opportunity to work on thecutting edgeof pharmacy automation in a high growth tech company
* Competitive benefits, salary, and talent development opportunities
* Commitment to professional development and working for a company where your voice is heard
**Compensation**
 The estimated base annual salary range for this position is $120,000 to $166,931, though a candidate's base annual salary shall be determined on a range of factors, including, but not limited to, qualifications and experience. This position may additionally be eligible for an annual discretionary bonus.
**More About IA**
**Our Mission** 
 : We partner with providers to transform pharmacy through our leading\-edge software enabled fulfillment technology and partners to deepen the patient\-pharmacist relationship, enhancing patient safety and choice while increasing operational efficiency. iA empowers pharmacists to focus on patient care. iA can run the prescription fulfillment process from start to finish, helping pharmacies manage fulfillment and inventory to help lower costs, improve efficiency, increase safety, and provide comprehensive Rx tracking and real\-time support.
**Our Products**
* Software
* Modular Hardware
* Sophisticated Counting and Collation Devices
**Our Core Values**
* Solutions Driven
* Customer Centric
* Championing Diversity
* Empowering Ownership
* Trust Daringly
 To learn more about iA’s product, people and culture visit us at iarx.com OR check us out on LinkedIn , Facebook or Twitter !
 iA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83">
      <c r="A83" t="inlineStr">
        <is>
          <t>li-4367023230</t>
        </is>
      </c>
      <c r="B83" t="inlineStr">
        <is>
          <t>Program Manager</t>
        </is>
      </c>
      <c r="C83" t="inlineStr">
        <is>
          <t>RemoteHunter</t>
        </is>
      </c>
      <c r="D83" t="inlineStr">
        <is>
          <t>linkedin</t>
        </is>
      </c>
      <c r="E83" t="inlineStr"/>
      <c r="F83" t="inlineStr"/>
      <c r="G83" t="inlineStr"/>
      <c r="H83" t="inlineStr"/>
      <c r="I83" t="inlineStr">
        <is>
          <t>About the Opportunity:
 The organization seeks a Program Manager for Brand/Seasonal Marketing to lead end\-to\-end execution of key brand\-led, seasonal, and cross\-channel marketing programs. This role involves bringing strategic marketing visions to life across multiple channels, including in\-store experiences and digital campaigns, to deliver exceptional omni\-channel marketing programs that engage clients.
 Responsibilities:
 • Drive omni\-channel marketing programs across online and offline channels, including in\-store, print, direct mail, digital, video, and social media.
 • Create and publish schedules integrating traditional and digital media touchpoints, ensuring timely execution to meet launch dates.
 • Collaborate cross\-functionally with Strategy, Brand Marketing, Creative, Visual Merchandising/Production, Channel partners, Merchandising, Store Design, and Agency partners to communicate requirements, deliverables, and timelines.
 • Manage day\-to\-day execution by tracking schedules, preparing meeting agendas, routing creative for feedback, facilitating asset handoffs, and maintaining program archives.
 • Identify risks early during program execution and implement mitigation strategies.
 • Oversee budget management by understanding budget and co\-op funding requirements, tracking expenditures, and facilitating discussions between Creative, Marketing, and Production teams regarding cost impacts.
 Requirements:
 • 4 to 6 years of project or account management experience managing complex, multi\-channel marketing programs from planning through implementation.
 • Exceptional organizational and prioritization skills with strong attention to detail and proactive problem\-solving abilities.
 • Outstanding interpersonal and communication skills for effective collaboration across cross\-functional teams.
 • Ability to adapt and thrive in a fast\-paced, changing environment.
 Benefits \&amp; Perks:
 • Medical, dental, and vision coverage with disability and life insurance fully covered by the organization.
 • Competitive 401k plan with 4% match, FSA and HSA programs, and a Student Debt Retirement plan that qualifies student loan payments for 401k matching.
 • Paid time off, flexible work options, and protected leave to support work/life balance.
 • Access to training, development, and tuition reimbursement for career growth.
 • 30% discount on merchandise and services, opportunities for free product, and flash sale discounts on related brand products.
 • Free mental health and financial coaching resources available 24/7 plus volunteer and donation matching programs.
 Compensation:
 • The annual base salary range for this position is $99,000\.00 to $131,000\.00\.
 • Actual salary depends on factors such as qualifications, experience, skills, education, certifications, business factors specific to the role, and geographic location.
 • Employees in this position may be eligible for bonuses.
 • This job will be posted for a minimum of five days.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4">
      <c r="A84" t="inlineStr">
        <is>
          <t>li-4365365707</t>
        </is>
      </c>
      <c r="B84" t="inlineStr">
        <is>
          <t>Program Manager, Business Operations</t>
        </is>
      </c>
      <c r="C84" t="inlineStr">
        <is>
          <t>MGT Insurance</t>
        </is>
      </c>
      <c r="D84" t="inlineStr">
        <is>
          <t>linkedin</t>
        </is>
      </c>
      <c r="E84" t="inlineStr"/>
      <c r="F84" t="inlineStr"/>
      <c r="G84" t="inlineStr"/>
      <c r="H84" t="inlineStr"/>
      <c r="I84" t="inlineStr">
        <is>
          <t>**About the job** 
 MGT is the first AI\-driven, neo\-insurer focused on evolving commercial P\&amp;C insurance for the brokers and small business owners. By combining the expertise of industry veterans with state\-of\-the\-art technology, we are ushering in the next evolution of commercial insurance and working to move the industry forward through the use of modern technology, better processes, and a rock\-star team. We seek visionary leaders who thrive in dynamic, entrepreneurial settings, and excel in autonomous roles.
 We’re hiring a Program Manager to help us scale how the business runs. This is a startup\-style, high\-ownership role that blends cross\-functional program management, business operations, and basic business intelligence and reporting.
 The core function of this role is to act as a
 **builder, operator, and organizer** 
 , taking ownership of critical initiatives across our Product, Operations, Billing, Service, and Technology teams. You will manage projects from
 **concept to launch (0 → 1\)** 
 and drive their subsequent
 **iteration and growth (1 → n)** 
 . A key focus will be collaborating closely with the Operations and Service teams to enhance execution quality, elevate the customer experience, and boost internal efficiency.
 This position is ideal for an individual who thrives in ambiguity and has a proven track record of taking ideas and making them a reality.
**Responsibilities** 
* Own cross\-functional programs end\-to\-end: define goals, scope, milestones, owners, and timelines—then drive delivery through launch and beyond.
* Act as the “glue” between Ops, Service, Product, Billing, and Tech, ensuring the work is aligned, unblocked, and moving.
* Turn messy problems into structured plans: write project briefs, simplify decisions, coordinate stakeholders, and push work forward.
* Partner closely with Operations and Service teams to identify bottlenecks, improve workflows, and build scalable processes.
* Support launches by coordinating readiness across teams (process changes, training, internal comms, reporting, issue tracking).
* Build simple BI reporting and dashboards to track KPIs, measure program impact, and surface trends (often using spreadsheets \+ basic analytics tools).
* Drive continuous improvement: document processes, refine handoffs, reduce repeat issues, and implement tools/systems that scale.
* Communicate clearly and consistently: communication is tight, proactive, and structured.
**Qualifications** 
* 5\+ years in business operations, program management, operations strategy, consulting, or similar roles in fast\-paced environments.
* Proven track record driving cross\-functional projects from concept → execution → launch.
* Strong project management fundamentals (scoping, planning, prioritization, risk mgmt, stakeholder alignment).
* Comfortable creating basic BI reporting: KPIs, trends, dashboards, operational metrics, and performance tracking.
* Excellent communication skills—able to simplify complexity and drive decisions quickly
* High ownership mindset: you don’t wait for perfect clarity, you create it.
* Strong judgment and ability to balance speed vs. quality in a startup context.
**Nice To Have** 
* Experience supporting Operations and/or Service teams directly
* Familiarity with Insurance industry is a big plus
* Familiarity with billing workflows, customer experience ops, or internal tooling launches
* Experience with BI tools (Looker, Tableau, Power BI) or modern data stacks
**Traits We Value in This Role** 
* *Builder energy*
 : enjoys creating systems where none exist
* *Operator mindset:*
 focused on outcomes, not just deliverables
* ***Process\-oriented:*
 build lightweight processes that bring structure and speed**
* *Cross\-functional leadership:*
 aligns teams without formal authority
* *Metrics\-driven:*
 knows what “good” looks like and measures impact
**Please note:** 
 MGT does not accept unsolicited resumes from staffing vendors, including recruitment agencies and/or search firms. Please do not forward resumes to our jobs alias, MGT employees, or any other company location. Any submittals without a prior signed agreement will become property of MGT.</t>
        </is>
      </c>
    </row>
    <row r="85">
      <c r="A85" t="inlineStr">
        <is>
          <t>li-4352595509</t>
        </is>
      </c>
      <c r="B85" t="inlineStr">
        <is>
          <t>Sr. Program Manager – Post-Acquisition Integration (Remote)</t>
        </is>
      </c>
      <c r="C85" t="inlineStr">
        <is>
          <t>Progressive Leasing</t>
        </is>
      </c>
      <c r="D85" t="inlineStr">
        <is>
          <t>linkedin</t>
        </is>
      </c>
      <c r="E85" t="inlineStr"/>
      <c r="F85" t="inlineStr"/>
      <c r="G85" t="inlineStr">
        <is>
          <t>Michigan, United States</t>
        </is>
      </c>
      <c r="H85" t="inlineStr"/>
      <c r="I85"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PROG Holdings is seeking an experienced Integration Program Leader to lead the post\-close integration of Purchasing Power (PPC) following its acquisition by PROG Holdings. This role is accountable for end\-to\-end integration execution across HR, Finance, Controls/SOX, Identity \&amp; Access, and cross\-functional governance. The right candidate will ensure stabilization, compliance, and disciplined execution against defined enterprise outcomes.
*This position can be performed remotely anywhere in the continental US or from our corporate offices in Utah or Georgia.*
**Key Objectives (What Success Looks Like)**
* Execute a controlled, compliant integration aligned to PROG Holdings’ public\-company standards
* Deliver controls uplift and SOX readiness, achieving SOX compliance for PPC by January 2027
* Ensure PPC payroll and benefits migrate to PROG Holdings systems by June 30, 2026
* Accelerate PPC’s financial close and reporting alignment to PROG Holdings timelines within 6–12 months post\-close
* Preserve a clean, sequenced migration path to Workday HCM and Workday ERP, avoiding “build twice” solutions
**We Are**
 A results\-driven organization focused on seamless integration after acquisitions. Our team values disciplined execution, transparent governance, and delivering on enterprise outcomes. We foster a culture where decisive leadership, clear communication, and proactive risk management are recognized and rewarded. Here, your expertise in program leadership and integration will make a real impact.
 With your broad strategic expertise, you will plan, develop, and implement highly effective integration strategies, solutions, and initiatives to ensure compliance, operational excellence, and successful outcomes for our enterprise.
**You Are**
 A hands\-on, decision\-oriented leader, responsible for translating integration strategy into executable plans, surfacing risks and dependencies early, and driving alignment across functional leaders in a hybrid integration model. You serve as the single point of accountability for integration delivery, operating within clearly defined guardrails and escalation paths. Your ability to manage ambiguity, align stakeholders, and drive compliance sets you apart.
 You thrive in dynamic environments, excel at translating strategy into action, and are comfortable making tough decisions. You will act as the face of our integration efforts, building impactful relationships with senior leaders and functional teams to help drive results. You will connect acquired teams to our systems and processes, ensuring a smooth transition and compliance with public\-company standards.
**Your Day\-to\-day**
* Lead the full integration process for a recent acquisition, overseeing all workstreams (HR, Finance, Controls/SOX, Identity \&amp; Access, and more)
* Develop and manage the master integration plan, ensuring all milestones and dependencies are tracked and achieved
* Run weekly cross\-functional syncs and bi\-weekly leadership forums to surface decisions, risks, and dependencies
* Maintain authoritative logs and executive\-ready updates for leadership
* Identify and resolve cross\-team conflicts, resource constraints, and timing risks
* Uphold integration principles and decision rights, escalating major tradeoffs as needed
* Partner closely with HR, Finance, Technology, Security, and acquired company leadership to ensure alignment and accountability
* Ensure compliance with SOX and public\-company standards, driving readiness for key deadlines (e.g., payroll and benefits migration, financial reporting alignment)
* Serve as the go\-to leader for integration execution, planning, and issue resolution
**You’ll Bring**
* 10\+ years leading large\-scale, cross\-functional programs or integrations
* Experience with M\&amp;A integration, ideally in public\-company or SOX\-regulated settings
* Strong understanding of finance operations, close processes, and control environments
* Hands\-on experience with ERP and HCM transformations (Workday preferred)
* Proven ability to operate effectively with senior stakeholders in fast\-paced, ambiguous environments
* Exceptional communication skills, with a knack for producing concise, decision\-oriented materials
* Decisive, structured, and outcomes\-driven leadership style
* Ability to align and influence without direct authority
**We Offer**
* Competitive compensation with bonus potential
* Comprehensive health benefits (Medical/Dental/Vision/Life Insurance) and paid parental leave
* Company\-matched 401k
* Paid time off, holidays, and volunteer time
* Diversity Alliance Resource Groups
* Employee stock purchase program
* Tuition reimbursement
* Charitable gift matching
* All necessary equipment and services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86">
      <c r="A86" t="inlineStr">
        <is>
          <t>li-4356507694</t>
        </is>
      </c>
      <c r="B86" t="inlineStr">
        <is>
          <t>Principal Program Manager</t>
        </is>
      </c>
      <c r="C86" t="inlineStr">
        <is>
          <t>Oracle</t>
        </is>
      </c>
      <c r="D86" t="inlineStr">
        <is>
          <t>linkedin</t>
        </is>
      </c>
      <c r="E86" t="inlineStr"/>
      <c r="F86" t="inlineStr"/>
      <c r="G86" t="inlineStr"/>
      <c r="H86" t="inlineStr"/>
      <c r="I86" t="inlineStr">
        <is>
          <t>**Job Description**
* Track record in analytical, deal\-focused roles
* 3\- 8 plus years in analytical and/or deal driven healthcare work, including healthcare investment banking, consulting, venture capital or partnerships
* Must have a healthcare background
* Demonstrable experience in evaluating new market opportunities and managing cross\-functional teams to bring large deals or projects to close
* Quantitative and strategic skills
* Financial modeling, market sizing, and ROI analysis
* Excellent excel and written presentation skills
**Responsibilities**
 Lead strategic partnership deals for the Oracle Health platform, focusing on structured, analytical deal execution. Responsibilities include:
* Partnership Strategy \&amp; Identification
* Research and assess new markets and partner segments.
* Generate and evaluate high\-potential partnership ideas.
* Business Case Development \&amp; Analysis
* Build rigorous financial models assessing financial contribution of new partnerships, including identifying and segmenting target markets
* Analyze partner business models relative to Oracle Health’s to define mutually beneficial deal structures.
* Quantify ROI, forecast revenue impact, and present recommendations to leadership.
* Deal Execution and Cross Functional Leadership
* Lead cross\-functional deal teams (Product, Licensing, Legal, Clinical, Strategy, Executives) to ensure alignment and timeline management
* Draft internal and external documents that outline partnership structures and opportunities.
* Partner with licensing and legal teams to advocate for ideal contracting terms
* Maintain ongoing records of new and ongoing partners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7">
      <c r="A87" t="inlineStr">
        <is>
          <t>li-4352675476</t>
        </is>
      </c>
      <c r="B87" t="inlineStr">
        <is>
          <t>Sr. Program Manager – Post-Acquisition Integration (Remote)</t>
        </is>
      </c>
      <c r="C87" t="inlineStr">
        <is>
          <t>Progressive Leasing</t>
        </is>
      </c>
      <c r="D87" t="inlineStr">
        <is>
          <t>linkedin</t>
        </is>
      </c>
      <c r="E87" t="inlineStr"/>
      <c r="F87" t="inlineStr"/>
      <c r="G87" t="inlineStr">
        <is>
          <t>Florida, United States</t>
        </is>
      </c>
      <c r="H87" t="inlineStr"/>
      <c r="I87"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PROG Holdings is seeking an experienced Integration Program Leader to lead the post\-close integration of Purchasing Power (PPC) following its acquisition by PROG Holdings. This role is accountable for end\-to\-end integration execution across HR, Finance, Controls/SOX, Identity \&amp; Access, and cross\-functional governance. The right candidate will ensure stabilization, compliance, and disciplined execution against defined enterprise outcomes.
*This position can be performed remotely anywhere in the continental US or from our corporate offices in Utah or Georgia.*
**Key Objectives (What Success Looks Like)**
* Execute a controlled, compliant integration aligned to PROG Holdings’ public\-company standards
* Deliver controls uplift and SOX readiness, achieving SOX compliance for PPC by January 2027
* Ensure PPC payroll and benefits migrate to PROG Holdings systems by June 30, 2026
* Accelerate PPC’s financial close and reporting alignment to PROG Holdings timelines within 6–12 months post\-close
* Preserve a clean, sequenced migration path to Workday HCM and Workday ERP, avoiding “build twice” solutions
**We Are**
 A results\-driven organization focused on seamless integration after acquisitions. Our team values disciplined execution, transparent governance, and delivering on enterprise outcomes. We foster a culture where decisive leadership, clear communication, and proactive risk management are recognized and rewarded. Here, your expertise in program leadership and integration will make a real impact.
 With your broad strategic expertise, you will plan, develop, and implement highly effective integration strategies, solutions, and initiatives to ensure compliance, operational excellence, and successful outcomes for our enterprise.
**You Are**
 A hands\-on, decision\-oriented leader, responsible for translating integration strategy into executable plans, surfacing risks and dependencies early, and driving alignment across functional leaders in a hybrid integration model. You serve as the single point of accountability for integration delivery, operating within clearly defined guardrails and escalation paths. Your ability to manage ambiguity, align stakeholders, and drive compliance sets you apart.
 You thrive in dynamic environments, excel at translating strategy into action, and are comfortable making tough decisions. You will act as the face of our integration efforts, building impactful relationships with senior leaders and functional teams to help drive results. You will connect acquired teams to our systems and processes, ensuring a smooth transition and compliance with public\-company standards.
**Your Day\-to\-day**
* Lead the full integration process for a recent acquisition, overseeing all workstreams (HR, Finance, Controls/SOX, Identity \&amp; Access, and more)
* Develop and manage the master integration plan, ensuring all milestones and dependencies are tracked and achieved
* Run weekly cross\-functional syncs and bi\-weekly leadership forums to surface decisions, risks, and dependencies
* Maintain authoritative logs and executive\-ready updates for leadership
* Identify and resolve cross\-team conflicts, resource constraints, and timing risks
* Uphold integration principles and decision rights, escalating major tradeoffs as needed
* Partner closely with HR, Finance, Technology, Security, and acquired company leadership to ensure alignment and accountability
* Ensure compliance with SOX and public\-company standards, driving readiness for key deadlines (e.g., payroll and benefits migration, financial reporting alignment)
* Serve as the go\-to leader for integration execution, planning, and issue resolution
**You’ll Bring**
* 10\+ years leading large\-scale, cross\-functional programs or integrations
* Experience with M\&amp;A integration, ideally in public\-company or SOX\-regulated settings
* Strong understanding of finance operations, close processes, and control environments
* Hands\-on experience with ERP and HCM transformations (Workday preferred)
* Proven ability to operate effectively with senior stakeholders in fast\-paced, ambiguous environments
* Exceptional communication skills, with a knack for producing concise, decision\-oriented materials
* Decisive, structured, and outcomes\-driven leadership style
* Ability to align and influence without direct authority
**We Offer**
* Competitive compensation with bonus potential
* Comprehensive health benefits (Medical/Dental/Vision/Life Insurance) and paid parental leave
* Company\-matched 401k
* Paid time off, holidays, and volunteer time
* Diversity Alliance Resource Groups
* Employee stock purchase program
* Tuition reimbursement
* Charitable gift matching
* All necessary equipment and services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88">
      <c r="A88" t="inlineStr">
        <is>
          <t>li-4366895496</t>
        </is>
      </c>
      <c r="B88" t="inlineStr">
        <is>
          <t>Regional Technical Program Manager II, Construction Quality</t>
        </is>
      </c>
      <c r="C88" t="inlineStr">
        <is>
          <t>Google</t>
        </is>
      </c>
      <c r="D88" t="inlineStr">
        <is>
          <t>linkedin</t>
        </is>
      </c>
      <c r="E88" t="inlineStr"/>
      <c r="F88" t="inlineStr"/>
      <c r="G88" t="inlineStr">
        <is>
          <t>Austin, TX</t>
        </is>
      </c>
      <c r="H88" t="inlineStr"/>
      <c r="I88" t="inlineStr">
        <is>
          <t>**Minimum qualifications:**
* Bachelor's degree in a technical field, or equivalent practical experience.
* 2 years of experience in program management.
* Experience in construction and commissioning of data centers.
**Preferred qualifications:**
* Certification in Certified Commissioning Professional (CCP), Certified Building Commissioning Professional (CBCP), Qualified Commissioning Process Provider (QCxP), Certified Commissioning Authority (CxA), Project Management Institute Construction Professional (PMI\-CP).
* Experience with SQL, Tableau, metrics dashboards, data visualization and Google Workspace apps.
* Experience in data center structural, electrical, mechanical engineering and controls equipment.
* Experience with software tools such as Autodesk BIM360, CxAlloy, Latista or Procore.
* Knowledge of operational metrics reporting (e.g., availability, reliability, time to market, productivity, safety, security, quality, cost management, performance, energy use, water use and predictability).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Data Center Construction Quality Program Manager, you'll work directly with our portfolio of general contractors, electrical/mechanical trades organizations, key integrators, fabricators, and commissioning agents to improve our quality in our construction projects. You will engage in pre\-qualification evaluations of potential vendors, update the project manual, communicate quality standards and expectations. You'll be involved in project planning/tracking, risk mitigation and on\-time delivery. You will also serve as an interface to the process excellence and information technology teams who will depend on your project portfolio for best practices, establishing data feeds, fashioning metrics, and capturing lessons learned to help the organization scale efficiently.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scope of projects and develop, execute, or manage project plans for supported programs.
* Establish metrics to quantitatively characterize quality status for the full life\-cycle of the construction project.
* Drive a quality culture that embraces both a right first time and continuous learning approach that improves project efficiency and quality.
* Incorporate quality techniques such as Six Sigma, Lean, DMAIC, VSM, SIPOC, FMEA, and risk management to reduce variations/deviations in key performance indicators.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9">
      <c r="A89" t="inlineStr">
        <is>
          <t>li-4356427738</t>
        </is>
      </c>
      <c r="B89" t="inlineStr">
        <is>
          <t>IT PM Program Manager</t>
        </is>
      </c>
      <c r="C89" t="inlineStr">
        <is>
          <t>Ross Stores, Inc.</t>
        </is>
      </c>
      <c r="D89" t="inlineStr">
        <is>
          <t>linkedin</t>
        </is>
      </c>
      <c r="E89" t="inlineStr"/>
      <c r="F89" t="inlineStr"/>
      <c r="G89" t="inlineStr">
        <is>
          <t>New York, NY</t>
        </is>
      </c>
      <c r="H89" t="inlineStr"/>
      <c r="I89" t="inlineStr">
        <is>
          <t>**Our values start with our people, join a team that values you!**
 Bring your talents to Ross, our leading off\-price retail chain with over 2,200 stores, and a strong track record of success and growth. Our focus has always been bringing our customers a constant stream of high\-quality brands and on\-trend merchandise at extraordinary savings. All while providing a fun and exciting treasure hunt experience.
**As Part Of Our Team, You Will Experience**
* Success. Our winning team pursues excellence while learning and evolving
* Career growth. We develop industry leading talent because Ross grows when our people grow
* Teamwork. We work together to solve the hard problems and find the right solution
* Our commitment to Diversity, Equality \&amp; Inclusion, and our community. We celebrate the backgrounds, identities, and ideas of those who work and shop with us because our differences make us stronger. We strive to be a positive force in our community.
 Our Corporate headquarters are in Dublin, CA, we have 3 buying offices in key markets in New York City, Los Angeles, and Boston, and 8 distribution centers nationwide. With 2023 revenues of $20\.4 billion, we are a Fortune 500 company who is committed to providing an inclusive work environment with continuous learning opportunities and development for our teams.
**General Purpose**
 The IT PM Program Manager position is accountable for delivery of medium complexity projects or group(s) of interdependent projects with medium to large sized teams. The Program Manager establishes and maintains project governance, workplan, resource plan and budget, and oversees vendor selection, negotiation and contracting. They monitor progress to assure deadlines, standards, and cost targets are met and maintain project documentation and traceability. The Program Manager manages multiple stakeholders including project team(s), Governance and Advisory Group members and other IT and business stakeholders (Manager through SVP level) as well as managing vendor relationships and resources (depending on project needs). The Program Manager works independently to organize and structure their own work, while providing vision, direction, training and coaching to project team members and direct reports. The Program Manager also provides future\-focused leadership such as defining new products and services, continuous improvement/innovation, and Project Management capability development. The role is responsible for continuing professional development to ensure they are following appropriate PM practices and staying current on relevant technology, processes and tools.
 The base salary range for this role is $142,200 \- $235,700\. The base salary range is dependent on factors including, but not limited to, experience, skills, qualifications, relevant education, certifications, seniority, and location. The range listed is just one component of the total compensation package for employees. Other rewards vary by position and location.
**Essential Functions**
* Stays current on industry and technology trends, leveraging insights to bring forward new products or solutions
* Generates and manages workplans for complex and interdependent programs, projects and workstream plans, ensuring that all activities are identified, are appropriately organized and resourced
* Manages program and/or project resourcing, including staffing costs, forecasts and variances to ensure effective resource utilization
* Plans and leads analysis and stakeholder consultation through SVP level to agree on project scope and deliverables
* Plans and coordinates the requirements identification, document and manage requirements throughout the project; and coordinate verification of achievement
* Identifies risks, issues, dependencies, and constraints associated with programs, escalating where appropriate including to senior leadership
* Drafts and delivers reports and presentations that enable stakeholders to evaluate progress and agree on plan and changes
* At conclusion of project, supervises production of appropriate documentation and training to enable successful transition to business
* Leads vendor contracting and ongoing vendor management
* Leads through the capital funding process managing large budgets
* Leads medium to large teams communicating project vision coordinating team actions on project activities; and flow of additional team members on and off the team as needed
* Builds team capability through training, coaching and mentoring
* Executes stakeholder engagement activities to develop effective project working relationships and to ensure that stakeholder needs and concerns are identified and met
* Identifies, acquires, and manages the resources (physical and human) required for delivery
* Leads direct report(s), including performance management, coaching and development and engagement activities
* Identifies and records lessons learned to inform future project activity
* Reviews existing operations and generates new ideas to guide continuous improvements
* Conducts assurance reviews within the program or project, facilitate the delivery of assurance reviews by independent third parties, and take appropriate action to resolve any issues identified
* Leads post\-project reviews and identification of lessons learned
* Maintains external accreditations and stay current on relevant tools and best practices in project management through continuing professional development
* Partners with Engineering Technical managers to lead and manage various engineering\-led projects and initiatives
* Manage delivery leads to deliver required infrastructure (shared\-services) to portfolio\-driven projects.
**Competencies**
**People**
* Building Effective Teams
* Developing Talent
* Collaboration
**Self**
* Leading by Example
* Communicates Effectively
* Ensures Accountability and Execution
* Manages Conflict
**Business**
* Business Acumen
* Plans, Aligns and Prioritizes
* Organizational Agility
**With Particular Emphasis On The Following Specific Position\-related Competencies**
* Plans, Aligns and Prioritizes
* Tech Savvy
* Builds Effective Teams
* Manages Conflict
* Ensures Accountability and Execution
* Customer Focus
* Develops Talent
* Communicates Effectively
**Qualifications And Special Skills Required**
* Bachelor's degree with a concentration in Business, Information Systems or Computer Science or related equivalent experience
* 8\+ years of experience leading project planning and execution in a medium to large company, with equivalent experience and focus on IT infrastructure
* Knowledgeable on infrastructure HW/SW areas including Operating Systems, Database, Storage and Networking
* 2\+ years of people management experience, including leading project managers
* Excellent verbal, written and presentation communication skills to executive audiences; effective listener
* Resourcefulness \- identifies different ways to accomplish work when resources are limited
* Demonstrated ability to collaborate and build strong relationships with individuals through executive level
* Vendor contract negotiation and management
* Influence and Negotiation: able to obtain consensus between two or more internal or external parties with different interests
* Proven organization skills: ability to prioritize effectively and manage multiple tasks in an environment with competing demands
* Strong MSOffice skills \- Microsoft Project, Microsoft Teams, Microsoft One Drive and Visio Adept at learning technologies, tools and processes
* Knowledge of PMO tools such as OnePlan, Primavera, Planview
* Experience with Waterfall, Agile and Hybrid project delivery methodologies
**Preferred Qualifications**
* Project Management Certification such as PMP, PBA, CSM, SAFe Agilist
* Working experience in the retail industry or similar fast\-paced environment
**Physical Requirements/Ada**
 Job requires ability to work in an office environment, primarily on a computer.
 Requires sitting, standing, walking, hearing, talking on the telephone, attending in\-person meetings, typing, and working with paper/files, etc.
 Consistent timeliness and regular attendance.
 Vision requirements: Ability to see information in print and/or electronically.
 This role requires regular in\-office presence, including to engage in in\-person team interaction, meetings and collaboration, client support, mentoring, coaching, and/or feedback. However, this role can perform duties effectively using a combination of in\-office and remote work.
 Ability to travel up to 5% of the time.
**Supervisory Responsibilities**
 IT Project Manager(s)
 IT Project Analyst(s)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t>
        </is>
      </c>
    </row>
    <row r="90">
      <c r="A90" t="inlineStr">
        <is>
          <t>li-4366897852</t>
        </is>
      </c>
      <c r="B90" t="inlineStr">
        <is>
          <t>Program Manager</t>
        </is>
      </c>
      <c r="C90" t="inlineStr">
        <is>
          <t>Jobs via Dice</t>
        </is>
      </c>
      <c r="D90" t="inlineStr">
        <is>
          <t>linkedin</t>
        </is>
      </c>
      <c r="E90" t="inlineStr"/>
      <c r="F90" t="inlineStr"/>
      <c r="G90" t="inlineStr"/>
      <c r="H90" t="inlineStr"/>
      <c r="I90" t="inlineStr">
        <is>
          <t>Dice is the leading career destination for tech experts at every stage of their careers. Our client, New Era Technology, is seeking the following. Apply via Dice today!
 12\+ years of experience in program management and operations
 Proven ability to shift priorities quickly while maintaining a high degree of organization and control.
 Strong analytical skills and data orientation, with experience solving ambiguous problems using data and providing actionable business insights.
 Clear and concise communication skills with executive stakeholders.
 Experience managing multiple projects with increasing dependencies in ambiguous or high\-impact areas.
 Demonstrated expertise in using AI tools to build, optimize, and scale business processes and reporting structures.</t>
        </is>
      </c>
    </row>
    <row r="91">
      <c r="A91" t="inlineStr">
        <is>
          <t>li-4342606599</t>
        </is>
      </c>
      <c r="B91" t="inlineStr">
        <is>
          <t>Program Manager</t>
        </is>
      </c>
      <c r="C91" t="inlineStr">
        <is>
          <t>Creation Technologies</t>
        </is>
      </c>
      <c r="D91" t="inlineStr">
        <is>
          <t>linkedin</t>
        </is>
      </c>
      <c r="E91" t="inlineStr"/>
      <c r="F91" t="inlineStr"/>
      <c r="G91" t="inlineStr">
        <is>
          <t>Dallas, TX</t>
        </is>
      </c>
      <c r="H91" t="inlineStr"/>
      <c r="I91" t="inlineStr">
        <is>
          <t>It's fun to work in a company where people truly BELIEVE in what they're doing!
 We're committed to bringing passion and customer focus to the business.
 The Program Manager (PM) provides outstanding customer service through the management, performance and completion of major account programs. They will assist in managing and directing all phases of a program from inception to completion. They coordinate proposal preparation and establish and monitor project plans and schedules. This position develops and maintains key customer contacts and relationships. The PM reviews Customer Focused Team (CFT) metrics and develops improvement plans in areas including but not limited to customer service, financial performance, customer cost, quality, delivery and continually seeking value added business opportunities.
**DUTIES/ RESPONSIBILITIES** 
 :
* Responsible for managing all aspects of account program management, which operates in a (CFT) matrix management capacity with the following functional areas: production, planning, materials management, quality, engineering, and new business development
* Assign priorities to multiple competing activities quickly and effectively, balancing short and long\-term needs
* Responsible for monitoring and analyzing cost, revenue and profitability performance of programs, providing revenue forecasts and ensuring products are completed on time and within budget; provide pricing rationale and recommendations supporting quotations and proposals for new business opportunities
* Review and approve program expenditures within authority matrix. Conduct review of financial results and variances with management team and ensure ROI. Prepare monthly program financial and operational reports for management review, leading the management presentations and Customer Quarterly Business Reviews
* Responsible for ensuring that program operational metrics are in place and are effectively managed. Monitor key operational performance metrics such as on\-time delivery, quality, responsiveness, price for value, and use of technology. Review company performance to standards on a regular basis reacting to metrics by identifying root cause and solutions
* Assist with managing and executing new programs in accordance with budget, schedule, and technical objectives; leverage relationship with existing customers to identify new business opportunities within assigned accounts
* Responsible for ensuring customer projects meet the customer’s expectations and are delivered on\-time.
* Primary lead aligning stakeholders on deliverables, managing communication, championing meetings, and ensuring updates are provided to the customers in a timely manner
**QUALIFICATION** 
**S:**
* Preferred Bachelor’s degree in relevant field or equivalent combination of education and experience that provides the required skill, knowledge, and abilities
* Minimum of four (4\) years of progressive business management and/or manufacturing operations experience
* Minimum two (3\) years in a Program Management role
* Experience managing projects from concept through production; material control/scheduling, and cost accounting/budgeting
* Knowledge of manufacturing best practices such as Lean, 5S, and Kaizen is an asset
* Experience with an Enterprise Resource Planning Systems such as Oracle or similar systems
**SKILLS REQUIRED** 
 :
* Excellent management, communication and people skills required to influence and manage multiple resources, most of which are not under direct authority. Skilled in conflict resolution and negotiation
* Must have excellent judgment, technical, analytical and problem\-solving skills with the ability to identify complex problems and see them through to resolution
* Able to work independently with minimal supervision
* Executive level presence with exceptional business acumen, possessing overall leadership qualities and abilities
* Team oriented, with demonstrated ability to work with others to drive to targeted outcomes
* Must be flexible and able to deal with multiple, changing priorities
* Ability to read, analyze, and interpret general business documents, contracts, terms and conditions, technical procedures, and/or regulations furnished in written, oral, diagram or schedule form
* Ability to add, subtract, multiply, and divide in all units of measure, using whole numbers, common fractions, and decimals. Ability to compute rate, ratio, and percent and to draw and interpret bar graphs
* Demonstrated ability working with complex reports and MRP database systems
* Must have excellent written and oral communication skills, including the ability to write reports, business correspondence and procedures
* Ability to effectively present information and respond to questions from groups of managers, clients, customers, and the general public
* General understanding of financial concepts (i.e., budgeting and analysis) as well as planning, scheduling, and forecasting knowledge
* Applied knowledge of MS Office Suite (Excel, Access, Outlook, PowerPoint, MS Project etc)
* Strong customer service focus
*If you like wild growth and working with happy, enthusiastic over\-achievers, you'll enjoy your career with us!*
 Creation Technologies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require any accommodations to complete the application process or need the job posting in an alternative format, please email Accessibility@creationtech.com. You will be connected with our Talent Acquisition team.
 If you are contacted regarding the position, please inform our Talent Acquisition team of any accommodations you may need during the recruiting process. All information related to accommodation requests will be handled confidentially.
 Canada: Title for the position will be in accordance with applicable national and local laws.</t>
        </is>
      </c>
    </row>
    <row r="92">
      <c r="A92" t="inlineStr">
        <is>
          <t>li-4366887690</t>
        </is>
      </c>
      <c r="B92" t="inlineStr">
        <is>
          <t>Technical Program Manager II, Data Center Renovations Quality</t>
        </is>
      </c>
      <c r="C92" t="inlineStr">
        <is>
          <t>Google</t>
        </is>
      </c>
      <c r="D92" t="inlineStr">
        <is>
          <t>linkedin</t>
        </is>
      </c>
      <c r="E92" t="inlineStr"/>
      <c r="F92" t="inlineStr"/>
      <c r="G92" t="inlineStr">
        <is>
          <t>Las Vegas, NV</t>
        </is>
      </c>
      <c r="H92" t="inlineStr"/>
      <c r="I92" t="inlineStr">
        <is>
          <t>Note: By applying to this position you will have an opportunity to share your preferred working location from the following:
 **Reston, VA, USA; The Dalles, OR, USA; Las Vegas, Nevada, USA; Moncks Corner, SC 29461, USA; Phoenix, AZ, USA** 
 .
 **Minimum qualifications:**
* Bachelor's degree in Civil, Electrical, Mechanical, Industrial Engineering, Architecture, Construction Management, a related technical field or equivalent practical experience.
* 2 years of experience in program management.
* 2 years of experience in construction quality and commissioning.
* Experience in data center renovations.
* Ability to travel upto 25% of the time.
**Preferred qualifications:**
* Certification in Commissioning Authority (CxA) or Construction Quality Management.
* 2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Construction Quality team serves as the steward of the Google Data Center (GDC) Quality Program. We are committed to industry leadership, leveraging perspectives to continuously enhance our program’s impact. Empowered to innovate and educate, we implement standards to ensure the end\-to\-end quality of our global data center infrastructure.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technical excellence of data center infrastructure during critical renovation and upgrade projects.
* Oversee major retrofits ranging from cooling system overhauls to electrical capacity upgrades ensuring they are commissioned to the highest standards without jeopardizing active facility uptime.
* Bridge the gap between Data Center Construction (DCS) and Data Center Operations (DCOps) by managing third\-party Commissioning Authorities (CxAs) and defining risk mitigation strategies for high\-stakes live cutovers.
* Drive the rigorous validation of mechanical, electrical, and plumbing (MEP) systems to ensure seamless integration and operational reliability.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li-4367004379</t>
        </is>
      </c>
      <c r="B93" t="inlineStr">
        <is>
          <t>Program Manager (PM) AI Programs</t>
        </is>
      </c>
      <c r="C93" t="inlineStr">
        <is>
          <t>Jobs via Dice</t>
        </is>
      </c>
      <c r="D93" t="inlineStr">
        <is>
          <t>linkedin</t>
        </is>
      </c>
      <c r="E93" t="inlineStr"/>
      <c r="F93" t="inlineStr"/>
      <c r="G93" t="inlineStr">
        <is>
          <t>Redmond, WA</t>
        </is>
      </c>
      <c r="H93" t="inlineStr"/>
      <c r="I93" t="inlineStr">
        <is>
          <t>Dice is the leading career destination for tech experts at every stage of their careers. Our client, TechTalent Solutions LLC, is seeking the following. Apply via Dice today!
**Program Manager (PM) AI Programs**
**Location Preference: Redmond, WA**
**Role Overview:
 Looking for a Program Manager with experience in AI/AI\-driven services to manage end\-to\-end program execution and cross\-partner collaboration within Microsoft CFP.**
 Key Responsibilities:
* Plan, schedule, and drive AI\-related programs end to end
* Run office hours, collect partner feedback, and streamline processes
* Engage and collaborate with 80\+ CFP partners to understand services
* Perform gap analysis and identify integration opportunities
* Ensure strong communication and stakeholder alignment across teams
 Required Skills \&amp; Experience:
* Experience or exposure to AI / AI\-related services
* Strong program management skills (planning, execution, coordination)
* Microsoft ecosystem experience
* Excellent communication and stakeholder management skills
 Preferred Qualifications:
* Background in Commerce and Finance
* Experience working with large partner ecosystems</t>
        </is>
      </c>
    </row>
    <row r="94">
      <c r="A94" t="inlineStr">
        <is>
          <t>li-4367318340</t>
        </is>
      </c>
      <c r="B94" t="inlineStr">
        <is>
          <t>Principal Technical Program Manager - AGC</t>
        </is>
      </c>
      <c r="C94" t="inlineStr">
        <is>
          <t>Microsoft</t>
        </is>
      </c>
      <c r="D94" t="inlineStr">
        <is>
          <t>linkedin</t>
        </is>
      </c>
      <c r="E94" t="inlineStr"/>
      <c r="F94" t="inlineStr"/>
      <c r="G94" t="inlineStr">
        <is>
          <t>Redmond, WA</t>
        </is>
      </c>
      <c r="H94" t="inlineStr"/>
      <c r="I94" t="inlineStr">
        <is>
          <t>**Overview**
 Microsoft has an exciting opportunity for a
 **Principal Technical Program Manager (TPM)** 
 to drive end\-to\-end hardware strategy, ensuring alignment with business priorities, operational constraints, and technical requirements across compute and storage categories. As a Principal TPM, you will drive end\-to\-end strategy and execution for cloud hardware delivery, ensuring alignment with business priorities, operational constraints and technical requirements in partnership with internal stakeholders across the entire product portfolio. You will be accountable for orchestrating cross\-functional teams, optimizing processes, and accelerating time\-to\-market in support of regulated workloads. This role is the single point of accountability for roadmap clarity, dependency management, and escalation management, partnering with engineering, supply chain, planning, product, and operations teams. You will represent Microsoft in next\-generation hardware planning, influence platform direction, and advocate for customer needs in executive forums. This position is critical to the growth, resiliency, and compliance of Microsoft’s government\-regulated cloud offerings.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and driving prioritization and sequencing of hardware investments across general compute, specialty compute, storage, and GPUs (graphics processing units).
* Representing Microsoft in next\-generation hardware planning with public cloud teams, influencing platform direction and establishing plans\-of\-record for critical requirements.
* Shaping long\-term strategy for hardware enablement in regulated environments, anticipating market trends and customer needs.
* Orchestrating execution across engineering, supply chain, planning, and operations teams to ensure timely, reliable hardware delivery.
* Driving process optimization and standardization to improve delivery predictability and accelerate time to market.
* Leading escalation management, dependency resolution, and trade\-off decisions across programs.
* Serving as the single accountable owner for roadmap clarity, dependency management, and cross\-organizational communication.
* Embody our culture and values.
**Qualifications**
**Required/Minimum Qualifications:**
* Bachelor's Degree AND 6\+ years experience in engineering, product/technical program management, data analysis, or product development OR equivalent experience.
* 3\+ years of experience managing cross\-functional and/or cross\-team projects.
**Other Requirements**
* Microsoft Cloud Background Check:
+ This position will be required to pass the Microsoft Cloud Background Check upon hire/transfer and every two years thereafter.
* This position is not eligible for visa sponsorship. Candidates must have authorization to work in the United States that does not now or in the future require employer sponsorship.
**Preferred/Additional Qualifications**
* Existing US Government Clearance or ability and willingness to acquire and maintain a US Government Clearance
* 3\+ years leading delivery of cloud hardware solutions and driving requirements for Azure or comparable infrastructure platforms.
* 3\+ years managing cross\-functional team projects involving hardware lifecycle, supply chain, or cloud infrastructure delivery.
* Previous experience leading teams
* Direct GPU lifecycle planning experience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li-4367319697</t>
        </is>
      </c>
      <c r="B95" t="inlineStr">
        <is>
          <t>Program Manager, NAWCAD Mission Systems (Contingent Upon Award)</t>
        </is>
      </c>
      <c r="C95" t="inlineStr">
        <is>
          <t>COLSA</t>
        </is>
      </c>
      <c r="D95" t="inlineStr">
        <is>
          <t>linkedin</t>
        </is>
      </c>
      <c r="E95" t="inlineStr"/>
      <c r="F95" t="inlineStr"/>
      <c r="G95" t="inlineStr">
        <is>
          <t>Patuxent River, MD</t>
        </is>
      </c>
      <c r="H95" t="inlineStr"/>
      <c r="I95" t="inlineStr">
        <is>
          <t>**COLSA is seeking a Program Manager to support NAWCAD Mission Systems Programs in an onsite role in the Patuxent River, MD area. This position is identified as a Key Personnel requirement for a proposal anticipated in 2026 and employment is contingent upon contract award.**
 As Program Manager, You Will Lead a Dynamic Engineering Contract Supporting Multiple NAVAIR Programs, Helping To Ensure Today's Safety And Tomorrow's Innovation. Your Success Will Be Critical In Leading a Multi\-disciplinary Team Of Highly Skilled Professionals To Support The Software Engineering Department And Naval Air Systems Command (NAVAIR) Program Managers (PMs) In Delivering Direct Software Systems Engineering Support Throughout The Full Lifecycle Of a Weapon System—from Concept Development Through Disposal. Areas Include
* Software Sustainment in Software Support Activities (SSAs)
* Software Systems Engineering
* Systems and Software Integration
* Software Development and Testing
* Software Acquisition and Integration
* Laboratory Engineering
* Systems/Subsystems Integration
* Avionics/Software/Air Vehicle Technology Insertion
* Platform Simulation and Configuration Management
* Program Performance Assessment, Planning, and Analysis
**Principal Duties And Responsibilities**
* Prime Contract Management: Oversee the overall management and execution of the prime contract, ensuring alignment with project goals, timelines, and deliverables.
* Budget Management: Manage contract budgets, ensuring that financial resources are allocated efficiently and in compliance with established guidelines.
* Personnel Performance: Lead and monitor the performance of all personnel assigned to the contract, ensuring that roles are clearly defined and team members meet expectations.
* Resource and Staffing Oversight: Ensure that adequate staffing, direct charge resources, and equipment are in place to support contract success and meet project requirements.
* Contract Execution and Expansion: Take full responsibility for the successful execution of the contract, identifying opportunities for growth and expansion of the scope of work.
* Customer Satisfaction: Maintain strong relationships with customers, ensuring their needs are met and issues are resolved promptly to ensure satisfaction.
* Proposal Support: Assist in preparing proposals tied to this contract, including supporting other proposals for related work or future opportunities.
* Policy and Compliance: Ensure full compliance with all corporate policies, procedures, and regulatory requirements across all contract activities.
* Liaison: Serve as the primary liaison between COLSA’s Business Management Team, customers, regulatory personnel, and other key stakeholders.
* Reporting: Provide regular updates and reports on contract performance, financials, risks, and opportunities to the Vice President and other members of leadership.
*At COLSA, people are our most valuable resource and centered at our core value. We invite you to unite your talents with opportunity and be a part of our “Family of Professionals!” Learn about our employee\-centric culture and benefits here.*</t>
        </is>
      </c>
    </row>
    <row r="96">
      <c r="A96" t="inlineStr">
        <is>
          <t>li-4367002546</t>
        </is>
      </c>
      <c r="B96" t="inlineStr">
        <is>
          <t>Dynamics 365 CRM Product Owner / Analyst For Remote Role</t>
        </is>
      </c>
      <c r="C96" t="inlineStr">
        <is>
          <t>Jobs via Dice</t>
        </is>
      </c>
      <c r="D96" t="inlineStr">
        <is>
          <t>linkedin</t>
        </is>
      </c>
      <c r="E96" t="inlineStr"/>
      <c r="F96" t="inlineStr"/>
      <c r="G96" t="inlineStr">
        <is>
          <t>Chicago, IL</t>
        </is>
      </c>
      <c r="H96" t="inlineStr"/>
      <c r="I96" t="inlineStr">
        <is>
          <t>Dice is the leading career destination for tech experts at every stage of their careers. Our client, Exatech Inc, is seeking the following. Apply via Dice today!
**Need Business Analyst/ Product Owner/ Product Manager with Microsoft Dynamics 365 Experience**
 Serves as the voice of the customer and business within Agile development teams, ensuring that technology solutions align with business needs and deliver maximum value. Responsible for defining, prioritizing, and refining the product backlog while working closely with Product Managers, Business Owners, and Scrum Teams. Key operational leader within the SAFe framework, the Product Owner ensures that Agile teams remain focused on delivering high\-priority features while maintaining strong stakeholder alignment.
**Essential Functions** 
* Backlog Management
+ Ensure backlog items are clearly defined, refined, and properly scoped for development teams.
+ Work closely with the Product Manager to align backlog priorities with the broader product roadmap.
* Stakeholder Collaboration \&amp; Communication
+ Act as a primary liaison between Business Owners, Product Managers, and Agile Teams.
+ Gather, analyze, and translate business requirements into actionable user stories.
+ Ensure continuous stakeholder engagement, providing transparency into progress, risks, and upcoming features.
+ Partner with Business Owners to validate that product features meet business goals and customer needs.
* Agile Execution \&amp; Team Support
+ Act as Scrum Master to ensure development teams remain focused and unblocked.
+ Serve as a servant leader and coach for Agile teams, fostering a collaborative and self\-organizing culture.
+ Provide detailed acceptance criteria and collaborate with developers to clarify requirements.
+ Facilitate Scrum ceremonies, including Sprint Planning, Daily Standups, Sprint Reviews, and Retrospectives.
+ Ensure Definition of Ready (DoR) and Definition of Done (DoD) are well\-understood and consistently met.
* Workflow Documentation \&amp; Business Analysis
+ Develop and maintain workflow diagrams, process maps, wireframes, and other business analysis artifacts to support Agile development.
+ Collaborate with stakeholders to document current and future\-state processes, identifying areas for optimization.
+ Support impact analysis and system documentation for new product features and enhancements.
+ Ensure all documentation aligns with Agile best practices and is easily accessible for development teams.
**Required Experience**
* Bachelor's degree in Business, Computer Science, Information Technology, Engineering, or related field.
* 4\+ years of experience as a Business Analyst, Product Owner, or Product Manager
* 3\+ years of experience with Microsoft Dynamics 365 Sales, Marketing, and/or Power Platform.
* Excellent written and verbal communication skills.
* Problem solving with root cause analysis experience.
* Experience working within the SAFe framework
* Experience with user stories, process maps, user journey maps, and similar tools.
**Preferred Experience**
* SAFe Certification (e.g., SAFe PO/PM)
* Strong understanding of Dynamics 365 Sales, Marketing, and Power Platform modules and processes.
* Background in project management, change management, or business analytics,
* Functional domain expertise with sales, marketing, business operations, finance and/or accounting.
* Able to identify and articulate existing/as\-is process models while identifying aspects of data and technology actions needed to accomplish the desired end state.
* Experience with Microsoft DevOps is highly desired.
* Candidates located in the Washington, DC metro area or Chicago are preferred.</t>
        </is>
      </c>
    </row>
    <row r="97">
      <c r="A97" t="inlineStr">
        <is>
          <t>li-4356607728</t>
        </is>
      </c>
      <c r="B97" t="inlineStr">
        <is>
          <t>CDL Program Manager</t>
        </is>
      </c>
      <c r="C97" t="inlineStr">
        <is>
          <t>Louisville Urban League (LUL)</t>
        </is>
      </c>
      <c r="D97" t="inlineStr">
        <is>
          <t>linkedin</t>
        </is>
      </c>
      <c r="E97" t="inlineStr"/>
      <c r="F97" t="inlineStr"/>
      <c r="G97" t="inlineStr">
        <is>
          <t>Louisville, KY</t>
        </is>
      </c>
      <c r="H97" t="inlineStr"/>
      <c r="I97" t="inlineStr">
        <is>
          <t>Jewish Family \&amp; Career Services expands possibilities for each person and every family to meet life’s challenges with confidence. We are guided by our Jewish values to ensure all in Greater Louisville live with dignity and purpose. Our core service areas include Career Services, Counseling Services, Family Strengthening, Jewish Life, Klein Older Adult Services, and the Navigate Enterprise Center.
 Our Values
* Kavod: Respect for the undeniable humanity of each person.
* Chesed: Actions rooted in compassion and empathy.
* Kehilah: Connections that strengthen individuals and build community.
* Tzedek: Advocacy that fosters fairness and equity.
* Avodah: Service to others that has the power to repair our world.
 Purpose: Working primarily with the refugee and international population, the CDL Program Manager will utilize a case management approach to provide comprehensive career and employment assessment, evaluation, coaching and placement assistance in the trucking industry. This is a grant\-funded position with current funding secured through September 30, 2026\.
**Essential Functions**
* Provides career search services with an employment focus, including employability assessment, coaching and support to an adult refugee population. Oversee key elements of the project including scholarships and make recommendations on program changes as changing needs emerge.
* Counsel individuals to help them understand and overcome personal, social, or behavioral problems affecting their success in Vocational Training CDL program.
* Create vocational plans for participants
* Stay abreast of workforce trends and interface with employers
* Stay abreast of community needs and resources
* Linking and cultivating relationships with funding sources, vocational training partners, referral partners, and government offices
* Ongoing communication and correspondence with funders, referrals sources, collateral and other relevant officials
* Conduct outreach efforts to recruit participants into programming
**Secondary Duties**
* Preparing reports on a quarterly basis for funders
* Any of duties as assigned by supervisor
 Supervisory Responsibility: None
 Travel Requirement: Within Louisville Metro area
 Pre\-Employment Requirements: Satisfactory completion of a pre\-employment background check.
**Education, Training And Experience Requirements**
* Associate’s Degree
* 2 years of experience working with refugees/immigrants
* Fluency in another language (preferably Swahili, Kinyarwanda, Dari, Pashto, or Haitian Creole) strongly preferred
* Past experience in workforce development
* Experience with trucking industry preferred
**Performance Requirements**
* Complete and timely entry of all relevant case notes into the appropriate system(s).
* Attend all departmental and agency meetings.
* Maintain a full caseload as determined by the grant requirements.
* Meet goals and outcomes set forth in applicable grants.
* Timely response to internal and external communication (e.g. phone, email, meeting requests, etc.)
**Knowledge, Skills And Abilities**
* Ability to develop constructive, professional and cooperative working relationships with others and maintain those relationships over time.
* Effectively utilize general and program\-specific computer programs (e.g. Microsoft Office Suite, NewOrg, ClientTrack, etc.)
* Effectively operate typical office equipment (telephone, computer, fax machine, copier, mail machine, etc.)
* Sensitivity to different cultural, socio\-economic and age groups.
* Organizational skills
**Physical Requirements And Environmental Conditions**
* Standing, walking, sitting, reaching, bending, stooping, and fine motor skills
* Lifting, carrying, pushing, and pulling up to 25 lbs occasionally
* Work is performed in an office environment
* Work schedule is variable as needed by agency and clients
 The vision of JFCS is that ALL in Greater Louisville live with dignity and purpose. This vision is not possible without prioritizing diversity, equity, inclusion, and a trauma informed approach. We believe it is central to our mission to not only meet the immediate needs of individuals but break down the systemic barriers that can prevent individuals from realizing their full potential.
 In 2022, JFCS established a Belonging \&amp; Engagement Committee comprised of staff and board members to evaluate and improve our internal and external practices. We believe in continuously improving and striving to be a model in our community for equitable service.
 We are committed to an environment in which all staff, board, volunteers, and clients can thrive. We strive to foster equity, remove barriers to access and opportunity, recruit, retain, and grow a diverse and inclusive workforce and board of directors that reflect the communities we serve. Join us in building an accessible and inclusive environment for staff, clients, and Greater Louisville.
 JFCS welcomes people with a growth mindset to our team and in return offers a generous and comprehensive compensation and benefits package including paid annual leave and sick time, medical and dental insurance, 403B, life, short\-term and long\-term disability insurance and generous paid holidays.
 Jewish Family \&amp; Career Services IS AN EQUAL OPPORTUNITY EMPLOYER and does not discriminate against any person or group of persons on the grounds of race, ethnicity, age, color, religion, sex, national origin, sexual orientation, gender identity, veteran status or physical or mental disability as defined by Title VII of the Civil Rights Act of 1964; 1991 Civil Rights Act amendments; The Americans with Disabilities Act; the Age Discrimination in Employment Act; the Kentucky Civil Rights Act; or in any manner prohibited by the laws of the United States, the Commonwealth of Kentucky, or local ordinance, in the recruitment, selection, promotion, evaluation or retention or any terms and conditions of employment for employees or volunteers.
 The employee is expected to adhere to all company policies while employed. Responsibilities and tasks outlined in this document are not exhaustive and may change as determined by the needs of the company.</t>
        </is>
      </c>
    </row>
    <row r="98">
      <c r="A98" t="inlineStr">
        <is>
          <t>li-4367347001</t>
        </is>
      </c>
      <c r="B98" t="inlineStr">
        <is>
          <t>(Contracts) Program Manager, Senior</t>
        </is>
      </c>
      <c r="C98" t="inlineStr">
        <is>
          <t>Pacific Gas and Electric Company</t>
        </is>
      </c>
      <c r="D98" t="inlineStr">
        <is>
          <t>linkedin</t>
        </is>
      </c>
      <c r="E98" t="inlineStr"/>
      <c r="F98" t="inlineStr"/>
      <c r="G98" t="inlineStr">
        <is>
          <t>Paradise, CA</t>
        </is>
      </c>
      <c r="H98" t="inlineStr"/>
      <c r="I98" t="inlineStr">
        <is>
          <t>Requisition ID \# 169913
 Job Category: Project / Program Management
 Job Level: Individual Contributor
 Business Unit: Electric Operations
 Work Type: Hybrid
 Job Location: Paradise
**Department Overview**
 PG\&amp;E’s Underground Program organization is working to reduce wildfire risk each day as we underground 10,000 miles of distribution lines. We are responsible for working across all internal teams and engaging external stakeholders to support successfully meeting our goals and reducing wildfire risk in our hometowns. We work in an exciting and fast\-paced environment.
**Position Summary**
 This position will primarily focus on supporting complex projects, ensuring successful execution and alignment with business objectives. This role requires strong stakeholder engagement, project coordination, and data\-driven decision\-making to drive operational excellence. The ideal candidate will have extensive experience in program and project management, a strategic mindset, and the ability to manage multiple initiatives simultaneously.
 As a Program Manager, Senior, you will work closely with cross\-functional teams, Contract Specialists, Project Managers, and external partners to ensure seamless project execution, efficient resource allocation, and timely delivery of business priorities. You will also support senior leadership with strategic initiatives, reporting, and process improvements, leveraging data and insights to optimize performance.
 This role requires excellent communication, leadership, and problem\-solving skills, along with an understanding of project management methodologies and industry best practices.
**Disclosure:**
 PG\&amp;E is providing the salary range that can reasonably be expected for this position at the time of the job posting. This salary range is specific to the locality of the job. The actual salary paid to an individual will be based on multiple factors, including, but not limited to, internal equity, specific skills, education, licenses or certifications, experience, market value, and geographic location.
**The decision will be made on a case\-by\-case basis related to these factors.** 
 This job is also eligible to participate in PG\&amp;E’s discretionary incentive compensation programs.
**Pay Range:**
* Minimum: $100,00
* Midpoint: $130,00
* Maximum: $161,00
**Job Responsibilities**
* Completes moderate to complex problems and takes a new perspective on existing solutions plan and goals. Communicates with peers, other lines of business and vendors to exchange ideas or gather information. May participate in project/program teams and works independently on most issues. Provides direction on contract use and invoicing means and methods. Communicates findings and recommendations to various levels of management. Develops contract/scope forecasts, conducts analysis in support of identifying variances and develops solutions to address.
* Develops new and ad\-hoc reports, summarizes findings and recommendations and provides business insight. Complete commercial validation of assigned invoices.Support contract and change order requests, support RFI/PCOR requests in unifier. Conduct weekly PO and Invoice risk report analysis to ensure payment compliance, contractual risk and reduce change order and AFPO need. Track and report on contract and change order requests for on time delivery, monitor, track and support compliance with blanket change orders and ensure all contracts are balanced.
* Conduct vendor management meetings, be a liaison between vendor and field and/or vendor and sourcing partners to address and resolve any issues. Complete any required JE (journal entry) submissions monthly to account for spend that cannot be supported as a monthly GRIP or GR. Complete a GRIP for all open liability not captured as a JE, in compliance with SOX accounting principles. Work with line of business to identify appropriate job order numbers and facilitate the cost movement as appropriate for rebuild related scope. Work with line of business to support any technical review questions or concerns prior to validation and ensure data integrity and documentation for all invoicing.
**Qualifications**
 Minimum:
* Bachelor degree or equivalent experience.
* Six Plus (6\+) years of relevant experience in program management, or a related field.Bachelor degree or equivalent.
* Knowledge of energy industry applications, including energy efficiency programs, local\-level customer needs, and regulatory considerations.
* Willingness and ability to travel up to 10% as required.
 Desired:
* Bachelor’s degree in a relevant field or equivalent experience. Demonstrated ability to build strong partnerships and drive results with minimal leadership oversight.
* Proven ability to deliver high\-quality, proactive solutions while resolving complex issues. Proficiency in Microsoft Excel, Word, PowerPoint, and other productivity tools at an intermediate level or higher.
* Strong presentation and time management skills, with the ability to communicate insights effectively.
* Ability to prioritize tasks efficiently and adapt to shifting priorities with minimal direction.</t>
        </is>
      </c>
    </row>
    <row r="99">
      <c r="A99" t="inlineStr">
        <is>
          <t>li-4367019036</t>
        </is>
      </c>
      <c r="B99" t="inlineStr">
        <is>
          <t>Journeyman Program Manager</t>
        </is>
      </c>
      <c r="C99" t="inlineStr">
        <is>
          <t>Astrion</t>
        </is>
      </c>
      <c r="D99" t="inlineStr">
        <is>
          <t>linkedin</t>
        </is>
      </c>
      <c r="E99" t="inlineStr"/>
      <c r="F99" t="inlineStr"/>
      <c r="G99" t="inlineStr">
        <is>
          <t>Oklahoma, United States</t>
        </is>
      </c>
      <c r="H99" t="inlineStr"/>
      <c r="I99" t="inlineStr">
        <is>
          <t>**Overview**
**Journeyman Program Manager**
**WORK LOCATION** 
 :Tinker AFB, OK
**JOB STATUS:** 
 Full\-time; salaried
**SECURITY CLEARANCE:** 
 MUST have an active US Secret clearance
 Astrion has an exciting opportunity for a
 **Journeyman Program Manager** 
 to directly support the Airborne Warning and Control Systems (AWACS) Division, which is within the USAF Digital Directorate.
**Required Qualifications / Skills**
* Clearance: Must currently hold and be able to maintain an active Secret Clearance.
* Citizenship: Must be a US citizen
* Education: Bachelor’s Degree from an accredited educational program and at least 7 years of experience in the respective professional discipline being performed, 5 of which must be in the DoD
+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**Responsibilities**
 Program \&amp; Acquisition Management
* Provide program\-level acquisition support to the Program Manager (PM) and Integrated Product Team (IPT) Leads to ensure disciplined execution, acquisition battle rhythm, and delivery of warfighter capability
* Advise program leadership on overall program health and options to maintain cost, schedule, and performance objectives
* Interpret, coordinate, and execute acquisition project assignments; identify and resolve issues with significant impact to acquisition and sustainment efforts
* Compare program direction and plans for alignment and consistency across stakeholders
* Monitor and assess program integration plans and interface control between systems
 Acquisition Strategy \&amp; Policy Compliance
* Assist with planning, evaluating, and implementing acquisition strategies, including traditional, Middle Tier of Acquisition (MTA), and Urgent Capability pathways
* Provide non\-technical acquisition expertise and guidance in accordance with DoD and Air Force acquisition policies, directives, and instructions
* Identify and resolve policy disconnects; provide policy interpretation and recommendations to program leadership
* Track acquisition reform initiatives and recommend updates to programs impacted by policy changes
 Contracting, RFP \&amp; Source Selection Support
* Provide program management inputs to RFPs, including system requirements, SOWs, SRDs, CDRLs, and evaluation criteria
* Assist with development of source selection strategies and provide administrative and evaluation support
* Review and track prime contractor deliverables, schedules, and contractual performance
* Assist with drafting contractual correspondence related to program management issues
 Program Reporting \&amp; Senior Leadership Briefings
* Develop, prepare, and review acquisition reports and statutory documentation in support of milestone decisions and program oversight
* Support preparation of senior\-level briefings, graphics, schedules, and program status updates
* Maintain recurring program documentation such as MARs, APBs, DAES inputs, SARs, and supplemental acquisition reports
* Utilize DoD\-mandated and specialized systems to support reporting, documentation, and execution
 Risk, Schedule \&amp; Performance Management
* Develop, maintain, and execute program risk management plans; facilitate risk identification, analysis, handling, and monitoring
* Support risk management boards and working groups; document outcomes and action items
* Analyze contractor and subcontractor risk management processes
* Coordinate with program scheduling personnel and correlate EVM cost performance data with Integrated Master Schedule (IMS) CDRLs
 Financial \&amp; Funding Support
* Provide direct support for preparation and submission of funding documents, including purchase requests, MIPRs, and obligation/spend plans
* Support cost and schedule reduction initiatives across acquisition and development efforts
* Evaluate funding realism and cost impacts in support of acquisition strategies and execution decisions
 Advisory \&amp; Leadership Support
* Provide expert acquisition and program management guidance to division chiefs and program/project managers
* Advise PMs on best\-practice program management principles to improve processes, increase efficiency, and achieve cost avoidance
* Support life\-cycle logistics considerations and operational supportability planning
 \#CJ
 Air Force
 EPASS HB</t>
        </is>
      </c>
    </row>
    <row r="100">
      <c r="A100" t="inlineStr">
        <is>
          <t>li-4356477867</t>
        </is>
      </c>
      <c r="B100" t="inlineStr">
        <is>
          <t>Operations Program Manager III</t>
        </is>
      </c>
      <c r="C100" t="inlineStr">
        <is>
          <t>BAE Systems, Inc.</t>
        </is>
      </c>
      <c r="D100" t="inlineStr">
        <is>
          <t>linkedin</t>
        </is>
      </c>
      <c r="E100" t="inlineStr"/>
      <c r="F100" t="inlineStr"/>
      <c r="G100" t="inlineStr">
        <is>
          <t>Dallas, TX</t>
        </is>
      </c>
      <c r="H100" t="inlineStr"/>
      <c r="I100" t="inlineStr">
        <is>
          <t>**Job Description**
 Become part of the leadership team at BAE Systems' Dallas Eclipse facility! We are looking for an Operations Program Manager III to join our team. This person will serve as the liaison between program management, the factory management team and the supply chain team. As an Operations Program Manager, you will perform cost account management activities for the commercial product business, oversee factory execution, and ensure material procurement is supporting the factory needs. Additionally, you will prepare project execution plans, identify technical and business resources needed. Evaluate and report on cost, delivery schedule, and quality.
**Required Education, Experience, \&amp; Skills**
* Bachelor's Degree
* 8 years work experience or equivalent experience
**Preferred Education, Experience, \&amp; Skills**
* Cost Account Management experience
* Strong relationship building skills
* Experience working with supply chain
* Factory / Manufacturing experience
* Data analysis and reporting skills
* Customer interface experience
**Pay Information**
 Full\-Time Salary Range: $120874 \- $205486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1">
      <c r="A101" t="inlineStr">
        <is>
          <t>li-4367329113</t>
        </is>
      </c>
      <c r="B101" t="inlineStr">
        <is>
          <t>Program Manager (supporting NRO)</t>
        </is>
      </c>
      <c r="C101" t="inlineStr">
        <is>
          <t>ASRC Federal</t>
        </is>
      </c>
      <c r="D101" t="inlineStr">
        <is>
          <t>linkedin</t>
        </is>
      </c>
      <c r="E101" t="inlineStr"/>
      <c r="F101" t="inlineStr"/>
      <c r="G101" t="inlineStr">
        <is>
          <t>Chantilly, VA</t>
        </is>
      </c>
      <c r="H101" t="inlineStr"/>
      <c r="I101"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Field Services LLC, a subsidiary of ASRC Federal, is seeking a Program Manager to support the Eagle Command contact with NRO.
**Responsibilities** 
* Responsible for the cost, schedule and technical performance of the Eagle Command (EC) contract.
* Participates in the negotiation of contract and contract changes.
* Coordinates the preparation of proposals, business plans, proposal work statements and specifications, operating budgets and financial terms/conditions of contract.
* Acts as primary customer contact for program activities, leading program review sessions with customer to discuss cost, schedule, and contract performance.
* The Program Manager for the EC contract provides oversight and administrative guidance for:
+ Facility Engineering Support with trade \&amp; skilled labor as needed for Surge Support
+ Custodial support performing all aspects of custodial services including but not limited to site cleaning, sanitation, trash removal, disinfection, and response to trouble calls.
+ Roads and grounds performance providing routine and seasonal responsive for outside maintenance activities to ensure the property meets aesthetic requirements and safe operational status. This includes but is not limited to snow removal, pest control, mowing, road repair, etc.
+ Security escorting support managing and assigning resources to projects and/or tasks administering the schedule for the internal cleared security monitor workforce. Establish a base cleared security monitor workforce to escort uncleared site services personnel.
* Develops new business or expands the product line with stakeholders.
* Establishes milestones and monitors adherence to master plans and schedules, identifies program problems and obtains solutions, such as allocation of resources or changing contractual specifications.
* Directs the work of employees assigned to the program from contract support and/or administrative areas.
**Qualifications**
* Requires a Bachelor's degree (or equivalent experience) with a minimum of 5\-7 years of experience in a related or applicable field, or an equivalent combination of education and experience.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102">
      <c r="A102" t="inlineStr">
        <is>
          <t>li-4367342318</t>
        </is>
      </c>
      <c r="B102" t="inlineStr">
        <is>
          <t>IT Program Manager- TS/SCI with Polygraph</t>
        </is>
      </c>
      <c r="C102" t="inlineStr">
        <is>
          <t>General Dynamics Information Technology</t>
        </is>
      </c>
      <c r="D102" t="inlineStr">
        <is>
          <t>linkedin</t>
        </is>
      </c>
      <c r="E102" t="inlineStr"/>
      <c r="F102" t="inlineStr"/>
      <c r="G102" t="inlineStr">
        <is>
          <t>Chantilly, VA</t>
        </is>
      </c>
      <c r="H102" t="inlineStr"/>
      <c r="I102" t="inlineStr">
        <is>
          <t>****Job Description:****
**Type of Requisition:**
 Regular
****Clearance Level Must Currently Possess:****
 Top Secret SCI \+ Polygraph
****Clearance Level Must Be Able To Obtain:****
 None
****Public Trust/Other Required:****
 None
****Job Family:****
 Software Engineering
****Skills:****
**Job Qualifications:**
 Agile Methodology, Java, JIRA Tool
****Certifications:****
 None
****Experience:****
 8 \+ years of related experience
****US Citizenship Required:****
 Yes
****Job Description:****
 Own the opportunity as an IT Program Manager and help ensure the mission is never interrupted. At GDIT, we deliver clarity with our cloud solutions and provide meaningful work. Your work will be an important part of transforming our clients for the modern age and help them face any obstacle
 At GDIT, people are our differentiator. As an IT Program Manager supporting the customer, you will be trusted to solve complex IT issues while delivering outstanding customer service.
**HOW BEING AN IT PROGRAM MANAGER MAKE AN IMPACT?**
 Ensure the safety and security of our nation as an IT Program Manager at GDIT. You’ll apply the latest technology and provide operational support to deliver actionable intelligence for the Intelligence Community. Here, your work will have meaning and impact as you deliver your best every day.
****Daily Functions****
* Architecture \&amp; Engineering Review Board (AERB)
+ Schedule and facilitate regular AERB review sessions
+ Advise technical leads on presentation requirements and review readiness
+ Maintain Confluence documentation for architectural decisions and standards
* Program Delivery Oversight
+ Monitor team roadmaps and delivery milestones
+ Identify blockers and risks impacting delivery
+ Conduct root cause analysis when teams miss objectives
* Process Improvement
+ Lead ServiceNow workflow optimization for requirements management
+ Identify and implement process improvements
* Stakeholder Communication \&amp; Governance
+ Weekly meetings with division leadership (technical strategy and program status)
+ Monthly Program Management Reviews (PMRs) \- delivery health and risk reporting
+ Bi\-weekly PMO sessions \- program alignment and cross\-cutting concerns
+ Translate technical issues into executive\-level communications
* Metrics \&amp; Program Analytics
+ Track AWS cost metrics for optimization opportunities
+ Monitor Jira velocity metrics to assess team delivery health
+ Manage pilot programs (completion\-based contract pilot, AI implementation pilot)
+ Gather and analyze pilot data for program decisions
* Technical Advisory
+ Serve as technical advisor to division leadership on strategic initiatives
+ Participate in executive meetings requiring deep technical expertise
+ Bridge communication between technical and non\-technical stakeholders
****Required Experience:****
* Education: Bachelor’s degree in Computer Science, Engineering, or a related technical discipline, or the equivalent combination of education, technical certifications or training, or work experience.
* Years experience: 11 years related experience
* Security Clearance Level: Top Secret/SCI with Polygraph
* Location: Chantilly, VA
 \#GDITCareers
 \#WeAreGDIT
 \#JET
 \#VA\_2025Alumni
 \#GDITEnhanced2026
 The likely salary range for this position is $143,485 \- $194,127\.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VA Chantilly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03">
      <c r="A103" t="inlineStr">
        <is>
          <t>li-4367338844</t>
        </is>
      </c>
      <c r="B103" t="inlineStr">
        <is>
          <t>Program Manager IV</t>
        </is>
      </c>
      <c r="C103" t="inlineStr">
        <is>
          <t>Apex Systems</t>
        </is>
      </c>
      <c r="D103" t="inlineStr">
        <is>
          <t>linkedin</t>
        </is>
      </c>
      <c r="E103" t="inlineStr"/>
      <c r="F103" t="inlineStr"/>
      <c r="G103" t="inlineStr">
        <is>
          <t>Sun Prairie Town, WI</t>
        </is>
      </c>
      <c r="H103" t="inlineStr"/>
      <c r="I103" t="inlineStr">
        <is>
          <t>**Job\#: 3020183**
**Job Description:**
 We are looking for a very strong Business/IT Program Manager. Position reports into the Business Transformation Team or IT PMO.
 There are 2 projects likely to be assigned:
* QBE launched a new business for Environmental insurance. Project is to configure our policy admin system (Majesco) to enable booking of policies as well as any development needed for reporting and financials. Effort may also include configuration of our UW Workbench to minimize manual efforts for the underwriters. This is expected to be \~50% of PM time.
* There are currently two options for the other project, both related to our policy admin system:
* Project 1: Various enhancements needed in our policy admin system to support several
 insurance products
 OR
* Project 2: Enhancements needed in our policy admin and/or other systems to specifically
 support our new Commercial Property business
 Day In The Life of Contractor
 This is a Business/IT Program Manager position. The person needs to drive
 delivery of key initiatives supporting our business. This involves working with business/IT and potentially outside vendors to perform all aspects of a Program Manager role, e.g.:
 develop a project plan drive the team towards those milestones track issues/risks/dependencies develop budgets and track forecasts develop and deliver team and senior stakeholder communication
**Technical Skills And Experience**
 What are the top 3 \- 5 must have technical skills?
* Proven experience delivering complex initiatives
* Proven experience with Agile/Agile Methodologies and delivering projects leveraging this
 framework
* Extremely proficient with MS Office Apps – MS Project, PowerPoint, Excel, Word
* Very good financial skills, i.e., creating budgets, forecasts, cost\-benefit analyses, etc.
* Proven experience working with vendors
* Insurance experience required Soft Skills and Team Fit
 What soft skills are you looking for?
* Role is equal parts IT and Business Program Manager – we are not looking for a strictly technical Program Manager; ideal candidates need to have proven experience leading business\-driven projects
* Excellent stakeholder management skills across Business, IT, and teams
* Excellent oral and written communication skills, including PowerPoint Resumes
* Need to see a mix of IT and Business driven projects on their resume. We are not looking for someone who has strictly worked on IT projects, regardless of how complex they’ve been
* Proven experience with Agile
* Insurance industry experience required.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04">
      <c r="A104" t="inlineStr">
        <is>
          <t>li-4367316632</t>
        </is>
      </c>
      <c r="B104" t="inlineStr">
        <is>
          <t>Program Manager, Food Processing Engineering BS9506</t>
        </is>
      </c>
      <c r="C104" t="inlineStr">
        <is>
          <t>Oklahoma State University</t>
        </is>
      </c>
      <c r="D104" t="inlineStr">
        <is>
          <t>linkedin</t>
        </is>
      </c>
      <c r="E104" t="inlineStr"/>
      <c r="F104" t="inlineStr"/>
      <c r="G104" t="inlineStr">
        <is>
          <t>Stillwater, OK</t>
        </is>
      </c>
      <c r="H104" t="inlineStr"/>
      <c r="I104" t="inlineStr">
        <is>
          <t>Campus
 OSU\-Stillwater
 Contact Name \&amp; Email
 Roy Escoubas, roy.escoubas@okstate.edu
 Work Schedule
 Monday through Friday, 8:00am\-5:00pm with occasional evenings and weekends.
 Appointment Length
 Regular Continuous/Until Further Notice
 Hiring Range
 $85,000 \- $110,000 Salary
 Special Instructions to Applicants
 For full consideration, please include a resume, cover letter and contact information for three professional references.
**About This Position**
**ABOUT US:**
 For many, Oklahoma’s food and agricultural industries evoke thoughts of wheat and cattle. While that is a rich part of Oklahoma’s heritage and a significant portion of our economy, many of these commodities are currently sent to other states or even countries for further processing into the bakery, meat, and other products that reach the consumer’s table. We strive to help develop value\-added enterprises to keep the products, jobs, and dollars in Oklahoma.
 For more information, visit https://food.oksate.edu
 Normal Monday through Friday, 8:00am to 5:00pm, 40 hours per week. Significant work hour deviations can be expected relating to completing work of the day or projects with clients, either in their manufacturing facilities or at FAPC, that exceed the normal 5\-day work week.
**This position involves leadership and collaboration in the Food and Agricultural Products Center (FAPC) initiatives. Key responsibilities include:**
**This Position Job Summary Includes**
* Manage, lead, and participate in all FAPC client engineering service activities with food \&amp; value\-added agricultural businesses in Oklahoma at FAPC and in client manufacturing plants.
* Manage, lead, and participate in internal and external workshops and training session services relating to process flow, equipment selection and layout, design of facilities, safety and sanitation compliance, and operational output documentation
* Manage, lead, and participate in mentoring engineering technology, and plant layout and design for food business leadership
* Manage, lead, and participate in food industry client service programs in food safety and 3rd Party Audit GFSI platforms.
* Lead and participate in any food industry client engineering programs as needed, including assisting in hosting clients in trade shows and small\-scale manufacturing at FAPC.
* Write and publish Fact Sheets on recurring engineering service/technology themes, targeting FAPC clients.
* Offer/facilitate continuing credit courses/workshops in food engineering topics and related disciplines for Oklahoma’s P.E.s.
* Cooperate with undergraduate capstone classes requiring industry sponsors, food engineering input, and mentor participating students.
* Guest lectures and support of classroom and laboratory activities involving food process engineering.
 There are lots of great reasons to work at OSU, check out our great benefits and eligibility at https://hr.okstate.edu/prospective\-ee.html
**Required Qualifications** 
* Bachelor's in Agricultural Engineering, Food Processing Engineering, Food Technology, Food Science, or closely Related Field. (degree must be conferred on or before agreed upon start date)
* 5 Years of experience in operational food processing engineering.
* Certifications, Registrations, and/or Licenses:
+ Engineer In Training (EIT) Certification.
+ Eligible to apply for, obtain, or already possess the Professional Engineer (P.E.) license in Oklahoma.
* Skills, Proficiencies, and/or Knowledge:
**Ability To**
* Engage industry personnel, including management, sales teams, and line personnel
* Understand food business management, food preparation, equipment design and current food manufacturing practices, food law, regulatory agency compliance, customer specifications, and apply them to everyday food manufacturing situations.
* See and understand issues and difficulties in food manufacturing, food packaging, inventory control, manufacturing accountability, quality manufacturing, and find, implement, and disseminate solutions to solve them.
* Strong computer and word processing skills
* Strong organizational skills, competency to write project reports on manufacturing technology, and final project reports.
* Mentor undergraduate and graduate students working on research and applied projects with components of food process engineering that are important to Oklahoma food processors.
* Strong ability for oral expression, verbal defense of findings, and defense of actions.
* Work alongside faculty and other staff members to assist with teaching, outreach, and research problems important to Oklahoma food processors.
* Participate and lead FAPC tours and campus visits for food industry personnel and other visitors.
* Understand and create basic mechanical and facility layout drawings using software packages like SolidWorks, AutoCAD, SmartDraw, or Visio.
**Preferred Qualifications** 
+ Master's in Agricultural Engineering, Food Processing Engineering, Food Technology, Food Science, closely Related Field or MBA.
+ 5 Years of experience in operational food processing engineering.
+ Certifications, Registrations, and/or Licenses:
- Engineer In Training (EIT) Certification.
- Eligible to apply for, obtain, or already possess the Professional Engineer (P.E.) license in Oklahoma.
- P.E. License in Oklahoma or by State or Comity.
- Certification by a third\-party food safety body such as a GFSI certifying platform, or an ISO certifying platform.
- A working knowledge of drafting software like SolidWorks, AutoCAD, SmartDraw, or VISIO.
+ Skills, Proficiencies, and/or Knowledge:</t>
        </is>
      </c>
    </row>
    <row r="105">
      <c r="A105" t="inlineStr">
        <is>
          <t>li-4356457353</t>
        </is>
      </c>
      <c r="B105" t="inlineStr">
        <is>
          <t>Americas Tax Technology Group - Product Owner - Senior Manager</t>
        </is>
      </c>
      <c r="C105" t="inlineStr">
        <is>
          <t>EY</t>
        </is>
      </c>
      <c r="D105" t="inlineStr">
        <is>
          <t>linkedin</t>
        </is>
      </c>
      <c r="E105" t="inlineStr"/>
      <c r="F105" t="inlineStr"/>
      <c r="G105" t="inlineStr">
        <is>
          <t>Nashville, TN</t>
        </is>
      </c>
      <c r="H105" t="inlineStr"/>
      <c r="I105" t="inlineStr">
        <is>
          <t>Location: Dallas, Nashville, Chicago, Atlanta
 At EY, we’re all in to shape your future with confidence.
 We’ll help you succeed in a globally connected powerhouse of diverse teams and take your career wherever you want it to go. Join EY and help to build a better working world.
**Tax – Americas Tax Technology Group – Product Owner – Senior Manager**
**The opportunity**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Artificial Intelligence in Tax, to collect financial data, development of advanced financial dashboards, visualization, analytics, and reports.
 The Product Owner role is in the Technology Enablement pillar. The relationship management function of this pillar is to serve as the primary interface between the tax business leadership and IT. This role is responsible for managing the product lifecycle and serving as a trusted advisor to Tax business stakeholders. With a customer\-centric mindset, the Product Owner’s objective is to deliver viable and sustainable solutions that meet the expectations of the business and delight end users.
**Your Key Responsibilities**
* End\-to\-End Product Lifecycle Management: Oversee the entire product lifecycle from ideation to sunset, ensuring alignment with business goals, customer needs, and ATTG’s strategic vision. This includes developing and maintaining product roadmaps, managing product launches, and ensuring ongoing adoption and continuous improvement.
* Strategic Planning \&amp; Roadmap Development: Lead the creation and updating of product roadmaps, collaborate on project kick\-offs, and ensure that product strategies are clear, compelling, and aligned with ATTG’s business objectives.
* Cross\-Functional Collaboration: Work closely with Development Managers, Business Analysts, Solution Architects, Project Managers, and vendors to drive product strategy, prioritize development efforts, and coordinate activities across the organization.
* Governance \&amp; Compliance: Ensure products meet all regulatory and EY risk management compliance requirements, including data privacy standards, business continuity planning, risk management reviews and approvals, and InfoSec certifications. Oversee documentation, approvals, and audit readiness.
* User Acceptance \&amp; Quality Assurance: Formulate test plans, coordinate and execute user acceptance testing (UAT), and ensure adherence to quality standards throughout the product lifecycle.
* Financial Management: Collaborate with portfolio and team leaders to develop annual budgets, manage expenditures, review and approve invoices, and ensure products operate within approved budget guidelines.
* Operational Readiness \&amp; Support: Oversee business and operational readiness, provide field communications regarding production issues, and coordinate or deliver training to support teams on new releases and updates.
* Continuous Improvement: Foster a culture of continuous improvement, leveraging metrics and feedback to refine processes and enhance product quality and team performance.
* AI Readiness \&amp; Adoption: Proactively evaluate, adopt, and integrate artificial intelligence (AI) technologies and practices into product management and delivery, ensuring ATTG solutions remain innovative, efficient, and competitive.
**Analytical/Decision Making Responsibilities**
* Problem Identification \&amp; Solutioning: Proactively identify issues, articulate problems and proposed solutions clearly, and lead resolution efforts.
* Data\-Driven Decision Making: Analyze data and metrics to inform product decisions, measure success, and prioritize features and enhancements based on business value and customer impact.
* Prioritization: Maintain a well\-organized product backlog, prioritize personal and team workloads, and ensure that the most critical business needs are addressed in a timely manner.
* Empowered Leadership: Make informed decisions quickly, balancing business needs, customer feedback, and technical constraints. Empowered to recommend approaches based on quality reviews and organizational objectives.
* Strategic Vision: Maintain a clear vision for the product, ensuring alignment with ATTG and EY Tax long\-term goals and the ability to adapt to changing circumstances, market trends, and stakeholder feedback.
**Skills And Attributes For Success**
**To qualify for the role, you must have**
* A bachelor's degree (computer science, engineering, accounting, finance preferred) or equivalent work experience.
* Master's degree preferred
* 10\-15 years of relevant experience
* Management experience a plus
* Provide supervision, direction, and coaching to team members and staff, ensuring clarity of focus, standards, and performance expectations.
* Delegate tasks, coordinate activities, and lead cross\-functional project teams, ensuring effective collaboration and utilization of resources.
* Set goals, assign work, review performance, and conduct career development discussions for direct reports and functional teams.
* Lead training efforts, establish standards for functional team performance, and support the professional growth of team members.
* Act as a trusted advisor and primary interface between business sponsors, leadership, and IT, ensuring transparency, alignment, and successful execution of product strategies.
* Strong analytical and problem solving skills
* Extraordinary interpersonal and communication skills
* In depth knowledge and experience in the Tax Accounting domain; knowledge of cost accounting is a plus
* Deep knowledge of the software development lifecycle, with expertise in Agile methodologies
* Experience with development and use of AI \&amp; agentic technologies and capabilities; experience with Snowflake is a plus
* Knowledge of EY support, training and operating models and processes
* Occasional overnight travel may be required
**Ideally, you’ll have**
* Ability to understand and learn tax law and technology implications at a high level
* Excellent organizational and project management skills as well as the ability to multitask on various projects in a fast\-paced environment
* Ability to work and team effectively with clients and high level leadership personnel as well as influence all team members.
**What We Look For**
* Professionals with the drive to take on new responsibilities with the confidence to speak up with their own creative thoughts on a wide range of areas is what we seek. If you’re keen to play a pivotal role within a highly focused mobility team,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$99,700 to $289,200\. The base salary range for New York City Metro Area, Washington State and California (excluding Sacramento) is $119,700 to $328,700\.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6">
      <c r="A106" t="inlineStr">
        <is>
          <t>li-4356488018</t>
        </is>
      </c>
      <c r="B106" t="inlineStr">
        <is>
          <t>Principal Program Manager, Talent Acquisition- Executive Recruiting</t>
        </is>
      </c>
      <c r="C106" t="inlineStr">
        <is>
          <t>Blue Origin</t>
        </is>
      </c>
      <c r="D106" t="inlineStr">
        <is>
          <t>linkedin</t>
        </is>
      </c>
      <c r="E106" t="inlineStr"/>
      <c r="F106" t="inlineStr"/>
      <c r="G106" t="inlineStr">
        <is>
          <t>Huntsville, AL</t>
        </is>
      </c>
      <c r="H106" t="inlineStr"/>
      <c r="I106" t="inlineStr">
        <is>
          <t>**Application Close Date**
 02/3/2026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Blue Origin is assembling the leadership team that will enable humanity's future in space. As a founding member of our Talent Acquisition Program Manager Team, you'll play a critical role in this vision by leading complex, enterprise\-wide initiatives that directly impact our most ambitious space programs. You will establish governance frameworks, drive process excellence across multiple business units, and serve as a trusted advisor to senior leadership while articulating clear program vision and implementing data\-driven talent strategies. This role demands exceptional leadership skills to coordinate cross\-functional teams globally, strategic thinking to align talent programs with Blue Origin's mission, and the ability to influence at the executive level—positioning Blue Origin as the premier destination for aerospace talent and advancing humanity's journey to space.
 This role owns the
 **end\-to\-end executive recruiting program** 
 , including search strategy, process design, governance, executive candidate experience, employer branding, and stakeholder alignment. You will partner closely with Executive Recruiting, Talent Acquisition, HR, Legal, Compensation, and senior executives to ensure executive hiring is conducted with rigor, discretion, speed, and consistency—while remaining flexible enough to support highly customized searches.
 As the single\-threaded owner of executive recruiting programs, you will establish standardized frameworks where scale is required, define bespoke pathways where nuance is critical, and create the infrastructure that enables exceptional outcomes at the highest levels of leadership. Your work will directly influence Blue Origin’s ability to attract, assess, and secure world\-class executive talent in a highly competitive market.
**Strategic Leadership \&amp; Executive Partnership**
* Serve as trusted advisor to senior leadership, shaping talent acquisition strategy across global operations
* Translate complex metrics and industry insights into compelling narratives that influence executive decisions
* Co\-create organizational talent strategies aligned with Blue Origin's mission\-critical objectives
* Identify emerging talent trends and technologies to create competitive advantage
* Quantify business impact of talent programs with clear ROI frameworks
* Orchestrate consensus among global stakeholders to secure executive sponsorship for enterprise\-critical initiatives
**Program Excellence \&amp; Governance**
* Design global enterprise\-wide governance frameworks that systematically identify risks and enhance program execution
* Spearhead high\-visibility programs with company\-wide impact, managing interdependencies across international functions
* Optimize resource allocation across competing priorities with data\-driven decision making
* Establish program management centers of excellence while developing future talent
* Lead organizational capability building in process excellence methodologies
* Coordinate cross\-functional teams across geographic boundaries to drive cohesive program implementation
* Transformation \&amp; Innovation
* Architect innovative approaches to fundamentally reshape talent acquisition on a global scale
* Pioneer advanced analytics and predictive modeling to drive strategic talent decisions
* Design industry\-leading TA programs establishing Blue Origin as an employer of choice
* Lead change management at enterprise scale, driving adoption of new methodologies across international teams
* Challenge conventional thinking to create breakthrough talent acquisition approaches
**Strategic Workforce Development**
* Develop strategic global workforce plans anticipating future talent needs and creating sustainable pipelines
* Institute analytics frameworks connecting talent acquisition metrics to business outcomes
* Build partnerships across business units and geographic regions ensuring talent programs address organizational needs
* Drive cross\-functional collaboration to create integrated talent solutions that span the enterprise
**Minimum Qualifications**
* 10\+ years leading enterprise\-scale programs with measurable organizational impact
* Demonstrated success delivering complex initiatives transforming talent acquisition
* Proven ability to partner with C\-suite and influence organizational direction
* Experience leading enterprise\-wide change management initiatives across global teams
* Deep expertise in strategic resource planning and program optimization
* Bachelor's degree and/or equivalent work experience
**Preferred Qualifications**
* Advanced degree in Business Administration, Human Resources, or related field
* Senior\-level program management certification (PgMP, PMP, or equivalent)
* Experience leading talent transformation in high\-growth, technology organizations
* Demonstrated thought leadership through speaking engagements or publications
* Exceptional data literacy with ability to derive insights from complex datasets
* Experience integrating emerging technologies into talent acquisition
* Track record of successfully leading cross\-functional teams across international boundaries
**Compensation Range For**
 WA applicants is $157,059\.00 \- $219,882\.60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07">
      <c r="A107" t="inlineStr">
        <is>
          <t>li-4351969742</t>
        </is>
      </c>
      <c r="B107" t="inlineStr">
        <is>
          <t>Cyber SDC - Endpoint Security Program Manager - Senior - Location OPEN</t>
        </is>
      </c>
      <c r="C107" t="inlineStr">
        <is>
          <t>EY</t>
        </is>
      </c>
      <c r="D107" t="inlineStr">
        <is>
          <t>linkedin</t>
        </is>
      </c>
      <c r="E107" t="inlineStr"/>
      <c r="F107" t="inlineStr"/>
      <c r="G107" t="inlineStr">
        <is>
          <t>St Louis, MO</t>
        </is>
      </c>
      <c r="H107" t="inlineStr"/>
      <c r="I107"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8">
      <c r="A108" t="inlineStr">
        <is>
          <t>li-4352112345</t>
        </is>
      </c>
      <c r="B108" t="inlineStr">
        <is>
          <t>Cyber SDC - Endpoint Security Program Manager - Senior - Location OPEN</t>
        </is>
      </c>
      <c r="C108" t="inlineStr">
        <is>
          <t>EY</t>
        </is>
      </c>
      <c r="D108" t="inlineStr">
        <is>
          <t>linkedin</t>
        </is>
      </c>
      <c r="E108" t="inlineStr"/>
      <c r="F108" t="inlineStr"/>
      <c r="G108" t="inlineStr">
        <is>
          <t>Wichita, KS</t>
        </is>
      </c>
      <c r="H108" t="inlineStr"/>
      <c r="I108"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9">
      <c r="A109" t="inlineStr">
        <is>
          <t>li-4352112348</t>
        </is>
      </c>
      <c r="B109" t="inlineStr">
        <is>
          <t>Cyber SDC - Endpoint Security Program Manager - Senior - Location OPEN</t>
        </is>
      </c>
      <c r="C109" t="inlineStr">
        <is>
          <t>EY</t>
        </is>
      </c>
      <c r="D109" t="inlineStr">
        <is>
          <t>linkedin</t>
        </is>
      </c>
      <c r="E109" t="inlineStr"/>
      <c r="F109" t="inlineStr"/>
      <c r="G109" t="inlineStr">
        <is>
          <t>Secaucus, NJ</t>
        </is>
      </c>
      <c r="H109" t="inlineStr"/>
      <c r="I109"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0">
      <c r="A110" t="inlineStr">
        <is>
          <t>li-4352180619</t>
        </is>
      </c>
      <c r="B110" t="inlineStr">
        <is>
          <t>Cyber SDC - Endpoint Security Program Manager - Senior - Location OPEN</t>
        </is>
      </c>
      <c r="C110" t="inlineStr">
        <is>
          <t>EY</t>
        </is>
      </c>
      <c r="D110" t="inlineStr">
        <is>
          <t>linkedin</t>
        </is>
      </c>
      <c r="E110" t="inlineStr"/>
      <c r="F110" t="inlineStr"/>
      <c r="G110" t="inlineStr">
        <is>
          <t>Troy, NY</t>
        </is>
      </c>
      <c r="H110" t="inlineStr"/>
      <c r="I110"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1">
      <c r="A111" t="inlineStr">
        <is>
          <t>li-4352152200</t>
        </is>
      </c>
      <c r="B111" t="inlineStr">
        <is>
          <t>Cyber SDC - Endpoint Security Program Manager - Senior - Location OPEN</t>
        </is>
      </c>
      <c r="C111" t="inlineStr">
        <is>
          <t>EY</t>
        </is>
      </c>
      <c r="D111" t="inlineStr">
        <is>
          <t>linkedin</t>
        </is>
      </c>
      <c r="E111" t="inlineStr"/>
      <c r="F111" t="inlineStr"/>
      <c r="G111" t="inlineStr">
        <is>
          <t>San Antonio, TX</t>
        </is>
      </c>
      <c r="H111" t="inlineStr"/>
      <c r="I111"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2">
      <c r="A112" t="inlineStr">
        <is>
          <t>li-4351986317</t>
        </is>
      </c>
      <c r="B112" t="inlineStr">
        <is>
          <t>Cyber SDC - Endpoint Security Program Manager - Senior - Location OPEN</t>
        </is>
      </c>
      <c r="C112" t="inlineStr">
        <is>
          <t>EY</t>
        </is>
      </c>
      <c r="D112" t="inlineStr">
        <is>
          <t>linkedin</t>
        </is>
      </c>
      <c r="E112" t="inlineStr"/>
      <c r="F112" t="inlineStr"/>
      <c r="G112" t="inlineStr">
        <is>
          <t>Oklahoma City, OK</t>
        </is>
      </c>
      <c r="H112" t="inlineStr"/>
      <c r="I112"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3">
      <c r="A113" t="inlineStr">
        <is>
          <t>li-4367353843</t>
        </is>
      </c>
      <c r="B113" t="inlineStr">
        <is>
          <t>Associate Product Manager</t>
        </is>
      </c>
      <c r="C113" t="inlineStr">
        <is>
          <t>Tubi</t>
        </is>
      </c>
      <c r="D113" t="inlineStr">
        <is>
          <t>linkedin</t>
        </is>
      </c>
      <c r="E113">
        <f>HYPERLINK("https://www.linkedin.com/jobs/view/4367353843", "https://www.linkedin.com/jobs/view/4367353843")</f>
        <v/>
      </c>
      <c r="F113" t="inlineStr"/>
      <c r="G113" t="inlineStr"/>
      <c r="H113" t="inlineStr"/>
      <c r="I113" t="inlineStr">
        <is>
          <t>**About the Role:**
 The Tubi Builder’s Program is designed for early\-career professionals in Product, Engineering, Machine Learning, Design and Data Science who are passionate about building products that impact millions of users. Over the course of the program, Associate Product Managers (APMs) will rotate through multiple product teams, gaining experience in product strategy, user experience, and data\-driven decision\-making.
 As an APM, you will work closely with engineers, designers, and business stakeholders to define product roadmaps, prioritize features, and drive execution. You’ll gain exposure to at least three different product domains while building core skills in product strategy, user research, data analysis, and AI\-assisted development.
 This program is ideal for individuals with a strong analytical mindset, a passion for building technology, and the ability to think critically about product and user experience.
**What You'll Do:**
 Throughout the program, you will:
* Rotate across three product teams, gaining exposure to different business areas
* Work with engineering, design, and business teams to define and build impactful products
* Conduct user research, competitive analysis, and generate data\-driven insights to guide product decisions
* Develop and prioritize product roadmaps, feature specs, and success metrics.
* Manage the end\-to\-end product lifecycle, from ideation to launch
* Leverage cutting\-edge AI tools to turn product requirements into prototypes and production\-ready solutions
* Collaborate with cross\-functional stakeholders to balance technical feasibility, user needs, and business impact
* Participate in mentorship, training sessions, and leadership exposure throughout the program
**Qualifications**
**Minimum Requirements:**
* Bachelor’s or Master’s degree in Sciences, Mathematics, Business, Engineering, or a related field
* Strong analytical and problem\-solving skills
* Passion for building great products, solving user problems, and adopting new technologies
* Strong communication and stakeholder management skills
* A strong drive to take on new challenges, experiment with new tools or ideas, and continuously learn \- whether through academic projects, internships, or self\-driven initiatives
**Preferred Qualifications** 
 :
* Work Experience: Up to three years of combined professional experience, including internships
* Internship or project experience in product management, software engineering, UX, operations, or data analysis
* Technical background or knowledge of software development
* Experience working in a startup or fast\-paced environment
**Program Eligibility Requirements:**
* GPA Requirement: Minimum 3\.0 GPA
* Application Deadline: February 15, 2026
* Program Timeline: Minimum 18 month commitment, starting Aug 2026, after which successful participants will transition into non\-rotational full\-time roles
* Work Schedule: Full\-time, hybrid in San Francisco with office day requirements
* Work Authorization: Must have U.S. work authorization; we are unable to sponsor visas for this program
* Committed and available to work for the entire 18 month length of the program
**About the Program:**
 Our Tubi Builder’s Associate Product Manager Program is structured to accelerate the careers of future product leaders by providing them with hands\-on experience across multiple product domains. Through structured rotations, mentorship, and executive exposure, APMs gain strategic experience, preparing them for a full\-time product management role.
 By the end of the program, you will:
* Have experience across multiple product teams and business challenges.
* Develop a strong foundation in product management.
* Build relationships with mentors, executives, and fellow APMs.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$118,000—$123,000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114">
      <c r="A114" t="inlineStr">
        <is>
          <t>li-4367054182</t>
        </is>
      </c>
      <c r="B114" t="inlineStr">
        <is>
          <t>Product Manager</t>
        </is>
      </c>
      <c r="C114" t="inlineStr">
        <is>
          <t>Technology Partners</t>
        </is>
      </c>
      <c r="D114" t="inlineStr">
        <is>
          <t>linkedin</t>
        </is>
      </c>
      <c r="E114">
        <f>HYPERLINK("https://www.linkedin.com/jobs/view/4367054182", "https://www.linkedin.com/jobs/view/4367054182")</f>
        <v/>
      </c>
      <c r="F114" t="inlineStr"/>
      <c r="G114" t="inlineStr"/>
      <c r="H114" t="inlineStr"/>
      <c r="I114" t="inlineStr">
        <is>
          <t>**About the Company** 
 Our client is seeking a Product Leader to help shape the direction and future of their offering.
**About the Role** 
 Candidates must be local to St. Louis. We’re looking for a strategic, business\-oriented Product Manager to help shape the future of our offerings. This role is less about technical specs and more about market alignment, pricing strategy, and go\-to\-market clarity. You’ll help us understand what the market wants, how to position our product, and where to show up—so we can scale smartly and serve meaningfully. You will drive and run pilots with partners and clients, collaborating with the account executive.
**Responsibilities** 
* Identify trends, adjacent products, and whitespace opportunities
* Benchmark competitors and synthesize insights into actionable recommendations
* Inform product roadmap prioritization based on market needs
* Evaluate pricing models and recommend structures that align with customer value
* Explore bundling, tiering, and licensing options
* Support custom deal structuring for enterprise or partner opportunities
* Identify relevant conferences, events, and communities for visibility and learning
* Recommend speaking, sponsorship, or networking opportunities
* Collaborate with marketing on messaging and positioning</t>
        </is>
      </c>
    </row>
    <row r="115">
      <c r="A115" t="inlineStr">
        <is>
          <t>li-4367370660</t>
        </is>
      </c>
      <c r="B115" t="inlineStr">
        <is>
          <t>Senior Product Manager</t>
        </is>
      </c>
      <c r="C115" t="inlineStr">
        <is>
          <t>Clutch</t>
        </is>
      </c>
      <c r="D115" t="inlineStr">
        <is>
          <t>linkedin</t>
        </is>
      </c>
      <c r="E115">
        <f>HYPERLINK("https://www.linkedin.com/jobs/view/4367370660", "https://www.linkedin.com/jobs/view/4367370660")</f>
        <v/>
      </c>
      <c r="F115" t="inlineStr"/>
      <c r="G115" t="inlineStr"/>
      <c r="H115" t="inlineStr"/>
      <c r="I115" t="inlineStr">
        <is>
          <t>**About The Role**
 Clutch is on a mission to transform Credit Unions into fintechs — helping them deliver digital experiences that rival the best banks and lenders in the world.
 As the Senior Product Manager for the Underwriting team, you’ll own a critical pillar of that mission: enabling credit unions to automate their loan decisioning process. You’ll define product strategy in close partnership with Engineering while also serving as a product champion alongside Sales and other GTM partners.
 This role operates at the intersection of lending operations, automation, and platform capabilities, with a direct mandate to help launch and scale our automated underwriting. It’s best suited for someone with lending experience and a strong 0→1 track record who is motivated by driving meaningful, real\-world outcomes.
**About The Team**
 You’ll join a high\-talent density Product \&amp; Engineering org with a culture of ownership, speed, and judgment. PMs here work shoulder\-to\-shoulder with engineers and GTM peers, driving clarity and tough tradeoffs instead of waiting for direction.
 This is a pivotal moment at Clutch. We’re on a strong growth trajectory, and how we scale our lending offerings over the next 12 months will play a major role in building durable leverage across the company.
**What You’ll Do**
 Within 3 months, you will:
* Develop a deep understanding of our underwriting architecture, including current capabilities, limitations, and tradeoffs
* Build strong working relationships across Engineering, Sales, and other business partners
* Take ownership of prioritization across foundational platform work and customer\-driven needs
 Within 6 months, you will:
* Pilot a new product offering or feature with your first credit union
* Define and communicate a clear product strategy and roadmap for underwriting automation
* Partner with Sales to define how underwriting automation drives customer lifecycle value, including land\-and\-expand opportunities across multiple lending products
 Within 9 months, you will:
* Demonstrate measurable improvements in automation rates, time\-to\-decision, and straight\-through processing outcomes for live customers
* Establish our loan policy engine as a focused, opinionated product rather than a generic decisioning layer
* Influence longer\-term platform and architecture decisions based on real customer usage and outcomes
**What You’ll Bring**
* Strong product ownership mindset, with a track record of delivering 0→1 products in ambiguous environments
* The ability to balance foundational platform investments with shipping customer\-impacting features
* Experience in lending, banking, or underwriting\-adjacent domains
* Strong cross\-functional leadership skills, with experience in influencing without direct authority
* Clear, opinionated thinking paired with the flexibility to adapt as new information emerges
* 5\+ years of Product Management experience in a fast\-paced environment, preferably in SaaS and/or fintech
*Please note that this role may evolve as our business needs change, so we appreciate your flexibility and adaptability.*
**What’s In It For You?**
* Remote Flexibility: Enjoy the freedom of remote work from anywhere, balancing life and career seamlessly.
* Unforgettable Off\-Sites: Twice a year, bond with colleagues in exciting destinations, fostering teamwork and fresh ideas.
* Paid Time Off: Enjoy flexible PTO days yearly for relaxation and rejuvenation.
* Stock Options: Joining us means having a stake in our success, so you'll receive stock options as part of your compensation package.
* Home Office Setup: Create your ideal workspace with a dedicated budget for home office essentials.
* Work Trip Budget: Grow personally and professionally with a budget for work\-related trips and co\-working.
* Health Coverage: Prioritize your well\-being with comprehensive health and dental insurance plans.
**About Us**
**Clutch** 
 is a revolutionary vertical SaaS company, proudly backed by Andreessen Horowitz (A16z), aimed at revolutionizing the way Credit Unions engage and change the lives of their members. As a champion of financial well\-being, we address the urgent need for affordable lending solutions in an era where the average American grapples with over $155,000 in household debt. Unlike traditional financial institutions, Clutch develops software to turn Credit Unions into FinTech lenders and leverage their balance sheets to responsibly lend to over 130M Americans. Our mission extends beyond mere financial transactions; we strive to fundamentally enhance the way credit unions interact with their members. By integrating cutting\-edge technologies and user\-centric designs, we help credit unions provide seamless digital experiences that are on par with leading tech companies. This approach not only preserves but revitalizes the longstanding tradition of community and member\-focused service inherent to credit unions.
 Clutch is an equal opportunity employer. All applicants will be considered for employment without attention to race, color, religion, sex, sexual orientation, gender identity, national origin, veteran or disability status.
*Our organization participates in E\-Verify. Click* 
*here* 
*to learn about E\-Verify.*
**A Note About AI At Clutch**
 We love AI. We use it often and encourage our team to creatively and effectively leverage AI tools in their work. If you join Clutch, we hope you'll bring the same enthusiasm for exploring how AI can amplify impact, productivity, and innovation.
 That said, during the interview process,
 **we want to hear** 
***your***
**thoughts** 
 . Please approach interviews without the use of AI tools—our goal is to get to know how
 *you* 
 think, solve problems, and communicate. Once you're in the seat, bring on the prompts!</t>
        </is>
      </c>
    </row>
    <row r="116">
      <c r="A116" t="inlineStr">
        <is>
          <t>li-4356567716</t>
        </is>
      </c>
      <c r="B116" t="inlineStr">
        <is>
          <t>Product Owner</t>
        </is>
      </c>
      <c r="C116" t="inlineStr">
        <is>
          <t>McGraw Hill</t>
        </is>
      </c>
      <c r="D116" t="inlineStr">
        <is>
          <t>linkedin</t>
        </is>
      </c>
      <c r="E116">
        <f>HYPERLINK("https://www.linkedin.com/jobs/view/4356567716", "https://www.linkedin.com/jobs/view/4356567716")</f>
        <v/>
      </c>
      <c r="F116" t="inlineStr"/>
      <c r="G116" t="inlineStr"/>
      <c r="H116" t="inlineStr"/>
      <c r="I116" t="inlineStr">
        <is>
          <t>**Overview**
**Build the Future**
 At McGraw Hill, we are dedicated to delivering learning experiences that transform education for learners and educators. Our focus is on creating seamless, impactful products that truly benefit our users while supporting growth and collaboration across teams. We foster a culture that values innovation, teamwork, and a balance between career growth and personal well\-being.
**How can you make an impact?**
 Join our dynamic team that is passionate about developing educational solutions for the K\-12 market. We are committed to providing innovative, research\-based resources that empower educators and inspire students. As a Product Owner, you will play a key role in driving the development of our Mathematics curricula, ensuring that our products meet the needs of teachers and learners around the globe.
 As a Product Owner for the Math curricula team, you will lead the creation and development of print and digital education solutions. You will work closely with cross\-functional teams, including curriculum designers, educators, engineers, and marketers, to deliver comprehensive updates and enhancements to existing Science program that aligns with educational standards, market\-needs, and supports diverse student needs.
**This is a remote position open to applicants authorized to work for any employer within the United States.**
**What You’ll Do:**
* Collaborate with stakeholders to define the product vision, strategy, and roadmap for the product you own.
* Act as the voice of the customer, gathering and prioritizing requirements to ensure the curriculum meets the needs of students, teachers, and educational institutions.
* Create and manage the product backlog, clearly defining user stories, acceptance criteria, and priorities for the development team.
* Work closely with Agile teams, including developers, designers, and QA, to ensure timely and high\-quality delivery of features.
* Conduct market research and competitive analysis to identify trends and opportunities within the educational landscape.
* Monitor and report on product performance, leveraging data and analytics to drive continuous improvement and innovation.
* Engage with educators, administrators, and other stakeholders to gather feedback and ensure the product aligns with the latest educational standards and practices.
* Influence cross\-functional design teams to execute on the iterative, product roadmap set forth by your Math Product Management team.
* Participate in Agile ceremonies such as daily stand\-ups, sprint planning, and retrospectives to provide guidance and clarity to the team.
* Support in\-market activities like proposals, responses to RFPs, rubrics, sales operations and funding requests that leverage your knowledge of product\-market fit and the product roadmap.
**What you bring:**
* Bachelor’s degree in Education, Curriculum Design, Business, or a related field.
* 3\+ years of experience as a Product Owner or similar role, optimally in the education or EdTech sector.
* An ability to thrive in a changing, dynamic, and honestly sometimes chaotic environment.
* Understanding of Agile methodologies and experience working on Agile teams.
* Strong ability to keep track of details, use supporting technologies (like Jira and others) and make tough but smart decisions under pressure.
* Excellent communication, collaboration, decision\-making, and stakeholder management skills.
* Ability to analyze data and make data\-driven decisions to drive product success.
* Passion for education and a commitment to improving Science outcomes for all students
**Why work for us?**
 The pay range for this position is between $71,300\-$100,000 annually. However, base pay offered may vary depending on job\-related knowledge, skills, experience, and location. Additionally, a full range of medical and/or other benefits may be provided, depending on the position offered. Click here to learn more about our benefit offerings.
*McGraw Hill recruiters always use a “@mheducation.com or @careers.mheducation.com” email address and/or from our Applicant Tracking System, iCIMS. Any variation of this email domain should be considered suspicious. Additionally, McGraw Hill recruiters and authorized representatives will never request sensitive information in email.*
 50257</t>
        </is>
      </c>
    </row>
    <row r="117">
      <c r="A117" t="inlineStr">
        <is>
          <t>li-4367371392</t>
        </is>
      </c>
      <c r="B117" t="inlineStr">
        <is>
          <t>Entry Level Product Manager: 2026</t>
        </is>
      </c>
      <c r="C117" t="inlineStr">
        <is>
          <t>Lensa</t>
        </is>
      </c>
      <c r="D117" t="inlineStr">
        <is>
          <t>linkedin</t>
        </is>
      </c>
      <c r="E117">
        <f>HYPERLINK("https://www.linkedin.com/jobs/view/4367371392", "https://www.linkedin.com/jobs/view/4367371392")</f>
        <v/>
      </c>
      <c r="F117">
        <f>HYPERLINK("https://lensa.com/cgw/9ea452f0aa1c452da729fb7d244433adtjo1?jpsi=directemployers_no_redirect&amp;publisher_preference=easier_apply&amp;utm_campaign=Other%20Management%20Occupations&amp;utm_medium=slot&amp;utm_source=linkedin&amp;utm_term=jse&amp;urlHash=MKpu", "https://lensa.com/cgw/9ea452f0aa1c452da729fb7d244433adtjo1?jpsi=directemployers_no_redirect&amp;publisher_preference=easier_apply&amp;utm_campaign=Other%20Management%20Occupations&amp;utm_medium=slot&amp;utm_source=linkedin&amp;utm_term=jse&amp;urlHash=MKpu")</f>
        <v/>
      </c>
      <c r="G117" t="inlineStr">
        <is>
          <t>Austin, TX</t>
        </is>
      </c>
      <c r="H117" t="inlineStr"/>
      <c r="I11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18">
      <c r="A118" t="inlineStr">
        <is>
          <t>li-4262898625</t>
        </is>
      </c>
      <c r="B118" t="inlineStr">
        <is>
          <t>Product Manager</t>
        </is>
      </c>
      <c r="C118" t="inlineStr">
        <is>
          <t>Canary Technologies</t>
        </is>
      </c>
      <c r="D118" t="inlineStr">
        <is>
          <t>linkedin</t>
        </is>
      </c>
      <c r="E118">
        <f>HYPERLINK("https://www.linkedin.com/jobs/view/4262898625", "https://www.linkedin.com/jobs/view/4262898625")</f>
        <v/>
      </c>
      <c r="F118" t="inlineStr"/>
      <c r="G118" t="inlineStr">
        <is>
          <t>New York, NY</t>
        </is>
      </c>
      <c r="H118" t="inlineStr"/>
      <c r="I118" t="inlineStr">
        <is>
          <t>**About Us**
 Canary Technologies is changing the game for hotels with modern software powered by Canary's hospitality\-specific AI platform.
 Canary is utilized by 20,000\+ hoteliers in 100\+ countries to equip hoteliers with the technology they need to work smarter and wow their guests. Major hotel brands such as Wyndham, Marriott, IHG, Four Seasons, Rosewood, and Best Western trust Canary to deliver results.
 Canary was named a 2024 Deloitte Technology Fast 500™ company, a Most Innovative Company by Fast Company and a HotelTechReport Best Place to Work — and is backed by top Silicon Valley investors like Y Combinator, F\-Prime, Brighton Park Capital and Insight Partners.
***Join us in shaping the future of hospitality!***
**About The Role**
 Canary is at the forefront of providing AI\-powered technology solutions to the hospitality industry. Our mission is to help hotels modernize operations, enhance guest experiences, and drive business results through intuitive, digital\-first products. Our innovative platform is trusted by hotels worldwide for its ability to streamline operations and improve guest satisfaction.
 We are looking for a
 **Product Manager** 
 to join our growing team. In this role, you’ll collaborate closely with Engineering, Design, and Go\-To\-Market teams to build and launch products that solve real customer problems and drive business impact. This role offers the opportunity to work on a
 **variety of exciting parts of the hotel technology ecosystem** 
 , including guest communication, digital check\-in, payments, upsells, and more. We’ll plug you into the right product area based on your strengths, interests, and the evolving needs of the business.
 If you have at least
 **2 years of product management experience** 
 , a strong customer focus, and a passion for building technology products, we’d love to hear from you.
**Responsibilities**
* Contribute to the product vision, roadmap, and execution by collaborating with cross\-functional teams to prioritize and deliver high\-impact features.
* Work with Engineering and Design teams to create intuitive and reliable user experiences.
* Partner with Sales, Customer Success, and Marketing to support product launches, gather feedback, and drive adoption.
* Conduct customer research, analyze product usage, and synthesize insights to inform product decisions.
* Define and track key product success metrics to measure impact and guide future improvements.
* Stay current on industry trends, market needs, and emerging technologies relevant to our customers.
**Qualifications**
* Minimum of 2\+ years of product management experience in a technology\-driven environment. We are not considering candidates without prior product management experience.
* Strong problem\-solving skills and a customer\-centric approach—you seek to understand pain points and deliver practical, effective solutions.
* Experience working with Engineering and Design teams to bring products to market.
* Ability to manage multiple priorities and make thoughtful tradeoffs in a fast\-paced, high\-growth environment.
* Strong communication skills with the ability to collaborate effectively across teams and with external stakeholders.
* Bonus: Experience in hospitality technology, messaging platforms, or AI\-driven products is a plus.
 $120,000 \- $160,000 a year
*The base salary range for our New York and San Francisco offices for this role is $120,000–$160,000 annualized. This range is subject to standard withholding and applicable taxes. Actual compensation will be based on skills, experience, and work location. This role may also include eligibility for discretionary bonuses and/or equity.*
 We also work hard to ensure Canary is a fun and exciting place to work! Here are some of the additional benefits:
**Canary Days:** 
 As a company we want to ensure that the team has time to recharge. Each month we provide company wide days off to ensure there is at least one extended weekend or day off.
**Self Improvement Club:** 
 We meet each month and share our personal goals for the month. Each individual is provided a budget towards any purchases that help us achieve these goals.
**Professional Development Chats:** 
 We provide budget to help drive cross functional professional development conversations across the organization.
**Travel Reimbursement:** 
 Team members are able to visit our offices across New York, San Francisco or Dallas when they choose, and are provided a travel stipend for doing so. Spend time working with the team in their office, and use the rest of your time exploring a new city!
**Personal Travel Reimbursement:** 
 If you stay at a hotel that Canary works with, we provide a credit towards your stay.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t>
        </is>
      </c>
    </row>
    <row r="119">
      <c r="A119" t="inlineStr">
        <is>
          <t>li-4367369332</t>
        </is>
      </c>
      <c r="B119" t="inlineStr">
        <is>
          <t>Entry Level Product Manager: 2026</t>
        </is>
      </c>
      <c r="C119" t="inlineStr">
        <is>
          <t>Lensa</t>
        </is>
      </c>
      <c r="D119" t="inlineStr">
        <is>
          <t>linkedin</t>
        </is>
      </c>
      <c r="E119">
        <f>HYPERLINK("https://www.linkedin.com/jobs/view/4367369332", "https://www.linkedin.com/jobs/view/4367369332")</f>
        <v/>
      </c>
      <c r="F119">
        <f>HYPERLINK("https://lensa.com/cgw/9b6459b4fc2a47798f25fc1f4e4d3efdtjo1?jpsi=directemployers&amp;publisher_preference=easier_apply&amp;utm_campaign=Other%20Management%20Occupations&amp;utm_medium=slot&amp;utm_source=linkedin&amp;utm_term=jse&amp;urlHash=SQSU", "https://lensa.com/cgw/9b6459b4fc2a47798f25fc1f4e4d3efdtjo1?jpsi=directemployers&amp;publisher_preference=easier_apply&amp;utm_campaign=Other%20Management%20Occupations&amp;utm_medium=slot&amp;utm_source=linkedin&amp;utm_term=jse&amp;urlHash=SQSU")</f>
        <v/>
      </c>
      <c r="G119" t="inlineStr">
        <is>
          <t>San Jose, CA</t>
        </is>
      </c>
      <c r="H119" t="inlineStr"/>
      <c r="I1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20">
      <c r="A120" t="inlineStr">
        <is>
          <t>li-4367028556</t>
        </is>
      </c>
      <c r="B120" t="inlineStr">
        <is>
          <t>Senior Product Manager</t>
        </is>
      </c>
      <c r="C120" t="inlineStr">
        <is>
          <t>West500 Partners</t>
        </is>
      </c>
      <c r="D120" t="inlineStr">
        <is>
          <t>linkedin</t>
        </is>
      </c>
      <c r="E120">
        <f>HYPERLINK("https://www.linkedin.com/jobs/view/4367028556", "https://www.linkedin.com/jobs/view/4367028556")</f>
        <v/>
      </c>
      <c r="F120" t="inlineStr"/>
      <c r="G120" t="inlineStr">
        <is>
          <t>Lakeland, FL</t>
        </is>
      </c>
      <c r="H120" t="inlineStr"/>
      <c r="I120" t="inlineStr">
        <is>
          <t>Our client is a highly successful track\-and\-trace software company serving both regulators and the entire supply chain (Manufacturers, Logistics, Retail, etc) across the US. They're in need of a Senior Product Manager to scale existing core products and help build new ones. This is a brand new role and will be a key driver for company growth. We're looking for a technically\-inclined PM with a deep B2B Saas background who thrives in a fast\-moving, fluid startup environment.
 This is a fully remote role with occasional travel. Our client is based in Florida and they're currently considering candidates residing in the Southeast \+ Central US.
 An ideal candidate will have the following:
* 8\+ years Product Management experience
* Experience with B2B SaaS products is required (B2G, nice to have)
* Background in fast\-pace software startup environments
* Experience with Agile methodologies (Kanban, Scrum)
* Deep background delivering software products from concept to launch
* Experience with Jira, Confluence, or similar
* Bachelor's degree or equivalent experience in Computer Science or related field
 Apply with West500 Partners and we can discuss this opportunity further!
*Unfortunately, we are unable to sponsor at this time. U.S. Citizens and those authorized to work in the U.S. are encouraged to apply*</t>
        </is>
      </c>
    </row>
    <row r="121">
      <c r="A121" t="inlineStr">
        <is>
          <t>li-4367374221</t>
        </is>
      </c>
      <c r="B121" t="inlineStr">
        <is>
          <t>Product Owner - Remote</t>
        </is>
      </c>
      <c r="C121" t="inlineStr">
        <is>
          <t>Lensa</t>
        </is>
      </c>
      <c r="D121" t="inlineStr">
        <is>
          <t>linkedin</t>
        </is>
      </c>
      <c r="E121">
        <f>HYPERLINK("https://www.linkedin.com/jobs/view/4367374221", "https://www.linkedin.com/jobs/view/4367374221")</f>
        <v/>
      </c>
      <c r="F121" t="inlineStr"/>
      <c r="G121" t="inlineStr">
        <is>
          <t>Hartford, CT</t>
        </is>
      </c>
      <c r="H121" t="inlineStr"/>
      <c r="I12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Our Healthcare Insurance client is looking for a Product Owner for a remote work from home 1 year contract. We are looking for a Product Owner that has a strong background working with Web and Mobile Development Teams, identity \&amp; access management, Multi\-Factor Authentication for a external customer facing web and mobile. This team supports the non\-member (brokers, employers, providers, Medicaid, supplemental insurance, etc.) population of a large insurance companies flagship member portal.
 As a Product Owner you will work in a fast\-paced environment and will carry the responsibility to manage an important part of a digital services and data platform. This role focuses on identity and access management. These are largely API\-based services, so a technical background is highly desired.
 You will be guiding scrum teams with representation from architecture, engineering, product management and others. This role affords you the opportunity to expand your skills by working alongside talented and passionate teammates from diverse backgrounds. You will be contributing to building identity capabilities that are a critical part of our health care platform.
**Key Responsibilities**
* Understand customer needs to define product direction and articulate user stories and features
* Decompose high\-level requirements into user stories and tasks, manage and prioritize the product backlog, participate in scrums and meta\-scrums, and validate delivered solution designs
* Lead quarterly Product Increment planning for your scrum team(s)
* Understand, assess and critique the defined architecture and ensure that the scrum team delivery is aligned to that architecture
* Partner with engineering team to define, track and test user stories in an agile software development life cycle
* Provide product subject matter expertise and leadership
* Work with program management to track schedule against the roadmap and escalate risks and issues
**Background/Experience**
* 3\+ years of professional work experience with a least a couple years working with back\-end systems and APIs
* 1\+ year experience working with identity and access management products
* Technical aptitude and preferably experience managing or using API\-based products
* Demonstrated collaborative style, with ability to lead and influence diverse teams
* Demonstrated experience driving agile product development
* Passion for health and wellness
 Skills/Competencies
* Outstanding verbal and written communication skills
* Ability to thrive in a SAFe Agile development environment
* Experience using Rally to manage user requirements
 EDUCATION Bachelor's degree or equivalent experience.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3\+ years as a Product Owner
 Experience working with Web and Mobile Development Teams
 Experience working in Healthcare Insurance companies
 SAFe Agile
 Multi\-Factor Authentication
 Identity \&amp; Access Management
 experience working on an external member portal (web \&amp; mobile)
 If you have questions about this posting, please contact support@lensa.com</t>
        </is>
      </c>
    </row>
    <row r="122">
      <c r="A122" t="inlineStr">
        <is>
          <t>li-4345929542</t>
        </is>
      </c>
      <c r="B122" t="inlineStr">
        <is>
          <t>Senior Product Manager, SLG</t>
        </is>
      </c>
      <c r="C122" t="inlineStr">
        <is>
          <t>Everbridge</t>
        </is>
      </c>
      <c r="D122" t="inlineStr">
        <is>
          <t>linkedin</t>
        </is>
      </c>
      <c r="E122">
        <f>HYPERLINK("https://www.linkedin.com/jobs/view/4345929542", "https://www.linkedin.com/jobs/view/4345929542")</f>
        <v/>
      </c>
      <c r="F122" t="inlineStr"/>
      <c r="G122" t="inlineStr"/>
      <c r="H122" t="inlineStr"/>
      <c r="I122" t="inlineStr">
        <is>
          <t>As a Senior Product Manager, you will play a pivotal role in shaping the vision, strategy, and roadmap for the products that drive our Public Sector portfolio for State and Local. The existing and new products in this portfolio combine our industry\-leading Critical Event Management Platform and purpose\-built offering for the Public Sector. You will collaborate across teams to drive innovation, deliver value to our customers, and maintain our position as a market leader in CEM.
**What You'll Do**
* Define and communicate the product vision, strategy, and roadmap for CEM for Public Sector, particularly State and Local Government
* Lead cross\-functional teams, including engineering, design, and marketing, to deliver high\-quality features and enhancements.
* Gather and prioritize customer feedback and market insights to inform product decisions.
* Develop detailed requirements and user stories that translate customer needs into actionable development tasks.
* Ensure seamless integration of government regulations to enhance product compliance
* Collaborate with sales and customer success teams to enable effective go\-to\-market strategies and customer adoption.
**What You'll Bring**
* Bachelor’s degree in engineering, computer science, or a related field (MBA is a plus).
* 5\+ years of experience as a Product Manager, preferably in a SaaS environment and in Public Sector.
* Experience building and delivering both SaaS and mobile products, with a strong understanding of how the two interact to drive user value.
* Strong understanding of Agile and Scrum methodologies.
* Familiarity with Critical Event Management solutions, Public Notification solutions, Nixle is a plus.
* Excellent communication, collaboration, and leadership skills.
* Proficiency in using product management tools (e.g., JIRA, Trello, Aha!).
* Proven ability to manage multiple priorities and meet deadlines.
* Passion for technology and a keen interest in emerging trends in critical event management and business continuity.
 The reasonably estimated salary for this role at Everbridge ranges from $105,000 \- $141,000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3">
      <c r="A123" t="inlineStr">
        <is>
          <t>li-4367376318</t>
        </is>
      </c>
      <c r="B123" t="inlineStr">
        <is>
          <t>Senior Product Manager, Payments</t>
        </is>
      </c>
      <c r="C123" t="inlineStr">
        <is>
          <t>Instacart</t>
        </is>
      </c>
      <c r="D123" t="inlineStr">
        <is>
          <t>linkedin</t>
        </is>
      </c>
      <c r="E123">
        <f>HYPERLINK("https://www.linkedin.com/jobs/view/4367376318", "https://www.linkedin.com/jobs/view/4367376318")</f>
        <v/>
      </c>
      <c r="F123" t="inlineStr"/>
      <c r="G123" t="inlineStr"/>
      <c r="H123" t="inlineStr"/>
      <c r="I12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Platform team powers the foundational capabilities behind our marketplace and Storefront Pro, including order management, pricing and discounting, loyalty, fraud, and customer experience. We’re hiring a Global Payments Product Manager to lead the strategy and execution of our payments platform that supports our four\-sided marketplace of customers, shoppers, retailers, and advertisers.
 In this role, you will optimize our end\-to\-end payment stack to improve authorization rates, reduce cost of payments, and scale a resilient multi\-PSP architecture across existing and new markets. You’ll work closely with engineering, data, finance, operations, legal, and compliance internally, and with external partners such as PSPs (e.g., Stripe, Adyen, Braintree) and card networks (Visa/Mastercard). This is a high\-impact opportunity to shape how money moves at Instacart—covering unique use cases like EBT and health\-related payments, post\-order modifications and substitutions, shopper payouts, and Instacart\+ subscriptions.
 If you thrive in a fast\-paced, highly cross\-functional environment and love solving complex, global\-scale payments challenges, this role offers the chance to deliver measurable improvements to reliability, conversion, cost, and customer experience.
**About The Job**
* Own the global payments roadmap and strategy across authorization, routing, retries, tokenization, chargebacks/disputes, and refunds/partial captures, with clear KPIs for conversion, cost, latency, and reliability.
* Design and scale a multi\-PSP platform, including smart routing, failover, experimentation frameworks, and performance monitoring to continuously improve auth rates and reduce processing costs.
* Expand payment methods in the US and internationally, including wallets, local payment methods, EBT SNAP, HSA/FSA, and other emerging options, ensuring compliance with regional and network requirements.
* Partner closely with engineering (working with approximately 10–20 engineers) to define PRDs, scope systems, manage delivery timelines, and uphold high standards for availability, security, and PCI compliance.
* Collaborate across Platform, Fraud, Order Management, Loyalty, Pricing/Discounting, Shopper (for payouts), and Instacart\+ (for subscriptions) to support nuanced flows like post\-order changes, substitutions, partial captures, and disbursements.
* Manage external relationships with PSPs and card networks—driving performance reviews, negotiating favorable terms, running vendor evaluations, and ensuring SLAs and compliance are consistently met.
**About You**
 Minimum Qualifications
* 6\+ years of product management experience, including 3\+ years focused on payments, ecommerce, or financial platform products.
* Proven track record optimizing payment stacks at scale, including improving authorization rates, reducing processing costs, and integrating or scaling multi\-PSP platforms.
* Hands\-on experience delivering core payments capabilities such as routing and retries, tokenization/vaulting, 3DS/payer authentication, chargebacks/disputes, and refunds/partial captures.
* Proficiency with data and experimentation (e.g., SQL and analytics tools) to define KPIs, diagnose issues, and drive A/B tests or holdouts that inform product decisions.
* Demonstrated success working cross\-functionally with engineering, operations, finance, legal, and compliance, as well as externally with PSPs and card networks.
* Working knowledge of PCI DSS, card network rules, and regional payments regulations and privacy standards.
* Bachelor’s degree in business, engineering, computer science, or a related field; equivalent practical experience considered.
**Preferred Qualifications**
* Experience building for multi\-sided marketplaces and/or core platform domains such as order management systems, loyalty programs, pricing/discounting, fraud prevention, or subscription models.
* Familiarity with EBT SNAP, HSA/FSA, wallets, BNPL, and local payment methods across international markets.
* Experience managing PSP/vendor relationships, advocating for product needs, and negotiating commercial terms.
* Background supporting payouts/disbursements for contractors or shoppers and related reconciliation flows.
* MBA or advanced technical/strategy degree.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$221,000—$233,000 USD
 WA
 $212,000—$223,500 USD
 OR, DE, ME, MA, MD, NH, RI, VT, DC, PA, VA, CO, TX, IL, HI
 $203,000—$214,000 USD
 All other states
 $184,000—$194,000 USD</t>
        </is>
      </c>
    </row>
    <row r="124">
      <c r="A124" t="inlineStr">
        <is>
          <t>li-4367004996</t>
        </is>
      </c>
      <c r="B124" t="inlineStr">
        <is>
          <t>Product Manager</t>
        </is>
      </c>
      <c r="C124" t="inlineStr">
        <is>
          <t>Adecco</t>
        </is>
      </c>
      <c r="D124" t="inlineStr">
        <is>
          <t>linkedin</t>
        </is>
      </c>
      <c r="E124">
        <f>HYPERLINK("https://www.linkedin.com/jobs/view/4367004996", "https://www.linkedin.com/jobs/view/4367004996")</f>
        <v/>
      </c>
      <c r="F124" t="inlineStr"/>
      <c r="G124" t="inlineStr">
        <is>
          <t>Hanover, MD</t>
        </is>
      </c>
      <c r="H124" t="inlineStr"/>
      <c r="I124" t="inlineStr">
        <is>
          <t>**Product Manager – Industrial Automation \| Hanover, MD** 
 Step into a pivotal leadership role managing the most important product line for a global manufacturer in the industrial automation and material handling space. This is a hands\-on, commercially focused
 **Product Manager** 
 position responsible for the full product lifecycle \- from ideation and improvement through production, aftersales support, and product retirement.
**About the Role** 
 You’ll serve as the business owner for a mature, high\-impact product central to the company’s success. Working cross\-functionally with engineering, supply chain, assembly, sales, and aftermarket teams, you’ll ensure the product remains competitive, profitable, and aligned with market needs.
 This position is ideal for someone who thrives at the intersection of technology and business \-someone comfortable in customer discussions, experienced at the deal table, and driven by results.
**Key Responsibilities** 
* Own and manage the product throughout its lifecycle: from concept and improvement to release, support, and phase\-out.
* Represent the voice of the market and voice of the customer
* Partner with engineering and technical product owners to align business and technical objectives.
* Support commercial success through pricing, positioning, and lifecycle management.
* Travel to customer sites and trade shows to gather insights and maintain market alignment.
* Collaborate closely with internal teams (supply chain, assembly, aftersales) to ensure seamless execution and product excellence.
**What We’re Looking For** 
* 5\+ years of experience in Product Management
* Previous Technical Sales or Application Engineering within industrial automation or manufacturing is a huge plus
* Strong commercial instincts with firsthand customer and market engagement experience.
* Bachelors degree in Engineering, Math, Physics, or Coding preferred.
* Results\-driven leader comfortable influencing across teams and making decisions in ambiguous situations.
* Must be comfortable spending time in the field and in the office
**Why This Role Matters** 
 You’ll be joining a highly collaborative environment where initiative and ownership are valued. For the right person, this is a chance to shape the future of a key product within a respected global organization while staying close to both the market and the technology.</t>
        </is>
      </c>
    </row>
    <row r="125">
      <c r="A125" t="inlineStr">
        <is>
          <t>li-4367364452</t>
        </is>
      </c>
      <c r="B125" t="inlineStr">
        <is>
          <t>Sr. Ecommerce Product Manager</t>
        </is>
      </c>
      <c r="C125" t="inlineStr">
        <is>
          <t>SBH Fashion</t>
        </is>
      </c>
      <c r="D125" t="inlineStr">
        <is>
          <t>linkedin</t>
        </is>
      </c>
      <c r="E125">
        <f>HYPERLINK("https://www.linkedin.com/jobs/view/4367364452", "https://www.linkedin.com/jobs/view/4367364452")</f>
        <v/>
      </c>
      <c r="F125" t="inlineStr"/>
      <c r="G125" t="inlineStr">
        <is>
          <t>West Hollywood, CA</t>
        </is>
      </c>
      <c r="H125" t="inlineStr"/>
      <c r="I125" t="inlineStr">
        <is>
          <t>Thriving advanced contemporary brand is looking to hire a Sr. Product Ecommerce Manager based out LA. Hybrid role\- 3 days a week.
**Essential Duties**
**Product Vision \&amp; Strategy**
* Define and champion the vision, strategy, and roadmap for key components of the eCommerce experience.
* Translate customer insights, competitive learnings, and business goals into a cohesive and actionable product direction.
* Maintain a sharp understanding of the digital commerce landscape, anticipating shifts in technology, behavior, and best practices.
**Experience Design \&amp; Execution**
* Collaborate with internal and external cross\-functional partners to bring high\-impact features and enhancements to life.
* Develop clear product requirements, user stories, and acceptance criteria that enable teams to deliver with excellence.
* Serve as the connective tissue between creative, technical, and operational teams to ensure digital experiences feel seamless and on\-brand.
**Customer Insight \&amp; Optimization**
* Lead a structured approach to A/B testing, user research, and experimentation to inform decision\-making and continuously refine the customer journey.
* Leverage quantitative and qualitative insights to identify opportunities, validate concepts, and prioritize a dynamic, high\-value product backlog.
* Advocate for the customer’s needs at every stage of product development.
**Performance \&amp; Analytics**
* Define and track key performance indicators (KPIs) across owned product areas, translating results into actionable insights.
* Communicate progress, learnings, and recommendations to leadership and stakeholders with clarity and conviction.
* Balance customer experience with commercial impact, ensuring features deliver both delight and measurable value.
**Cross\-Functional Alignment**
* Act as a trusted subject matter expert within the organization, providing clarity, context, and guidance on digital product priorities.
* Facilitate alignment across teams and partners, ensuring shared understanding and cohesive execution.
* Manage expectations and maintain open, transparent communication across the business.
**Prerequisite Knowledge, Skills, \&amp; Education**
* 5\+ years of product management experience with a focus on customer\-facing eCommerce or DTC digital products.
* Hands\-on experience within the Shopify ecosystem, with a strong understanding of platform capabilities, limitations, and integrations.
* Proven ability to own the full product lifecycle—from discovery to launch to iteration.
* Expertise in A/B testing, user research, and analytics, with experience using tools such as Loop, Shoplift and Google Analytics.
* Strong understanding of Agile methodologies and experience guiding teams through sprint planning, execution, and retros.
* Exceptional communication and relationship\-building skills across internal teams and external partners.
* A creative, innovative mindset with a passion for building digital experiences that feel elevated, intuitive, and deeply customer\-centric.
* Comfort and adaptability in a fast\-moving environment where priorities evolve and opportunities emerge quickly.
**Physical and Mental Requirements**
* Standing and sitting for extended periods of time.
* Lifting up to 25 pounds in a safe and prudent manner.
* Ability to easily move throughout an office with ease.
* Ability to read, write, and understand English.
* Ability to effectively interact with others internally and externally.
* Ability to utilize office equipment in a safe and prudent manner, including a copy machine, fax machine, computer, telephone, and other general office equipment that may be used regularly.
* Ability to work with many different personalities.
* Ability to work in a fast\-paced environment.
* Correctable vision and hearing.
* Ability to work on\-site, full\-time.
 Salary: $110,000\-130,000/yearly</t>
        </is>
      </c>
    </row>
    <row r="126">
      <c r="A126" t="inlineStr">
        <is>
          <t>li-4367370665</t>
        </is>
      </c>
      <c r="B126" t="inlineStr">
        <is>
          <t>Product Manager</t>
        </is>
      </c>
      <c r="C126" t="inlineStr">
        <is>
          <t>Lumin Digital</t>
        </is>
      </c>
      <c r="D126" t="inlineStr">
        <is>
          <t>linkedin</t>
        </is>
      </c>
      <c r="E126">
        <f>HYPERLINK("https://www.linkedin.com/jobs/view/4367370665", "https://www.linkedin.com/jobs/view/4367370665")</f>
        <v/>
      </c>
      <c r="F126" t="inlineStr"/>
      <c r="G126" t="inlineStr"/>
      <c r="H126" t="inlineStr"/>
      <c r="I126" t="inlineStr">
        <is>
          <t>Basic Function
 Are you looking for a challenging career where you can change the lives of millions of Americans, work with the most talented team in the field, and become the best version of yourself? If so, join Lumin Digital as a Product Manager. In this role, you will own the product lifecycle, collaborate with cross\-functional teams, and deliver innovative digital banking solutions. Your work will directly enhance the financial lives of users and contribute to Lumin Digital’s mission to redefine digital banking.
 Essential Functions, Responsibilities, Experience:
 Be a true leader, working alongside engineers, project managers, and professional services teams to design, develop, and launch software solutions.
 Own the product lifecycle from concept to delivery, managing requirements gathering, documentation, timelines, user experience, quality assurance, and performance metrics.
 Collaborate with cross\-functional teams of designers, engineers, data scientists, and trainers to bring innovative products to market.
 Craft and communicate a compelling product vision and strategy with stakeholders, including internal teams, clients, and prospects.
 Utilize user, platform, and third\-party data to develop exciting features that improve the financial lives of consumers.
 Monitor and measure launched products to drive continuous improvements in usability, incorporating insights into future development cycles.
 Engage with the Lumin Digital community, contributing to organizational growth through honest, candid, and respectful feedback.
 Perform other duties as assigned.
**Role Growth:**
 30 days: Gain an understanding of Lumin Digital’s product portfolio, processes, and key stakeholders while building relationships with cross\-functional teams.
 90 days: Take ownership of key product initiatives, contributing to the development of innovative features and solutions.
 1 year: Deliver impactful products that demonstrate measurable improvements in user adoption, client satisfaction, and business outcomes.
**Position Specifications**
 Knowledge, Skills, \&amp; Abilities:
 At least 3 years of experience in product management or related disciplines, ideally within the Banking or FinTech sectors.
 Experience working with clients to deliver product based functionality and solutions.
 Proven ability to craft and communicate a compelling product vision and strategy to diverse audiences.
 Strong organizational, communication, and analytical skills.
 Experience managing multiple, competing priorities in a fast\-paced, innovative environment.
 Proficiency in Agile methodologies and tools (e.g., JIRA, Confluence).
 Nice\-to\-Have:
 Experience with other third\-party integrations, APIs, SSO, and banking platforms.
 Background in data\-driven product development and collaborating with clients and development teams to deliver new products
 Education:
 BA/BS degree or equivalent educational and professional experience.
 Travel:
 Minimal, generally 12 days or less per year, :2X team get togethers a year
**LIFE AT LUMIN DIGITAL**
 Lumin Digital is a trailblazer in digital banking solutions, driven by a unique approach to technology, service, and people. We empower credit unions and banks by creating cutting\-edge digital experiences that continuously serve, engage, and grow their membership base. Lumin is 100% cloud\-native, purpose\-built to unlock the full advantages of the cloud for financial institutions and their users.
 At Lumin, we thrive on curiosity and innovation. Our culture fosters trust \- in our expertise and decisions, respect \- for diverse perspectives and talents, and boldness \- in pursuing innovative paths. These values guide us, shaping a workplace where collaboration thrives, ideas flourish, and new possibilities are discovered. Focused on continuous improvement and innovation, we encourage our team to explore, experiment, and put new ideas into action, challenging the usual way of doing things.
 Lumin Digital is an equal opportunity employer. We consider all qualified applicants without regard to race, color, religion, sex, national origin, disability, protected veteran status, sexual orientation, gender identity, or any other legally protected basis, in accordance with applicable law.
 For more information, visit lumindigital.com.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7">
      <c r="A127" t="inlineStr">
        <is>
          <t>li-4356488199</t>
        </is>
      </c>
      <c r="B127" t="inlineStr">
        <is>
          <t>Senior Product Manager, Manufacturing Systems</t>
        </is>
      </c>
      <c r="C127" t="inlineStr">
        <is>
          <t>Gridware</t>
        </is>
      </c>
      <c r="D127" t="inlineStr">
        <is>
          <t>linkedin</t>
        </is>
      </c>
      <c r="E127">
        <f>HYPERLINK("https://www.linkedin.com/jobs/view/4356488199", "https://www.linkedin.com/jobs/view/4356488199")</f>
        <v/>
      </c>
      <c r="F127" t="inlineStr"/>
      <c r="G127" t="inlineStr">
        <is>
          <t>San Francisco, CA</t>
        </is>
      </c>
      <c r="H127" t="inlineStr"/>
      <c r="I127"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Summary** 
 The Manufacturing Systems Product Manager owns the strategy, implementation, and ongoing evolution of ERP and manufacturing systems, acting as the connective layer between manufacturing operations, enterprise software, and data engineering teams. This role ensures that systems are designed as scalable, productized platforms rather than one\-off implementations.
**Responsibilities** 
* Lead end\-to\-end ERP implementation and program management, including:
* Requirements definition, process mapping, and vendor selection
* System configuration and validation
* Data migration and cutover planning
* Go\-live and post\-implementation stabilization
* Configuration for manufacturing modules (MRP, BOMs, routings, inventory, quality, costing)
* Own relationship with ERP vendors and implementation partners with expectation to move teams off spreadsheets and manual workarounds.
* Make pragmatic decisions on configuration vs customization vs custom build, with explicit bias toward minimizing customizations for scalability.
* Ensure implementation timelines align with operational milestones
* Own integration between ERP, MES, PLM, WMS, and external systems
 Scale \&amp; Stabilize Manufacturing Systems
 * Own the roadmap for manufacturing systems as production volume, SKUs, and complexity increase
* Ensure manufacturing processes (BOMs, routings, MRP, costing, inventory, quality, etc) are scalable and auditable
* Identify and eliminate manual processes and fragile workarounds
* Prepare systems for multi\-site manufacturing as we scale
 Product Ownership
 * Act as Product Manager / Product Owner for ERP and manufacturing platforms
* Define system vision, roadmap, and success metrics
* Maintain and prioritize backlog across implementation, enhancements, and technical debt
* Balance operational urgency with platform stability and future needs
* Partner with business and technical stakeholders to gather requirements and align priorities
* Collaborate with engineering and vendors to deliver solutions from discovery through release
 Software \&amp; Data Engineering Integration
 * Partner with software engineers to design clean, API\-driven integrations
* Collaborate with data engineers to define manufacturing data models
* Ensure ERP data is reliable, timely, and analytics\-ready
* Support planning, forecasting, finance, and operational reporting needs
* Ownership of master data integrity
 Cross\-Functional Leadership \&amp; Change Management
 * Serve as the primary interface between Manufacturing, Supply Chain, Finance, Engineering, SW, and Data Engineering
* Drive alignment on standard processes during implementation
* Lead user acceptance testing and training strategy
* Manage change in a fast\-growing organization
**Required Skills** 
* 5\+ years of experience across manufacturing systems, ERP, product management, or related roles
* Led at least one full ERP implementation in a manufacturing environment
* Strong hands\-on experience with manufacturing ERP modules:
* BOMs, routings, work orders, MRP, inventory, costing
* PLM \-\&gt; ERP integration / EBOM to MBOM
* Proven ability to translate manufacturing workflows into system and data requirements
* Experience working directly with software engineers and technical teams
* Comfortable owning ambiguous, cross\-functional initiatives in a scaling company
**Bonus Skills** 
* Experience with dashboarding or reporting tools (Excel power user, SQL, or BI tools a plus)
* Experience in the energy, utilities, or hardware startup space.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28">
      <c r="A128" t="inlineStr">
        <is>
          <t>li-4330953692</t>
        </is>
      </c>
      <c r="B128" t="inlineStr">
        <is>
          <t>Product Manager</t>
        </is>
      </c>
      <c r="C128" t="inlineStr">
        <is>
          <t>CAI</t>
        </is>
      </c>
      <c r="D128" t="inlineStr">
        <is>
          <t>linkedin</t>
        </is>
      </c>
      <c r="E128">
        <f>HYPERLINK("https://www.linkedin.com/jobs/view/4330953692", "https://www.linkedin.com/jobs/view/4330953692")</f>
        <v/>
      </c>
      <c r="F128" t="inlineStr"/>
      <c r="G128" t="inlineStr"/>
      <c r="H128" t="inlineStr"/>
      <c r="I128" t="inlineStr">
        <is>
          <t>**Are You Ready?**
 CAI is a 100% employee\-owned professional services company established in 1996 that has grown year over year to nearly 850 people worldwide. For mission critical and FDA\-regulated industries that need to deliver high\-stakes solutions, we provide commissioning, qualification, validation, start\-up, project management, and consulting services focused on operational readiness and performance excellence.
 Our approach is simple because our Purpose informs everything we do:
 We exist to be the trusted solution for our clients as they strive to build a better working world and improve the human experience.
 At CAI, we are committed to living our Foundational Principles, both professionally and personally:
* We act with integrity
* We serve each other
* We serve society
* We work for our future
 As owners, our shared success drives our team\-first approach. We put clients’ interests first, never stop until it's right, and do whatever it takes to get there.
 CAI agents work with cutting\-edge technologies in advanced medicine and regulated facilities. You will have opportunities to engage with leading experts, participate in hands\-on certifications, and make a direct impact by helping bring life\-saving therapies to market. Our collaborative, values\-driven culture ensures delivery of excellence across all services.
**Job Summary:**
 We are seeking an experienced and execution\-focused Product Manager to serve as the owner of CAI’s expanding toolkit of digital products and services. In this role, you will drive innovation, alignment, and delivery of configurable, scalable, and compliant digital solutions that support operational readiness and operational excellence in regulated industries. You will own the full product lifecycle, act as Product Owner within Agile teams, and ensure successful delivery from intake through launch and continuous improvement.
**Key Responsibilities:**
* Project \&amp; Delivery Leadership
 Own and drive end\-to\-end execution of digital product initiatives from intake through launch, ensuring delivery aligns with business and customer outcomes.
 Lead planning, scheduling, and coordination across cross\-functional teams, managing dependencies, milestones, and deliverables.
 Develop and maintain delivery artifacts including delivery plans, RAID logs, milestone tracking, and action registers.
 Proactively identify risks, escalate issues as needed, and drive mitigation strategies to protect delivery commitments.
 Serve as the central owner for execution, ensuring work progresses efficiently and priorities remain aligned.
* Product Strategy \&amp; Portfolio Management
 Define and evolve the vision, strategy, and roadmap for CAI’s digital toolkit in alignment with business objectives and customer needs.
 Prioritize and manage a product backlog spanning multiple digital products and service components.
 Own the full product lifecycle from concept through deployment and continuous improvement, ensuring delivery of measurable business value.
* Agile Product Ownership \&amp; Execution
 Act as Scrum Product Owner across one or more Agile teams, maintaining delivery momentum and achieving sprint goals.
 Translate business needs into clear epics, features, and user stories with defined acceptance criteria.
 Lead backlog refinement, sprint planning, reviews, and retrospectives in partnership with Scrum teams.
 Make real\-time trade\-off decisions to balance scope, risk, schedule, and value.
 Monitor sprint progress and velocity, adjusting plans as capacity or priorities change.
* Stakeholder Management \&amp; Cross\-Functional Collaboration
 Facilitate alignment and decision\-making across operations, subject matter experts, regulatory advisors, technology partners, customer success, and leadership.
 Coordinate internal and external contributors to ensure deliverables are reviewed, approved, and implemented on schedule.
 Partner with marketing, sales, and delivery teams to support messaging, training, onboarding, and rollout activities.
 Communicate status updates, risks, and key decisions with clarity and consistency.
* Customer\-Centric Requirements \&amp; Compliance Delivery
 Gather, refine, validate, and manage requirements from internal and external stakeholders.
 Drive customer feedback loops and iterative MVP delivery while maintaining scope and delivery discipline.
 Ensure solutions align with global regulatory expectations including 21 CFR Part 11, GAMP 5, GxP, and ISO 27001, with appropriate validation rigor and documentation.
* Solution Development, Scalability \&amp; Performance Optimization
 Lead development and configuration of reusable templates, workflows, and components to accelerate client time\-to\-value.
 Drive standardization and harmonization across digital products to support scalable, multi\-site and global deployments.
 Track delivery, adoption, and performance metrics (cycle time, ROI, usage, quality outcomes) and use insights to continuously improve solutions and execution.
**Qualifications:**
**Required:**
 5\+ years of experience in product management, digital transformation, or software delivery within life sciences or highly regulated environments.
 2\+ years of experience as a Scrum Product Owner or equivalent Agile delivery role.
 Experience with digital validation, quality systems, or operational technology platforms (e.g., Kneat Gx, Veeva, TrackWise).
 Strong understanding of GxP, data integrity, and CSV principles.
 Excellent stakeholder management, communication, and prioritization skills.
**Preferred:**
 Certified Scrum Product Owner (CSPO), Scrum Master, or equivalent certification.
 Experience with configurable SaaS platforms, productized services, or reusable digital toolkits.
 Familiarity with validation\-related business processes including commissioning, qualification, change control, and quality risk management.
 We are an equal opportunity employer; we are proud to employ veterans and promote diversity and inclusion in our workplace. Diversity is a strength for our global company. We pledge that CAI will be operated in a way that is fair and equitable to all – our employees, our customers, and the broader society.
 This job description is not all inclusive and you may be asked to do other duties. CAI will also consider for employment qualified applicants with criminal histories in a manner consistent with the requirements of the Fair Chance Act (FCA) / Fair Chance Ordinance (FCO).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Average base salary range \- not including benefits and bonus.
 CAI Benefits:
* Comprehensive Health Insurance coverage
* 24 days of Paid Time Off
* ESOP/401K \- 15% Company Contribution (US Only)
* Company paid Life Insurance
* Company paid Long Term Disability</t>
        </is>
      </c>
    </row>
    <row r="129">
      <c r="A129" t="inlineStr">
        <is>
          <t>li-4365186805</t>
        </is>
      </c>
      <c r="B129" t="inlineStr">
        <is>
          <t>Software Product Manager</t>
        </is>
      </c>
      <c r="C129" t="inlineStr">
        <is>
          <t>SoLa Impact</t>
        </is>
      </c>
      <c r="D129" t="inlineStr">
        <is>
          <t>linkedin</t>
        </is>
      </c>
      <c r="E129">
        <f>HYPERLINK("https://www.linkedin.com/jobs/view/4365186805", "https://www.linkedin.com/jobs/view/4365186805")</f>
        <v/>
      </c>
      <c r="F129" t="inlineStr"/>
      <c r="G129" t="inlineStr">
        <is>
          <t>Los Angeles, CA</t>
        </is>
      </c>
      <c r="H129" t="inlineStr"/>
      <c r="I129" t="inlineStr">
        <is>
          <t>**JOB SUMMARY** 
 Model/Z seeks an experienced and dynamic Software Product Manager to provide technical oversight and leadership in managing the software development process. In this role, you will turn business requirements into technical specifications, define and design intuitive UI/UX, define AI agent user journeys, and establish clear communication between internal stakeholders and external development teams. You will manage release schedules, conduct code and quality reviews, identify technical risks, and work with the existing product team to ensure compliance with security policies and industry regulations.
**SALARY{{:}} $180K\-$250K PER YEAR** 
**LOCATION{{:}}** 
 740 E. 111th Place, Los Angeles, CA 90059 Watts
**SCHEDULE{{:}}** 
 9\-10 Hour Workdays, 4 days a week (Monday \- Thursday), with occasional remote. Friday meetings if needed. 3 \- 4 days per week in person. The schedule is subject to change to an 8\-hour, 5\-day workweek in the future.
**ABOUT THE COMPANY** 
 Model/Z is a trailblazing enterprise focused on reinventing multifamily housing through the development of standardized, modular units. Our mission is to provide high\-quality, low\-cost, and net\-zero\-ready housing solutions that are both scalable and practical, aiming to significantly mitigate homelessness and enhance living conditions for underrepresented communities. As a majority Black\-owned and operated business based in Southern California, Model/Z is poised to establish the first standardized modular housing factory in the region.
 Located in the historic Watts neighborhood of South Los Angeles, Model/Z is committed to revitalizing communities by employing local community members and paying living wages. Our innovative approach revolutionizes construction, transforming a traditional linear process into a parallel manufacturing system that allows us to build high\-quality apartment homes in a factory before the concrete is even poured on\-site. By empowering Black and brown families and institutions and unlocking the value of underutilized land, Model/Z embodies a model of equitable growth, addressing the urgent need for affordable housing in Southern California and beyond.
**Requirements**
**ESSENTIAL DUTIES** 
* Serve as a primary point of contact between Model/Z and development partners and ensure adherence to timelines, deliverables, and performance standards
* Define project scope, objectives, and deliverables that align with business goals in collaboration with senior management
* Work closely with internal stakeholders to ensure all requirements are well understood and documented and ensure that changes in scope or timelines are communicated and managed appropriately
* Lead the planning, execution, and delivery of software development projects, ensuring alignment with strategic objectives
* Identify Opportunities for AI agents and related technology to add value for Model/Z customers
* Define User journeys to ensure customer requirements are met while prioritizing business objectives
* Provide guidance and mockups/wireframes to ensure beautiful and intuitive UI/UX interfaces
* Identify and mitigate potential technical risks associated with the development and delivery of the software
* Implement contingency plans to address potential delays, resource challenges, or quality concerns
* Manage release schedules, ensuring timely delivery of software updates and new features
* Manage and track the financial aspects of the project to ensure delivery of project within approved budget
* Ensure that the software development process complies with internal security policies, industry standards, and regulatory requirements
**EDUCATION \&amp; EXPERIENCE** 
* Bachelor's degree in Computer Science, Software Engineering, or a related field (Master's preferred)
* Proven experience (3\+ years) in product management, with a focus on software architecture, UI/UX, and coding standards
* Experience managing software development teams or working with external development partners
* Strong technical background in software development, including experience with software architecture, development methodologies, and QA/testing processes.
* Excellent communication, leadership, and problem\-solving skills
* Experience in UI/UX design is a plus
**SKILLS \&amp; ABILITIES** 
 ●
 **Technical Expertise{{:}}** 
 Strong understanding of software architecture, UI/UX design principles, and coding standards, with the ability to evaluate and improve technical solutions
 ●
 **Communication \&amp; Collaboration{{:}}** 
 Excellent communication skills, with the ability to establish clear lines of communication between internal stakeholders and external development teams
 ●
 **Project Management{{:}}** 
 Skilled in managing software release schedules, ensuring timely delivery of features and updates
 ●
 **Code \&amp; Quality Review{{:}}** 
 Proficient in conducting thorough code and quality reviews to ensure alignment with technical standards and functionality requirements
 ●
 **Risk Identification \&amp; Troubleshooting{{:}}** 
 Ability to identify potential technical risks early in the development process and effectively troubleshoot complex technical issues
 ●
 **Compliance \&amp; Security{{:}}** 
 Knowledgeable in internal security policies, industry standards, and regulatory requirements, ensuring software development compliance
 ●
 **Continuous Improvement{{:}}** 
 Ability to propose and implement technical improvements to enhance software performance, functionality, and user experience
**● Team Leadership{{:}}** 
 Potential to lead and manage an internal software team in the future, fostering innovation and collaboration within the development process
**● Design \&amp; UX{{:}}** 
 An eye for design and a knack for creating intuitive click paths for a seamless user experience is a plus
**Benefits**
 Model/Z offers a comprehensive benefits package that includes paid vacation, medical, dental, vision, and life insurance, as well as pet insurance, sick leave, 10 paid holidays, and bereavement days. This package is designed to provide employees with a range of important benefits that help to support their physical and emotional well\-being, while also providing financial protection and peace of mind.
*At Model/Z, we believe work environment, culture, and the opportunity to learn and grow are key elements when considering a new job. We are just the right size to provide the resources and support you need without the bureaucracy of a large corporate environment. We foster a family\-friendly and supportive workplace, collaborative and employee\-focused with an emphasis on quality, integrity, trust, and accountability. We are looking to bring someone on board as soon as possible. We provide a rewarding and challenging environment. We expect a lot, but give a lot in return. Strongly prefer candidates local to Los Angeles as no relocation assistance will be provided. All qualified candidates will be contacted directly.* 
 At Model/Z, we believe the work environment, culture, and the opportunity to learn and grow are key elements when considering a new job. We are just the right size to provide the resources and support you need without the bureaucracy of a large corporate environment. We are a fast paced startup environment that is well funded. We foster a supportive, collaborative and employee\-focused workplace with an emphasis on quality, integrity, trust, and accountability. We are looking to bring someone on board as soon as possible. We provide a rewarding and challenging environment. We expect a lot, but give a lot in return. Strongly prefer candidates local to Los Angeles as no relocation assistance will be provided. All qualified candidates will be contacted directly.
*Model/Z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***\*\*The submission of your job application certifies that all information provided in this application is true, accurate, and complete to the best of your knowledge. You understand that any false statements, misrepresentations, or omissions—including those related to education or employment history—may result in rescission of an employment offer or termination of employment.\*\****</t>
        </is>
      </c>
    </row>
    <row r="130">
      <c r="A130" t="inlineStr">
        <is>
          <t>li-4367348105</t>
        </is>
      </c>
      <c r="B130" t="inlineStr">
        <is>
          <t>Senior Product Manager || Hybrid - NYC or Austin</t>
        </is>
      </c>
      <c r="C130" t="inlineStr">
        <is>
          <t>Buoy Software</t>
        </is>
      </c>
      <c r="D130" t="inlineStr">
        <is>
          <t>linkedin</t>
        </is>
      </c>
      <c r="E130">
        <f>HYPERLINK("https://www.linkedin.com/jobs/view/4367348105", "https://www.linkedin.com/jobs/view/4367348105")</f>
        <v/>
      </c>
      <c r="F130" t="inlineStr"/>
      <c r="G130" t="inlineStr">
        <is>
          <t>New York, NY</t>
        </is>
      </c>
      <c r="H130" t="inlineStr"/>
      <c r="I130" t="inlineStr">
        <is>
          <t>**Who We Are:**
 Buoy is a modern, cloud\-based software platform powering the blood and plasma collection industry. Buoy builds software that supports the entire donor journey and manages complex clinical and operational workflows, and delivers a faster, safer, and more welcoming donor experience, all while meeting strict regulatory requirements.
 Buoy was founded in 2019 to help close a critical gap in the global blood product supply. Amid a global blood and plasma shortage, the company is focused on making donations faster, more welcoming, and more accessible through a modern, tech\-enabled experience.
**Where You Are:**
 This is a fully remote position open to candidates living in the United States. Buoy is unable to provide visa sponsorship for this position. Candidates must be authorized to work in the United States without the need for sponsorship, now or in the future.
**This is a hybrid role that will require working in\-person at least 2 days per week (Austin, TX or New York, NY) and visiting collection centers roughly once a quarter.**
**What You'll Do:**
* Product Vision and Roadmap \- You will drive the end\-to\-end product vision, strategy, and execution for your domain to evolve our platform and meet ambitious company goals
* End\-to\-end ownership \- You’ll own a set of key customer and business problems from discovery through delivery. You’ll shape priorities for the team, balancing customer needs, operational efficiency, regulatory requirements, and technical debt
* Cross\-functional delivery \- You’ll work alongside an Engineering Manager and a pod of engineers to build products that power thousands of donations daily. You’ll lead engineering, design, and operations through discovery, definition, and delivery \- ensuring we ship software that actually gets adopted and drives business outcomes
* Customer insight \- You’ll develop a deep understanding of how centers operate \- shadowing workflows, conducting site visits, running customer calls, and analyzing data to identify what’s working and what’s not
* Regulatory alignment \- You’ll partner with our Quality and Regulatory team to ensure features meet FDA, AABB, FACT and PPTA requirements, balancing compliance with velocity and usability
**Who You Are:**
* 3\-6\+ years in product management with a track record of shipping products that solve real business problems, not just features that check boxes
* Experience in complex, regulated, or operationally intensive environments. Healthcare, fintech, logistics, or similar domains where you can’t just move fast and break things
* Internal tools or operational systems expertise. You understand workflow automation, exception handling, and what it takes to build for scale
* Systems thinking. You see how pieces connect and design for flexibility, not just the immediate use case
* Cross\-functional leadership. You’ve led initiatives requiring coordination across engineering, operations, and business stakeholders, balancing technical complexity with business needs
* Deep customer instincts. You get energy from being in the field: sitting with users, watching how they work, and seeing your ideas come to life
* Adaptable in high\-growth environments. You thrive when priorities shift, scope evolves, and you’re asked to reprioritize on the fly. You see constant change as a feature of the job, not a bug
* Relentless problem solver. You’re solution\-oriented and resourceful. When something’s not working, you find another way. When you make a commitment, you go the extra mile to hit it
* Curious and forward\-looking. You stay current with AI tools and industry trends, and you’re eager to apply them, whether to accelerate your own workflows or bring automation into the product
* Clear thinker, clear communicator. You translate technical and operational complexity into crisp communication that aligns stakeholders and drives decisions. You sweat the details in requirements, documenting edge cases early to reduce rework downstream
* Thrives in execution. You don’t just set direction, you stay close to the work. You care about the details, follow through on the small stuff, and take pride in shipping something that actually works as intended
**What Will Make You Successful:**
* One team \- You work across roles and functions to get to the best outcome. You give direct feedback, support your teammates, and celebrate wins together
* Own the outcome \- You take initiative when something is unclear, blocked, or broken. You follow through on commitments, and when plans change, you communicate quickly and find a path forward. You focus on learning, not blame
* Customer obsession \- You advocate for center staff and donors, but you ship pragmatic solutions that work within real constraints
* Curiosity and continuous growth \- You ask questions, seek diverse perspectives, and stay current with tools like AI to accelerate your work, while still applying judgment and critical thinking
* High standards, always \- You take pride in your craft. You set a high bar for quality, prepare and plan ahead, and raise issues early so the team can adjust
**What We Offer:**
 At Buoy Software, we’re a team of curious, mission\-driven people who care deeply about building software that makes a real difference \- and about building a company we’re proud to be part of. We know that doing great work starts with feeling supported, valued, and empowered, both personally and professionally.
 Our benefits are designed to help you do your best work and live a full life outside of it. We offer comprehensive health plans, a 401k program, generous parental leave, a flexible time off policy, and a home office stipend to support your hybrid work setup. We also invest in creating a connected, collaborative culture and thoughtful onboarding to help new hires feel welcomed and set up for success.
 We believe diverse backgrounds, perspectives, and experiences make our work stronger. Buoy Software is proud to be an equal\-opportunity employer, and we’re committed to building a culture of inclusion and belonging. We welcome applicants from all walks of life and are dedicated to ensuring every team member feels respected, supported, and able to thrive.
 The selected candidate will be required to complete a background check, employment verification, and provide references.
 Candidates should expect to be brought in at the lower half of the compensation band ($135,000\-$160,000\). This approach helps us maintain internal equity across the team based on current experience levels and responsibilities. As part of our commitment to growth and fairness, we regularly review compensation and performance to ensure team members are recognized as they take on more scope and impact over time.</t>
        </is>
      </c>
    </row>
    <row r="131">
      <c r="A131" t="inlineStr">
        <is>
          <t>li-4367371302</t>
        </is>
      </c>
      <c r="B131" t="inlineStr">
        <is>
          <t>Product Manager</t>
        </is>
      </c>
      <c r="C131" t="inlineStr">
        <is>
          <t>Lensa</t>
        </is>
      </c>
      <c r="D131" t="inlineStr">
        <is>
          <t>linkedin</t>
        </is>
      </c>
      <c r="E131">
        <f>HYPERLINK("https://www.linkedin.com/jobs/view/4367371302", "https://www.linkedin.com/jobs/view/4367371302")</f>
        <v/>
      </c>
      <c r="F131" t="inlineStr"/>
      <c r="G131" t="inlineStr">
        <is>
          <t>Alameda, CA</t>
        </is>
      </c>
      <c r="H131" t="inlineStr"/>
      <c r="I1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Abbott. Clicking "Apply Now" or "Read more" on Lensa redirects you to the job board/employer site. Any information collected there is subject to their terms and privacy notice.
 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for?free medical coverage in our?Health Investment Plan (HIP) PPO?medical plan in the next calendar year.
* An excellent retirement savings plan with a high employer contribution
* Tuition reimbursement, theFreedom 2 Savestudent debt program, andFreeUeducation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Alameda, CA location in the Abbott Diabetes Care Division, where we are focused on helping people with diabetes manage their health with life\-changing products that provide accurate data to drive better\-informed decisions. We're revolutionizing the way people monitor their glucose levels with our new sensing technology.
 We are looking for an energetic and driven product manager to join our growing Product and Innovation group, which is responsible for software and hardware products and services that expand and enhance the capabilities of the FreeStyle Libre platform, the world's \#1 continuous glucose monitoring (CGM) solution.
 This is a fully on\-site role in our main Alameda, CA site OR you can choose to work from our Milpitas,
 CA office as well.
**What You'll Work On**
* Use insights to help identify new product opportunities
* Identify and prioritize unmet user needs, and translate them into product requirements
* Collaborate with product designers to define the complete user experience
* Plan and execute design research and user testing
* Collaborate with software engineering to implement and test new features and/or products
* Collaborate with product marketing to produce promotional and/or educational content
* Support on\-market activities in collaboration with Commercial teams
* Analyze global market trends, consumer behaviors, regulatory environments, and competitive landscapes to identify growth opportunities and strengthen Abbott's leadership in digital diabetes management.
* Maintain and advance the product roadmap
**Required Qualifications**
* Bachelor's degree with 5 years' experience
* Experience building and shipping software and/or hardware products
* Experience working in highly cross\-functional organizations
**Preferred Qualifications**
* Strong presentation and communication skills, proactive and resourceful with a "can do" attitude
* Able to think openly, broadly and strategically
* Strong analytical skills, able to draw conclusions from data
* Enjoys responding quickly and influencing people to deliver
* Sound time management skills, ensuring that work is produced to agreed deadlines and high standards
* Highly organized, focused and committed to achieving goals
* Thrives under pressure with tight deadlines on several initiatives simultaneously
* Understanding of delivering products in a regulated environment
* Previous experience working in health and wellness is a plus
**Learn more about our benefits that add real value to your life to help you live fully:** 
 ? www.abbottbenefits.com (http://www.abbottbenefits.com/pages/candidate.aspx)
 Follow your career aspirations to Abbott for diverse opportunities with a company that provides the growth and strength to build your future. Abbott is an Equal Opportunity Employer, committed to employee diversity.
 Connect with us at www.abbott.com , on Facebook at www.facebook.com/Abbott and on Twitter @AbbottNews and @AbbottGlobal.
 The base pay for this position is $114,000\.00 \- $228,000\.00\. In specific locations, the pay range may vary from the range posted.
 An Equal Opportunity Employer
 Abbot welcomes and encourages diversity in our workforce.
 We provide reasonable accommodation to qualified individuals with disabilities.
 To request accommodation, please call 224\-667\-4913 or email corpjat@abbott.com
 If you have questions about this posting, please contact support@lensa.com</t>
        </is>
      </c>
    </row>
    <row r="132">
      <c r="A132" t="inlineStr">
        <is>
          <t>li-4367015521</t>
        </is>
      </c>
      <c r="B132" t="inlineStr">
        <is>
          <t>Product Manager II, Lottery Consumer</t>
        </is>
      </c>
      <c r="C132" t="inlineStr">
        <is>
          <t>DraftKings Inc.</t>
        </is>
      </c>
      <c r="D132" t="inlineStr">
        <is>
          <t>linkedin</t>
        </is>
      </c>
      <c r="E132">
        <f>HYPERLINK("https://www.linkedin.com/jobs/view/4367015521", "https://www.linkedin.com/jobs/view/4367015521")</f>
        <v/>
      </c>
      <c r="F132" t="inlineStr"/>
      <c r="G132" t="inlineStr">
        <is>
          <t>Massachusetts, United States</t>
        </is>
      </c>
      <c r="H132" t="inlineStr"/>
      <c r="I132"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Product Manager II, Lottery Consumer, you’ll lead the product strategy behind our cart, checkout, and subscription experiences across web and mobile. You’ll work across teams to prioritize and deliver solutions that reduce friction, build trust at the point of purchase, and drive meaningful business outcomes. Your work will directly impact commerce KPIs like checkout conversion, average order value, and recurring subscription revenue. With a focus on experimentation, data\-driven iteration, and cross\-functional alignment, you’ll shape a seamless, scalable commerce journey that serves millions of players.
 What you’ll do as Product Manager II, Lottery Consumer
* Own the product vision, roadmap, and outcomes for Core Commerce and Checkout experiences across iOS, Android, and web platforms.
* Identify and prioritize initiatives that drive improvements in checkout conversion, cart abandonment, AOV, and subscription revenue.
* Lead end\-to\-end product development, from problem definition and user stories to launch and post\-release iteration.
* Define success metrics and drive structured experimentation through A/B testing and optimization.
* Collaborate with Design to deliver accessible, high\-confidence purchase flows that reduce user friction.
* Partner with Engineering to ensure experiences are fast, resilient, well\-instrumented, and scalable.
* Work cross\-functionally with Analytics, Research, Operations, Legal, and Customer Experience to align solutions with customer needs and regulatory requirements.
* Monitor industry trends and commerce innovations to continuously evolve the checkout and subscription experience.
 What you’ll bring
* Bachelor’s Degree or any suitable combination of education, training, and experience.
* At least 5 years of experience in product management, with a focus on delivering consumer\-facing products across mobile and web.
* Proven ownership of commerce funnels such as checkout and subscription journeys, with a record of driving measurable impact.
* Strong analytical capabilities including funnel analysis, A/B test design, and metric\-based decision\-making.
* Excellent judgment and communication skills, with the ability to drive clear tradeoffs and alignment across stakeholders.
* Deep experience collaborating with Engineering and Design from ideation through launch.
* Comfortable operating in fast\-paced, complex, and regulated environments.
* Passion for customer experience, with a focus on reducing friction and increasing trust at the point of purchase.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117,900\.00 USD \- 147,400\.00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133">
      <c r="A133" t="inlineStr">
        <is>
          <t>li-4352083014</t>
        </is>
      </c>
      <c r="B133" t="inlineStr">
        <is>
          <t>Product Manager</t>
        </is>
      </c>
      <c r="C133" t="inlineStr">
        <is>
          <t>i360</t>
        </is>
      </c>
      <c r="D133" t="inlineStr">
        <is>
          <t>linkedin</t>
        </is>
      </c>
      <c r="E133">
        <f>HYPERLINK("https://www.linkedin.com/jobs/view/4352083014", "https://www.linkedin.com/jobs/view/4352083014")</f>
        <v/>
      </c>
      <c r="F133" t="inlineStr"/>
      <c r="G133" t="inlineStr">
        <is>
          <t>Arlington, VA</t>
        </is>
      </c>
      <c r="H133" t="inlineStr"/>
      <c r="I133" t="inlineStr">
        <is>
          <t>**Your Job**
 The Product Manager is a key member of our growing and sizable software team \-\- working with other Product Managers, UX / UI designers, and Software Developers. You will identify features needed by our customers, collaborate on the development of mockups, write user stories and acceptance criteria, and assist in the implementation, testing, and launch of the finished product.
**Our Team**
 i360 is the leading data and technology provider for the pro\-free market political and advocacy community. Located in the Washington, DC, area, i360 builds solutions central to how issue advocacy groups and political campaigns use data and technology. As a result, i360 sits at the center of driving voter engagement. We value teammates with strong communication skills, a passion for leveraging front\-end technologies to create user\-friendly applications, and a desire to see their work significantly impact and empower people to participate in the political process.
**What You Will Do**
* Ability to analyze business requirements and translate those needs into functional requirements that clearly state project scope for specific products and features
* Create clear, concise, and complete user stories \&amp; acceptance criteria
* Collaborate with developers to test and verify that solutions will meet the business requirements
* Interact with Account Representatives to understand business processes and key requirements, proactively work to resolve client issues.
* Act as liaison between Accounts and Development Team in all areas of customer support and enhancements
* Excellent communication and problem\-solving skills, with experience interfacing directly with business end\-users in design and requirements planning
* Ability to manage tasks and timelines effectively
* Passion for free\-market principles
* The right candidate is a strong communicator with a passion for managing projects in a fast\-paced environment and a desire to have their work significantly impact and empower people to participate in the political process
* Participating in daily scrum with Developers and QA
* Discussing current and future road map features with various members of the team including Accounts team representatives
* Reviewing customer reported issues and working to prioritize fixes based on severity
**Who You Are (Basic Qualifications)**
* Experience in Product Management, Interaction Design, Interface Design, Product Design (web and/or native), User Experience, or Usability Engineering
* Ability collaborating cross\-functionally with key stakeholders, data \&amp; software engineers, and visual designers
* Experience writing user stories and acceptance criteria for software development teams
* Prior experience being the Product Manager for a SaaS product and/or product set.
**What Will Put You Ahead**
* Experience working in an Agile environment
* Excellent verbal and written communications skills
* Bachelor’s or Master’s degree in Computer Science, Computer Engineering, or Engineering
* Demonstrate advanced technical writing skills through writing samples, that demonstrate experience in writing specifications for robust API development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i360 works across industry lines to bring unique data, technology and analytics solutions to help our customers win. Our analysts and data scientists build and refine proven, sophisticated models that help customers understand and reach their target audience, visualize data and expand their reach.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134">
      <c r="A134" t="inlineStr">
        <is>
          <t>li-4356628362</t>
        </is>
      </c>
      <c r="B134" t="inlineStr">
        <is>
          <t>Group Product Manager, Platform</t>
        </is>
      </c>
      <c r="C134" t="inlineStr">
        <is>
          <t>Chime</t>
        </is>
      </c>
      <c r="D134" t="inlineStr">
        <is>
          <t>linkedin</t>
        </is>
      </c>
      <c r="E134">
        <f>HYPERLINK("https://www.linkedin.com/jobs/view/4356628362", "https://www.linkedin.com/jobs/view/4356628362")</f>
        <v/>
      </c>
      <c r="F134" t="inlineStr"/>
      <c r="G134" t="inlineStr">
        <is>
          <t>San Francisco, CA</t>
        </is>
      </c>
      <c r="H134" t="inlineStr"/>
      <c r="I134" t="inlineStr">
        <is>
          <t>**About The Role**
 Chime is seeking a
 **Group Product Manager** 
 to lead
 **Platform Product** 
 , which includes Chime’s proprietary payments and ledger processing platform ChimeCore. ChimeCore is a mission\-critical, highly technical system that underpins Chime’s core financial products and enables speed, reliability, and regulatory compliance at scale.
 In this role, you will lead a small, senior team of Product Managers and work deeply cross\-functionally with Engineering, Infrastructure, Risk, Compliance, and Operations. You will own the product vision and execution for a complex internal platform that directly impacts product velocity, member experience, cost efficiency, and regulatory outcomes across the company.
 This is a high\-impact leadership role for a technically strong product leader who thrives in platform environments and understands how to balance scalability, resilience, and developer experience in a regulated financial system.
 The base salary offered for this role and level of experience will begin at $213,000 and up to $285,000\. Full\-time employees are also eligible for a bonus, competitive equity package, and benefits. The actual base salary offered may be higher, depending on your location, skills, qualifications, and experience.
 This role is in\-office in San Francisco Monday \- Thursday.
 In this role, you can expect to
* Own the product vision, strategy, and roadmap for ChimeCore, aligning platform investments to company\-level priorities and long\-term scalability needs.
* Lead and mentor a small team of IC Product Managers, setting a high bar for technical rigor, execution, and stakeholder communication.
* Partner closely with Engineering, Infrastructure, Risk, Compliance, Finance, and Operations to deliver reliable, compliant, and scalable platform capabilities.
* Drive clarity on APIs, internal tooling, data flows, and system boundaries to improve developer velocity and reduce operational risk.
* Balance short\-term delivery needs with long\-term architectural investments, including platform modernization and resiliency initiatives.
* Establish clear success metrics for platform health, reliability, and adoption across internal teams.
* Act as a key product voice for ChimeCore in executive\-level discussions, translating technical tradeoffs into business impact.
 To thrive in this role, you have
* 8–12\+ years of Product Management experience, with significant experience owning internal platforms, infrastructure, or highly technical systems.
* Prior experience leading Product Managers (people leadership or strong team\-lead experience).
* Strong technical fluency — comfortable partnering with senior engineers and discussing system architecture, data models, APIs, and reliability tradeoffs.
* Proven track record working in regulated or high\-availability environments (e.g., fintech, payments, banking, healthcare, or large\-scale infrastructure).
* Ability to influence across functions without direct authority and navigate complex organizational dependencies.
* Excellent communication skills — able to clearly articulate complex technical concepts to non\-technical stakeholders.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135">
      <c r="A135" t="inlineStr">
        <is>
          <t>li-4331270921</t>
        </is>
      </c>
      <c r="B135" t="inlineStr">
        <is>
          <t>Senior Product Manager</t>
        </is>
      </c>
      <c r="C135" t="inlineStr">
        <is>
          <t>Magnite</t>
        </is>
      </c>
      <c r="D135" t="inlineStr">
        <is>
          <t>linkedin</t>
        </is>
      </c>
      <c r="E135">
        <f>HYPERLINK("https://www.linkedin.com/jobs/view/4331270921", "https://www.linkedin.com/jobs/view/4331270921")</f>
        <v/>
      </c>
      <c r="F135">
        <f>HYPERLINK("https://osv-rubicon.wd5.myworkdayjobs.com/MagniteCareers/job/New-York\u002d\u002d-New-York/Senior-Product-Manager_R-01183?source=LinkedIn&amp;urlHash=CTCn", "https://osv-rubicon.wd5.myworkdayjobs.com/MagniteCareers/job/New-York\u002d\u002d-New-York/Senior-Product-Manager_R-01183?source=LinkedIn&amp;urlHash=CTCn")</f>
        <v/>
      </c>
      <c r="G135" t="inlineStr">
        <is>
          <t>New York, NY</t>
        </is>
      </c>
      <c r="H135" t="inlineStr"/>
      <c r="I135" t="inlineStr">
        <is>
          <t>****New York, NY****
****Hybrid Schedule (M/F remote, T/W/TH in\-office)****
 At Magnite, we cultivate an environment of continuous growth and collaboration. Our work impacts what millions of people read, watch, and buy, and we’re looking for people to help us tackle that responsibility with creativity and focus. Magnite (NASDAQ: MGNI) is the world’s largest independent sell\-side advertising platform. Publishers use our technology to monetize their content across all screens and formats including CTV / streaming, online video, display, and audio. Our tech fuels billions of transactions per day!
 The Audience product team powers Magnite’s addressability and measurement product offering by owning the full lifecycle of audience data \- from onboarding to creating intuitive user experiences across our platforms, to real\-time activation within our ad serving infrastructure. As a Senior Product Manager, you’ll focus on data engagement and building intuitive, high\-performing UI and AI experiences that make complex data interactions simple, transparent, and actionable to the end consumer. You’ll own end\-to\-end frontend and backend services, partnering closely with other Product, Engineering, Data Science, and Commercial teams to improve how customers activate and realize the value of their data to fit their monetization strategies.
**In This Role You Will**
* Partner with Engineering and Design to create backend services and client\-facing UIs and AI experiences that make complex data interactions simple, transparent and actionable to the end consumer.
* Guide product initiatives with a focus on simplifying complex workflows, enhancing data usability, and enabling data\-driven outcomes
* Engage with Commercial stakeholders and Clients to synthesize feedback and generate ideas for new product investments based on an understanding of the business and competitive landscape
* Partner with Data Science, Engineering, and Project Management to execute and deliver product investments for audience activation
* Work closely with our Technical Operations, Product Marketing, and Account Management teams to drive adoption of your products and features
* Utilize AI in design and ideation to determine expected outcomes, better prioritize investment, and bring new features to market
* Establish success metrics that measure efficiency, adoption, and performance improvements
* Manage product prioritization and trade\-offs, balancing quick wins with longer\-term, more strategic product investments
* Prepare product documentation, communications, release notes, training materials, and other go\-to\-market deliverables
* Support and mentor team members
**We’re Looking For Someone With**
* A Bachelor's degree or equivalent practical experience.
* 6\+ years of experience in product management with experience developing products for digital advertising, audience data, or related SaaS/data products.
* Experience in driving elements of the product development lifecycle, including product roadmapping, product requirements, go\-to\-market planning, and end\-of\-life planning
* Experience working with cross\-functional teams (especially Data Science, Engineering, Project Management, Technical Operations, and Sales/Account Management/Services)
* Experience in creating and executing experiments that yield data that drive product and engineering decisions
* Experience with collaborating with Design and Engineering teams to build intuitive, high\-performing UI experiences that make complex data interactions simple, transparent, and actionable.
* Strong problem\-solving and analytical skills. Comfortable accessing, manipulating, analyzing, and presenting data
* Excellent written and oral communication skills to effectively interact with customers, internal teams, and senior management
**Perks And Benefits**
* Comprehensive Healthcare Coverage from Day One
* Generous Time Off
* Holiday Breaks and Quarterly Wellness Days
* Equity and Employee Stock Purchase Plan
* Family\-Focused Benefits and Parental Leave
* 401k Retirement Savings Plan with Employer Match
* Disability and Life Insurance
* Cell Phone Subsidy
* Fitness and Wellness Reimbursement
**Company Culture**
 We believe collaboration is essential to success. Magnite’s hybrid schedule includes two days worked remotely (Monday and Friday) and three days on\-site (Tuesday, Wednesday and Thursday). Our offices provide catered lunches, beverages, snacks, training and development, and office events to support your work week. We also understand you have appointments, families, hobbies, and other commitments. Magnite strives to maintain a healthy work/life integration for all employees so you can bring your best every day \- both at work and at home.
* Community Service and Volunteer Events
* Company\-Matched Charitable Contributions
* Wellness Coach and Mental Health Support
* Career Development Initiatives and a Career Growth Framework
* Culture and Inclusion Programs
* Bonusly Peer\-to\-Peer Recognition Program
**About Us**
 The world's leading agencies and brands trust our platform to access brand\-safe, high\-quality ad inventory and execute billions of advertising transactions each month. Anchored in bustling New York City, sunny Los Angeles, mile\-high Denver, historic London, and down under in Sydney, Magnite has offices across North America, EMEA, LATAM, and APAC.
 In New York, the base salary range for this position is: $175,000 \- $195,000 in addition to an annual variable bonus based on performance and company equity (NASDAQ: MGNI).
*Magnite is an Equal Opportunity Employer and does not discriminate against applicants due to race, color, religion, national origin, age, sex, marital status, ancestry, physical or mental disability, veteran status, gender identity, sexual orientation or any other federal, state or local protected class.*
*Our Commitment: We aim to incorporate a wide range of voices into our Magnite culture, cultivating an environment where employees feel welcomed, cared for, and encouraged to freely share ideas. We are committed to employee growth, collaboration, inclusion, and innovation. We invest in Magnite’s local communities. We seek talent from all backgrounds to champion corporate values of seeing the big picture and being catalysts of change.*
 Want to learn more about us?
**Check out our blog for Magnite announcements and Ad Tech industry news!**
****Recruiting Agency Notice****
 Magnite does not accept agency resumes and is not responsible for any fees related to unsolicited resumes.</t>
        </is>
      </c>
    </row>
    <row r="136">
      <c r="A136" t="inlineStr">
        <is>
          <t>li-4367361696</t>
        </is>
      </c>
      <c r="B136" t="inlineStr">
        <is>
          <t>Principal Product Manager, AI</t>
        </is>
      </c>
      <c r="C136" t="inlineStr">
        <is>
          <t>eClinical Solutions</t>
        </is>
      </c>
      <c r="D136" t="inlineStr">
        <is>
          <t>linkedin</t>
        </is>
      </c>
      <c r="E136">
        <f>HYPERLINK("https://www.linkedin.com/jobs/view/4367361696", "https://www.linkedin.com/jobs/view/4367361696")</f>
        <v/>
      </c>
      <c r="F136" t="inlineStr"/>
      <c r="G136" t="inlineStr">
        <is>
          <t>Massachusetts, United States</t>
        </is>
      </c>
      <c r="H136" t="inlineStr"/>
      <c r="I136" t="inlineStr">
        <is>
          <t>eClinical Solutions helps life sciences organizations around the world accelerate clinical development initiatives with expert data services and the elluminate Clinical Data Cloud – the foundation of digital trials. Together, the elluminate platform and digital data services give clients self\-service access to all their data from one centralized location plus advanced analytics that help them make smarter, faster business decisions.
**You Will Make An Impact**
 At eClinical Solutions, we are building the future of clinical trials through intelligent automation and AI\-first design. We’re looking for a
 **bold and outcome\-driven Principal Product Manager, AI \&amp; Innovation** 
 to lead the next wave of transformation across our platform. In this role, you will drive strategy and execution for AI\-enabled capabilities that span multiple product lines.
 You’ll be responsible for identifying high\-impact opportunities where AI can unlock new value for our users, crafting bold visions for smarter workflows, and turning those visions into reality through world\-class product execution. You’ll collaborate closely with data scientists, engineers, UX designers, and domain experts to deliver innovative, responsible AI solutions that deliver human\-centric AI solutions that transform the way clinical teams interact with their data.
 This role is equal parts strategist, technologist, and builder with high visibility. It is perfect for a modern product leader with a passion for elegant user experiences, deep curiosity about applied AI, and a drive to push the boundaries of what’s possible.
**Your Day To Day**
 Lead AI Strategy \&amp; Vision Across Product Lines
* Define and champion the cross\-product strategy for AI capabilities within the elluminate platform
* Identify use cases where machine learning, NLP, and generative AI can revolutionize data workflows, insights, and automation
* Partner with data science and engineering leads to assess feasibility, define success metrics, and shape responsible implementation approaches
* Stay current on emerging AI technologies, frameworks, and healthcare\-specific applications to inform long\-term vision.
 Drive Innovation from Concept to Launch
* Lead product discovery and experimentation to validate AI\-driven concepts with users and stakeholders
* Define initiative roadmaps, epics, and releases that cut across multiple teams and product areas
* Create compelling product narratives and prototypes that show what the future of clinical data management could look like
* Collaborate with UX to design intuitive and trustworthy user experiences that maximize the value of AI.
 Mentor, Influence, and Inspire
* Coach Product Managers and Product Owners working on AI\-related capabilities to ensure aligned execution and shared standards
* Build strong cross\-functional relationships with engineering, data science, UX, and commercial teams to scale AI delivery
* Act as a thought leader internally and externally—shaping how we talk about intelligent automation and value\-driven AI
* Influence senior stakeholders and executive leadership on the strategic role of AI in the future of our platform.
 Measure Success \&amp; Deliver Value
* Define outcome\-driven success metrics that go beyond model performance—focused on business impact and user adoption
* Ensure compliance with ethical AI practices, transparency standards, and regulatory considerations relevant to clinical trials
* Constantly iterate on solutions using user feedback and data to refine functionality, design, and performance.
* Establish and maintain frameworks for AI lifecycle management, including drift detection, auditability, and human\-in\-the\-loop feedback systems.
**Education \&amp; Experience**
* Bachelor’s degree in a technical, business, or life sciences field required; advanced degree in AI, Data Science, or Human\-Computer Interaction is a plus
* 7–10 years of experience in software product management, including ownership of AI\-powered or data\-driven solutions
* Demonstrated success integrating ML/AI into B2B software products, ideally in regulated or high\-stakes industries
* Experience leading strategic initiatives that span product teams and functional disciplines
**Professional Skills**
* Creative, visionary thinker with a bias toward experimentation and action
* Skilled at simplifying complexity and telling stories that bring future\-state concepts to life
* Comfortable navigating ambiguity and making decisions in emerging technology areas
* Strong communicator who builds trust with technical and non\-technical stakeholders alike
* Committed to ethical innovation, responsible AI, and inclusive design principles
**Technical \&amp; Domain Skills**
* Familiarity with applied machine learning, LLMs, MLOps, and AI integration patterns in modern cloud architectures
* Experience working in data\-rich domains—ideally healthcare, life sciences, or enterprise analytics platforms
* Understanding of clinical trial workflows, data standards (e.g., CDISC), and relevant regulatory frameworks is a strong plus
* Passion for creating breakthrough user experiences with AI as a partner in decision\-making, not just a backend feature
 Accelerate your skills and career within a fast\-growing company while impacting the future of healthcare. We have shared our story, now we look forward to learning yours!
 eClinical is a winner of the 2025 Top Workplaces USA Award for Remote Work! We have also received numerous Top Workplaces Culture Excellence Awards celebrating our exceptional company vision, values, and work\-life balance. See all the details here: https://topworkplaces.com/company/eclinical\-solutions/
 eClinical Solutions is a people first organization. Our inclusive culture values the contribution that diversity brings to our business. We celebrate individual experiences that connect us and that inspire innovation in our community. Our team seeks out opportunities to learn, grow and continuously improve. Bring your authentic self, you are welcome here!
 We are proud to be an equal opportunity employer that values diversity. Our management team is committed to the principle that employment decisions are based on qualifications, merit, culture fit and business need.
 Pay Range
 US Pay Ranges
 $160,000 \- $200,000 USD</t>
        </is>
      </c>
    </row>
    <row r="137">
      <c r="A137" t="inlineStr">
        <is>
          <t>li-4367058407</t>
        </is>
      </c>
      <c r="B137" t="inlineStr">
        <is>
          <t>Technical Associate Product Owner</t>
        </is>
      </c>
      <c r="C137" t="inlineStr">
        <is>
          <t>Lexipol</t>
        </is>
      </c>
      <c r="D137" t="inlineStr">
        <is>
          <t>linkedin</t>
        </is>
      </c>
      <c r="E137">
        <f>HYPERLINK("https://www.linkedin.com/jobs/view/4367058407", "https://www.linkedin.com/jobs/view/4367058407")</f>
        <v/>
      </c>
      <c r="F137" t="inlineStr"/>
      <c r="G137" t="inlineStr"/>
      <c r="H137" t="inlineStr"/>
      <c r="I137" t="inlineStr">
        <is>
          <t>Remote, US\-based position. Candidates must already live in the United States.
 “Must be authorized to work in the US”
 No visa sponsorship. We are unable to sponsor or take over sponsorship of an employment Visa (H1\-B, Student visa, or OPT visa) at this time.
 At Lexipol, our mission is to create safer communities and empower individuals on the front lines with market\-leading content and technology. Our top\-notch team works closely with law enforcement, fire, EMS, corrections, and local government professionals to tailor our solutions to better address today’s challenges and keep first responders coming home safely at the end of each shift.
 Working at Lexipol means making a difference – day in and day out.
 The Work
 As a Technical Associate Product Owner on the Wellness team, you will collaborate with cross\-functional teams to deliver innovative software solutions. Our team is dedicated to improving and developing new features and functionalities that align with supporting our first responders and enhancing their user experience. You will play a pivotal role in translating business requirements into actionable tasks for the engineering team, ensuring that the product evolves to meet the market’s needs. This position is remote.
 This is done through working in these areas of focus:
 Effective Requirement Gathering and Documentation (40%)
* Collaborate with stakeholders to understand business needs and objectives
* Write clear and detailed user stories with well\-defined acceptance criteria
* Maintain and prioritize the product backlog based on business value, stakeholder input, and alignment with the roadmap.
**Measurement:**
* Quality and clarity of user stories documented
* Stakeholder satisfaction with requirement documentation
* Timeliness in updating and maintaining the product backlog
 Active Participation in the Agile Process (30%)
* Engage in all agile ceremonies, including sprint planning, daily stand\-ups, sprint reviews, and retrospectives.
* Facilitate communication between the engineering team and stakeholders.
* Adjust and refine user stories based on feedback and any changes to requirements.
**Measurement:**
* Effectiveness in assisting with facilitating agile ceremonies
* Team feedback on communication and collaboration
* Ability to adapt to changes and update documentation promptly
 Support Engineering Team for Successful Delivery (30%)
* Provide clarifications and answer queries from the engineering team regarding requirements
* Work closely with developers to ensure understanding of user stories and acceptance criteria
* Identify and address any impediments that may impact feature delivery.
**Measurement:**
* Reduction in development delays due to unclear requirements
* Engineering team satisfaction and feedback
* Successful on\-time delivery of features
 Position Responsibilities
* Product Backlog Management: Assist in maintaining and prioritizing the product backlog, ensuring alignment with business objectives and stakeholder needs.
* Requirement Translation: Translate business concepts and requirements into detailed user stories and technical specifications.
* Cross\-Team Collaboration: Work closely with engineering teams to ensure timely and accurate delivery of product features.
* Stakeholder Communication: Facilitate clear communication between technical teams and non\-technical stakeholders, bridging gaps to ensure mutual understanding.
* Process Improvement: Participate in sprint planning, reviews, and retrospectives to continuously enhance product development processes.
* Data Analysis: Utilize data to inform product decisions, identify opportunities for improvement, and proactively seek answers to complex questions.
* Documentation: Ensure all product documentation is up\-to\-date and accurately reflects current features and functionalities.
 At Lexipol, we value high energy and experienced leaders who not only are driven to scale a business and push the envelope of what a digital business can accomplish but also care about deeply about the professional development of their team. The position offers an exceptional opportunity to work with motivated, seasoned team members at all levels and join a thriving culture and company recognized as one of the top digital companies in the world.
 Requirements: To be considered for this role, you will have this experience:
* 1\-3 years of experience as a product owner or similar role within a technical environment
* Proven ability to write detailed user stories and acceptance criteria
* Familiarity with agile methodologies and software development life cycles
* Strong communication skills for interacting with both technical and non\-technical stakeholders.
**Qualifications:**
* Bachelor’s degree in Computer Science, Business Administration, or a related field
* Product Management and Agile Trainings or Certifications are a plus
* Experience with the Atlassian Suite including Jira and Confluence
* Excellent analytical and problem\-solving skills.
 Target Outcomes/ Target Results
* Deliver High\-Quality Features: Successfully deliver new features and functionalities that meet business objectives per roadmap timelines
* Closing the Loop: Ensuring delivered software updates meet the requirements provided to the engineering team
* Maintain Product Backlog Efficiency: Keep a well\-organized and prioritized backlog to streamline development efforts.
* Enhance Team Collaboration: Improve communication between stakeholders and the engineering team, reduce misunderstandings and identifying early interruptions to our delivery timelines.
 Employee Value Proposition
* Training and Development: Receive ongoing training in product ownership and agile methodologies to enhance your skills.
* Mentoring and Coaching: Benefit from mentoring by experienced product managers and agile coaches to support your career growth.
* Collaborative Work Environment: Work with a dynamic and supportive team that values collaboration and execution.
* Career Advancement: Report directly to the Senior Technical Product Manager, providing opportunities for learning and advancement within the company.
* Impactful Work: Contribute to a product that has a significant impact on our users, the success of the company, and the first responder community.
 Duties listed are not intended to be exhaustive or exclusive; other duties may be assigned. Management retains the discretion to add to or change the duties of the position at any time.
**Compensation And Benefits**
 Lexipol offers a competitive base salary, monthly, quarterly, or annual incentive and a comprehensive benefits package including 401(k) with Company match and a flexible paid time off plan.
 Comensation for this position is $90,000 plus and annual performance\-based bonus.
**About Lexipol**
 Lexipol is the leader in advancing total readiness for public safety agencies, helping leaders reduce risk, ease administrative burdens, and strengthen community trust. Trusted by more than 12,000 agencies nationwide, Lexipol delivers a unified platform that integrates policy, training, wellness, and reporting to simplify operations and support data\-informed decisions. By equipping leaders and teams with the tools, insights, and support they need, Lexipol makes readiness possible—today and for whatever comes next. Learn more at www.lexipol.com.
 Lexipol Is an Equal Opportunity Employer (EOE)
 Lexipol, LLC provides equal employment opportunities (EEO) to all team members and applicants for employment without regard to race, color, religion, gender, national origin, age, sex, pregnancy, disability, sexual orientation, gender identity or expression, veteran status, genetic information, or any other non\-job\-related characteristic. Lexipol complies with applicable federal, state and local laws governing nondiscrimination in employment in every location in which the company has facilities. This policy applies to all terms and conditions of employment, including hiring, placement, promotion, termination, layoff, recall, transfers, leave of absence, compensation, and training.</t>
        </is>
      </c>
    </row>
    <row r="138">
      <c r="A138" t="inlineStr">
        <is>
          <t>li-4367392053</t>
        </is>
      </c>
      <c r="B138" t="inlineStr">
        <is>
          <t>Product Manager</t>
        </is>
      </c>
      <c r="C138" t="inlineStr">
        <is>
          <t>Amazon</t>
        </is>
      </c>
      <c r="D138" t="inlineStr">
        <is>
          <t>linkedin</t>
        </is>
      </c>
      <c r="E138">
        <f>HYPERLINK("https://www.linkedin.com/jobs/view/4367392053", "https://www.linkedin.com/jobs/view/4367392053")</f>
        <v/>
      </c>
      <c r="F138" t="inlineStr"/>
      <c r="G138" t="inlineStr">
        <is>
          <t>Austin, TX</t>
        </is>
      </c>
      <c r="H138" t="inlineStr"/>
      <c r="I138" t="inlineStr">
        <is>
          <t>**Description**
 The Worldwide Grocery Stores Product Team is looking for a Product Manager to drive strategic initiatives in the Merchandising space. Our team is laser\-focused on innovating on behalf of our customers and expanding WWGS reach and impact. This is an exciting opportunity to lead the charge across tech, UX, analytics, and business stakeholders to deliver meaningful business capabilities.
 Key job responsibilities
* Leading the build\-out of new internal facing applications, products, features and tools.
* Owns the translation of business intent, customer needs, and/or technical direction into clear, concise, well\-documented business requirements or product backlog for one or more complex applications (or a product family) spanning one or more technical domains.
* Bridges conversations between business users and development teams using knowledge of complex business processes and technical integration spanning one or more business domains.
* Develops longer\-term (12 months or more) product roadmap, ensuring product development plans align with and support stakeholder business and application objectives.
**Basic Qualifications**
* 3\+ years of product management experience
* Experience managing technical products or online services
* Experience in product, program, or project management in leading cross\-functional teams in delivery of major new products or services
* Bachelor's degree or equivalent
**Preferred Qualifications**
* Experience in influencing senior leadership through data driven insights
* Experience working across functional teams and senior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\- 116,300\.00 \- 160,000\.00 USD annually
**Company** 
 \- Amazon.com Services LLC
 Job ID: A3169628</t>
        </is>
      </c>
    </row>
    <row r="139">
      <c r="A139" t="inlineStr">
        <is>
          <t>li-4367352824</t>
        </is>
      </c>
      <c r="B139" t="inlineStr">
        <is>
          <t>Senior Product Manager</t>
        </is>
      </c>
      <c r="C139" t="inlineStr">
        <is>
          <t>Eve</t>
        </is>
      </c>
      <c r="D139" t="inlineStr">
        <is>
          <t>linkedin</t>
        </is>
      </c>
      <c r="E139">
        <f>HYPERLINK("https://www.linkedin.com/jobs/view/4367352824", "https://www.linkedin.com/jobs/view/4367352824")</f>
        <v/>
      </c>
      <c r="F139">
        <f>HYPERLINK("https://jobs.lever.co/Eve/02216049-02a5-4ac3-951a-cc65a0d16211/apply?lever-source=LinkedIn&amp;urlHash=ODSn", "https://jobs.lever.co/Eve/02216049-02a5-4ac3-951a-cc65a0d16211/apply?lever-source=LinkedIn&amp;urlHash=ODSn")</f>
        <v/>
      </c>
      <c r="G139" t="inlineStr">
        <is>
          <t>San Mateo, CA</t>
        </is>
      </c>
      <c r="H139" t="inlineStr"/>
      <c r="I139" t="inlineStr">
        <is>
          <t>**Company Overview**
 At Eve, we’re redefining what’s possible in legal technology. Our mission is to empower plaintiff law firms with AI\-driven solutions that elevate how they operate, serve clients, and grow.
 We believe the future of law will be built by “AI\-Native Law Firms” — firms that are managed, scaled, and optimized by intelligent systems rather than manual processes and endless administrative work. Eve’s technology augments the capabilities of attorneys across every stage of a case — from intake and document review to strategy and settlement — so they can focus on what truly matters: achieving the best outcomes for their clients.
 Our vision is simple yet transformative: enable every firm to operate at its highest potential through the power of AI.
 Why Join Eve:
 Product\-market fit: Eve is used by over 550\+ law firms, and we’re growing fast.
 Backed by top investors: We’ve raised over $160M from world\-class partners including Spark Capital, Andreessen Horowitz(A16z), Menlo Ventures, and Lightspeed.
 Built by a world\-class team: Engineers, designers, and operators from places like Scale, Meta, Airbnb, Cruise, Square, Rubrik, and Lyft are building Eve from the ground up.
 AI\-Native from day one: We’re on the bleeding edge of AI, collaborating directly with teams at OpenAI and Anthropic to build best\-in\-class AI workflows tailored for legal work.
 Explosive growth: We are growing 2X revenue Quarter over Quarter.
**What You Will Accomplish**
* Own and deliver strong results in a core product area or new initiative \- Own a well\-scoped product area or new initiative end\-to\-end. Drive adoption, retention, and customer value through strong execution, thoughtful prioritization, and a deep understanding of user needs
* Contribute to scalable product practices \- Participate in and help refine lightweight product processes—such as bet reviews, PR/FAQs, and design critiques—bringing structure, clarity, and momentum to how work gets done
* Be a strong execution partner to Product, Design, and Engineering \- Collaborate closely with designers and engineers to deliver high\-quality product outcomes. Demonstrate good product taste, clear decision\-making, and ownership that helps teams move faster and with confidence
* Partner with GTM to support launches and customer success \- Work closely with Sales, CS, and Marketing to support pilots, launches, customer feedback loops, and enablement efforts that drive successful adoption and expansion
**What We Are Looking For**
* 4\+ years experience directly owning end to end large scale features or product suites
* Strong product judgment \&amp; customer empathy \- You’ve helped translate complex enterprise workflows into intuitive, valuable product experiences. You show good judgment around when to be opinionated versus configurable and ground decisions in real customer insight
* End\-to\-end product ownership \&amp; execution \- You have experience owning product initiatives from discovery through launch and iteration. You can independently drive well\-scoped efforts while partnering closely with design and engineering
* Enterprise B2B startup experience with GTM collaboration \- You’ve partnered with Sales, CS, and Marketing to support launches, customer feedback, pilots, and enablement, and you’re comfortable engaging directly with customers
* Operational rigor \&amp; decision\-making \- You write clear PRDs and one\-pagers, define success metrics, and bring structure to ambiguous problems without over\-relying on heavyweight process
* Applied AI and LLM product exposure \- You’ve worked with AI\-powered features and have familiarity with LLM concepts such as prompt design, retrieval/grounding, evaluation, and human\-in\-the\-loop workflows, even if you haven’t owned the underlying models
* Cross\-functional collaboration \&amp; communication \- You build trust with Engineering, Design, and GTM partners, communicate clearly in writing and discussion, and help teams align around goals and tradeoffs
* High execution standards \&amp; growth mindset \- You hold yourself and your work to a high bar, seek feedback, and continuously improve your product craft while contributing positively to team quality
**Nice To Have**
* Experience in legal tech or another complex, accuracy\-sensitive vertical (financial services, healthcare, insurance)
* Familiarity with the plaintiff litigation lifecycle and case workflows
* Prior experience in a PM\-light environment where engineers and designers own large pieces of the product
* Exposure to packaging/pricing experimentation in high\-growth SaaS
 🚕 Uber rides covered to/from the San Mateo office for San Francisco–based employees. Our hybrid work model (Monday, Tuesday and Wednesday in our San Mateo office) allows you the flexibility to work remotely while also benefiting from in\-person collaboration days at our office. We value the balance between focused individual work and the innovation that comes from face\-to\-face team interactions.
 We meet in our San Mateo office from Monday, Tuesday and Wednesday, working remotely the remainder of the week.
 Benefits:
 🚕 Uber rides covered to/from the San Mateo office for San Francisco–based employees
 💰 Competitive Salary \&amp; Equity
 💹 401(k) Program with Employer Matching
 ⚕️ Health, Dental, Vision and Life Insurance
 🩼 Short Term and Long Term Disability
 🚗 Commuter Benefits
 🧑‍💻 Autonomous Work Environment
 🖥️ Office Setup Reimbursement
 🏝 Flexible Time Off (FTO) \+ Holidays
 🚀 Quarterly Team Gatherings
 🥪 In office Perks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0">
      <c r="A140" t="inlineStr">
        <is>
          <t>li-4358458968</t>
        </is>
      </c>
      <c r="B140" t="inlineStr">
        <is>
          <t>Senior Product Manager</t>
        </is>
      </c>
      <c r="C140" t="inlineStr">
        <is>
          <t>Zello</t>
        </is>
      </c>
      <c r="D140" t="inlineStr">
        <is>
          <t>linkedin</t>
        </is>
      </c>
      <c r="E140">
        <f>HYPERLINK("https://www.linkedin.com/jobs/view/4358458968", "https://www.linkedin.com/jobs/view/4358458968")</f>
        <v/>
      </c>
      <c r="F140">
        <f>HYPERLINK("https://jobs.ashbyhq.com/Zello/28961683-bd4e-4210-837f-8a1436fe7e80?utm_source=lill&amp;urlHash=EVGG", "https://jobs.ashbyhq.com/Zello/28961683-bd4e-4210-837f-8a1436fe7e80?utm_source=lill&amp;urlHash=EVGG")</f>
        <v/>
      </c>
      <c r="G140" t="inlineStr">
        <is>
          <t>Austin, TX</t>
        </is>
      </c>
      <c r="H140" t="inlineStr"/>
      <c r="I140" t="inlineStr">
        <is>
          <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**About Zello**
 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
 At Zello, our company values are at the heart of what we do everyday. We’re proud to serve the frontline, we’re privileged to connect people in times of crisis across the globe, and we’re honored to support first responders.
 And this is where you come in.
 We are looking for a Senior Product Manager—a hands\-on product leader who excels and is deeply motivated by identifying the right problems, independently driving multiple complex initiatives to strong user outcomes, and raising the bar for product thinking across the team. This role is for someone who personally owns and executes hard product work from 0 to launch. You are problem\-first, comfortable with ambiguity, biased toward action, and able to balance clarity and speed without analysis paralysis. You thrive in close partnership with design and engineering and turn fuzzy, high\-stakes problem spaces into durable user and business impact through direct ownership and follow\-through.
**After a successful first year, you will**
* Own one or more core product areas end to end, shaping vision, strategy, and execution
* Ship several high\-impact initiatives that scale across users, teams, or systems—without sacrificing quality
* Be a trusted thought partner in early, ambiguous phases of work, helping define the right bets before execution begins
* Connect near\-term initiatives to a longer\-term product arc, clearly articulating what each bet unlocks next
* Influence priorities beyond your immediate scope by framing tradeoffs and clarifying strategic implications
* Be recognized as a bar raiser for clarity of thinking, strategic judgment, and cross\-functional execution grounded in real customer insight
**What You Will Do**
* Push hard on understanding the right problem and the underlying "why" before committing teams to execution
* Lead large, complex initiatives from early ambiguity through launch and impact measurement
* Think in systems and sequences—understanding how smaller bets fit into a bigger picture and what should come next
* Use data and customer insight to challenge assumptions and change minds, not just validate existing plans
* Conduct customer discovery and field visits to identify high\-impact opportunities where we can deliver outsized value
* Partner deeply with Engineering, Data and Design to solve technical and product problems day to day
* Ship more while maintaining a high bar for quality, judgment, and long\-term product health
* Help other PMs clarify problems and sharpen their thinking through coaching and collaboration
**Who You Are**
* 7\+ years of Product Management experience, ideally in B2B SaaS and enterprise environments
* Experience operating in scale\-up contexts, shipping products as systems and teams grow
* Strong strategic instincts with the ability to zoom out for context and zoom in to drive execution
* Proven ability to operate autonomously on large, ambiguous, high\-impact areas
* Problem\-driven with clear, structured thinking and strong product judgment
* Track record of taking hard problems from start to finish while maintaining quality
* Strong communicator with engineering partners, able to reason through technical tradeoffs
* A multiplier for the product organization through influence, mentoring, and example
* Comfortable with regular travel, approximately once per month, to support customer engagement and cross functional collaboration.
**Bonus points for one or more of the following**
* Experience building products across Android, iOS, backend, and web
* Familiarity with hardware\-adjacent integrations or complex system dependencies
* Experience with mobile\-first, multi\-platform, or AI\-powered products
* Using AI tools or platforms to be more effective in product work
 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without a ping\-pong table and free snacks in our break room. Join us!
*Zello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All Zello personnel are required to comply with defined security, privacy, and compliance requirements applicable to their role along with requirements that are applicable to all Zello personnel.</t>
        </is>
      </c>
    </row>
    <row r="141">
      <c r="A141" t="inlineStr">
        <is>
          <t>li-4356557782</t>
        </is>
      </c>
      <c r="B141" t="inlineStr">
        <is>
          <t>Product Manager</t>
        </is>
      </c>
      <c r="C141" t="inlineStr">
        <is>
          <t>Valdera</t>
        </is>
      </c>
      <c r="D141" t="inlineStr">
        <is>
          <t>linkedin</t>
        </is>
      </c>
      <c r="E141">
        <f>HYPERLINK("https://www.linkedin.com/jobs/view/4356557782", "https://www.linkedin.com/jobs/view/4356557782")</f>
        <v/>
      </c>
      <c r="F141" t="inlineStr"/>
      <c r="G141" t="inlineStr"/>
      <c r="H141" t="inlineStr"/>
      <c r="I141" t="inlineStr">
        <is>
          <t>**About Us:** 
 At Valdera, we help manufacturers bring their ideas to life by transforming how they source materials. Our platform makes it easy to find the best materials and suppliers, enabling them to build high\-quality products and deliver them to millions of people worldwide.
 We are a fast\-growing team with a proven track record of working with Fortune 500 industrial manufacturers, beauty brands, and chemical companies. We hire talented, driven individuals who thrive in high\-performance environments and want to grow their careers quickly.
 Our culture empowers top talent to take on meaningful challenges, collaborate with industry leaders, and see the real impact of their work. If you’re looking for a fast\-paced environment where your ideas drive change, Valdera is the place for you.
 Join us and help shape the future of manufacturing.
**Role Description:** 
 We are seeking a product manager to specifically spearhead the strategy and execution of our AI\-native products. This is a role for a leader who thrives at the intersection of deep technology, exceptional design, and business strategy.
 Your mission is to deliver the AI\-powered systems and autonomous agents that unlock unprecedented scale and efficiency for our customers. This role is for someone who has a relentless focus on craftsmanship, whether it's ensuring the integrity of data sources or perfecting the pixels of an interface.
**Role Responsibilities:** 
* **Own the AI Product Vision \&amp; Strategy:** 
 Define the "what" and the "why" for our AI roadmap. Develop a deep understanding of our users and the market to create a compelling strategy for building a category\-defining, intelligent product.
* **Define and Ship Autonomous Agents:** 
 Be the driving force behind our agentic systems. You will specify the agents' goals, behaviors, and success metrics for automating complex workflows like market analysis, supplier engagement, and user onboarding.
* **Master the Data Landscape:** 
 Go deep on data. You will lead the research to identify, evaluate, and prioritize the critical data sources—market data, pricing feeds, chemical specifications—that will be the lifeblood of our models.
* **Champion an Exceptional User Experience:** 
 You believe that powerful AI deserves a world\-class interface. You will own the user experience from end\-to\-end, ensuring our products are not just functional but also visually stunning, intuitive, and a delight to use.
* **Drive Business Outcomes:** 
 You will be directly responsible for the success of your products. You'll define and track key metrics, ensuring your work leads to high\-revenue generation, strong product\-market fit, and exceptional customer retention.
* **Lead the End\-to\-End Product Lifecycle:** 
 Manage the entire process from ideation, user research, and technical specification to launch, iteration, and post\-launch analysis in a highly agile environment.
**Experience \&amp; Qualifications:** 
* **Shipped AI\-Native Products:** 
 You have a proven track record of shipping products built on modern AI architectures (e.g., RAG, agentic frameworks) from initial concept to launch and iteration. You’ve moved beyond prototypes and have delivered real value to users.
* **Product Ownership with P\&amp;L Impact:** 
 You have previously owned a product's P\&amp;L or key growth metrics (revenue, retention, engagement), with a clear, demonstrable line from your product decisions to significant business impact.
* **Deep, Practical Knowledge of Agentic Systems:** 
 You understand how autonomous agents work at a fundamental level. You’ve either built agent prototypes yourself or have defined and shipped products that use them to automate complex, multi\-step tasks.
* **Exceptional Design\-eye:** 
 You have a portfolio or a history of shipping products with outstanding visual design and intuitive UX. You obsess over the details of an interface and can articulate and defend your design decisions.
* **Hands\-On Technical Investigation:** 
 You have experience digging into highly technical domains to become an expert. You are comfortable reading technical documentation, evaluating data sources for quality and coverage, and partnering with engineers on system architecture decisions.
* **Relentlessly Detail Oriented:** 
 You have a reputation for being meticulously detail\-oriented. You leave no stone unturned, from the edge cases in a data source to the pixels on a screen to the wording of an error message.
**Salary Range:** 
 Salary ranges are determined by multiple factors, including the labor market, market compensation bands, internal parity, and budget considerations. The final offer will be based on the candidate’s individual skills, qualifications, location, and experience relative to the requirements of the role.
**Benefits:** 
 Valdera offers generous benefits to employees. Full time employees are eligible for premium healthcare, dental, and vision insurance coverage. You will be provided a more detailed breakdown of your options prior to joining Valdera.
**Equal Opportunity Employer Statement:** 
 Valdera is an equal\-opportunity employer committed to building a diverse and inclusive team. We are dedicated to maintaining a workplace free from discrimination, where everyone feels valued, respected, and empowered to contribute.
 Please note that Valdera uses E\-Verify to confirm the identity and employment eligibility of all new hires.</t>
        </is>
      </c>
    </row>
    <row r="142">
      <c r="A142" t="inlineStr">
        <is>
          <t>li-4352172014</t>
        </is>
      </c>
      <c r="B142" t="inlineStr">
        <is>
          <t>Lead Product Manager - Growth</t>
        </is>
      </c>
      <c r="C142" t="inlineStr">
        <is>
          <t>Trustly</t>
        </is>
      </c>
      <c r="D142" t="inlineStr">
        <is>
          <t>linkedin</t>
        </is>
      </c>
      <c r="E142">
        <f>HYPERLINK("https://www.linkedin.com/jobs/view/4352172014", "https://www.linkedin.com/jobs/view/4352172014")</f>
        <v/>
      </c>
      <c r="F142">
        <f>HYPERLINK("https://jobs.lever.co/trustly/7e8a6c3a-8756-4ebf-a0f9-2f8fb1045f45/apply?lever-source=LinkedIn&amp;urlHash=CI_8", "https://jobs.lever.co/trustly/7e8a6c3a-8756-4ebf-a0f9-2f8fb1045f45/apply?lever-source=LinkedIn&amp;urlHash=CI_8")</f>
        <v/>
      </c>
      <c r="G142" t="inlineStr"/>
      <c r="H142" t="inlineStr"/>
      <c r="I142" t="inlineStr">
        <is>
          <t>**WHO WE ARE** 
 At Trustly, we're building a smarter, faster, and more secure financial future by revolutionizing the world of payments. As a global leader in Open Banking Payments, we are establishing Pay by Bank as the new standard at checkout, providing unparalleled freedom, speed, and ease to millions of consumers and merchants worldwide.
 Our Ambition: To build the world’s most disruptive payment network and redefine what the payment experience should feel like.
 Trustly is a global team of innovators, collaborators, and doers.  If you are driven by a strong sense of purpose and thrive in a dynamic, entrepreneurial, and high\-growth environment, join us and be part of a team that’s transforming the way the world pays.
**ABOUT THE ROLE** 
 As a Lead Product Manager – Growth at Trustly, you will drive user adoption, engagement, and conversion across our consumer\-facing payment experiences. You will focus on experimentation, funnel optimization, and data\-driven insights to reduce friction in the checkout experience and improve key consumer metrics.
 This role is highly cross\-functional, with a mix of strategy and execution. You’ll work closely with Engineering, UX, Data, Marketing, and other partners to design, run, and scale experiments that meaningfully improve the end\-to\-end payment journey. You’ll also help shape how Trustly approaches experimentation and growth product practices more broadly.
 We’re looking for someone who thrives in fast\-paced environments, is deeply curious about consumer behavior, and is motivated by measurable impact.
**WHO YOU’LL WORK WITH
 You’ll be part of the Product organization and work day\-to\-day with a cross\-functional Growth pod spanning Engineering, UX, Data Analytics, and Marketing. You’ll also partner closely with Risk, Compliance, Sales, and Merchant Success to ensure growth initiatives are scalable, secure, and compliant. 
**WHAT YOU'LL DO** 
* Own and execute a growth roadmap focused on activation, conversion, retention, and revenue impact
* Design, launch, and iterate on A/B tests and experiments across the consumer payment funnel
* Identify friction points across key consumer flows and propose data\-backed improvements
* Partner closely with UX to refine product experiences that increase conversion and reduce checkout drop\-off
* Translate insights into scalable product improvements across merchants and use cases
* Define and track core growth metrics (e.g., activation, conversion, retention)
* Leverage quantitative and qualitative insights to inform prioritization and product decisions
* Clearly communicate experiment results, learnings, and recommendations to stakeholders
* Work closely with Engineering to scope, prioritize, and deliver growth initiatives efficiently
* Collaborate with Marketing, Data, and UX to ensure experiments are well\-designed and actionable
* Partner closely with Risk to balance customer lifetime value (CLV) against key risk decisions, including approval rates
* Contribute to improving Trustly’s experimentation frameworks, metrics, and best practices
**WHO YOU ARE** 
* 6\+ years of Product Management experience in growth or consumer tech, with a proven track record in A/B testing and funnel optimization
* Deep analytical and technical fluency, with the ability to turn complex data and payment ecosystem logic into actionable product strategies
* Strategic focus on Customer Lifetime Value (CLV), balancing aggressive conversion gains against fraud, risk, and long\-term profitability
* Consumer\-first mindset with a strong intuition for UX and the ability to drive measurable business impact in fintech or payments
* Exceptional collaborator and communicator, skilled at aligning Engineering, Data, and senior stakeholders on complex trade\-offs
 Applications for this role are accepted on an ongoing basis.
**SALARY RANGES IN US\-BASED ROLE POSTING**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Recruiters can share more information with applicants about the specific salary range for preferred locations during the hiring process. Please note that the compensation details listed in US role postings reflect the base salary only, and do not include bonus, equity, and other perks and benefits.
**WHAT WE OFFER** 
 At Trustly, you will have the chance to solve meaningful challenges alongside some of the brightest minds in FinTech. Together, we are shaping the future of payments in an environment that celebrates curiosity, collaboration, and innovation. You will be challenged and empowered to grow, making a real impact every step of the way.
 Our team is as diverse as the global footprint we serve, with colleagues across Silicon Valley, the U.S., Canada, Brazil, Europe, and beyond. We embrace a remote\-first culture that empowers you to balance your career ambitions with personal fulfillment. At Trustly, we foster a workplace where everyone feels they belong—a place where teamwork thrives, ideas flourish, and we never forget to have fun along the way.
 The total compensation packages include competitive salaries, bonus plans, and stock options. We offer innovative perks and benefits packages that include:
 \- Flexible paid time off \&amp; generous PTO accrual plans
 \- Comprehensive medical, dental, vision, and other insurances
 \- FSA \&amp; HSA plans for medical and dependent care
 \- Home office set\-up allowance
 \- Internet stipend
 \- Retirement plan match for 401k and RRSP
 \- Gender\-neutral paid parental leave, and more!
*(The benefits and total compensation packages outlined above are for full\-time employees; some exclusions apply for temporary positions.)*
 At Trustly, we embrace and celebrate diversity of all forms and the value it brings to our employees and customers. We are proud and committed to being an Equal Opportunity Employer and believe an open and inclusive environment enables people to do their best work.  All decisions regarding hiring, advancement, and any other aspects of employment are made solely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3">
      <c r="A143" t="inlineStr">
        <is>
          <t>li-4367355765</t>
        </is>
      </c>
      <c r="B143" t="inlineStr">
        <is>
          <t>Principal Product Manager, Integrations</t>
        </is>
      </c>
      <c r="C143" t="inlineStr">
        <is>
          <t>Limble</t>
        </is>
      </c>
      <c r="D143" t="inlineStr">
        <is>
          <t>linkedin</t>
        </is>
      </c>
      <c r="E143">
        <f>HYPERLINK("https://www.linkedin.com/jobs/view/4367355765", "https://www.linkedin.com/jobs/view/4367355765")</f>
        <v/>
      </c>
      <c r="F143" t="inlineStr"/>
      <c r="G143" t="inlineStr"/>
      <c r="H143" t="inlineStr"/>
      <c r="I143" t="inlineStr">
        <is>
          <t>**About Limble**
 At Limble we empower the unsung heroes who support the world. We’re revolutionizing the way businesses manage their maintenance operations by providing a comprehensive suite of software solutions that empower organizations to optimize asset performance and drive operational excellence. From preventive maintenance to inventory management and beyond, our robust CMMS platform offers a suite of features designed to streamline operations and enhance productivity.
**About The Role**
 Limble is doubling down on integrations as a core pillar of our upmarket and enterprise strategy. As Principal Product Manager for Integrations, you will own the strategy, prioritization, and execution of Limble’s pre\-built integrations, as well as the partnerships and ecosystem that make them possible. Your mission is to make it effortless for customers to connect Limble with the rest of their mission\-critical systems \- ERP, purchasing, inventory, IoT, and more.
 This role sits at the intersection of product, engineering, partnerships, and customer\-facing functions. You will define the roadmap for in\-app, pre\-built integrations; manage relationships with iPaaS partners; lead the transition away from our legacy white\-labeled iPaaS; and ensure integrations become a competitive advantage for Limble.
**How You’ll Make An Impact**
**Integration Strategy \&amp; Roadmap**
* Own and continuously refine Limble’s roadmap for pre\-built integrations across ERP, HRIS, Finance, Inventory, Sensors/IoT, SSO, and other systems that support enterprise workflows.
* Prioritize requests based on customer demand, market needs, GTM input, and strategic value for mid\-market and enterprise customers.
* Convert business workflows into clear functional and technical requirements for engineering.
* Own the API product roadmap and developer experience strategy
**Execution \&amp; Delivery**
* Partner with engineering leads to ensure integrations are predictable, scalable, and reusable within our new platform architecture.
* Manage the full lifecycle of each integration from discovery and scoping through design, development, QA, customer validation, launch, and ongoing improvements.
* Create repeatable patterns and frameworks to accelerate integration delivery.
**Customer \&amp; Market Discovery**
* Meet with customers, partners and prospects to uncover workflow needs, data flows, and integration gaps.
* Turn insights into structured requirements for the integration backlog.
* Support enterprise sales by explaining how Limble fits into broader operational tech stacks.
**iPaaS \&amp; Ecosystem Ownership**
* Own Limble’s strategic relationships with iPaaS partners (Prismatic, Make, Zapier, Paragon, n8n, etc.).
* Manage the roadmap for Limble\-built connectors across major iPaaS platforms, ensuring strong coverage, high quality, and alignment with each vendor.
* Lead the transition away from legacy iPaaS tooling toward customer\-supported iPaaS solutions or native pre\-built integrations.
* Ensure the ecosystem meets enterprise expectations for reliability, documentation, SLAs, scalability, and security.
**Cross\-Functional Leadership**
* Partner with Product, Engineering, GTM, Customer Success, Solutions Engineering, and Support to ensure integrations are delivered smoothly and meet customer expectations.
* Own the intake, triage, and scoping process for integration requests coming from Sales and Customer Success.
* Work with Solutions Engineering to create repeatable “integration playbooks” that support enterprise implementations.
**Partner Ecosystem \&amp; Integrations Governance**
* Lead Limble’s ecosystem of integration partners building on the platform.
* Provide guidance on when to use Limble’s pre\-built integrations versus partner\-built connectors.
* Partner with our partnerships team to build a scalable partner enablement program with documentation, patterns, sample workflows, and reference architectures.
* Act as the escalation point for high\-impact partner needs, including roadmap alignment, joint customer requirements, and architectural decisions.
**Requirements**
* 7\+ years in Product, Technical Partnerships, Solutions Architecture, or Integrations leadership.
* Understanding of operational workflows across systems like ERP, procurement, inventory, and facility/asset management tech.
* Strong communicator who can sit in complex enterprise conversations and translate needs for engineering teams and for customers.
* Comfortable building structured integration requirements (API calls, scenarios, events, data mappings, sync frequencies).
* Experience owning or working with iPaaS solutions (Make, Prismatic, Zapier, Workato, Celigo, n8n, Tray.io, etc.).
* Able to balance short\-term delivery with longer\-term ecosystem strategy.
* Thrives in cross\-functional environments and knows how to get alignment quickly.
**Nice to Haves**
* Experience scaling integrations at a B2B SaaS enterprise software company.
* Understanding of CMMS, EAM, IoT, or operational/maintenance workflows.
* Strong systems thinking \- able to distill complex workflows and build integration patterns that scale across use cases.
**Benefits**
* $200,000 \- $230,000
* Fully remote position
* Stock options
* Flexible PTO
* 13 paid company holidays
* Paid parental leave
* Health, Dental, and Vision insurance
* Employer paid Basic Life insurance and Short\-Term Disability insurance
* Company contribution match for HSA and 401(k)
* Flexible Spending Accounts
* Monthly employee wellness stipend
* Opportunities for Learning and Development Reimbursement
* Pet insurance
 Limble is an equal opportunity employer. We provide equal employment opportunities to all employees and applicants without regard to race, color, religion, creed, sex, sexual orientation, gender identity or expression, national origin, ancestry, age, disability, genetics, marital status, veteran status, or any other protected characteristic under applicable laws. We are committed to building a diverse and inclusive workforce and welcome people from all backgrounds, experiences, perspectives, and abilities. All qualified applicants with arrest or conviction records will be considered in accordance with applicable laws.</t>
        </is>
      </c>
    </row>
    <row r="144">
      <c r="A144" t="inlineStr">
        <is>
          <t>li-4352082528</t>
        </is>
      </c>
      <c r="B144" t="inlineStr">
        <is>
          <t>Senior Product Manager, AI Agents &amp; Data</t>
        </is>
      </c>
      <c r="C144" t="inlineStr">
        <is>
          <t>Fora Travel</t>
        </is>
      </c>
      <c r="D144" t="inlineStr">
        <is>
          <t>linkedin</t>
        </is>
      </c>
      <c r="E144">
        <f>HYPERLINK("https://www.linkedin.com/jobs/view/4352082528", "https://www.linkedin.com/jobs/view/4352082528")</f>
        <v/>
      </c>
      <c r="F144" t="inlineStr"/>
      <c r="G144" t="inlineStr">
        <is>
          <t>New York, NY</t>
        </is>
      </c>
      <c r="H144" t="inlineStr"/>
      <c r="I144" t="inlineStr">
        <is>
          <t>**About Fora**
**Fora** 
 is the modern travel agency, redefining what it means to be a travel advisor in today’s world. We’re a next\-generation platform that provides a comprehensive,
 **business\-in\-a\-box solution** 
 —combining
 **cutting\-edge technology** 
 ,
 **personalized training** 
 ,
 **a vibrant community** 
 , and exclusive
 **industry partnerships** 
 —all designed to empower anyone with a passion for travel to turn that passion into a thriving business. Whether you're a travel enthusiast or an experienced professional, Fora equips you with everything needed to
 **launch and scale a successful travel advisory business** 
 , making it the ultimate way to align work with your lifestyle.
 At the heart of Fora is our mission: to
 **power the next generation of travel entrepreneurs** 
 to transform their love for travel into a fulfilling full\-time or part\-time career, offering unparalleled flexibility, autonomy, and support. We believe that everyone, from seasoned travel professionals to first\-time entrepreneurs, can build a career that’s both profitable and aligned with their passions.
 Our platform combines innovative technology with the human touch, offering:
* **Best\-in\-class training** 
 programs to help agents develop expert knowledge, no matter their starting point.
* A powerful suite of tools for booking, client management, and marketing, ensuring agents can focus on delivering exceptional travel experiences.
* Access to an engaged community of fellow advisors, fostering collaboration, support, and shared learning.
* **Exclusive partnerships** 
 with top travel brands, providing access to competitive rates, perks, and experiences that elevate advisors’ offerings.
 Since our founding in
 **2021** 
 by experienced travel entrepreneurs
 **Henley Vazquez** 
 ,
 **Jake Peters** 
 , and
 **Evan Frank** 
 , Fora has experienced rapid growth, expanding to a team of
 **180** 
**\+ full\-time employees** 
 based in downtown
 **New York City** 
 .
 **Earlier this year,** 
 we announced our
 **$60 million Series B and C investment rounds** 
 , led by
 **Thrive Capital** 
 and
 **Insight Partners** 
 , with participation by previous investors including
 **Forerunner** 
 and
 **Heartcore Capital.** 
 This funding represents a vote of confidence in the enduring power of entrepreneurship, and secures our ability to build a category\-defining travel brand. We have a vision for the future that leverages the best of humans and the best of technology to create the first truly unified platform for all travel needs \- from staycation to the safari.
 We're proud of the recognition we've received, including:
* LinkedIn’s Top Startups List 2024
* Fast Company’s Most Innovative Companies 2025 and 2023
* Built In 2025 Best Places to Work
* And several "top agency" awards from our fantastic partners including Virtuoso, IHG, Four Seasons, and more
**Fora is a mission\-driven company** 
 that believes in the power of entrepreneurship, community, and passion. As we continue to grow, we are looking for more talented and like\-minded individuals to join our team \- people who are excited about transforming the travel space and helping us scale our vision globally.
**About The Role**
 We’re hiring a Senior PM to lead data products and AI agents that power our advisor platform. You’ll sit at the intersection of CRM, data intelligence, and AI—building products that help advisors find, engage, and manage clients, and plan trips more effectively. This is a true 0→1 role: you’ll define the vision, roadmap, and go\-to\-market for AI\- and data\-driven features that directly impact advisor productivity, client conversion, and revenue.
**Key Responsibilities**
* Own the product strategy and roadmap for Advisor Enablement data products and AI agents.
* Design AI\- and data\-powered capabilities across CRM, workflows, recommendations, and automation.
* Partner with data science, engineering, and analytics to shape models, signals, and data products.
* Identify and prioritize high\-impact use cases (e.g., next\-best\-action, lead scoring, smart workflows, segmentation).
* Run experiments and validate ideas with advisors; turn successful pilots into scalable features.
* Integrate AI and data products deeply into CRM and workflow surfaces—not side tools.
* Define success metrics, measure impact, and iterate based on data and customer feedback.
* Collaborate with GTM teams on positioning, launches, and enablement.
**Requirements**
* 8\+ years of Product Management experience, including complex platform or multi\-system products.
* 3\+ years building AI/ML or data\-driven products (recommendations, scoring, automation, or similar).
* Experience in a data\-focused role or owning data products (defining metrics, experiments, data requirements).
* Strong experience in at least one of:
+ B2B CRM or customer data platforms
+ Data intelligence / analytics systems
+ Recommendation engines / personalization
+ Marketing automation, segmentation, and audience systems
+ Workflow, project management, or productivity tools
* Cross\-functional leadership experience required.
* Hands\-on work with AI/ML\-powered features or predictive modeling.
* Strong background with CRM systems, customer data models, or lifecycle automation.
* Excellent communication; comfortable turning ambiguity into clear product direction.
* Based in NYC or willing to relocate.
**Strongly Preferred**
* Data science / Python or applied ML experience.
* Experience with modern AI agent frameworks and/or experience in low code AI tools like Lovable, Claude, Gemini, etc...
* Experience building APIs and integrations used by other teams or platforms.
**Compensation**
 Compensation for this role varies based on experience, with an indicative range of $160K–$200K \+ equity. Final compensation will depend on the level at which the candidate is hired, as we’re considering multiple levels for this role.
 Additional Benefits include:
* Unlimited vacation
* Health Insurance (including an option completely covered by Fora HQ)
* Dental \&amp; Vision Insurance
* Wellhub Memberships
* 401k plan with company match
* Commuter Benefits
* Supplemental Life Insurance
* Stock Options
 This role is based in our beautiful New York City office (Tribeca/Fidi) with lots of natural light and great views.
**Our Values**
**We’re forging our own path**
 Fora has always been about driving change within the industry. We’re not interested in maintaining the status quo.
**We’re stronger together**
 Community is our cornerstone and collective power is our strength. We believe we can all go further when we operate together, using our combined leverage to unlock better opportunities and outcomes for our advisors, partners, and travelers.
**We believe in technology**
 We believe technology is an answer to some of the most fundamental challenges the travel industry faces. We believe advancements in AI, bold investments in our platforms, and a world\-class data infrastructure will transform the work of our advisors and our partners, while creating better travel experiences for travelers.
**We’re here to serve**
 We operate in service of our community and believe that when they’re empowered to focus on what they do best, we all win. It’s why we relentlessly advocate for our advisors and prioritize their best interest every step of the way.
**We mean business**
 Fora is equal parts fun, meaningful work and serious travel business. We’re unlocking opportunities for thousands of travel entrepreneurs, delivering a stream of high\-quality guests at scale for our partners, and providing a superior travel experience for our travelers. It’s a better equation for the future of our industry.
- 
**WORK AUTHORIZATION**
 You must have authorization to work in the United States. Fora is unable to assist applicants with obtaining work authorization.
**EQUAL OPPORTUNITY**
 Fora is committed to an equitable hiring process and an inclusive work environment. BIPOC and traditionally underrepresented candidates are strongly encouraged to apply. We will not discriminate and will take action to ensure against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gender expression or any other characteristic protected by law.</t>
        </is>
      </c>
    </row>
    <row r="145">
      <c r="A145" t="inlineStr">
        <is>
          <t>li-4367066210</t>
        </is>
      </c>
      <c r="B145" t="inlineStr">
        <is>
          <t>Product Manager III Technology - (Remote-USA)</t>
        </is>
      </c>
      <c r="C145" t="inlineStr">
        <is>
          <t>Myriad Genetics</t>
        </is>
      </c>
      <c r="D145" t="inlineStr">
        <is>
          <t>linkedin</t>
        </is>
      </c>
      <c r="E145">
        <f>HYPERLINK("https://www.linkedin.com/jobs/view/4367066210", "https://www.linkedin.com/jobs/view/4367066210")</f>
        <v/>
      </c>
      <c r="F145">
        <f>HYPERLINK("https://ekgn.fa.us6.oraclecloud.com/hcmUI/CandidateExperience/en/job/5737/?utm_medium=job%2Baggregator&amp;utm_source=linkedin&amp;urlHash=90s9", "https://ekgn.fa.us6.oraclecloud.com/hcmUI/CandidateExperience/en/job/5737/?utm_medium=job%2Baggregator&amp;utm_source=linkedin&amp;urlHash=90s9")</f>
        <v/>
      </c>
      <c r="G145" t="inlineStr">
        <is>
          <t>Salt Lake City, UT</t>
        </is>
      </c>
      <c r="H145" t="inlineStr"/>
      <c r="I145" t="inlineStr">
        <is>
          <t>**Job Description**
 PRODUCT MANAGER III \- TECHNOLOGY \- REMOTE (USA)
 The Product Mgr III Technology role will help lead the expansion and adoption of our genetic tests. This role will drive innovative initiatives, and the ideal candidate will have a track record of building strong relationships with partners and customers, and who has demonstrated success influencing large cross\-functional teams.
**RESPONSIBILITES**
* Drive prioritization efforts for their product area and champion product area throughout organization.
* Partner with PMO, sample management team, customer service team, clinical operations, and business stakeholders to write crisp and clear product requirements that drive technical specifications and user experience and interface designs.
* Engage with commercial teams, business stakeholders, and software engineering teams through the full product cycle.
* Manage and maintain the backlog of the engineering team(s) you are assigned to. This includes prioritization, requirements refinement, quarterly planning, and Jira hygiene standards.
* Champion products throughout the organization and present updates to senior management.
* Continually validate products with internal and external customer feedback and against business metrics.
**Qualifications**
* Minimum of 3 years of Product Owner experience with proven success shipping multiple technology products across releases.
* MS or bachelor’s degree with equivalent years of experience in a relevant field.
* Proficient knowledge of the end\-to\-end process from sample management to clinical report generation
* Demonstrated ability to leverage AI tools and techniques to enhance day\-to\-day product management activities
* Strong leadership skills and proven ability to lead cross\-functional teams
* Track record of understanding customer needs and delivering technology solutions to address those needs
* Strong analytical problem\-solving and data\-driven approach to decision making.
* Exceptional verbal and written communication skills
* Proficient in Agile development
**Preferred**
 Knowledge of the healthcare space or genetics laboratory
 CSPO Certification
**Applicant must be a (i) U.S. citizen or national, (ii) U.S. lawful, permanent resident (aka green card holder)**
**We** 
**take geographic location into account when determining base salary to ensure equitable and competitive compensation.**
****EEO****
 We recognize that our people are our strength and the diverse talents they bring to our global workforce are directly linked to our success. We are an equal opportunity employer and place a high value on diversity and inclusion at our company. In hiring and all other employment decisions, we prohibit discrimination and harassment on the basis of any protected characteristic,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\#ProductManager \#ProductManagement \#HiringNow \#RemoteJobs \#TechJobs, \#HealthTech \#ProductOwner \#AgileProduct \#AIinProduct \#ClinicalOncology \#OncologyTech \#PrecisionOncology \#CancerDiagnostics \#MolecularOncology \#OncologyInformatics \#CancerCare, LI\-KO1
**About Us**
**Ready to transform the future of patient care through the power of genetics?**
 For more than 30 years, Myriad Genetics has led the way in precision medicine by delivering important insights to help people make informed health decisions. As a leading molecular diagnostic testing and precision medicine company, we are dedicated to advancing health and well\-being for all. Our innovative genetic tests are used across specialties including oncology, women’s health, and mental health, empowering clinicians to personalize treatment and help their patients take proactive steps toward better outcomes.
 What inspires us – and you – is simple: Every test, every insight, and every patient story emphasizes our commitment to improving lives through science, innovation, and care. you’re ready to help shape the future of medicine. Your work will have meaningful impact, and your dedication can change lives. Learn more at https://www.myriad.com and follow Myriad Genetics on LinkedIn .
 We are an equal opportunity employer and place high value on inclusion and belonging. We prohibit discrimination and harassment on the basis of any protected characteristic,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If you need assistance submitting your application due to a disability, you can request an accommodation by contacting recruiting@myriad.com .
 Please answer all questions completely. Please do not provide any information not specifically requested on this Employment Application form. To get the best candidate experience, please consider applying for a maximum of 3 roles within 12 months to ensure you are not duplicating efforts.
**Myriad Genetics will never request payment, solicit personal financial information, or conduct interviews via informal channels (e.g., personal email, text messages). All opportunity\-related communication with Myriad Genetics will come from our employees, whose e\-mail addresses end with "@myriad.com."**</t>
        </is>
      </c>
    </row>
    <row r="146">
      <c r="A146" t="inlineStr">
        <is>
          <t>li-4367120986</t>
        </is>
      </c>
      <c r="B146" t="inlineStr">
        <is>
          <t>Principal Product Manager - Platform</t>
        </is>
      </c>
      <c r="C146" t="inlineStr">
        <is>
          <t>HG Insights</t>
        </is>
      </c>
      <c r="D146" t="inlineStr">
        <is>
          <t>linkedin</t>
        </is>
      </c>
      <c r="E146">
        <f>HYPERLINK("https://www.linkedin.com/jobs/view/4367120986", "https://www.linkedin.com/jobs/view/4367120986")</f>
        <v/>
      </c>
      <c r="F146" t="inlineStr"/>
      <c r="G146" t="inlineStr"/>
      <c r="H146" t="inlineStr"/>
      <c r="I146" t="inlineStr">
        <is>
          <t>Product Manager \- AI Agents \&amp; Revenue growth Intelligence Platform
 You’ll own the future of how revenue teams work.
 HG Insights has one of the world’s best B2B technology intelligence datasets \- tracking over 10M companies and their tech stacks. We’re now building an AI\-first agentic platform on top of it. Think sales co\-pilots that actually understand your accounts, competitive intelligence agents that surface insights in real\-time, and workflows that eliminate the grunt work from GTM motions.
**Why this is a unique opportunity**
 This is a rare PM role where you get to define a new product category. While everyone talks about AI agents, most companies lack the data moat to make them truly useful. You’ll have:
* A proprietary dataset that creates defensible AI products \- we track 250M\+ companies and their tech stacks, data competitors can’t replicate
* 0\-to\-1 ownership of 2\-3 product lines from concept to launch \- you’ll shape the future of agentic GTM platforms, not execute someone else’s roadmap
* World\-class customers to build with \- work directly with companies like Snowflake, Cisco, and Five9 as design partners
* Resources to build it right \- aggressive investment in AI\-first product development in a company with solid financials
* Market timing \- AI agents are ready for prime time, and GTM workflows are crying out for intelligent automation
* AI\-native culture \- Work in an organization where AI isn’t just in the product, it’s in how we work. Learn cutting\-edge AI workflows for product management and help shape how the entire org uses AI to build better products faster
 This is a hands\-on, high\-velocity role: you’ll be deep in customer conversations, wireframing in Claude Code, and collaborating daily with engineering.
 What you’ll do
* Own and evolve our products, like the sales co\-pilot and competitive intelligence agents
* Design and prototype new AI agent experiences \- we expect you to wireframe and mock up your own ideas before handing off to design
* Work directly with customers like Snowflake, Cisco, and Five9 and design partners to validate direction, then collaborate with engineering to ship
* Build both: embed AI into existing workflows AND create new agent\-based experiences from scratch working on weekly/bi\-weekly sprints, monthly releases, quarterly strategy reviews
 What we’re looking for
* Deep GTM domain expertise: you’ve worked in or built products for sales prospecting, ABM, marketing ops, sales ops, or RevOps
* B2B SaaS product experience, ideally in go\-to\-market tools
* Hands\-on design skills \- can wireframe and prototype an idea without waiting for a designer
* Customer\-obsessed: you’re energized by spending time with sellers and CSMs, not just analyzing metrics
* Comfortable with ambiguity and fast iteration
 Location \&amp; Team
* Location: Remote in the US/Canada (San Francisco, Seattle, Boston, Vancouver, Austin, or New York City) or based in India
* Team: You’ll collaborate with \~60 engineers across backend, frontend, and data teams
* Reports to: VP of Product</t>
        </is>
      </c>
    </row>
    <row r="147">
      <c r="A147" t="inlineStr">
        <is>
          <t>li-4271361827</t>
        </is>
      </c>
      <c r="B147" t="inlineStr">
        <is>
          <t>Lead Product Manager, Payments Network</t>
        </is>
      </c>
      <c r="C147" t="inlineStr">
        <is>
          <t>Ripple</t>
        </is>
      </c>
      <c r="D147" t="inlineStr">
        <is>
          <t>linkedin</t>
        </is>
      </c>
      <c r="E147">
        <f>HYPERLINK("https://www.linkedin.com/jobs/view/4271361827", "https://www.linkedin.com/jobs/view/4271361827")</f>
        <v/>
      </c>
      <c r="F147" t="inlineStr"/>
      <c r="G147" t="inlineStr">
        <is>
          <t>New York, NY</t>
        </is>
      </c>
      <c r="H147" t="inlineStr"/>
      <c r="I147"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We’re looking for a Lead Product Manager who is passionate about using digital assets and technology to redefine payments and bridge the gap between crypto and fiat. This person is responsible for building the roadmap for our payout product and will work with our engineering and delivery teams to implement successful integrations with our payments network partners.
 This role is best suited for someone who has significant product launch experience, grit, and creativity to conceive of and pioneer novel new solutions to complex problems. This person will collaborate heavily with cross\-functional teams and the financial ecosystem of partners and customers.
 The role will be based in Toronto or New York and will report to the Senior Director of Ripple’s Network.
**WHAT YOU’LL DO:** 
* Own and develop the strategy, roadmap, and feature requirements for the payouts product.
* Use a deep understanding of the technical, operational, and liquidity needs of our network to build innovative solutions to delivering cross\-border payments.
* Partner with cross\-functional teams, including engineering, sales, and business development, to define, build, and maintain products critical to growth, engagement, and retention.
* Understand our and our partner’s API suite and how we test and execute integrations, and implement solutions that will ensure ease of integration, product reliability, and payment speed.
* Drive improvements with our existing implementations with banks and payment services providers and ensure consistent execution across new integrations.
* Monitor and analyze product performance, using data to inform decisions and iterate quickly.
**WHAT YOU'LL BRING:** 
* 10\+ years of experience in premier payment services, enterprise software, or virtual asset services companies, with at least 5 years as a Product Manager.
* Consistent track record of scaling and evangelizing successful products.
* Strong payments experience and a keen curiosity about blockchain, as well as knowledge of Ripple, its ecosystem, and where the market is headed.
* Technical competence and understanding; preference for software engineering background.
* Ability to understand both business needs and technical requirements and communicate both across internal teams and external partners.
* Motivated by intellectual challenges and driven by a spirit to win in the market.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$192,000 USD \- $216,000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48">
      <c r="A148" t="inlineStr">
        <is>
          <t>li-4367031590</t>
        </is>
      </c>
      <c r="B148" t="inlineStr">
        <is>
          <t>Product Manager, Principal</t>
        </is>
      </c>
      <c r="C148" t="inlineStr">
        <is>
          <t>Strategy</t>
        </is>
      </c>
      <c r="D148" t="inlineStr">
        <is>
          <t>linkedin</t>
        </is>
      </c>
      <c r="E148">
        <f>HYPERLINK("https://www.linkedin.com/jobs/view/4367031590", "https://www.linkedin.com/jobs/view/4367031590")</f>
        <v/>
      </c>
      <c r="F148">
        <f>HYPERLINK("https://jobs.smartrecruiters.com/MicroStrategy1/744000106395757-product-manager-principal?trid=2d92f286-613b-4daf-9dfa-6340ffbecf73&amp;urlHash=hTR4", "https://jobs.smartrecruiters.com/MicroStrategy1/744000106395757-product-manager-principal?trid=2d92f286-613b-4daf-9dfa-6340ffbecf73&amp;urlHash=hTR4")</f>
        <v/>
      </c>
      <c r="G148" t="inlineStr">
        <is>
          <t>Tysons Corner, VA</t>
        </is>
      </c>
      <c r="H148" t="inlineStr"/>
      <c r="I148" t="inlineStr">
        <is>
          <t>**Company Description**
**Strategy (Nasdaq: MSTR)** 
 is at the forefront of transforming organizations into intelligent enterprises through data\-driven innovation. We don't just follow trends—we set them and drive change. As a market leader in enterprise analytics and mobility software, we've pioneered the BI and analytics space, empowering people to make better decisions and revolutionizing how businesses operate.
 But that's not all. Strategy is also leading a groundbreaking shift in how companies approach their treasury reserve strategy, boldly adopting Bitcoin as a key asset. This visionary move is reshaping the financial landscape and solidifying our position as a forward\-thinking, innovative force in the market. Four years after adopting the Bitcoin Standard, Strategy's stock has outperformed every company in the S\&amp;P 500\.
 Our people are the core of our success. At Strategy, you'll join a team of smart, creative minds working on dynamic projects with cutting\-edge technologies. We thrive on curiosity, innovation, and a relentless pursuit of excellence.
 Our corporate values—bold, agile, engaged, impactful, and united—are the foundation of our culture. As we lead the charge into the new era of AI and financial innovation, we foster an environment where every employee's contributions are recognized and valued.
 Join us and be part of an organization that lives and breathes innovation every day. At Strategy, you're not just another employee, you're a crucial part of a mission to push the boundaries of analytics and redefine financial investment
**Job Description**
**Job Description**
**The Role** 
 The Product Management team at Strategy sits at the intersection of customer need, market opportunity, and technological innovation, directly shaping our product vision and continuous evolution. As a Product Manager, your focus will span from understanding customer challenges and market dynamics to defining solutions, driving adoption, and achieving measurable business outcomes.
 You'll thrive in a dynamic, fast\-paced environment where no two days look alike. Leveraging your customer empathy and market insights, you'll identify high\-impact capabilities and enhancements, translating them into strategic product initiatives. Your success will be measured by the tangible impact your products deliver—driving adoption, customer value, and incremental revenue growth.
 You'll operate as part of a collaborative pod, partnering closely with Design, Engineering, and customer\-facing teams, reporting directly to a VP of Product Management.
**Location:** 
 This role is based at our Tysons Corner, VA headquarters, requiring in\-person attendance four days a week, with limited travel for customer meetings and industry conferences.
**Your Focus** 
* Discovery \&amp; Strategy: Engage deeply with customers, leveraging qualitative and quantitative data to understand pain points and opportunities.
* Roadmap \&amp; Prioritization: Own and continuously refine your product backlog, ensuring alignment with customer value, strategic vision, and revenue goals.
* Execution \&amp; Delivery: Collaborate daily with Engineering and Design teams in agile environments, managing priorities, trade\-offs, and timelines effectively.
* Adoption \&amp; Outcomes: Define clear success metrics, instrument analytics, and partner cross\-functionally to drive customer adoption and measure post\-launch impact.
* Continuous Improvement: Regularly assess performance, solicit customer feedback, and conduct competitive analyses to inform iterative enhancements.
**About You**
* Resilience \&amp; Accountability: You bring perseverance and follow\-through to your work. When you commit to a goal, you take ownership and drive it to completion.
* Intellectual Curiosity: You regularly ask “why” and “how” to better understand industry challenges, improve processes, and enhance customer and product experiences.
* Design Mindset: You appreciate thoughtful design and user experience, and you value how strong product and system design influence usability, adoption, and customer satisfaction.
* Execution \&amp; Collaboration: You are action\-oriented and work effectively across teams to deliver outcomes, manage priorities, and contribute to shared success.
* Data \&amp; Metrics Orientation: You are comfortable working with key performance metrics such as funnels, adoption, retention, and upsell. You use data to inform decisions and understand how product choices impact business outcomes.
**Required Experience \&amp; Skills**
* 5\-8 years of experience in Product Management or an adjacent role delivering B2B data, analytics, or software products.
* Strong understanding of data concepts including SQL based application, cloud data platforms (e.g., Snowflake, BigQuery, Redshift), AI/ML fundamentals, and data governance.
* Demonstrated ability to translate complex customer and market insights into clear product strategies and measurable business outcomes.
* Excellent communication skills, capable of effectively engaging diverse stakeholders from engineering teams to executive leadership.
**Additional Information**
 Strategy is an equal opportunity employer. All applicants will receive consideration for employment without regard to race, creed, color, religion, national origin, gender, sex, sexual orientation, gender identity, disability, veteran status, age, genetic information, or any other legally\-protected basis.
 Strategy provides reasonable accommodation for qualified individuals with disabilities in the hiring process. If you have any difficulty using our online system and you need an accommodation due to a disability, you may contact us about your interest in employment at application\_accommodations@strategy.com.
 Visit Strategy’s Careers page for additional information.</t>
        </is>
      </c>
    </row>
    <row r="149">
      <c r="A149" t="inlineStr">
        <is>
          <t>li-4367349674</t>
        </is>
      </c>
      <c r="B149" t="inlineStr">
        <is>
          <t>EverCommerce - Data Product Owner</t>
        </is>
      </c>
      <c r="C149" t="inlineStr">
        <is>
          <t>EverCommerce</t>
        </is>
      </c>
      <c r="D149" t="inlineStr">
        <is>
          <t>linkedin</t>
        </is>
      </c>
      <c r="E149">
        <f>HYPERLINK("https://www.linkedin.com/jobs/view/4367349674", "https://www.linkedin.com/jobs/view/4367349674")</f>
        <v/>
      </c>
      <c r="F149" t="inlineStr"/>
      <c r="G149" t="inlineStr">
        <is>
          <t>Boston, MA</t>
        </is>
      </c>
      <c r="H149" t="inlineStr"/>
      <c r="I149" t="inlineStr">
        <is>
          <t>EverCommerce is seeking a
 **Data Product Owner** 
 to lead the strategy and delivery of our
 **Enterprise Reporting** 
 function – the high\-level, executive\-facing reporting layer that powers strategic decision\-making across the company. This role is central to how we communicate key business performance indicators to senior leadership, including our CEO, CFO, Board of Directors, and business unit heads.
 As the Data Product Manager, you will be responsible for defining the roadmap for enterprise reporting, ensuring consistent and timely delivery of accurate data, and acting as the subject matter expert on EverCommerce’s core KPIs. You’ll work cross\-functionally with FP\&amp;A, business operations, data engineering, and executive stakeholders to prioritize initiatives, clarify business needs, and ensure alignment across reporting processes.
**Key Responsibilities**
* Own the Enterprise Reporting Roadmap: Define and manage the strategic direction of high\-level reporting products used across the company, with a focus on usability, accuracy, and executive alignment.
* Lead KPI Stewardship: Act as the SME on all enterprise KPIs – ensuring consistency, clarity, and documentation of definitions and methodologies.
* Drive Cross\-Functional Delivery: Collaborate with analytics, FP\&amp;A, and data engineering teams to ensure timely and accurate delivery of quarterly and monthly reporting packages (e.g., for Earnings Calls and Board meetings).
* Stakeholder Management: Serve as the primary point of contact for senior leaders regarding enterprise reporting needs, data interpretation, and roadmap prioritization.
* Reporting QA \&amp; Governance: Own the QA process and change management protocols for all executive reporting assets to ensure a high standard of data integrity.
* Continuous Improvement: Identify gaps in data availability, reporting processes, and visualization tools, and work to drive improvements that scale across EverCommerce’s portfolio of businesses.
**Skills and Experience needed for success in this role:**
* 5\+ years of experience in product management, data analytics, or business intelligence, preferably in a multi\-brand or enterprise environment
* Proven experience leading cross\-functional data initiatives with executive visibility
* Deep understanding of business KPIs, financial metrics, and operational reporting
* Strong project management skills, with experience developing roadmaps and managing stakeholder expectations
* Excellent communication skills – able to translate complex data topics into clear business language for senior audiences
* Familiarity with BI tools (e.g., Power BI, Tableau), data platforms (e.g., Snowflake, dbt), and cloud platforms (e.g., AWS, GCP) is a plus
* Experience in the Payments domain \- familiarity with tools, compliance requirements, standards, etc. is a big plus
**Where:** 
 This is a fully remote, US based position with minimal to no travel required. You may be asked to travel up to 4 times per year for quarterly planning. The EverCommerce team is distributed globally, with teams in the U.S., Canada, the U.K., Jordan, New Zealand, and Australia. With a widely distributed team, we are used to working remotely across different time zones. This role can be based anywhere in the United States or Canada – if you’re close to one of our offices, we can set you up in\-office or you can work 100% remotely. Please note that you must be eligible to work without sponsorship to qualify for this position, and this role may require travel to our Corporate Headquarters in Denver, Colorado, or to other office locations around North America.
**Benefits and Perks:**
* Flexibility to work where/how you want within your country of employment – in\-office, remote, or hybrid
* Continued investment in your professional development
* Day 1 access to a robust health and wellness benefits package, including an annual wellness stipend.
* 401k with up to a 4% match and immediate vesting
* Flexible and generous (FTO) time\-off
* Employee Stock Purchase Program
**Compensation:** 
 The target base compensation for this position is $90,000 to $105,000 USD per year in most US locations. Final offer amounts are determined by multiple factors including location, local market variances, and candidate experience and expertise, and may vary from the amounts listed above.
 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row>
    <row r="150">
      <c r="A150" t="inlineStr">
        <is>
          <t>li-4367369281</t>
        </is>
      </c>
      <c r="B150" t="inlineStr">
        <is>
          <t>Sr. Technical Product Manager (Remote)</t>
        </is>
      </c>
      <c r="C150" t="inlineStr">
        <is>
          <t>Lensa</t>
        </is>
      </c>
      <c r="D150" t="inlineStr">
        <is>
          <t>linkedin</t>
        </is>
      </c>
      <c r="E150">
        <f>HYPERLINK("https://www.linkedin.com/jobs/view/4367369281", "https://www.linkedin.com/jobs/view/4367369281")</f>
        <v/>
      </c>
      <c r="F150">
        <f>HYPERLINK("https://lensa.com/cgw/d768a6172fad4c7e8be3925e2985cb7ctjo1?jpsi=directemployers_no_redirect&amp;publisher_preference=easier_apply&amp;utm_campaign=Operations%20Specialties%20Managers&amp;utm_medium=slot&amp;utm_source=linkedin&amp;utm_term=jse&amp;urlHash=tcES", "https://lensa.com/cgw/d768a6172fad4c7e8be3925e2985cb7ctjo1?jpsi=directemployers_no_redirect&amp;publisher_preference=easier_apply&amp;utm_campaign=Operations%20Specialties%20Managers&amp;utm_medium=slot&amp;utm_source=linkedin&amp;utm_term=jse&amp;urlHash=tcES")</f>
        <v/>
      </c>
      <c r="G150" t="inlineStr">
        <is>
          <t>Washington, DC</t>
        </is>
      </c>
      <c r="H150" t="inlineStr"/>
      <c r="I1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151">
      <c r="A151" t="inlineStr">
        <is>
          <t>li-4352161639</t>
        </is>
      </c>
      <c r="B151" t="inlineStr">
        <is>
          <t>Senior Product Manager I</t>
        </is>
      </c>
      <c r="C151" t="inlineStr">
        <is>
          <t>OneStream Software</t>
        </is>
      </c>
      <c r="D151" t="inlineStr">
        <is>
          <t>linkedin</t>
        </is>
      </c>
      <c r="E151">
        <f>HYPERLINK("https://www.linkedin.com/jobs/view/4352161639", "https://www.linkedin.com/jobs/view/4352161639")</f>
        <v/>
      </c>
      <c r="F151" t="inlineStr"/>
      <c r="G151" t="inlineStr"/>
      <c r="H151" t="inlineStr"/>
      <c r="I151" t="inlineStr">
        <is>
          <t>**Location:** 
 Remote, USA
**Compensation:** 
 $138,000\.00\-$172,250\.00
**Benefits Offered:** 
 Vision, Medical, Life, Dental, 401K (Range applies to US candidates only) \+ Benefits/Variable Comp/Equity \- Range may vary based on experience.
**Employment Type:** 
 Full\-Time
**Summary**
 OneStream is looking for product champions to enthusiastically drive innovation that keeps pace with our industry\-leading growth and achieves 100% customer success. As a OneStream Senior Product Manager, you will be identifying potential product usability features through stakeholder feedback, drafting product requirements, working closely with other product managers, developers, and quality analysts during the build cycle and assisting in the development of documentation and training materials to enable internal and external stakeholders to sell, position, implement and support the OneStream Platform.
**Primary Duties And Responsibilities**
* Determine product priorities through interaction with internal and external stakeholders. Become the “voice of the customer” as it relates to making OneStream easy to use for our end users and easy to manage for administrators.
* Serve as the product owner for multiple solutions or features and main point of contact for the solutions/features throughout the organization.
* Lead the strategy, tactics, and delivery timelines for a product areas.
* Lead customer focus groups through technical understanding of product features and capabilities.
* Proactively explores innovation opportunities driven by technology, customer needs, and competing market.
* Help create, define, and refine product processes.
* Conduct research to identify customer needs, competitor analysis, and market gaps.
* Provide guidance to Business Analysts for when creating acceptance criteria and test plans by sharing knowledge to Business Analyst.
* Create prototypes without assistance to enable Engineering's understanding of requirements.
* Deeply immersed in the full development lifecycle all the way to general availability, intermingling with developers, quality analysts and others.
* Continuous hands\-on learning of OneStream’s comprehensive, unified CPM platform as you strive to expand your current OneStream expertise.
* Consistently research ways to improve monitoring, discover issues, and deliver better value to the customer.
* Must be hands\-on and willing to deeply learn the OneStream product and related MarketPlace solutions.
* Mentor junior team members in areas of expertise of the OneStream product.
* Drafts strategy and product updates for leadership team.
* Sound communication and presentation skills to effectively explain and demonstrate how product concepts impact customer requirements.
* Develop and deliver documentation and training materials to inform relevant stakeholders on new features. Enable and educate Presales, Sales, and Marketing on new offerings.
* Coordinate with Marketing and Presales team members to showcase new features in marketing and sales materials.
**Required Education And Experience** 
* Bachelor's degree or equivalent in Accounting, Finance, Business, Information Technology or similar.
* 10 years of experience that includes Corporate Performance Management (CPM) Product Management, solutions delivery, business analysis, training, and documentation management.
* Experience with CPM domain: Financial modeling, data integration, consolidation, reporting, budgeting, forecasting, and planning.
* Experience working in an Agile environment.
* Knowledge of object\-oriented languages such as Java and C\+\+.
* Hands\-on technical experience with CPM applications, such as financial model and metadata design, data integration, dashboards, graphs, and report authoring.
* Ability to analyze and communicate technical issues, lead discussions, and influence decisions.
* Experience with CPM applications such as:
+ OneStream
+ Oracle Hyperion
+ SAP
+ Other CPM solutions
**Preferred Education And Experience**
* Experience in building enterprise software solutions.
* Experience using Jira, Confluence, Office 365, and Microsoft Visio.
* Experience with Visio, Draw.io, Lucidchart or any other flow chart software.
* Strong understanding of accounting terms and systems.
* Product Manager Certification (PMC) a plus, experience with CPM applications a plus.
* CPA or related finance, including Big 4, experience a plus.
**Knowledge, Skills, And Abilities**
* Ability to effectively communicate across the organization with cross\-functional team members.
* Takes initiative to learn new technologies and product processes to share with the organization.
* Excellent organizational skills and ability to multitask.
* Deep understanding of competitors, including their features and roadmap strategy.
* Ability to follow established processes.
* Excellent understanding of OneStream user personas.
* Proactively takes on new tasks and assignments.
* Ability to achieve all expected deliverables on time and with a high level of quality with little supervision.
* Strong user of Microsoft tools such as Excel and Visio with exposure to SQL Server and VB.NET or similar.
* Ability to analyze and communicate technical issues, lead discussions, and influence decisions.
* Excellent listening, verbal, public speaking, and written communication skills.
* Foundational understanding of Commercial Software Lifecycle.
**Who We Are**
 OneStream is how today’s Finance teams can go beyond just reporting on the past and Take Finance Further™ by steering the business to the future. It’s the only enterprise finance platform that unifies financial and operational data, embeds AI for better decisions and productivity, and empowers the CFO to become a critical driver of business strategy and execution. Our vision is to be the operating system for modern finance, digitizing core financial functions and empowering the CFO to become a critical driver of business strategy. To learn more visit www.onestream.com.
**Why Join The OneStream Team**
* Transparency around corporate structure, salary, and benefits.
* Core value of customer success.
* Variety of project work. (not industry\-specific)
* Strong culture and camaraderie.
* Multiple training opportunities.
**Benefits At OneStream**
 OneStream employees are passionate, hardworking individuals who go above and beyond to keep our customers happy and follow through on our mission statement. They consistently deliver the best and in turn, we make every effort to keep them cared for and happy. A sample of the benefits we provide are:
* Excellent Medical Plan.
* Dental \&amp; Vision Insurance.
* Life Insurance.
* Short \&amp; Long Term Disability.
* Vacation Time.
* Paid Holidays.
* Professional Development.
* Retirement Plan.
 All candidates must be legally authorized to work for any company in the country where this position is located without sponsorship.
 OneStream is an Equal Opportunity Employer.</t>
        </is>
      </c>
    </row>
    <row r="152">
      <c r="A152" t="inlineStr">
        <is>
          <t>li-4342987734</t>
        </is>
      </c>
      <c r="B152" t="inlineStr">
        <is>
          <t>Web3 Technical Product Manager</t>
        </is>
      </c>
      <c r="C152" t="inlineStr">
        <is>
          <t>Axiom Recruit</t>
        </is>
      </c>
      <c r="D152" t="inlineStr">
        <is>
          <t>linkedin</t>
        </is>
      </c>
      <c r="E152">
        <f>HYPERLINK("https://www.linkedin.com/jobs/view/4342987734", "https://www.linkedin.com/jobs/view/4342987734")</f>
        <v/>
      </c>
      <c r="F152" t="inlineStr"/>
      <c r="G152" t="inlineStr"/>
      <c r="H152" t="inlineStr"/>
      <c r="I152" t="inlineStr">
        <is>
          <t>Axiom has partnered with a leading DEX to hire their next senior
 **DeFi Product Manager** 
 to help shape the next generation of decentralised financial infrastructure. If you’re passionate about building in DeFi and want to work on products that genuinely move the industry forward, this is the kind of role that will excite you.
**The Company** 
 This is a fast\-growing, mission\-driven organisation building core technology for the future of decentralised markets. A leading and well\-respected
 **decentralised exchange.** 
 They’re rethinking how global financial systems work. With a strong technical culture and a team focused on impact, they’re building infrastructure to support billions in on\-chain activity.
**What We’re Hiring** 
 We’re looking for a Senior Product Manager with a strong blend of technical understanding, design expertise and hands\-on delivery. You will be building for the DEX and several other DeFi products.
**You’ll excel here if you have:** 
* 4\+ years’ product management and take full ownership
* Strong technical background, ideally with past software development experience
* 3\+ years in the blockchain space. Deep understanding of DeFi protocols and their technical constraints.
* Experience with a DEX or strong Solana DeFi products is a huge bonus
**The Opportunity** 
 This is an opportunity to build products that are key infrastructures in the global DeFi ecosystem. You’ll set strategy for your area, lead high\-impact projects from start to finish, and help shape new standards in user experience and protocol design.
* 100% remote across USA, Europe or the Middle East regions
* Very competitive salary \+ Tokens as equity \- Stablecoins or Fiat currency available
* Budget for office renting if you miss the onsite environment
* Work for a business with a reputable brand and funding
* A business that encourages AI to make your life easier \- Paid tools and equipment
 If you’re motivated by building meaningful systems rather than small upgrades, this is an environment where your work will have clear, immediate, and lasting impact.
 If this sounds like the right move for you, apply directly through this advert or reach out to Hassan at
 **hassan@axiomrecruit.com** 
 .</t>
        </is>
      </c>
    </row>
    <row r="153">
      <c r="A153" t="inlineStr">
        <is>
          <t>li-4338316327</t>
        </is>
      </c>
      <c r="B153" t="inlineStr">
        <is>
          <t>Senior Product Manager, Skyflow Secure Workflows</t>
        </is>
      </c>
      <c r="C153" t="inlineStr">
        <is>
          <t>Skyflow</t>
        </is>
      </c>
      <c r="D153" t="inlineStr">
        <is>
          <t>linkedin</t>
        </is>
      </c>
      <c r="E153">
        <f>HYPERLINK("https://www.linkedin.com/jobs/view/4338316327", "https://www.linkedin.com/jobs/view/4338316327")</f>
        <v/>
      </c>
      <c r="F153" t="inlineStr"/>
      <c r="G153" t="inlineStr"/>
      <c r="H153" t="inlineStr"/>
      <c r="I153" t="inlineStr">
        <is>
          <t>Skyflow is a data privacy vault company built to radically simplify how companies isolate, protect, and govern their customers’ most sensitive data. With its global network of data privacy vaults, Skyflow is also a comprehensive solution for companies around the world looking to meet complex data localization requirements. Skyflow currently supports a diverse customer base that spans verticals like fintech, retail, travel, and healthtech.
 Skyflow is headquartered in Palo Alto, California and was founded in 2019\. For more information, visit www.skyflow.com or follow on X and LinkedIn.
**About The Role**
 Secure Workflows is at the heart of Skyflow’s integration strategy. It defines how customers connect Skyflow to the rest of their ecosystem—through APIs, batch pipelines, webhooks, triggers, and event\-based notifications. It’s how we make data protection effortless for developers, while keeping compliance airtight.
 As the Product Manager for Secure Workflows, you’ll own the vision, strategy, and execution for this critical product area. You’ll help define how developers and partners interact with Skyflow, and ensure every data movement is secure, compliant, and beautifully simple.
**What You’ll Do**
* Lead the vision and roadmap for Secure Workflows, shaping the way customers integrate with Skyflow especially across their Agentic AI architectures and workflow
* Collaborate closely with engineering and design to build scalable, reliable features that power data movement at global scale.
* Enable first\-class support for unstructured data flowing into AI workflows, AI and agent\-native workflows in close partnership with adjacent product areas.
* Partner with customers and technology partners to expand Skyflow’s ecosystem and build frictionless integrated experiences.
* Translate Skyflow’s privacy mission into a cohesive product strategy turning customer insights, feedback, and data into clear execution plans.
* Work cross\-functionally to drive outcomes, prioritize effectively, and bring clarity in an evolving, fast\-paced environment.
* Define success metrics and iterate relentlessly to improve developer experience and platform adoption.
* Partner closely with engineering and design to deliver scalable, reliable, enterprise\-grade workflow orchestration (e.g., triggers, conditional execution, containerized steps, simplified connections).
* Work with customers, ISVs, and technology partners to validate real\-world workflows and ensure extensibility across ecosystems.
* Collaborate cross\-functionally with Solutions, CX, and GTM teams to ensure workflows are operable, supportable, and adoptable at scale.
 What You’ll Bring
* 3\+ years of technical product management experience, ideally in developer\-facing, integration or platform products.
* 2\+ years of experience working on SaaS platforms in security, privacy, or data infrastructure.
* Familiarity with AI or agent\-based systems (e.g., tool invocation, orchestration, MCP\-style patterns) you don’t need to be an ML expert, but you understand how AI systems operate in production
* Experience collaborating with partners and customers to design scalable solutions. Strong communication skills you can explain complex systems in simple, human terms.
* A bias for action, with the ability to execute and adapt in an ambiguous environment.
* Comfort operating in ambiguity and making progress in fast\-evolving technical domains.
**Benefits**
* Work from home expense (U.S., Canada, and Australia)
* Excellent Health, Dental, and Vision Insurance Options (Varies by Country)
* Vanguard 401k
* Flexible Paid Time Off (Unlimited)
* Generous Equity
 At Skyflow, we believe that diverse teams are the strongest teams. We invite applicants of all genders, races, ethnicities, nationalities, ages, religions, sexual orientations, disability statuses, educational experiences, family situations, and socio\-economic backgrounds.</t>
        </is>
      </c>
    </row>
    <row r="154">
      <c r="A154" t="inlineStr">
        <is>
          <t>li-4334742430</t>
        </is>
      </c>
      <c r="B154" t="inlineStr">
        <is>
          <t>Product Owner</t>
        </is>
      </c>
      <c r="C154" t="inlineStr">
        <is>
          <t>First American</t>
        </is>
      </c>
      <c r="D154" t="inlineStr">
        <is>
          <t>linkedin</t>
        </is>
      </c>
      <c r="E154">
        <f>HYPERLINK("https://www.linkedin.com/jobs/view/4334742430", "https://www.linkedin.com/jobs/view/4334742430")</f>
        <v/>
      </c>
      <c r="F154" t="inlineStr"/>
      <c r="G154" t="inlineStr">
        <is>
          <t>Santa Rosa, CA</t>
        </is>
      </c>
      <c r="H154" t="inlineStr"/>
      <c r="I154" t="inlineStr">
        <is>
          <t>**Who We Are**
 Join a team that puts its People First! As a member of First American’s family of companies, First American Home Warranty offers a wide range of home warranty products and services to home sellers, buyers and agents.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The Product Owner owns the product vision and lifecycle in an Agile environment, driving value and strategic alignment. This role defines and communicates the roadmap, features, and release plans, prioritizes requirements, and partners with Technology Teams, stakeholders, and the Scrum Master to ensure successful delivery. Acting as the central point of clarity, the Product Owner provides sprint goals, timely decisions, and guidance through the SDLC, while fostering collaboration and customer satisfaction.
**What You’ll Do:**
* Establish and maintain stakeholder relationships and communication as the voice of the product team
* Contribute to product organizational change management communications
* Prodive product direction from the product's vision and set aligned sprint goals
* Understand and communicate relative pros and cons of various product features
* Write well\-formed user stores for Agile product team
* Aid product team self\-sufficiency, maintain ownership of product backlog with refined and ready user stores for at least 2 sprints
* Owership of product quality pre and post release, ensuring client satisfaction
* Collect product analysis and discover/deliver product improvements identified from the date collected
* Communicate events, identify impact and lead resolution of product issue
* Collaborate with Product Team to define and measure the success of product changes, identify and ensure that product features and enables support strategic business goals and create user stories and execution roadmaps to improve customer satisfaction
* Owns iterative delivery of new product features from ideation through testing, acceptance, release and inspection
* Collaborate with Scrum Master, measure and communicate product team's progress to clients and leadership
* Recognize when product team results are not achieving Sprint goals
* Proactively work with Scrum Mast and Talent Managers to determine best plan of action for achieving future sprint goals
* May be responsible for product governance and budgeting and communicating cost options
* May need to work outside of normal work hours based on business needs
**What You’ll Bring:**
* Bachelor’s degree or equivalent combination of education and experience.
* 3\-7 years of directly related experience with a strong business understanding and experience working with technology teams
* Expert level proficiency working with Agile Scrum Principles and methods and SAFe (Scaled Agile) Framework
* At least one industry certification is required \- Certified Scrum Product Owner (CSPO), SAFe Product Owner/Product Manager (POPM) or Professional Scrum Product Owner (PSPO)
* Proven ability to influence leadership within an organization to drive meaningful results
* Innovative and forward thinking, decisive and action oriented while pay attention to details
* Knowledge of general business environment/operation and general cost benefit awareness
* Knowledge of solutions architecture and purpose within the overall product ecosystem
* Experience effectively managing inter\-team and cross\-team discussion, endeavoring to gain all points of view, drive urgency, resolve issues and deliver client value
* Has outcome\-based delivery that has a business and solution focus
 Salary Range:
 $109,650 \-$146,175
 This hiring range is a reasonable estimate of the base pay range for this position at the time of posting. Pay is based on a number of factors, which may include job\-related knowledge, skills, experience, business requirements and geographic location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Based on eligibility, First American offers a comprehensive benefits package including medical, dental, vision, 401k, PTO/paid sick leave and other great benefits like an employee stock purchase plan.</t>
        </is>
      </c>
    </row>
    <row r="155">
      <c r="A155" t="inlineStr">
        <is>
          <t>li-4366352802</t>
        </is>
      </c>
      <c r="B155" t="inlineStr">
        <is>
          <t>Senior Product Owner</t>
        </is>
      </c>
      <c r="C155" t="inlineStr">
        <is>
          <t>Caterpillar Inc.</t>
        </is>
      </c>
      <c r="D155" t="inlineStr">
        <is>
          <t>linkedin</t>
        </is>
      </c>
      <c r="E155">
        <f>HYPERLINK("https://www.linkedin.com/jobs/view/4366352802", "https://www.linkedin.com/jobs/view/4366352802")</f>
        <v/>
      </c>
      <c r="F155" t="inlineStr"/>
      <c r="G155" t="inlineStr">
        <is>
          <t>Chicago, IL</t>
        </is>
      </c>
      <c r="H155" t="inlineStr"/>
      <c r="I155"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We are looking for a Senior Product Owner and system test specialist to join Quality Assurance group to help us build globally located system integration and test team that will be focusing on Caterpillar integration services and dealer ERP systems. The quality assurance team is working with talented cross\-functional engineering teams that are building platforms and ERP systems utilizing cutting\-edge technologies. QA team is leading relentless pursuit of quality including defect management, data validation, tools, test data management, and system integration/test on multiple large\-scale programs for the CAT Digital Platform.
**What You Will Do**
 The Technical Product Owner works with the Scrum Team (located in India), System Test Architect, and multiple engineering and business teams. Primary tasks will creating and managing the Product/Test Backlog and to ensure everyone knows the priorities and assisting the scrum team to meet the objectives of each sprint as well as long\-term program goals.
* Lead the sprint planning, backlog grooming, retrospectives and sprint demos.
* Inspect the product and test execution progress at the end of every Sprint and accept or reject the work that has been done by the test and development team.
* Act as the voice of the team, communicating status externally.
* Be a champion for the agile community and help to further the community within the organization.
* Responsible for working closely with Engineering, Product, and System Test Teams.
* Responsible for creating, maintaining and prioritizing the Product/Test Backlog according to business value for the life of the project. Represent team in US time\-zones and having regular touch points with team in India.
* Act as the key decision\-maker regarding what features will be tested and adjust according to shifting priorities/deliverables within program timeline.
* Collaborate with System Test Architect and System Lead Engineers on decomposition of features into user stories and test execution plans that are small enough, or granular enough, to be completed in a single sprint.
* Negotiate business requirements, changes to those, and their release dates with Product and development teams.
* Responsible for defect management prioritization.
* Work closely with key stakeholders throughout the organization.
**What You Will Have**
* Business Analysis: Knowledge of business analysis and the set of tasks, techniques and tools required to identify business needs; ability to recommend solutions that deliver value to stakeholders.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Product Business Knowledge: Knowledge of and experience with the business aspects and operation of a software product; ability to manage install base, current uses, future plans, and product vision.
**Consideration For Top Candidates**
* Experience with Microsoft Dynamics or other ERP systems
* Previous experience as a System Test Engineer with ability lead and take ownership of programs
* Demonstrated experience integrating and/or migrating ERP systems
* Experience as a technical product owner
* Experience and flexibility working with onshore/offshore team models.
* Previous experience working with or leading technical cross\-functional teams while simultaneously working on multiple projects.
* Technical Project/Program Management experience is a plus
* Scrum Master certification is a plus
**Additional Details**
* This position requires the candidate to be based in either Chicago, IL ; Peoria, IL or Dallas, TX
* Relocation assistance is NOT available for this position
* Visa sponsorship is NOT available with this position.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27, 2026 \- February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56">
      <c r="A156" t="inlineStr">
        <is>
          <t>li-4356448279</t>
        </is>
      </c>
      <c r="B156" t="inlineStr">
        <is>
          <t>Product Owner (Acute Care Management)</t>
        </is>
      </c>
      <c r="C156" t="inlineStr">
        <is>
          <t>Inovalon</t>
        </is>
      </c>
      <c r="D156" t="inlineStr">
        <is>
          <t>linkedin</t>
        </is>
      </c>
      <c r="E156">
        <f>HYPERLINK("https://www.linkedin.com/jobs/view/4356448279", "https://www.linkedin.com/jobs/view/4356448279")</f>
        <v/>
      </c>
      <c r="F156" t="inlineStr"/>
      <c r="G156" t="inlineStr">
        <is>
          <t>Atlanta, GA</t>
        </is>
      </c>
      <c r="H156" t="inlineStr"/>
      <c r="I156"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Product Owner is responsible for establishing a deep product expertise both from a technical and market perspective by understanding buyer and user personas, value proposition, benefits, features and functionality, competitive landscape, architecture, code base, and technical components. This person collaborates closely with other product owners, product managers, scrum master(s), and development managers to leverage Agile processes and tools which support product requirements, sprint review, backlog refinement (grooming), sprint planning, retrospectives, and backlog/ticket creation. This role will partner closely with product managers in reviewing product roadmaps and drive the prioritization of work accordingly. The Product Owner will partner closely with product managers in reviewing product roadmaps and drive prioritization of work accordingly. This role will plan, prioritize, and maintain product feature backlog and development for a product. This person has prior experience with software\-as\-a\-service (SAAS) distribution models.
**Duties and Responsibilities:**
* Own the Acute Care Management prioritized backlog, drive sprint planning, backlog refinement, reviews, and retrospectives in partnership with engineering.
* Develop features for acute care products and workflows, including regulatory compliance and operational processes.
* Apply knowledge of pharmacy, infection prevention, and safety management workflows, with the ability to ensure accurate data submission and adherence to hospital and regulatory standards.
* Adopt and role model Agile behaviors while building an inclusive team culture.
* Drive strong collaboration across internal stakeholders including product, engineering, corporate development, and marketing to ensure timely execution and delivery of our products to market.
* Engage with internal and external stakeholders to inform product and feature design to drive perspective, requirements, and prioritization of the backlog in line with the product vision and while communicating expectations to internal and external stakeholders.
* Develop detailed business requirements that meet the needs of internal and external stakeholders and support corporate objectives;
* Analyze the current system or application, conceptualize and define operational problems, model and present recommended enhancements and modifications, and walk each new enhancement or modification through the development process, from planning and preparation to testing and implementation;
* Oversee the design, prioritization, and delivery of products through the software development lifecycle, from concept to testing, deployment, adoption and value realization
* Perform validation and testing of solutions through managing and executing user acceptance plans, collaborating with the engineering team during user testing and complex validation sessions, and responding to technical and functional product questions raised by stakeholders, and reformulate solutions as necessary to ensure that the recommended solution is responsive to the data requirements;
* Analyze the impact of a proposed solution on connected processes, systems, and/or applications to determine the best course of action to achieve the desired outcome;
* Assist in the development of roadmaps and business strategy for assigned product or department;
* Demonstrate robust knowledge of the healthcare industry, product management, and software development to translate problems, needs, and opportunities into user stories.
* Display effective time management across complex and overlapping projects while supporting your team with schedule and priority management.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and
* Fulfill those responsibilities and/or duties that may be reasonably provided by Inovalon for the purpose of achieving operational and financial success of the Employer.
**Job Requirements:**
* Minimum 3 years of experience with SAAS healthcare product ownership, business analysis, or product management roles with proven hospital care management knowledge in pharmacy workflows, including medication reconciliation and coordination with clinical teams; infection prevention protocols and practices, ensuring compliance with hospital standards and regulatory requirements; and safety management workflows, including risk assessment, incident reporting, and adherence to patient safety guidelines.
* Agile / SCRUM experience and/or certification;
* Excellent interpersonal, written, and oral communication skills;
* High level of honesty, respect, dependability and flexibility;
* Experience in fast\-paced and rapidly growing environment;
* Strong business acumen;
* Must be comfortable gathering feedback from internal and external stakeholders.
* Proficiency of Microsoft Office tools, including Word, Excel, and PowerPoint preferred; and
* Great organizational skills and ‘get things done’ attitude.
**Education:**
* Bachelor’s Degree or an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up to 10%.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$84,600—$105,700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57">
      <c r="A157" t="inlineStr">
        <is>
          <t>li-4359355017</t>
        </is>
      </c>
      <c r="B157" t="inlineStr">
        <is>
          <t>Product Manager</t>
        </is>
      </c>
      <c r="C157" t="inlineStr">
        <is>
          <t>Berkley Technology Services</t>
        </is>
      </c>
      <c r="D157" t="inlineStr">
        <is>
          <t>linkedin</t>
        </is>
      </c>
      <c r="E157">
        <f>HYPERLINK("https://www.linkedin.com/jobs/view/4359355017", "https://www.linkedin.com/jobs/view/4359355017")</f>
        <v/>
      </c>
      <c r="F157" t="inlineStr"/>
      <c r="G157" t="inlineStr">
        <is>
          <t>Urbandale, IA</t>
        </is>
      </c>
      <c r="H157" t="inlineStr"/>
      <c r="I157" t="inlineStr">
        <is>
          <t>**Company Details**
 Company URL: https://www.berkleytechnologyservices.com/
 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 What’s Next ” in our industry and beyond.
 With a culture centered on innovation and entrepreneurial spirit, BTS stands as a community of technology leaders with eyes toward the future \-\- leaders who truly care about growing not only their team members, but themselves,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**Responsibilities**
 As a
 **Product Manager** 
 , you will be responsible for building software products that delight our customers and advance our business interests. Specifically, you will own the vision, strategy, design, and execution of a technology product, while also building consensus across your stakeholders and teammates.
 Beyond that, we’re looking for someone with a high degree of ownership. And the way we tend to define ownership is in terms of your willingness to look critically at yourself and make changes. Problems are inevitable, and you are going to fail a lot. We are looking for people who will take responsibility for failures, learn from them, and reinvest that learning in their work.
* Delivering Results . You will curate the best ideas, hypothesize their value, and implement the most promising of them. You will constantly re\-assess what we have built to make sure we are realizing actual value.
* Focusing on the Data . You will establish OKRs that define our goals and quantify our results. You will regularly review your indicators for actionable insights and you will host OKR Reviews to create cross\-functional alignment.
* Understanding Our Customers . You will keep yourself and our team highly exposed to customer feedback. You will use this exposure to anticipate customer needs and constantly improve their experiences.
* Saying No . You will help us choose the right problem to solve next. You will consistently weigh short and long term trade\-offs while keeping a healthy bias toward the long term.
* Challenging Status Quo . For various processes, you will understand what we do and why we do it. Then you will work across Business, Operations, Design, Data, and Engineering teams to reimagine how.
**Qualifications**
* Experience driving product vision, go\-to\-market strategy, and design discussions
* Experience with product discovery techniques, such as A/B testing and canary releases
* Experiences setting objectives and key results
* Experience serving as the product owner for an agile team
* Demonstrated ability to empower teams with context
* Proven record building strong stakeholder relationships
* Knowledge of data structures, algorithms, and computing fundamentals (preferred)
* Bachelor’s degree with emphasis in related field or equivalent experience.
 Behavioral Core Competencies
* Critical Thinking (E)
* Results Oriented (E)
* Personal Ownership (E)
* Business Knowledge (E)
* Customer Service Oriented (A)
* Strategic (A)
 The Company is an equal employment opportunity employer.
**Sponsorship Details**
 Sponsorship not Offered for this Role</t>
        </is>
      </c>
    </row>
    <row r="158">
      <c r="A158" t="inlineStr">
        <is>
          <t>li-4367331968</t>
        </is>
      </c>
      <c r="B158" t="inlineStr">
        <is>
          <t>Data Center Product Manager - PDU &amp; RPP</t>
        </is>
      </c>
      <c r="C158" t="inlineStr">
        <is>
          <t>Hyper Solutions</t>
        </is>
      </c>
      <c r="D158" t="inlineStr">
        <is>
          <t>linkedin</t>
        </is>
      </c>
      <c r="E158">
        <f>HYPERLINK("https://www.linkedin.com/jobs/view/4367331968", "https://www.linkedin.com/jobs/view/4367331968")</f>
        <v/>
      </c>
      <c r="F158" t="inlineStr"/>
      <c r="G158" t="inlineStr"/>
      <c r="H158" t="inlineStr"/>
      <c r="I158" t="inlineStr">
        <is>
          <t>Description
 The Data Center Product Manager – PDU \&amp; RPP is responsible for defining the strategy, roadmap, and lifecycle management of Hyper Solutions’ panelboards, Remote Power Panels (RPP), Power Distribution Units (PDU), and related low\-voltage power distribution solutions. This role is central to delivering reliable, scalable, and cost\-effective power distribution products for mission\-critical data center environments.
 Serving as the voice of the customer and market, this position works closely with Engineering, Manufacturing, Supply Chain, Sales, and Quality to translate customer requirements into clear product definitions and drive successful product development and launches in engineered\-to\-order (ETO) and configured\-to\-order (CTO) environments.
**Core Responsibilities** 
* Define and own the product vision, strategy, and roadmap for panelboards, RPPs, PDUs, and related data center power distribution solutions.
* Engage directly with customers, Sales, and Applications Engineering to understand requirements and translate them into clear product specifications and feature definitions.
* Partner with Engineering and R\&amp;D to drive product development, enhancements, and lifecycle improvements from concept through launch.
* Ensure products meet applicable electrical, safety, and compliance standards, including UL, NEC, IEC, and customer\-specific requirements.
* Maintain a deep understanding of low\-voltage power distribution systems, architectures, and emerging technologies.
* Conduct market research and competitive analysis to identify trends, gaps, and opportunities within the data center power landscape.
* Lead product launches and coordinate with Marketing, Sales, and Operations to ensure successful market introduction and adoption.
**Additional Responsibilities** 
* Support Sales pursuits with product positioning, technical clarity, and early\-stage solution definition.
* Collaborate cross\-functionally to balance standardization, configurability, cost, lead time, and performance.
* Collect and synthesize Voice of Customer (VOC) feedback to guide roadmap evolution and continuous improvement.
* Support post\-launch product performance reviews and lifecycle decision\-making.
**Requirements** 
* Bachelor’s degree in Electrical Engineering, Computer Engineering, or a related technical field; Master’s degree a plus.
* 5\+ years of experience in electrical or power distribution equipment, ideally supporting data center or mission\-critical environments.
* Strong working knowledge of panelboards, RPPs, PDUs, or similar low\-voltage power distribution products.
* Experience supporting mission\-critical infrastructure for data centers.
* Experience leading product development, enhancement, and launch activities in cross\-functional environments.
* Familiarity with UL, NEC, IEC, and related regulatory and compliance standards.
**Preferred Qualifications** 
* Background in engineered\-to\-order (ETO) or configured\-to\-order (CTO) industrial manufacturing environments.
* Experience working closely with Applications Engineering or Sales Engineering teams.
* Exposure to hyperscale, colocation, or enterprise data center customers.
**Why Hyper?** 
 At Hyper, you won’t just manage a product line, you’ll help shape the power distribution solutions that support some of the most demanding data center environments in the world. You’ll work cross\-functionally with engineering, manufacturing, and commercial teams to deliver reliable, scalable products that directly impact how critical infrastructure is designed and deployed.
 In addition to competitive compensation and comprehensive benefits, including employer\-paid medical, dental, and vision coverage and a 401(k) with company match, Hyper offers clear opportunities for growth, influence, and long\-term impact as the company continues to scale.
**Location** 
 Remote or Onsite in Richmond, VA, depending on candidate location and business needs.
**Compensation** 
 The anticipated minimum hiring range for this role is $140,000 \- $170,000 per year. Actual salary varies due to factors that may include but not limited to relevant experience, skills, certifications and location. This hire will be eligible for discretionary bonus or incentive compensation. Variable compensation may depend on various factors, such as individual and organizational performance.
 Hyper Solutions is an Equal Opportunity Employer. We celebrate diversity and are committed to creating an inclusive environment for all employees. We do not discriminate based on race, color, religion, sex (including pregnancy, gender identity, and sexual orientation), national origin, age, disability, genetic information, veteran status, or any other protected status under applicable laws.
 All applications will be used exclusively for selection purposes and handled confidentially by authorized personnel only. Your application may also be considered for other suitable positions within Hyper Solutions, Inc.
 Please note that Hyper Solutions is currently unable to offer visa sponsorship, and applicants must be authorized to work in the U.S. without the need for sponsorship now or in the future.
 \#Hyper \#HyperHiring \#HyperCareers</t>
        </is>
      </c>
    </row>
    <row r="159">
      <c r="A159" t="inlineStr">
        <is>
          <t>li-4367029159</t>
        </is>
      </c>
      <c r="B159" t="inlineStr">
        <is>
          <t>Sr Product Manager-Supplier Enablement</t>
        </is>
      </c>
      <c r="C159" t="inlineStr">
        <is>
          <t>H-E-B</t>
        </is>
      </c>
      <c r="D159" t="inlineStr">
        <is>
          <t>linkedin</t>
        </is>
      </c>
      <c r="E159">
        <f>HYPERLINK("https://www.linkedin.com/jobs/view/4367029159", "https://www.linkedin.com/jobs/view/4367029159")</f>
        <v/>
      </c>
      <c r="F159">
        <f>HYPERLINK("https://bit.ly/4hiPSyA&amp;urlHash=6xvt", "https://bit.ly/4hiPSyA&amp;urlHash=6xvt")</f>
        <v/>
      </c>
      <c r="G159" t="inlineStr">
        <is>
          <t>Austin, TX</t>
        </is>
      </c>
      <c r="H159" t="inlineStr"/>
      <c r="I159" t="inlineStr">
        <is>
          <t>**About the Company** 
 As a Senior Product Manager, you’ll deliver products that ensure a compelling digital experience for our retail Customers or help arm H\-E\-B Partners company\-wide with world\-class business applications to thrive in their jobs. You’ll collaborate with business stakeholders to cultivate an intimate understanding of their needs and technology and drive the entire technology project lifecycle to make our digital tools work, whether they’re for Customers in our Stores or in workplaces across the Company.
 About the Team The Merchant Technology team is focused on building modern, intelligent tools that help merchants make data\-driven decisions on their assortment, pricing, cost, and promotion to drive their category goals. These tools will leverage data analytics, customer insights, and business constraints to optimize merchant decisions that will help them achieve their category goals. Once you're eligible, you’ll become an Owner in the company, so we’re looking for commitment, hard work, and a focus on quality and customer experience. 'Partner\-owned' means our most important resources—People—drive the innovation, growth, and success that make us The Greatest Omnichannel Retailing Company.
**Basic Qualifications:** 
* Experience with retail media and strong analytics within marketing
* Background in advertising for brand or CPG
* Familiarity with supplier dynamics and media planning workflows
* Hands‑on experience with AdTech platforms such as Moloco, Criteo, CitrusAd, Merkle, Meta, Snap, NYT, and The Trade Desk
* Experience building self‑service tools for non‑technical users
* Proven ability to reduce friction and create intuitive product experiences
* Experience using generative AI to improve workflows, targeting, and reporting
* Strong focus on audience relevance, measurement, and reporting
**Required Skills** 
* Experienced product manager who is curious, empathetic, and data\-driven, with strong business acumen related to enterprise organizations, and can apply those skills to the delivery of technology solutions for Partners, Suppliers and Customers.
* Deep understanding of retail operations and category management principles, combined with exceptional communication skills that enable you to translate complex data concepts into actionable insights for diverse audiences from technical teams to senior merchant leaders.
* Strong experience with user research methodologies and usability testing to refine product direction, paired with a forward\-thinking approach to machine learning and AI applications in retail that creates competitive advantages for merchant partners.
* Strong stakeholder management skills, with experience working closely with Partners, suppliers, and cross\-functional teams to deeply understand user needs. You proactively gather feedback, synthesize insights, and leverage data to prioritize and drive impactful product decisions.
* Ability to navigate ambiguity and bring structure to complex problems by breaking down undefined challenges, identifying key opportunities, and prioritizing work based on business impact, user needs, and data\-driven insights.
**Equal Opportunity Statement** 
 We are committed to diversity and inclusivity.</t>
        </is>
      </c>
    </row>
    <row r="160">
      <c r="A160" t="inlineStr">
        <is>
          <t>li-4367378763</t>
        </is>
      </c>
      <c r="B160" t="inlineStr">
        <is>
          <t>Product Manager - Automotive Aftermarket</t>
        </is>
      </c>
      <c r="C160" t="inlineStr">
        <is>
          <t>Sensata Technologies</t>
        </is>
      </c>
      <c r="D160" t="inlineStr">
        <is>
          <t>linkedin</t>
        </is>
      </c>
      <c r="E160">
        <f>HYPERLINK("https://www.linkedin.com/jobs/view/4367378763", "https://www.linkedin.com/jobs/view/4367378763")</f>
        <v/>
      </c>
      <c r="F160">
        <f>HYPERLINK("https://sensata.wd1.myworkdayjobs.com/Sensata-Careers/job/Troy-MI/Product-Manager\u002d\u002d-Automotive-Aftermarket_IRC96776?source=LinkedIn&amp;urlHash=_kDK", "https://sensata.wd1.myworkdayjobs.com/Sensata-Careers/job/Troy-MI/Product-Manager\u002d\u002d-Automotive-Aftermarket_IRC96776?source=LinkedIn&amp;urlHash=_kDK")</f>
        <v/>
      </c>
      <c r="G160" t="inlineStr">
        <is>
          <t>Attleboro, MA</t>
        </is>
      </c>
      <c r="H160" t="inlineStr"/>
      <c r="I160" t="inlineStr">
        <is>
          <t>The Product Manager will be responsible for the strategic planning of a product portfolio and provide operational support for existing products. The role requires the ability to develop roadmaps on new and existing products that align with the company’s strategic, operational, and financial objectives.
 General Responsibilities
* Drives the development of actionable product roadmaps by integrating inputs from cross\-functional stakeholders in our business objectives \&amp; product strategy.
* Manage product positioning in the marketplace, including rationalizing pricing strategy based on market conditions.
* Develop product strategy and optimize product portfolio, providing planning and project prioritization
* Contributes to the pricing strategy through the product life cycle.
* Drives the development and execution of the product roadmap to improvement
* Provide support for operational issues associated with quality, delivery and production.
* Anticipating and communicating issues, recommending corrective action, and taking independent remedial actions and reporting outcomes
**Experience / Qualifications**
* A university degree required (i.e. Bachelors degree) or equivalent relevant work experience.
* Must be a team player able to work in a fast\-paced environment with demonstrated ability to handle multiple competing tasks and demands
* Strong communication skills; oral, written and presentation
* Strong organization, planning and time management skills to achieve results
* Strong personal and professional ethical values and integrity
* Holds self\-accountable to achieving goals and standards
* Proficient in Microsoft Office programs (Outlook, Word, PowerPoint, and Excel)
* Strong interpersonal \&amp; collaboration skills to work effectively with all levels of the organization including suppliers and/or external customers
* Understanding the automotive/ heavy vehicle OE and/or Aftermarket is a must
* Prior experience or working knowledge of electronic vehicle controls, which may include sensors or cameras, is a plus
* Forward\-thinking, highly influential, and can walk people through the rationale behind a decision
* Willingness to travel up to 20% per year as required
**Base Salary Range:**
 $76,100\.00 \- $135,300\.00
 Smarter
 **Together**
* Collaborating at Sensata means working with some of the world’s most talented people in an enriching environment that is constantly pushing towards the next best thing
* Employees work across functions, countries and cultures gaining new perspectives through mutual respect and open communication
* As OneSensata, we are working together to make things work together
 Click here to view Sensata Recruitment Privacy Statement
 Click here to view our Sensata Recruitment Privacy Statement for China
**NOTE: If you are a current Sensata employee (or one of our Affiliates), please back out of this application and log into Workday via the Company Intranet to apply directly. Type "FIND JOBS" in the Workday search bar.**</t>
        </is>
      </c>
    </row>
    <row r="161">
      <c r="A161" t="inlineStr">
        <is>
          <t>li-4367381121</t>
        </is>
      </c>
      <c r="B161" t="inlineStr">
        <is>
          <t>Global Product Manager - Aftermarket Parts</t>
        </is>
      </c>
      <c r="C161" t="inlineStr">
        <is>
          <t>Lensa</t>
        </is>
      </c>
      <c r="D161" t="inlineStr">
        <is>
          <t>linkedin</t>
        </is>
      </c>
      <c r="E161">
        <f>HYPERLINK("https://www.linkedin.com/jobs/view/4367381121", "https://www.linkedin.com/jobs/view/4367381121")</f>
        <v/>
      </c>
      <c r="F161" t="inlineStr"/>
      <c r="G161" t="inlineStr">
        <is>
          <t>Houston, TX</t>
        </is>
      </c>
      <c r="H161" t="inlineStr"/>
      <c r="I16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Flowserve. Clicking "Apply Now" or "Read more" on Lensa redirects you to the job board/employer site. Any information collected there is subject to their terms and privacy notice.
**Company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We are seeking a passionate, growth\-driven business leader to oversee our highly strategic Aftermarket Parts product family within the Flow Control Division. This Product Management\-oriented role is responsible for shaping and executing the global strategy for aftermarket parts, building and scaling new parts programs and kitting offerings, strengthening OE parts identity and branding, and developing a long\-term roadmap to drive sustainable growth. This position is based in either Houston, TX or Irving, TX and requires approximately 20% domestic and international travel.
**Responsibilities**
* Own and drive the overall product line strategy and growth for the Aftermarket Parts portfolio (Valve Division)
* Develop a comprehensive product plan that serves as the foundation for long\-term product line strategy
* Lead the development and scaling of aftermarket parts and kitting solutions
* Establish OE parts identity and branding for valve\-related aftermarket products to differentiate Flowserve parts in the market
* Define and manage product lifecycle and End\-of\-Life processes, ensuring alignment with supply chain and business continuity needs
* Create and maintain a five\-year strategic roadmap for the aftermarket parts product family
* Use market insights to define strategic direction and build value propositions that create sustainable competitive advantage, win market share, and grow the business
* Collaborate with global cross\-functional teams to shape and lead Parts program development, pricing, commercial approaches, and operational initiatives aligned to the product family strategy
* Define and sustain effective channel strategies across Fulfillment Centers, Company\-Owned Service Centers, and Certified Service Centers, and lead the development and deployment of go\-to\-market plans
* Create and drive organizational accountability to set, track, and achieve growth targets
**Requirements**
* Four\-year business or engineering degree required
* Strong market\-led and customer\-driven mindset
* At least 5 years of experience in Services, Aftermarket, Product Management, or Commercial/Sales Operations, demonstrating flexibility, agility, and high energy
* Proven track record in one or more global industries such as Oil \&amp; Gas, Chemical, Energy, Power, Water, or General Industrial
* At least 3 years in a functional leadership role delivering measurable business impact in Product Management, Marketing, Commercial, Sales, or Engineering for industrial products
* Proven success working within global matrix organizations in multinational environments
* Emotionally intelligent leader able to influence at all levels, solve complex problems, and manage conflict effectively
* Clear and confident communicator with strong storytelling skills and executive presence
* Ability to operate effectively within a complex global organization
* Strong prioritization, time\-management, and urgency, including working across multiple time zones
* Results\-driven approach with a commitment to driving accountability
* Experience using voice\-of\-customer insights, market and competitor analysis, and financial analysis to inform decision\-making
* Ability to develop hardware\-digital value propositions tied to customer needs and application\-specific value drivers
* Innovative thinker who promotes creative, "outside\-the\-box" solutions
* Demonstrated strength in leading go\-to\-market and commercialization initiatives
* Ability to travel up to 20%, both domestically and internationally
**Preferred**
* MBA and/or advanced engineering degree
* Experience in the Flow Control industry, including actuation, control valves, and isolation valves
**Benefits**
 Flowserve offers competitive pay, annual bonuses, medical benefits starting on day one, generous paid vacation time, paid holidays, a 401(k), and many other excellent benefits.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R\-17666
**Job Family Group** 
 : Marketing
**Job Family** 
 : MK Product Management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
 If you have questions about this posting, please contact support@lensa.com</t>
        </is>
      </c>
    </row>
    <row r="162">
      <c r="A162" t="inlineStr">
        <is>
          <t>li-4358585904</t>
        </is>
      </c>
      <c r="B162" t="inlineStr">
        <is>
          <t>Senior Product Manager – AI Networking Spectrum X</t>
        </is>
      </c>
      <c r="C162" t="inlineStr">
        <is>
          <t>NVIDIA</t>
        </is>
      </c>
      <c r="D162" t="inlineStr">
        <is>
          <t>linkedin</t>
        </is>
      </c>
      <c r="E162">
        <f>HYPERLINK("https://www.linkedin.com/jobs/view/4358585904", "https://www.linkedin.com/jobs/view/4358585904")</f>
        <v/>
      </c>
      <c r="F162">
        <f>HYPERLINK("https://nvidia.wd5.myworkdayjobs.com/NVIDIAExternalCareerSite/job/US-CA-Santa-Clara/Senior-Product-Manager\u002d\u002d-AI-Networking-Orchestration_JR1983214-1?source=jobboardlinkedin&amp;urlHash=KCsw", "https://nvidia.wd5.myworkdayjobs.com/NVIDIAExternalCareerSite/job/US-CA-Santa-Clara/Senior-Product-Manager\u002d\u002d-AI-Networking-Orchestration_JR1983214-1?source=jobboardlinkedin&amp;urlHash=KCsw")</f>
        <v/>
      </c>
      <c r="G162" t="inlineStr">
        <is>
          <t>Santa Clara, CA</t>
        </is>
      </c>
      <c r="H162" t="inlineStr"/>
      <c r="I162" t="inlineStr">
        <is>
          <t>NVIDIA’s fast\-growing Datacenter Ethernet Business is looking for a strong Senior Product Manager, who isn't afraid to dive deep into the technical details, to lead and to grow our portfolio in Network Analytics \&amp; Orchestration. As a Product Manager, you will mold NVIDIA's next generation of innovative Orchestration and telemetry systems. You will collaborate with forward\-thinking people in engineering, operations, sales, and marketing, to lead every phase of product from conception to obsolescence.
 NVIDIA is widely considered to be one of the technology world’s most desirable employers. We have some of the most forward\-thinking and hardworking people in the world working for us. Are you creative and autonomous? Do you love a challenge? If so, we want to hear from you. Come, join our Datacenter communication Infrastructure team and help us build the scalable communication platforms driving our success in this dynamic and quickly growing field.
**What You’ll Be Doing**
* Managing a network orchestration system through the complete life cycle from business strategy to R\&amp;D tradeoffs to go\-to\-market for groundbreaking products into this marketplace.
* Defining use cases, examples, and tools to craft and convey the product value proposition and position to a variety of audiences, ranging from the technically savvy to executives.
* Collecting requirements to define future products, including competitive analysis and customer feedback.
* Working closely with partners to ensure products get to market on time and to understand customer use cases and workflows.
**What We Need To See**
* BS/MS in engineering or equivalent experience.
* 8\+ years of software experience, in the Networking Industry
* Deep Linux knowledge and experience, User space, kernel and tools.
* Expertise in Open source development process and lifecycle management
* Self\-starter, with a 'can\-do' attitude and ability to multitask and prioritize in a fast paced environment.
* Experience in Product Management in large global organization; as people manager and as an individual contributor.
* Great balance of deep systems software with business knowledge. Strong analytical, marketing and project management skills.
* Excellent communication and presentation abilities. Excellent interpersonal skills, peer networking and team play with colleagues and customers.
**Ways To Stand Out From The Crowd**
* Strong Background in modern Data Center networking, including groundbreaking AI techniques for Network Telemetry and Automation.
* Experience with deep learning, data science, and NVIDIA GPUs.
* Successful management of technical products throughout their lifecycle.
* Love technology and passionate about what you do.
 Your base salary will be determined based on your location, experience, and the pay of employees in similar positions. The base salary range is 168,000 USD \- 258,750 USD for Level 4, and 208,000 USD \- 327,750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JR1983214</t>
        </is>
      </c>
    </row>
    <row r="163">
      <c r="A163" t="inlineStr">
        <is>
          <t>li-4365438482</t>
        </is>
      </c>
      <c r="B163" t="inlineStr">
        <is>
          <t>Lead Product Manager - Hybrid New York City Area</t>
        </is>
      </c>
      <c r="C163" t="inlineStr">
        <is>
          <t>GTreasury</t>
        </is>
      </c>
      <c r="D163" t="inlineStr">
        <is>
          <t>linkedin</t>
        </is>
      </c>
      <c r="E163">
        <f>HYPERLINK("https://www.linkedin.com/jobs/view/4365438482", "https://www.linkedin.com/jobs/view/4365438482")</f>
        <v/>
      </c>
      <c r="F163" t="inlineStr"/>
      <c r="G163" t="inlineStr">
        <is>
          <t>New York, NY</t>
        </is>
      </c>
      <c r="H163" t="inlineStr"/>
      <c r="I163" t="inlineStr">
        <is>
          <t>Lead Product Manager, Liquidity and Digital Assets \- Hybrid New York City Area
 GTreasury empowers CFOs and treasurers with the clarity to act — delivering connected, intelligent solutions for cash forecasting, liquidity management, payments, netting, and risk across both traditional fiat and digital assets. Following Ripple's acquisition of GTreasury, we're building the future of treasury management at the intersection of traditional finance and blockchain technology.
 As our Lead Product Manager for Liquidity and Digital Assets, you'll lead the evolution of our liquidity management platform to seamlessly integrate digital assets, including stablecoins, tokenized assets, and cryptocurrency, alongside traditional cash and multi\-currency positions. You'll help enterprise treasury teams optimize liquidity across both fiat and digital rails, reduce friction in cross\-border movements, and unlock new efficiencies through blockchain\-enabled treasury operations.
 This is more than a roadmap role. We're looking for a strategic, hands\-on product leader who understands both traditional treasury operations and emerging digital asset capabilities, thrives at the intersection of finance and technology, and wants to reimagine how the Office of the CFO operates in an API\-first, data\-driven, multi\-asset world.
**What We're Looking For**
* A forward\-thinking product leader who acts like an owner, balances innovation with pragmatism, and focuses on measurable business outcomes for enterprise treasury teams
* A strategic executor who can articulate a vision for unified fiat and digital asset liquidity management, translate complex blockchain capabilities into user value, and work closely with engineering and product design
* A customer\-obsessed collaborator who understands enterprise treasury pain points—from cash concentration to multi\-currency pooling—and partners across go\-to\-market and delivery teams to solve meaningful problems
* A digital asset pioneer who stays at the forefront of stablecoin adoption, tokenization trends, and blockchain infrastructure developments affecting corporate treasury
**Essential Duties**
* Develop product strategy, roadmap and feature requirements for unified liquidity management including cash positioning, transaction assignment rules and tagging, reconciliation, investment sweeps, automated transfers, and multi\-currency pooling
* Evolve proprietary Worksheets experience for interactive cash position management
* Partner with GSmart AI team to deliver continuous AI learning for accurate insights
* Responsible for driving execution of product business model; work with multiple engineering scrum teams to deliver liquidity and digital asset capabilities
* Determine and acquire required resources for product strategy execution
* Improve and enhance by integrating digital asset capabilities into our liquidity management platform while strengthening core cash management functionality
* Lead cross\-functional teams to drive larger programs and unblock issues
* Pitch to customers and partners, internal leadership team and others
* Identify high\-impact opportunities to apply blockchain rails for treasury operations—including cross\-border liquidity movements, settlement optimization, and connectivity to both traditional MMFs and tokenized MMFs
* Own the core user experience for liquidity management and oversee optimization strategies to ensure alignment with user expectations
* Work closely with customers, sales, and services to validate designs and refine GTM
* Conduct market and competitive analysis to inform product strategies and adjust to industry trends. Monitor emerging technologies and regulatory developments
* Act as the voice of the customer across the organization, translating product needs into detailed requirements and driving consensus among stakeholders
* Develop and monitor key performance metrics to evaluate product success and inform future enhancements
* Develop training materials and support frameworks for internal stakeholders and end\-users to ensure successful product rollout and adoption
**Skills \&amp; Requirements**
* 10\-12 years of relevant product management experience, ideally in SaaS, fintech, treasury technology, or enterprise financial platforms
* 2\+ years' experience building in crypto/blockchain, with understanding of stablecoin use cases, wallets, bridges, and DeFi applications
* Cash Management (cash positioning, transaction data, reconciliation, forecasting) and Liquidity Management experience strongly preferred
* Working knowledge of Liquidity and Cash Management products including sweeps, zero balance accounts, physical cash concentration, and multi\-currency notional pooling
* Experience with tokenization of traditional financial products or integration of traditional and digital asset workflows
* Deeply understands where treasury and digital asset product markets are headed to ensure products are addressing underserved needs and pain points
* Experience translating business and customer needs into functional and technical features
* Proactively resolves conflict and drives alignment between multiple large teams (engineering, marketing, sales, compliance, etc.)
* Ability to pay attention to detail while simultaneously keeping the big\-picture view in mind
* Familiarity with product development in Agile; thinks beyond current execution cycle to anticipate and prepare team for future requirements
* Effectively prioritizes work across cross\-functional product team to maximize success; drives consensus while maintaining focus on business outcomes
* Has the ability to communicate complex processes in a way that is straightforward; builds excellent working relationships across key cross\-functional teams
* Motivates, influences, and effectively negotiates with customers and internal teams for mutual agreement on product strategies
* Takes initiative to educate others across multiple layers of expertise; provides mentoring and direction to team members with opportunity to expand into people management responsibilities
**Education Requirements**
 Bachelor's degree or equivalent experience in Business, Finance, Accounting, Economics, or a related field.
**What You Will Get**
* Great benefits, culture, and the ability to work remotely.
* A high\-impact, high\-visibility role at a growing SaaS company that values personal growth, accountability, and the concept of 'good work'
* A great management team and reporting structure that supports you and your growth.
* A culture of open collaboration and problem solving.
* An empowered role on the product team, responsible for driving business value.
* Opportunity to work with a market\-leading netting solution serving 175\+ global clients across diverse industries
**About GTreasury**
 GTreasury believes there is an opportunity in complexity. We connect treasury and finance teams with industry\-leading experts, technology solutions, and untapped possibilities. By simplifying complexity, teams can unleash their organization's potential to gain strategic advantages and grow. GTreasury helps organizations reach that potential by connecting treasury and digital finance operations through a world\-class SaaS treasury and risk management platform and integrated ecosystem where cash, debt, investments, and exposures are seamlessly managed within the office of the CFO. GTreasury delivers intelligent insights while connecting financial value chains and extending workflows to third\-party systems, exchanges, portals, and services. Headquartered in Chicago, with locations serving EMEA (London and Dublin) and APAC (Sydney and Manila), GTreasury's global community includes more than 1000 customers and 30\+ industries reaching 160\+ countries worldwide.
 At GTreasury, we know that our people are what make GTreasury great, and we celebrate the unique perspectives and experiences that our diverse teams bring to the table. GTreasury does not discriminate against employees or prospective candidates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and we strongly encourage people from underrepresented groups to apply!</t>
        </is>
      </c>
    </row>
    <row r="164">
      <c r="A164" t="inlineStr">
        <is>
          <t>li-4358522277</t>
        </is>
      </c>
      <c r="B164" t="inlineStr">
        <is>
          <t>Product Manager, Performance Activation</t>
        </is>
      </c>
      <c r="C164" t="inlineStr">
        <is>
          <t>NBCUniversal</t>
        </is>
      </c>
      <c r="D164" t="inlineStr">
        <is>
          <t>linkedin</t>
        </is>
      </c>
      <c r="E164">
        <f>HYPERLINK("https://www.linkedin.com/jobs/view/4358522277", "https://www.linkedin.com/jobs/view/4358522277")</f>
        <v/>
      </c>
      <c r="F164">
        <f>HYPERLINK("https://jobs.smartrecruiters.com/NBCUniversal3/744000102165455-product-manager-performance-activation&amp;urlHash=p4No", "https://jobs.smartrecruiters.com/NBCUniversal3/744000102165455-product-manager-performance-activation&amp;urlHash=p4No")</f>
        <v/>
      </c>
      <c r="G164" t="inlineStr">
        <is>
          <t>New York, NY</t>
        </is>
      </c>
      <c r="H164" t="inlineStr"/>
      <c r="I164"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As a Product Manager for Performance Optimization Activations, you will lead initiatives to improve campaign efficiency through automation, optimization algorithms, and streamlined workflows for buyers.
**Key Responsibilities:**
* Own the roadmap for Performance based campaigns, focusing on workflow automation and optimization features.
* Collaborate with Sales, Operations, Data Science, and Engineering to implement bidding strategies and pacing controls.
* Develop advanced optimization tools, including KPI\-based bidding models and real\-time performance reporting.
* Drive integration with NBCU Ad Sales systems to support real\-time targeting and campaign activation.
* Drive enhancements to reduce manual campaign setup and improve targeting precision.
* Partner with DSPs and internal systems to integrate optimization algorithms and reporting capabilities.
* Analyze campaign performance data to identify trends and build solutions to recommend improvements.
* Lead test\-and\-learn programs for new optimization strategies and automation features.
* Ensure alignment with NBCU’s broader advertising technology strategy and client needs.
**Qualifications**
**Qualifications:**
* Minimum of 3 years in product management, preferably in programmatic advertising or ad\-tech platforms.
* Strong knowledge of optimization techniques, bidding algorithms, and campaign performance metrics.
* Experience with DSPs, Beeswax, or similar platforms is a plus.
* Ability to manage complex projects and communicate effectively with stakeholders.
* Data\-driven approach with proficiency in analytics and reporting tools.
* Ability to own customer\-facing product solutions in cross\-functional environments
* Strong communication skills; can present key updates to stakeholders and lead calls
* Experience collaborating with Marketing, Sales, Strategy, and Engineering teams to develop and bring to market successful and innovative products
* Strong attention to detail and organizational skills, with the demonstrated ability to take the seed of an idea through launch while prioritizing effectively to get things done
* Knowledge of technical and operational product and project requirements
* Proven ability to understand and communicate using technical language (e.g., APIs, requirements documents, agile systems,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65">
      <c r="A165" t="inlineStr">
        <is>
          <t>li-4367063173</t>
        </is>
      </c>
      <c r="B165" t="inlineStr">
        <is>
          <t>Product Manager, Compliance Insights</t>
        </is>
      </c>
      <c r="C165" t="inlineStr">
        <is>
          <t>S&amp;P Global</t>
        </is>
      </c>
      <c r="D165" t="inlineStr">
        <is>
          <t>linkedin</t>
        </is>
      </c>
      <c r="E165">
        <f>HYPERLINK("https://www.linkedin.com/jobs/view/4367063173", "https://www.linkedin.com/jobs/view/4367063173")</f>
        <v/>
      </c>
      <c r="F165">
        <f>HYPERLINK("https://careers.spglobal.com/jobs/324878?lang=en-us&amp;utm_source=linkedin&amp;urlHash=Ex_P", "https://careers.spglobal.com/jobs/324878?lang=en-us&amp;utm_source=linkedin&amp;urlHash=Ex_P")</f>
        <v/>
      </c>
      <c r="G165" t="inlineStr">
        <is>
          <t>Sacramento, CA</t>
        </is>
      </c>
      <c r="H165" t="inlineStr"/>
      <c r="I165" t="inlineStr">
        <is>
          <t>**About The Role**
**Grade Level (for internal use):**
 10
**The Team:** 
 The global, cross\-functional team enhances and maintains our newly launched WSO Compliance Insights product offering. Our team embraces a collaborative and transparent culture to ensure alignment on how we accomplish our goals across the team and broader business.
**The Impact:** 
 The Product Manager represents the business and the user to ensure that the development of the product aligns with leadership’s goals. Success not only impacts the bottom line but also provides innovation to our clients as they execute transactions that shape our global economy.
**What’s In It For You**
* Opportunity to work in an established business with growth ambitions.
* Opportunity to work with industry leading subject matter experts
* Autonomy to experiment with the product process
* Partner with all aspects of the business including senior leadership, sales, and client facing teams
**Responsibilities**
* Contributes to solution roadmaps which clearly articulate the solution vision and strategy to enable executive buy\-in
* Ensure output quality against defined tasks and activities
* Define concepts of short\-term and long\-term planning
* Supports product delivery with timely execution of metrics and other information
* Research and compiles information from documented sources on objectives and goals which may impact requirements
* Document requirements including customer journey, features, user stories, cross team dependencies, separating core product build vs. integration features, outlining what is in and out of scope
* Contribute to day\-to\-day working relationships building with stakeholders
* Document stakeholder communication needs
* Ensure development team has what they need to execute on our product priorities
* Ensure that client service and sales have what they need to drive revenue and retain our current clients
* Lead and present certain agile development ceremonies
**What We’re Looking For**
* Enthusiasm (required)
* Prior product management, user experience, software engineering and/or quality assurance experience (required)
* Demonstrated interest in finance and capital markets
* Commercial and/or broadly syndicated loan experience a plus
* Excellent communication skills, both verbal and written
* Individuals who are self\-motivated, take initiative, and welcome the challenge of problem solving
* Technical curiosity
* Proficiency in Microsoft Office
* Experience with product management tools (ex. Jira, ADO)
**Compensation/Benefits Information (US Applicants Only)**
 S\&amp;P Global states that the anticipated base salary range for this position is $70,000 to $90,000\. Base salary ranges may vary by geographic location. In addition to base compensation, this role is eligible for additional compensation such as annual incentive bonus plan.This role is eligible to receive additional S\&amp;P Global benefits. For more information on the benefits we provide to our employees, visit https://www.spgbenefitessentials.com/newhires.
**This role is limited to persons with indefinite right to work in the United States.**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Return\-to\-Work initiative, we are encouraging enthusiastic and talented returners to apply, and will actively support your return to the workplace.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PDMGDV202\.1 \- Middle Professional Tier I (EEO Job Group), SWP Priority – Ratings \- (Strategic Workforce Planning)
**Job ID:** 
 324878
**Posted On:** 
 2026\-01\-30
**Location:** 
 Dallas, Texas, United States</t>
        </is>
      </c>
    </row>
    <row r="166">
      <c r="A166" t="inlineStr">
        <is>
          <t>li-4360626375</t>
        </is>
      </c>
      <c r="B166" t="inlineStr">
        <is>
          <t>Product Manager / Commercial Manager – North America (Food Ingredients)</t>
        </is>
      </c>
      <c r="C166" t="inlineStr">
        <is>
          <t>CNS Worldwide Executive Search</t>
        </is>
      </c>
      <c r="D166" t="inlineStr">
        <is>
          <t>linkedin</t>
        </is>
      </c>
      <c r="E166">
        <f>HYPERLINK("https://www.linkedin.com/jobs/view/4360626375", "https://www.linkedin.com/jobs/view/4360626375")</f>
        <v/>
      </c>
      <c r="F166" t="inlineStr"/>
      <c r="G166" t="inlineStr">
        <is>
          <t>Naperville, IL</t>
        </is>
      </c>
      <c r="H166" t="inlineStr"/>
      <c r="I166" t="inlineStr">
        <is>
          <t>**About the Opportunity** 
 CNS Worldwide is recruiting a Product Manager – North America on behalf of a European\-based company specialized in innovative food ingredients. The company is recognized for its strong R\&amp;D capabilities, technical expertise, and long\-term partnerships within the global food industry.
**Role Overview** 
 The Product Manager – North America is an individual contributor role responsible for market strategy, product pricing, and portfolio management for assigned food ingredient categories in the USA and Canada. This position plays a key role in connecting market opportunities with internal capabilities, coordinating resources across R\&amp;D and supply chain, and driving the execution of a differentiated product strategy.
 We are looking for a creative, imaginative, and strategic thinker with the ability to translate technical knowledge into compelling market\-driven solutions.
**Key Responsibilities** 
**Market Strategy \&amp; Portfolio Management** 
* Define and execute the North American market strategy for assigned product categories.
* Manage and optimize the regional product portfolio in line with customer needs, market trends, and business objectives.
* Identify portfolio gaps, innovation opportunities, and rationalization priorities.
* Monitor competitive activity, pricing trends, and market dynamics.
**Pricing \&amp; Commercial Strategy** 
* Develop and manage pricing strategies for the North American market.
* Support value\-based pricing and margin optimization initiatives.
* Provide pricing recommendations for new product launches and customer projects.
**Project \&amp; Pipeline Management** 
* Monitor and manage the regional project pipeline from concept to commercialization.
* Prioritize projects based on strategic fit, feasibility, and commercial potential.
* Coordinate closely with sales teams, distributors, and customers to advance projects.
**Cross\-Functional Collaboration** 
* Act as the key interface between the North American market and European R\&amp;D and supply chain teams.
* Support resource allocation decisions and development prioritization.
* Ensure alignment on timelines, feasibility, and successful product launches.
**Experience \&amp; Education** 
* Bachelor’s or Master’s degree in Food Science, Business, Marketing, or a related field.
* 5\+ years of experience in product management, market management, or technical\-commercial roles within the food ingredients industry.
* **Highly regarded experience with emulsifiers, hydrocolloids, and vitamins** 
 , applied to
 **baking, dairy, meat, and plant\-based products** 
 .
* Strong understanding of the North American food market and customer expectations.
**Work Environment \&amp; Travel** 
* This position requires a
 **regular on\-site presence** 
 to reinforce company culture, collaboration, and team dynamics.
* **Working from home is possible 1–2 days per week** 
 , depending on business needs.
* **Travel is expected 20–30% of the time** 
 , primarily within the USA and Canada, to meet key clients, attend trade shows, and participate in industry events.</t>
        </is>
      </c>
    </row>
    <row r="167">
      <c r="A167" t="inlineStr">
        <is>
          <t>li-4330917624</t>
        </is>
      </c>
      <c r="B167" t="inlineStr">
        <is>
          <t>Sr Product Manager (Senior Care Administration)</t>
        </is>
      </c>
      <c r="C167" t="inlineStr">
        <is>
          <t>PointClickCare</t>
        </is>
      </c>
      <c r="D167" t="inlineStr">
        <is>
          <t>linkedin</t>
        </is>
      </c>
      <c r="E167">
        <f>HYPERLINK("https://www.linkedin.com/jobs/view/4330917624", "https://www.linkedin.com/jobs/view/4330917624")</f>
        <v/>
      </c>
      <c r="F167" t="inlineStr"/>
      <c r="G167" t="inlineStr"/>
      <c r="H167" t="inlineStr"/>
      <c r="I167"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Travel to Office expectations\*\*
**For Remote Roles** 
 : If this role is remote, there will be in\-office events that will require travel to and from the Mississauga and/or Salt Lake City office. These will include, but not limited to, onboarding, team events, semi\-annual and annual team meetings.
**For Hybrid Roles** 
 :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**Job Summary**
*The Senior Product Manager (Senior Care Administration) is responsible for owning the strategy, roadmap, and execution of PointClickCare’s Skilled Nursing Facility Administration product suite, including Admissions, Utilization Management, Census, and Discharge workflows.*
*This role leads cross\-functional product delivery across clinical, operational, and financial domains, with a focus on improving administrative efficiency, regulatory compliance, and customer outcomes. The role also helps shape and deliver AI\-enabled capabilities that support automation, decision support, and insights in a regulated healthcare environment.*
**Key Duties And Responsibilities**
* Product Strategy and Roadmap
* Define and own the product vision and multi\-year roadmap for SNF Administration and Census capabilities
* Identify and prioritize opportunities aligned to customer needs, market trends, regulatory requirements, and business outcomes
* Partner with leadership to align roadmap priorities with organizational strategy
* AI and Data\-Enabled Capabilities
* Identify use cases where AI, automation, and analytics can improve administrative workflows, accuracy, and decision\-making
* Partner with engineering, data, and platform teams to deliver responsible AI\-enabled features
* Ensure AI features are transparent, explainable, and aligned with healthcare and organizational standards
* Customer and Market Understanding
* Serve as the voice of the customer by deeply understanding SNF administrative workflows and payer requirements
* Gather and synthesize customer feedback, usage data, and market insights to inform product decisions
* Validate product hypotheses through customer engagement and data analysis
* Product Delivery and Execution
* Define product requirements, epics, and user stories in collaboration with engineering and UX teams
* Drive delivery from discovery through launch and adoption
* Manage trade\-offs across scope, quality, timing, and risk
* Cross\-Functional Collaboration
* Collaborate with Engineering, UX, Data and Analytics, GTM, Professional Services, and Customer Success teams
* Communicate priorities, progress, and outcomes to stakeholders and leadership
* Influence decisions without direct authority through data and customer insight
* Measurement and Adoption
* Define success metrics and KPIs for product initiatives, including AI\-enabled features
* Partner with Analytics teams to measure outcomes beyond UI engagement, including efficiency, accuracy, and financial impact
* Support adoption and continuous improvement post\-launch
**Your Key Strengths**
* 5\+Years Product management experience in healthcare technology, preferably in Senior Care or Post Acute space.
* Proven experience owning complex products end\-to\-end
* Experience delivering products that leverage data, analytics, automation, or AI
* Strong understanding of how AI can be applied to enterprise software and operational workflows
* Ability to translate business and customer needs into clear product requirements
* Strong cross\-functional leadership and stakeholder management skills
* Experience working in Agile development environments
* Excellent written and verbal communication skills
* Bachelor’s degree in Business, Computer Science, Healthcare, Engineering (Preferred, not required)
* Experience in post\-acute care, long\-term care, or skilled nursing environments
* Familiarity with healthcare data standards and interoperability, including interop standards such as HL7
* Understanding of payer models such as PDPM and managed care
* Experience partnering with data science or platform teams in regulated environments
* Experience using analytics or AI\-enabled tools to support product decision\-making
* Level Expectations with other Sr Product Managers
* Independently owns a significant product area with minimal supervision
 Tech D\-P3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 and more!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As part of our commitment to a streamlined and equitable hiring experience, PointClickCare uses AI tools to assist with candidate screening and assessment.
 When you apply for a position, your information is processed and stored with Lever, in accordance with Lever’s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US: At PointClickCare, base salary is one of the many components that make up our total rewards package. The US base salary range for this position is $145,000 \-$160,000 \+ 12\.5% bonus and Full\-time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row r="168">
      <c r="A168" t="inlineStr">
        <is>
          <t>li-4367371978</t>
        </is>
      </c>
      <c r="B168" t="inlineStr">
        <is>
          <t>Senior Product Manager, Cash Products</t>
        </is>
      </c>
      <c r="C168" t="inlineStr">
        <is>
          <t>RBC</t>
        </is>
      </c>
      <c r="D168" t="inlineStr">
        <is>
          <t>linkedin</t>
        </is>
      </c>
      <c r="E168">
        <f>HYPERLINK("https://www.linkedin.com/jobs/view/4367371978", "https://www.linkedin.com/jobs/view/4367371978")</f>
        <v/>
      </c>
      <c r="F168">
        <f>HYPERLINK("https://jobs.rbc.com/ca/en/job/RBCAA0088R0000156364EXTERNALENCA/Senior-Product-Manager-Cash-Products?utm_source=LinkedIn&amp;utm_medium=phenom-feeds&amp;utm_campaign=rbc_linkedin&amp;urlHash=X3UT", "https://jobs.rbc.com/ca/en/job/RBCAA0088R0000156364EXTERNALENCA/Senior-Product-Manager-Cash-Products?utm_source=LinkedIn&amp;utm_medium=phenom-feeds&amp;utm_campaign=rbc_linkedin&amp;urlHash=X3UT")</f>
        <v/>
      </c>
      <c r="G168" t="inlineStr">
        <is>
          <t>Minneapolis, MN</t>
        </is>
      </c>
      <c r="H168" t="inlineStr"/>
      <c r="I168" t="inlineStr">
        <is>
          <t>**Job Description**
**What is the opportunity?**
 The Senior Product Manager for Cash Products will lead the evolution of RBC Wealth Management\-US’s cash management suite. The focus of this role will be to provide high\-net\-worth (HNW) and ultra\-high\-net\-worth (UHNW) clients with a seamless, "private bank" digital experience that allows clients to manage their operational cash with the same sophistication as their investment portfolios. This role will have end\-to\-end product responsibility for Debit Cards, Checks, and Wires, ensuring these foundational banking services are integrated into a modern, consumer\-grade digital ecosystem. The incumbent of this role will bridge the gap between traditional wealth management services and cutting\-edge consumer digital banking.
**What will you do?**
* Define the multi\-year roadmap for operational cash at RBC Wealth Management\-US, prioritizing features that reduce friction in moving and spending money
* Benchmark RBC’s cash products against both traditional competitors and fintech disruptors to ensure a market\-leading client experience
* Advocate for "Total Wealth" visibility, ensuring clients can view and move cash across brokerage and banking accounts effortlessly
* Lead the delivery of new banking features, specifically focusing on the modernization of Wires (domestic and international) and Digital Debit Card management (instant issuance, spend controls)
* Own the lifecycle of Check\-related services, including remote deposit capture and digital check ordering/management
* Translate complex regulatory and compliance requirements into intuitive user stories and technical specifications
* Partner with Consumer Digital Product teams to leverage enterprise\-level banking rails while customizing the UI/UX for the specific needs of Wealth Management clients
* Collaborate with Legal, Risk, Compliance and other key internal partners to ensure all money\-movement features meet stringent anti\-money laundering (AML) and "Know Your Customer" (KYC) standards
* Work closely with Financial Advisors to gather feedback and ensure digital tools empower the advisor\-client relationship
* Define and track North Star metrics, such as Cash\-to\-AUM ratios, digital adoption rates for wire transfers, and debit card interchange revenue
* Utilize client analytics to identify pain points in the money\-movement funnel and iterate on the user experience
**What do you need to succeed?**
**Must\-have**
* Bachelor’s degree in finance, business or related field
* 7\+ years in Product Management, specifically within Wealth Management, Private Banking, or Consumer Digital Banking
* Deep understanding of payment rails (ACH, Fedwire, SWIFT) and the lifecycle of debit card processing and physical/digital check issuance
* Experience working in an Agile environment, collaborating directly with engineering teams to deploy APIs and microservices
* A proven track record of delivering high\-end digital experiences; you understand that for a wealth client, "simple" is a luxury
* Exceptional ability to influence senior leadership (Director/MD levels) and present complex product trade\-offs clearly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include competitive compensation and flexible benefits, such as 401(k) program with company\-matching contributions, health, dental, vision, life, disability insurance, and paid\-time off.
* Leaders who support your development through coaching and managing opportunities.
* Ability to make a difference and lasting impact.
* Work in a dynamic, collaborative, progressive, and high\-performing team.
* Opportunities to do challenging work.
* Opportunities to build close relationships with clients.
 The expected salary range for this particular position is $90,000\-$160,000, (Minneapolis) depending on your experience, skills, and registration status, market conditions and business needs.
 You have the potential to earn more through RBC’s discretionary variable compensation program which gives you an opportunity to increase your total compensation, provided the business meets its performance targets and you meet your individual goals.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**Job Skills**
 Communication, Critical Thinking, Group Problem Solving, Knowledge Organization, Long Term Planning, Product Development Lifecycle, Product Manufacturing, Product Services, Product Testing, Waterfall Model
**Additional Job Details**
**Address:**
 6000 FAIRVIEW ROAD:CHARLOTTE
**City:**
 Charlotte
**Country:**
 United States of America
**Work hours/week:**
 40
**Employment Type:**
 Full time
**Platform:**
 WEALTH MANAGEMENT
**Job Type:**
 Regular
**Pay Type:**
 Salaried
**Posted Date:**
 2026\-01\-29
**Application Deadline:**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169">
      <c r="A169" t="inlineStr">
        <is>
          <t>li-4356407794</t>
        </is>
      </c>
      <c r="B169" t="inlineStr">
        <is>
          <t>Data Storage Managed Services Technical Product Manager - CTO Office</t>
        </is>
      </c>
      <c r="C169" t="inlineStr">
        <is>
          <t>Bloomberg</t>
        </is>
      </c>
      <c r="D169" t="inlineStr">
        <is>
          <t>linkedin</t>
        </is>
      </c>
      <c r="E169">
        <f>HYPERLINK("https://www.linkedin.com/jobs/view/4356407794", "https://www.linkedin.com/jobs/view/4356407794")</f>
        <v/>
      </c>
      <c r="F169" t="inlineStr"/>
      <c r="G169" t="inlineStr">
        <is>
          <t>New York, NY</t>
        </is>
      </c>
      <c r="H169" t="inlineStr"/>
      <c r="I169" t="inlineStr">
        <is>
          <t>Location
 New York
 Business Area
 Engineering and CTO
 Ref \#
 10048955
**Description \&amp; Requirements**
 Bloomberg is a data company. Delivering timely insights to our clients requires extensive specialized databases and data augmentation pipelines, fusing data from a variety of structured and unstructured data stores. Curating quality insights requires collecting data from sources built on a variety of open source and home\-grown solutions, from streaming real\-time market data to long\-term data storage.
 In this role within the CTO Infrastructure team, you will develop the vision for Bloomberg’s managed data services, supporting the next evolution of structured and unstructured data storage. You will define unified products and capabilities, and partner tightly with engineering teams to develop the architecture and deliver these products, directly serving business needs. You will bring your technical expertise to help bridge business needs and technology delivery.
**You’ll Need To Have**
* 10\+ years of experience working on databases or unstructured data storage technologies as a developer.
* Strong written and verbal communication skills.
* A bachelor’s degree in systems engineering, electrical engineering or computer science, or equivalent.
* A strong understanding of relational (SQL), non\-relational (NoSQL) databases, from an operational, scale, and design perspective.
* Ability to define and evaluate architectures for scalable, resilient, durable and high\-performance data stores, including both geographically distributed on\-premises and public cloud implementations.
* Working knowledge of caching technologies, data access APIs, query languages, and data integration patterns.
* Ability to work with or define SDKs or connectors for integration.
* Familiarity with unstructured data storage technologies (such as Ceph with RADOS).
* Knowledge of security and compliance controls, such as encryption at rest/in transit, access controls, integration into data governance regimes, and compliance standards.
* Experience integrating security controls across diverse data storage technologies including secure by default configurations, Enterprise IAM (authentication \&amp; authorization), and encryption strategies in\-transit (TLS) and at\-rest (storage\-level, TDE, and application/client\-side methods).
* Developer Experience Focus
* User\-centric approach, ability to synthesize user requirements and journeys for a wide variety of users (i.e. developers, data engineers, data scientists, etc.).
* Define standards/policies, maturity levels and other guidelines to ensure consistency.
* Focus on API\-driven self\-service enablement and management.
* Product Management
* Ability to develop, refine and communicate a compelling product vision and roadmap based on customer and stakeholder input, aligning with customer needs, business goals and engineering capabilities.
* Strong ability to translate technical features into business value; interface with engineering, operations, legal, security teams as well as executive stakeholders.
* Able to communicate with empathy to understand pain points for users.
* An understanding of the use of KPI frameworks (OKRs, success metrics) to drive product outcomes. DORA
* Ability to collaborate with others to evolve the enterprise data maturity model through data classification, data governance frameworks, and data catalog technologies
* Good insight into integrating reliability, robustness, resilience, security and scalability into a roadmap, alongside customer features and capabilities. Able to make the right trade\-off between technical debt and new features.
**We’d Like To See**
* 2\+ years of experience as an infrastructure technical product manager or similar role focused on product development and “go to market” strategies.
* A strong philosophy of creating reusable, reliable and robust shared services.
* Experience with automation technologies (i.e. Ansible, Chef, Salt, etc.) for managing infrastructure at scale, as well as resource management technologies (e.g. Kubernetes, OpenStack).
* Industry/community involvement in databases and data storage, through open source contribution, standards development, academic journals, conference presentations, or the equivalent.
* Understanding of observability tools for performance monitoring for a variety of user personas.
* AI\-Related Database Technologies \&amp; Tools, including but not limited to Vector DBs for RAG, indexing methods, inference, etc.
* Data lifecycle management techniques and technologies.
 Salary Range \= 240000 \- 330000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70">
      <c r="A170" t="inlineStr">
        <is>
          <t>li-4358735634</t>
        </is>
      </c>
      <c r="B170" t="inlineStr">
        <is>
          <t>Commercial Product Manager II (Hybrid)</t>
        </is>
      </c>
      <c r="C170" t="inlineStr">
        <is>
          <t>First Citizens Bank</t>
        </is>
      </c>
      <c r="D170" t="inlineStr">
        <is>
          <t>linkedin</t>
        </is>
      </c>
      <c r="E170">
        <f>HYPERLINK("https://www.linkedin.com/jobs/view/4358735634", "https://www.linkedin.com/jobs/view/4358735634")</f>
        <v/>
      </c>
      <c r="F170" t="inlineStr"/>
      <c r="G170" t="inlineStr">
        <is>
          <t>Austin, TX</t>
        </is>
      </c>
      <c r="H170" t="inlineStr"/>
      <c r="I170" t="inlineStr">
        <is>
          <t>**Overview**
 This is a hybrid role with the expectation that time working will regularly take place inside and outside of a company office.
 This role supports the design, development and delivery of digital solutions that advance the commercial lending product vision and strategy. The Product Manager II partners closely with other Product Managers, Technology, and Digital teams to translate business and user needs into actionable requirements. The role provides feedback to influence product priorities and manages the product backlog to ensure the timely delivery of high\-quality, high\-impact features on the nCino loan origination platform and other integrated systems.
 The Product Manager II must demonstrate a strong understanding of the commercial lending lifecycle, data workflows, and regulatory requirements while balancing business, technology, and compliance needs. This role operates in a globally distributed product environment and requires flexibility to collaborate effectively across multiple time zones.
**Responsibilities**
 Product Execution and Development \-
* Contribute to the design and delivery of product features and/or program management routines.
* Document requirements, processes, controls, risks, and business objectives with support from senior PMs.
* Demonstrate end\-to\-end thinking and awareness of upstream/downstream impacts.
* Manage and prioritize backlog, maintain roadmap, and communicate status and risks across the enterprise.
* Support goals definition in a clear, actionable format and lead technical teams through execution using Agile practices. Experience with nCino is required.
 Cross\-functional Collaboration \-
* Partner with engineering, design, risk, compliance, and credit teams to ensure alignment between product strategy and business needs.
* Foster strong relationships to ensure smooth delivery.
* Collaborate effectively across time zones and functional teams to maintain momentum and alignment.
 Customer Requirements Gathering \-
* Engage users and stakeholders to identify and prioritize product features and improvements.
* Conduct user research, journey mapping, and workflow analysis to clarify problem statements and define solution requirements.
* Draft user stories and acceptance criteria aligned to business goals.
 Regulatory compliance \-
* Develop a foundational understanding of commercial banking regulations and internal compliance standards.
* Ensure compliance requirements are considered throughout the product lifecycle and documented accordingly.
 Program Management and Product Roadmap \-
* Contribute to the development and maintenance of product roadmaps.
* Support program management routines including backlog refinement, sprint planning, and post\-release validation.
* Help define and track success metrics to evaluate product outcomes and business impact.
**Qualifications**
 Bachelor's Degree and 1 years of experience in commercial lending OR High School Diploma or GED and 5 years of experience in commercial lending.
 Preferred Skill(s): Agile methodologies , Change management , Financial analysis , Jira/Confluence/Office suite \- Intermediate, Project delivery , Root cause analysis , Stakeholder management , Technical writing \- Write user stories, epics, features, etc.
 The base pay for this position is generally between $95,000\.000 and $111,000\.00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71">
      <c r="A171" t="inlineStr">
        <is>
          <t>li-4367055519</t>
        </is>
      </c>
      <c r="B171" t="inlineStr">
        <is>
          <t>AD, Product Manager Search Services</t>
        </is>
      </c>
      <c r="C171" t="inlineStr">
        <is>
          <t>KPMG US</t>
        </is>
      </c>
      <c r="D171" t="inlineStr">
        <is>
          <t>linkedin</t>
        </is>
      </c>
      <c r="E171">
        <f>HYPERLINK("https://www.linkedin.com/jobs/view/4367055519", "https://www.linkedin.com/jobs/view/4367055519")</f>
        <v/>
      </c>
      <c r="F171">
        <f>HYPERLINK("https://www.kpmguscareers.com/jobdetail/?jobId=131479-A&amp;srcCat=Job+Boards&amp;specSrc=LinkedIn&amp;urlHash=ly4E", "https://www.kpmguscareers.com/jobdetail/?jobId=131479-A&amp;srcCat=Job+Boards&amp;specSrc=LinkedIn&amp;urlHash=ly4E")</f>
        <v/>
      </c>
      <c r="G171" t="inlineStr">
        <is>
          <t>Los Angeles, CA</t>
        </is>
      </c>
      <c r="H171" t="inlineStr"/>
      <c r="I17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72">
      <c r="A172" t="inlineStr">
        <is>
          <t>li-4367030970</t>
        </is>
      </c>
      <c r="B172" t="inlineStr">
        <is>
          <t>High Radius Product Owner-Remote</t>
        </is>
      </c>
      <c r="C172" t="inlineStr">
        <is>
          <t>Jobs via Dice</t>
        </is>
      </c>
      <c r="D172" t="inlineStr">
        <is>
          <t>linkedin</t>
        </is>
      </c>
      <c r="E172">
        <f>HYPERLINK("https://www.linkedin.com/jobs/view/4367030970", "https://www.linkedin.com/jobs/view/4367030970")</f>
        <v/>
      </c>
      <c r="F172" t="inlineStr"/>
      <c r="G172" t="inlineStr"/>
      <c r="H172" t="inlineStr"/>
      <c r="I172" t="inlineStr">
        <is>
          <t>Dice is the leading career destination for tech experts at every stage of their careers. Our client, Infomerica, Inc, is seeking the following. Apply via Dice today!
 REMOTE
 Descriptions:
 The High Radius Consultant will be responsible for owning and executing implementation projects for various clients. This job profile will offer an individual to logically transform from a coding/testing background into a client facing techno\-functional followed by a 100% functional consulting role.
* Strong experience in carrying out end\-to\-end client implementation of HighRadius Receivables Cloud applications.
* Sound knowledge on HighRadius configurations
* Sound Knowledge on Various Integrations from HighRadius (like Billing systems, invoicing systems, ERPs, Banks etc.)
* Experience in translating requirements into technical specifications and solution design
* Experience in gathering requirements, use cases documentation, business analysis, systems design and integration, user interface design and implementation
* Experience in data analysis, conversion and migration, interfaces and reports
* Experience with system design using configuration and/or customization, integration, testing and support
* Experience in delivering end to end solutions through the entire SDLC right from running the client facing workshops, design, build, test, deployment, UAT and handover</t>
        </is>
      </c>
    </row>
    <row r="173">
      <c r="A173" t="inlineStr">
        <is>
          <t>li-4367029997</t>
        </is>
      </c>
      <c r="B173" t="inlineStr">
        <is>
          <t>Technical Product Manager</t>
        </is>
      </c>
      <c r="C173" t="inlineStr">
        <is>
          <t>Jobs via Dice</t>
        </is>
      </c>
      <c r="D173" t="inlineStr">
        <is>
          <t>linkedin</t>
        </is>
      </c>
      <c r="E173">
        <f>HYPERLINK("https://www.linkedin.com/jobs/view/4367029997", "https://www.linkedin.com/jobs/view/4367029997")</f>
        <v/>
      </c>
      <c r="F173" t="inlineStr"/>
      <c r="G173" t="inlineStr"/>
      <c r="H173" t="inlineStr"/>
      <c r="I173" t="inlineStr">
        <is>
          <t>Dice is the leading career destination for tech experts at every stage of their careers. Our client, Helishores Inc, is seeking the following. Apply via Dice today!
**Role: Technical Product Manager**
**Location: Remote**
**Job Description**
 Product Strategy \&amp; Roadmap: Collaborate with business partners and architecture leads to understand long\-term business plans, define product strategy, and contribute to the technology roadmap. Develop business cases, cost\-benefit analyses, and ROI calculations to support strategic decisions.
 Requirements Definition: Translate business objectives, market analysis, business and clinical needs into clear product specifications, epics, and user stories for the development team. Interact with business users to gather and document requirements and model business processes.
 Agile Leadership: Lead the agile development process by managing the product backlog, prioritizing features, and actively participating in planning. Drive trade\-off decisions regarding cost, content, and timelines throughout the discovery, scoping and development cycles.
 Stakeholder Collaboration: Act as the primary liaison between the development team and key stakeholders—including various business partners, other IT teams, product management, and technical leads—to ensure alignment, manage expectations, and resolve conflicts.
 Product Lifecycle Management: Manage the entire lifecycle of product delivery, from market analysis and requirements gathering to implementation and commercialization. Manage product fixes and enhancements based on customer feedback, analyzing their impact and prioritizing them within the product backlog.
 Go\-to\-Market \&amp; Launch Support: Actively participate in shaping the go\-to\-market strategy. Assist with system implementation, rollout, release documentation, training, and communication to ensure successful product launches and user adoption.
 Technical Consultation: Serve as a customer liaison on technical issues and act as a technical consultant to the product organization, leading research and prototyping of innovative technologies.
 Documentation \&amp; Reporting: Create and maintain essential product documentation, such as functional design documents, to serve as a reliable source of truth. Define quantifiable metrics to track the value realized over time.
**Required Qualifications**
 Bachelor’s degree in Computer Science, Information Systems, Engineering, or a related field; or equivalent work experience.
 7\+ years of relevant experience in an IT and/or Healthcare setting.
 3\-5 years of experience in a Technical Product Manager, Product Owner, or Senior Business Analyst role within an agile software development environment.
 Proven track record of managing software products through the full lifecycle, from concept to launch and iteration.
 Strong experience in developing business cases, cost\-benefit analysis, and ROI calculations.
 Deep understanding of agile methodologies, the Software Development Life Cycle (SDLC), and the requirements management process.
 Exceptional ability to gather, interpret, and translate complex business needs into detailed technical requirements, user stories, and functional specifications.
 Excellent communication, collaboration, and presentation skills, with a proven ability to facilitate productive conversations with both technical and non\-technical stakeholders.
 Strong analytical, critical\-thinking, and problem\-solving skills, with a demonstrated ability to navigate ambiguity and manage conflicting requirements.
 Proficient with Microsoft Office, Visio, and SharePoint.
 Travel required: up to 25%</t>
        </is>
      </c>
    </row>
    <row r="174">
      <c r="A174" t="inlineStr">
        <is>
          <t>li-4367373235</t>
        </is>
      </c>
      <c r="B174" t="inlineStr">
        <is>
          <t>Product Manager - Global Marketing</t>
        </is>
      </c>
      <c r="C174" t="inlineStr">
        <is>
          <t>Lensa</t>
        </is>
      </c>
      <c r="D174" t="inlineStr">
        <is>
          <t>linkedin</t>
        </is>
      </c>
      <c r="E174">
        <f>HYPERLINK("https://www.linkedin.com/jobs/view/4367373235", "https://www.linkedin.com/jobs/view/4367373235")</f>
        <v/>
      </c>
      <c r="F174">
        <f>HYPERLINK("https://lensa.com/cgw/a9ee6f22db5141e589599459fc6bea5btjo1?jpsi=directemployers_no_redirect&amp;publisher_preference=easier_apply&amp;utm_campaign=Other%20Management%20Occupations&amp;utm_medium=slot&amp;utm_source=linkedin&amp;utm_term=jse&amp;urlHash=fMIe", "https://lensa.com/cgw/a9ee6f22db5141e589599459fc6bea5btjo1?jpsi=directemployers_no_redirect&amp;publisher_preference=easier_apply&amp;utm_campaign=Other%20Management%20Occupations&amp;utm_medium=slot&amp;utm_source=linkedin&amp;utm_term=jse&amp;urlHash=fMIe")</f>
        <v/>
      </c>
      <c r="G174" t="inlineStr">
        <is>
          <t>Salt Lake City, UT</t>
        </is>
      </c>
      <c r="H174" t="inlineStr"/>
      <c r="I1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BD (Becton, Dickinson and Company). Clicking "Apply Now" or "Read more" on Lensa redirects you to the job board/employer site. Any information collected there is subject to their terms and privacy notice.
**Job Description Summary**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**Responsibilities**
 The Global Marketing Product Manager is responsible for managing and driving growth of Value Segment portfolio and supporting the implementation of the Recode strategy:
* Supports the Associate Director of Marketing and Senior Product Manager in the development and execution of the Global Marketing Plan and Global Launch Plans for Peripheral Intravenous Catheter (PIVC) product lines by supporting or conducting market analysis, competitive analysis and customer research
* Demonstrates Marketing Acumen to conduct market assessment and provide strategic recommendation's as appropriate
* Works with Regional Marketing teams to ensure strategic alignment and tactical execution to meet key business objectives
* Ensures market access for a group of PIVC products, addresses urgent quality and supply issues as well as driving a proactive agenda to improve quality and ensure supply by collaborating with cross functional teams ( R\&amp;D, Quality, Medical Affairs, Supply Chain and Operations )
* Functions as the marketing representative for sustaining engineering , cost improvement and Recode Teams. May support cross\-functional new product development teams
* Ensures timely communication to appropriate marketing and sales personnel relating to promotional materials and development of effective sales aids and clinical education support materials.
* Managing Product financial performance and demand /forecast process in coordination with the cross functional teams (SC/OPS/Finance)
* Collaborating with other team members to develop integrated marketing plans and campaigns as necessary
* Adheres to all company policies, procedures and business ethics codes and ensures that they are communicated and implemented within the team.
* 10\-20% travel associated with the role
**Minimal Qualifications**
* Bachelors degree in Business, Marketing or related field required. MBA preferred.
* Minimum of 3 years' marketing experience including understanding of key principles of marketing such and market segmentation, competitive analysis, pricing strategy and customer needs identification.
* Medical device or healthcare industry experience preferred
* Demonstrated ability to work effectively with diverse and virtual teams.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**Primary Work Location**
 USA UT \- Salt Lake City BAS
**Additional Locations**
 USA UT \- Sandy
**Work Shift**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If you have questions about this posting, please contact support@lensa.com</t>
        </is>
      </c>
    </row>
    <row r="175">
      <c r="A175" t="inlineStr">
        <is>
          <t>li-4367014785</t>
        </is>
      </c>
      <c r="B175" t="inlineStr">
        <is>
          <t>Product Manager-Large Gas Turbine</t>
        </is>
      </c>
      <c r="C175" t="inlineStr">
        <is>
          <t>Siemens Energy</t>
        </is>
      </c>
      <c r="D175" t="inlineStr">
        <is>
          <t>linkedin</t>
        </is>
      </c>
      <c r="E175">
        <f>HYPERLINK("https://www.linkedin.com/jobs/view/4367014785", "https://www.linkedin.com/jobs/view/4367014785")</f>
        <v/>
      </c>
      <c r="F175">
        <f>HYPERLINK("https://jobs.siemens-energy.com/Jobs/FolderDetail?folderId=288520&amp;source=LinkedIn&amp;sourceType=PREMIUM_POST_SITE&amp;urlHash=TF_d", "https://jobs.siemens-energy.com/Jobs/FolderDetail?folderId=288520&amp;source=LinkedIn&amp;sourceType=PREMIUM_POST_SITE&amp;urlHash=TF_d")</f>
        <v/>
      </c>
      <c r="G175" t="inlineStr">
        <is>
          <t>Orlando, FL</t>
        </is>
      </c>
      <c r="H175" t="inlineStr"/>
      <c r="I175" t="inlineStr">
        <is>
          <t>**A Snapshot of Your Day**
 Lead a large fleet of operating gas fired turbines with lifecycle responsibility for 8000H on reliability and profitability. Collaborate with global teams in research and development, project execution and sales organizations supporting customer base and fleet.
**How You’ll Make An Impact**
* Collaborate with multiple organizations to understand market requirements, evaluate regulatory and energy transition trends as well as the competitive environment in order to identify product needs, looking for new features and capabilities to improve the competitive position of the 8000H gas turbine portfolio.
* Drive and lead key development projects from concept through commercial rollout
* Drive frame specific internal communication: R\&amp;D project pipeline, business impacts, customer benefits.
* Maintain the external view on the 8000H: performance data and communication material including SE Homepage, GT World Handbook, Sales Presentations, Brochures
* Contribute to strategic product roadmaps to assure life cycle success of the portfolio.
* Collaborate with various teams to prioritize, drive, guide and involvement in 8000H issues, root causes, and customer communication strategy
* Support new unit sales regarding project specific strategy, load planning and customer meetings
**What You Bring**
* Bachelor's degree or equivalent experience in Engineering is required; an advanced degree or equivalent experience in Business or Engineering is preferred.
* 8\+ years of professional experience in gas turbine design, power plant engineering, manufacturing, field service, project management or proposals
* Leadership skills with a proactive customer\-centric approach with creative and out\-of\-the\-box thinking
* A developed sense of personal accountability when it comes to decision\-making and working with global development teams.
* A clear understanding of project management processes, strategies, and methods with experience managing complex projects.
* Applicants must be legally authorized for employment in the United States without the need for current or future employer\-sponsored work authorization. Siemens Energy employees with current visa sponsorship may be eligible for internal transfers.
**About The Team**
 Siemens Energy invests $400\+ million yearly in Gas Services Product Management (GS PRM) evaluates technologies, develops strategies and assures competitive product portfolio.
 Join a team dedicated to developing innovative products that meet customer needs every single day.
**Gas Services**
 Our Gas Services Business Area offers low emission power generation through service and decarbonization. Zero or low emission power generation and all gas turbines are under one umbrella, along with steam turbines and generators. Decarbonization opportunities are made real through service offerings, modernizations, and digitalization of the operating fleet.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supportive work culture
* Company paid Health and wellness benefits
* Paid Time Off and paid holidays
* 401K savings plan with company match
* Family building benefits
* Parental leave
 https://jobs.siemens\-energy.com/jobs</t>
        </is>
      </c>
    </row>
    <row r="176">
      <c r="A176" t="inlineStr">
        <is>
          <t>li-4367064243</t>
        </is>
      </c>
      <c r="B176" t="inlineStr">
        <is>
          <t>AD, Product Manager Search Services</t>
        </is>
      </c>
      <c r="C176" t="inlineStr">
        <is>
          <t>KPMG US</t>
        </is>
      </c>
      <c r="D176" t="inlineStr">
        <is>
          <t>linkedin</t>
        </is>
      </c>
      <c r="E176">
        <f>HYPERLINK("https://www.linkedin.com/jobs/view/4367064243", "https://www.linkedin.com/jobs/view/4367064243")</f>
        <v/>
      </c>
      <c r="F176" t="inlineStr"/>
      <c r="G176" t="inlineStr">
        <is>
          <t>Seattle, WA</t>
        </is>
      </c>
      <c r="H176" t="inlineStr"/>
      <c r="I17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77">
      <c r="A177" t="inlineStr">
        <is>
          <t>li-4367033863</t>
        </is>
      </c>
      <c r="B177" t="inlineStr">
        <is>
          <t>Product Manager - Digital CX</t>
        </is>
      </c>
      <c r="C177" t="inlineStr">
        <is>
          <t>Jobs via Dice</t>
        </is>
      </c>
      <c r="D177" t="inlineStr">
        <is>
          <t>linkedin</t>
        </is>
      </c>
      <c r="E177">
        <f>HYPERLINK("https://www.linkedin.com/jobs/view/4367033863", "https://www.linkedin.com/jobs/view/4367033863")</f>
        <v/>
      </c>
      <c r="F177">
        <f>HYPERLINK("https://click.appcast.io/t/G9i66_AGB97ks3dAFnUXUsoR3VkOkVUXAdjwurdsPS8=&amp;urlHash=o7g0", "https://click.appcast.io/t/G9i66_AGB97ks3dAFnUXUsoR3VkOkVUXAdjwurdsPS8=&amp;urlHash=o7g0")</f>
        <v/>
      </c>
      <c r="G177" t="inlineStr">
        <is>
          <t>Acton, MA</t>
        </is>
      </c>
      <c r="H177" t="inlineStr"/>
      <c r="I177" t="inlineStr">
        <is>
          <t>Dice is the leading career destination for tech experts at every stage of their careers. Our client, Apex Systems, is seeking the following. Apply via Dice today!
**Job\#: 3020245**
**Job Description:**
 Apex Systems is a world class technology services business that incorporates industry or insights and experience to deliver solutions that fulfill our clients' digital visions.
 Apex has an opportunity for an
 **Product Manager \- Digital CX.** 
 For applicants who are interested in this opportunity, send your updated resume to .
 Here are the details:
 Position:
 **Product Manager \- Digital CX**
 Location:
 **Remote**
 Project Duration: 11 months
 Rate:
 **Negotiable Bases on Experience**
**Job Description**
**The position is eligible to be 100% remote, or hybrid if desired. The preferred location is near San Diego, CA or Acton, MA.**
**Position Overview:**
 We are looking for a self\-motivated, experienced Product Manager to join our Digital CX Product Management Customer Experience team responsible for developing new products and optimizing existing capabilities throughout the customer journey. This successful leader will have experience leading end\-to\-end product management for global digital products, with the ability to translate business goals into high\-impact product initiatives. Working in an Agile environment, in collaboration with a cross\-functional team, this person will be responsible for defining and executing the Product roadmap for our digital customer experience offerings and ensuring the Backlog is properly prioritized, defined and executed for the team. They'll achieve this by cultivating empowered, high\-impact teams, and guiding teams through the full product development lifecycle, providing strong cross\-functional leadership.
**Responsibilities**
 Cultivate deep understanding of customer needs, competitive dynamics, and market opportunities.
 Develop and articulate a clear vision for products and lead execution of the integrated roadmap to achieve enterprise and franchise level goals
 Define integrated release targets \&amp; scope, value proposition \&amp; delivery to drive growth, provide customers with cadence of new innovations, and maximize return on investment
 Collaborate with other product managers to establish processes and best practices for Product Management and Product Owners at our client
 Collaborate on franchise roadmap and priorities in relation to enterprise\-wide strategies
 Works closely with the Sr. Product Manager and business stakeholders to define and prioritize the team's feature backlog
 Works closely with the Product Marketing Manager to understand our client's customer journey and product launch strategies that will impact business processes across the customer journey
 Develops process flows to illustrate the impact on operations because of the new or improved capabilities
 Defines features with acceptance criteria, dependencies, assumptions, risks, and success metrics
 Works closely with technical architects to obtain high\-level work estimation (t\-shirt size) and solution designs for release planning, ensuring consistency across all work within delivery teams
 Maintains the conceptual and technical integrity of the features for the team
 Provides input into release timelines and investigates alternate paths forward on potential timing options
 Drives scope tradeoff evaluations on feature implementation
 Participates in usability studies to bring voice of the customer on a feature to the team
 Supports the Sr. Product Manager with business case development (both cost and value) for new opportunities and product improvements
 Serves as 1st escalation point for Product Owners of delivery teams (questions on feature refinement, solution options, and/or in sprint tradeoffs
 Partnering with UX / business on any changes that are required and working with Marketing to bring through MLR
 Supporting SA in user story writing on the Salesforce side
 Answers questions for development team \&amp; PO verifies user stories
 Coordinating with Drupal team to create features, write stories and ensure that cross team dependencies are considered
 Validate E2E experience once developed
**Required Leadership Skills \&amp; Behaviors**
 A passionate, inspirational leader who leads with an enterprise mindset, challenges the status quo, and can align the organization behind a clear vision and strategy
 Has strong emotional intelligence and ability to engage and lead others through change to advance new ways of working
 Experience guiding high performance teams, driving accountability, empowerment, customer centricity and collaboration across functions and teams.
**Required Skills And Competencies**
 Customer\-obsessed mindset with ability to translate customer insight into product vision and lead execution to achieve franchise goals
 Strong business acumen and passion for delivering impact by executing world\-changing technologies
 Strong ability to influence, interact, and lead globally
 Strong cross\-functional leader, able to bring out the best in cross\-functional colleagues to guide swift, effective trade\-offs and decision\-making
 Ability to translate business cases into a roadmap informed by technical constraints, balancing technical with desired business outcomes
 Enterprise mindset (understands impact of their decision on other functions and products)
 Ability to Lead without Authority
 Ability to guide difficult cross functional decisions and achieve value\-maximizing outcomes
 Detail oriented, with effective verbal and written communication skills
 Able to work independently with minimum supervision
 Able to organize and judge multiple priorities
 Experience in the Medical Device industry is a plus
 Familiarity with Scaled Agile Framework (SAFe) is a plus
**Education And Experience**
* Bachelor's degree and 5\+ years of relevant work experience.
* 5\+ years of experience using Agile methodologies, related to Product Owner \&amp; Product Manager roles.
* Knowledgeable of IT systems development strongly preferred
* Familiarity with Web and CRM platforms strongly preferred
* Demonstrates strong communication skills with audiences with various levels of technical background.
* Experience in digital customer experience/success is preferred
* Demonstrated flexibility and ability to function in a fast\-paced, growth industry and work environment
* Strong problem\-solving skills for complex business challenges.
* Passion to continuously improve processes and practices.
 Diabetes experience or knowledge a plus
**Additional Information**
 Travel is estimated at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78">
      <c r="A178" t="inlineStr">
        <is>
          <t>li-4359402312</t>
        </is>
      </c>
      <c r="B178" t="inlineStr">
        <is>
          <t>Product Manager</t>
        </is>
      </c>
      <c r="C178" t="inlineStr">
        <is>
          <t>SPI - Specialty Products &amp; Insulation</t>
        </is>
      </c>
      <c r="D178" t="inlineStr">
        <is>
          <t>linkedin</t>
        </is>
      </c>
      <c r="E178">
        <f>HYPERLINK("https://www.linkedin.com/jobs/view/4359402312", "https://www.linkedin.com/jobs/view/4359402312")</f>
        <v/>
      </c>
      <c r="F178" t="inlineStr"/>
      <c r="G178" t="inlineStr">
        <is>
          <t>Arlington, TX</t>
        </is>
      </c>
      <c r="H178" t="inlineStr"/>
      <c r="I178" t="inlineStr">
        <is>
          <t>**About Your Future With SPI**
 Are you looking for a career with an industry leader that drives the future of energy\-efficient insulation and building material products? Is being part of a company that is recognized as a
 *“Great Place to Work”* 
 of value to you? Look no further! At SPI, you will be part of a diverse and inclusive team that reflects our values of integrity and innovation by delivering solutions that make a difference in the communities we serve. Here, you are part of a company that rewards your contributions and encourages you to take ownership of your career.
**Summary**
**Job Description**
* The Product Manager – BI / SF is responsible for overseeing rig build operations across the US and Canada.
**Areas of responsibilities may include but are not limited to:**
* Drive continuous improvement within overall rig design and build strategy, implement procedures to document and guide every aspect of rig build achieving competitive market prices in concert with Director of Engineering, Spray Foam Leadership Team and Executive Team.
* Implement precise cost control metrics – and hold the organization accountable to purchased content cost goals, efficiency metrics and year over year cost reduction initiatives.
* Oversee the Rig Factory, working to direct appropriate personnel, financial P\&amp;L reporting and key performance metrics (safety, quality, cost, efficiency) along with production schedule.
* Collaborate with department leads in Marketing, Spray Foam Branch Leaders and others to embrace feedback on the design and performance of Spray Foam Rigs to adapt market position for competitive pricing and growth.
* Construct the operation to be scalable – by both increasing capacity at existing locations and opening new locations.
**Education, Skills, Experience, And Knowledge**
* Minimum 5\+ years of experience in similar role
* Bachelor’s degree in engineering, operations, business, or similar discipline preferred
* Experience managing manufacturing assembly operations spanning multiple geographic locations
* Proficiency in design concepts focused on cost reduction, manufacturing efficiency and end customer serviceability
* Demonstrated capability to work with and lead cross\-functional teams
* Ability to manage through influence and institute organizational change
* Comprehensive understanding of systems, processes and data driven decision making when it comes to purchasing, inventory and manufacturing processes
**Environment**
 Hybrid (Dallas, TX or Phoenix, AZ)
 Fabrication/warehouse environment.
 Exposure to noise, heat, dust, and industrial worksite conditions.
**Physical Demands May Include But Are Not Limited To**
* High level of walking, standing, and/or climbing.
* Stooping, bending, kneeling, and reaching.
* Work outside/inside around machinery with moving parts.
* Exposure to all seasons of weather, as well as slippery and uneven surfaces.
* Must be able to lift a minimum of 45lbs.
**THIS IS A SAFETY SENSITIVE JOB**
**Travel**
 40\-60%
**Exemption Status**
 Exempt
**Compensation Range**
 $75,000\.00 \- $150,000\.00
*The actual base salary a successful candidate will be offered within this range will vary based on factors relevant to the position.*
 TopBuild Corp. (NYSE: BLD) is the leading installer and distributor of insulation and building material services nationwide. Distribution International is part of the TopBuild family of companies, which comprises of approximately over 450 branch locations across the United States and Canada. As a company, we actively engage in corporate social responsibility through our commitment to Environmental, Social, and Governance (ESG) practices. Additionally, we prioritize diversity and inclusion in our organization. If this interests you, we encourage you to join our company and find a variety of career opportunities awaiting you!
 TopBuild Corp. is an equal opportunity employer (EOE), this includes protected Veterans/Disability. The employee must be able to perform the essential functions of the position. Upon request and absent undue hardship, reasonable accommodation will be offered to enable employees with disabilities to perform the essential functions of the job.</t>
        </is>
      </c>
    </row>
    <row r="179">
      <c r="A179" t="inlineStr">
        <is>
          <t>li-4367071094</t>
        </is>
      </c>
      <c r="B179" t="inlineStr">
        <is>
          <t>AD, Product Manager Search Services</t>
        </is>
      </c>
      <c r="C179" t="inlineStr">
        <is>
          <t>KPMG US</t>
        </is>
      </c>
      <c r="D179" t="inlineStr">
        <is>
          <t>linkedin</t>
        </is>
      </c>
      <c r="E179">
        <f>HYPERLINK("https://www.linkedin.com/jobs/view/4367071094", "https://www.linkedin.com/jobs/view/4367071094")</f>
        <v/>
      </c>
      <c r="F179" t="inlineStr"/>
      <c r="G179" t="inlineStr">
        <is>
          <t>Dallas, TX</t>
        </is>
      </c>
      <c r="H179" t="inlineStr"/>
      <c r="I17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0">
      <c r="A180" t="inlineStr">
        <is>
          <t>li-4367057470</t>
        </is>
      </c>
      <c r="B180" t="inlineStr">
        <is>
          <t>AD, Product Manager Search Services</t>
        </is>
      </c>
      <c r="C180" t="inlineStr">
        <is>
          <t>KPMG US</t>
        </is>
      </c>
      <c r="D180" t="inlineStr">
        <is>
          <t>linkedin</t>
        </is>
      </c>
      <c r="E180">
        <f>HYPERLINK("https://www.linkedin.com/jobs/view/4367057470", "https://www.linkedin.com/jobs/view/4367057470")</f>
        <v/>
      </c>
      <c r="F180" t="inlineStr"/>
      <c r="G180" t="inlineStr">
        <is>
          <t>Bentonville, AR</t>
        </is>
      </c>
      <c r="H180" t="inlineStr"/>
      <c r="I18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1">
      <c r="A181" t="inlineStr">
        <is>
          <t>li-4367058389</t>
        </is>
      </c>
      <c r="B181" t="inlineStr">
        <is>
          <t>AD, Product Manager Search Services</t>
        </is>
      </c>
      <c r="C181" t="inlineStr">
        <is>
          <t>KPMG US</t>
        </is>
      </c>
      <c r="D181" t="inlineStr">
        <is>
          <t>linkedin</t>
        </is>
      </c>
      <c r="E181">
        <f>HYPERLINK("https://www.linkedin.com/jobs/view/4367058389", "https://www.linkedin.com/jobs/view/4367058389")</f>
        <v/>
      </c>
      <c r="F181" t="inlineStr"/>
      <c r="G181" t="inlineStr">
        <is>
          <t>Winston-Salem, NC</t>
        </is>
      </c>
      <c r="H181" t="inlineStr"/>
      <c r="I18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2">
      <c r="A182" t="inlineStr">
        <is>
          <t>li-4367067213</t>
        </is>
      </c>
      <c r="B182" t="inlineStr">
        <is>
          <t>AD, Product Manager Search Services</t>
        </is>
      </c>
      <c r="C182" t="inlineStr">
        <is>
          <t>KPMG US</t>
        </is>
      </c>
      <c r="D182" t="inlineStr">
        <is>
          <t>linkedin</t>
        </is>
      </c>
      <c r="E182">
        <f>HYPERLINK("https://www.linkedin.com/jobs/view/4367067213", "https://www.linkedin.com/jobs/view/4367067213")</f>
        <v/>
      </c>
      <c r="F182" t="inlineStr"/>
      <c r="G182" t="inlineStr">
        <is>
          <t>Detroit, MI</t>
        </is>
      </c>
      <c r="H182" t="inlineStr"/>
      <c r="I18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3">
      <c r="A183" t="inlineStr">
        <is>
          <t>li-4367332939</t>
        </is>
      </c>
      <c r="B183" t="inlineStr">
        <is>
          <t>Regulated Messaging Product Manager</t>
        </is>
      </c>
      <c r="C183" t="inlineStr">
        <is>
          <t>Apex Systems</t>
        </is>
      </c>
      <c r="D183" t="inlineStr">
        <is>
          <t>linkedin</t>
        </is>
      </c>
      <c r="E183">
        <f>HYPERLINK("https://www.linkedin.com/jobs/view/4367332939", "https://www.linkedin.com/jobs/view/4367332939")</f>
        <v/>
      </c>
      <c r="F183" t="inlineStr"/>
      <c r="G183" t="inlineStr">
        <is>
          <t>Jacksonville, FL</t>
        </is>
      </c>
      <c r="H183" t="inlineStr"/>
      <c r="I183" t="inlineStr">
        <is>
          <t>**Job\#: 3020170**
**Job Description:**
**Job Title: Product Manager**
**Duration: 8 months**
**Location: Jacksonville FL / Charlotte NC / Addison TX (Onsite 5 days)**
**Payrate: $60\.00 – 64\.54/hr**
**Description**
 This Product Manager will be responsible for product planning and execution throughout the product lifecycle for Data Retention and Supervision technologies for Electronic Communication data. The key responsibilities will include gathering and prioritizing product and customer requirements, defining the product vision, communicating to the end users, and working closely with engineering, supply chain, marketing, operations and support to ensure financial and customer satisfaction goals are met. This individual must also ensure that critical interactions are maintained with key vendors who are aligned to meet project goals; maintaining relationships with internal vendor management teams to ensure satisfactory contract negotiations. This Product Manager's job also includes ensuring that the product and communication efforts support the company's overall strategy and goals. A key role will involve ensuring smooth execution for critical initiatives, ensuring customer experience is maximized and time to market goals are met for a portfolio of products impacting all business units across a large financial services enterprise.
**This Product Manager is expected to:**
 Define the product strategy and roadmap
 Understand and represent the needs and requirements of the customers
 Deliver requirements documents with prioritized features and corresponding justification
 Drive new product enhancements/updates through the development process lifecycle
 Perform product demos and orchestrate training for customers
 Propose an overall budget and secure funding to ensure success
 Set pricing to meet recovery and financial goals
 Work with external third parties as required
 Develop and manage the core positioning and messaging for the product
 Deliver monthly metrics including volume, savings, and expenses with forecasts
 Run beta and POC programs with early\-stage products and samples
 Be an expert with respect to alternative / competing products
**Skills Requirements**
 Strong understanding of product management discipline, including new product development, testing and deployment
 Experience and understanding of regulatory requirements and obligations for retention, supervision and discovery of electronic communication
 Prior experience in a high\-volume production environment
 Exceptional executive presentation and communication skills
 Excellent analytical and presentation skills; ability to synthesize complex situations/inputs and communicate it via clear/concise documents, presentations, etc
 Excellent influencing and problem resolution skills
 Must be comfortable in delivering messages across a wide spectrum of individuals having varying degrees of technical understanding
 Must have strong leadership skills and qualities which enable you to work with peers and various levels of management
 Excellent organizational skills, including the ability to prioritize work and meet deadlines
 Strong business\-centric mindset with ability to use sound business judgment and tailor approach to drive desired business outcomes
 Ability to manage complex priorities simultaneously in a fast\-paced, matrixed environment with strong attention to detail and accuracy
 Self\-motivation, self\-direction, organizational skills and the ability to manage multiple priorities without sacrificing quality or timelines.
**Technology Skills**
 Experience with technological deployment processes
 Experience with Archival, Messaging, Data Analytics and Data Management technologies a plus.
**Experience Requirements**
 Information Technology professional with 7\+ years’ experience
 Bachelor's and/or master’s degree in information technology or related field
**Experience Working In a Highly Regulated Financial Institution Preferred**
 3\-5 years of experience in Product Management
 Demonstrated success defining and launching products
 Excellent written and verbal communication skills
 Product Management Certification (preferred)
 Technical background
 Excellent teamwork skills
 Proven ability to influence, negotiate, and drive results with cross\-functional teams without formal authority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84">
      <c r="A184" t="inlineStr">
        <is>
          <t>li-4367054585</t>
        </is>
      </c>
      <c r="B184" t="inlineStr">
        <is>
          <t>AD, Product Manager Search Services</t>
        </is>
      </c>
      <c r="C184" t="inlineStr">
        <is>
          <t>KPMG US</t>
        </is>
      </c>
      <c r="D184" t="inlineStr">
        <is>
          <t>linkedin</t>
        </is>
      </c>
      <c r="E184">
        <f>HYPERLINK("https://www.linkedin.com/jobs/view/4367054585", "https://www.linkedin.com/jobs/view/4367054585")</f>
        <v/>
      </c>
      <c r="F184" t="inlineStr"/>
      <c r="G184" t="inlineStr">
        <is>
          <t>Phoenix, AZ</t>
        </is>
      </c>
      <c r="H184" t="inlineStr"/>
      <c r="I18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5">
      <c r="A185" t="inlineStr">
        <is>
          <t>li-4367056539</t>
        </is>
      </c>
      <c r="B185" t="inlineStr">
        <is>
          <t>AD, Product Manager Search Services</t>
        </is>
      </c>
      <c r="C185" t="inlineStr">
        <is>
          <t>KPMG US</t>
        </is>
      </c>
      <c r="D185" t="inlineStr">
        <is>
          <t>linkedin</t>
        </is>
      </c>
      <c r="E185">
        <f>HYPERLINK("https://www.linkedin.com/jobs/view/4367056539", "https://www.linkedin.com/jobs/view/4367056539")</f>
        <v/>
      </c>
      <c r="F185">
        <f>HYPERLINK("https://www.kpmguscareers.com/jobdetail/?jobId=131479-A&amp;srcCat=Job+Boards&amp;specSrc=LinkedIn&amp;urlHash=ly4E", "https://www.kpmguscareers.com/jobdetail/?jobId=131479-A&amp;srcCat=Job+Boards&amp;specSrc=LinkedIn&amp;urlHash=ly4E")</f>
        <v/>
      </c>
      <c r="G185" t="inlineStr">
        <is>
          <t>Las Vegas, NV</t>
        </is>
      </c>
      <c r="H185" t="inlineStr"/>
      <c r="I18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6">
      <c r="A186" t="inlineStr">
        <is>
          <t>li-4367005893</t>
        </is>
      </c>
      <c r="B186" t="inlineStr">
        <is>
          <t>Operations Engineer Program Manager</t>
        </is>
      </c>
      <c r="C186" t="inlineStr">
        <is>
          <t>Apple</t>
        </is>
      </c>
      <c r="D186" t="inlineStr">
        <is>
          <t>linkedin</t>
        </is>
      </c>
      <c r="E186">
        <f>HYPERLINK("https://www.linkedin.com/jobs/view/4367005893", "https://www.linkedin.com/jobs/view/4367005893")</f>
        <v/>
      </c>
      <c r="F186" t="inlineStr"/>
      <c r="G186" t="inlineStr">
        <is>
          <t>Cupertino, CA</t>
        </is>
      </c>
      <c r="H186" t="inlineStr"/>
      <c r="I186"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USA.Lead Original Equipment Manufacturer (OEM) operations team in planning and executing development builds and new product ramps. Communicate at all levels, thrive in an ambiguous environment, facilitate actions and resolve conflicts. Lead within worldwide Operations and collaborate with the core product development team and other functional organizations within Apple. Drive ramp readiness with engineering, operations and OEM teams. Plan capacity and lead factory equipment budget. Handle component readiness to ensure part availability, quality, and cost. Communicate requirements and schedules to facilitate technical readiness with supply chain teams. Influence product manufacturability, testability, and supply chain responsiveness in pursuit of low cost and flexibility while stewarding quality. Lead all communications, upward and downward through the organization. Raise key issues and options for resolution with executive teams. 40 hours/week. At Apple, base pay is one part of our total compensation package and is determined within a range. This provides the opportunity to progress as you grow and develop within a role. The base pay range for this role is between $165,400 \- $248,200/yr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Mechanical Engineering, Electrical Engineering, Industrial Engineering, or related field and 1 year of experience in the job offered or related occupation.
* 1 year of experience with each of the following skills is required:
* Using project management software including Microsoft Project to create detailed project plan to develop and maintain schedule with cross\-functional teams and escalate appropriately when issues occur.
* Creating, tracking and managing budgets and costs to avoid exceeding allocated budget.
* Utilizing Excel and Tableau for vendor capacity analysis.
* Utilizing Excel and Tableau modeling to analyze quantity in\-stock, supply levels, seasonality, year\-on\-year curve modeling, risk mitigation, and supply/demand shortages.
* Collaborating on OEM input planning, supply, and shipment plan execution.
* Working with supply chain processes, including supply chain diversification, identifying suppliers, and risk mitigation.
* Leading business process re\-engineering initiatives, including creating project plans, defining scope and milestones, managing project budgets, and ensuring timely project delivery.
* Utilizing Excel for resource allocation to identify project peak timings, identifying team resources and managing team workloads.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7">
      <c r="A187" t="inlineStr">
        <is>
          <t>li-4367059399</t>
        </is>
      </c>
      <c r="B187" t="inlineStr">
        <is>
          <t>AD, Product Manager Search Services</t>
        </is>
      </c>
      <c r="C187" t="inlineStr">
        <is>
          <t>KPMG US</t>
        </is>
      </c>
      <c r="D187" t="inlineStr">
        <is>
          <t>linkedin</t>
        </is>
      </c>
      <c r="E187">
        <f>HYPERLINK("https://www.linkedin.com/jobs/view/4367059399", "https://www.linkedin.com/jobs/view/4367059399")</f>
        <v/>
      </c>
      <c r="F187" t="inlineStr"/>
      <c r="G187" t="inlineStr">
        <is>
          <t>Jackson, MS</t>
        </is>
      </c>
      <c r="H187" t="inlineStr"/>
      <c r="I18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Director, Manager Search Services of Global Tech \&amp; Knowledge (GT\&amp;K) to join our KPMG International organization.
 Responsibilities:
* Contribute to the development and execution of strategic product roadmaps for enterprise search initiatives
* Collaborate with internal stakeholders and cross\-functional teams to surface business requirements and deliver effective search solutions
* Manage assigned governance, product management, and continuous improvement initiatives for search\-related products with minimal supervision
* Support search product upgrades, technical integrations, and seamless alignment with other KPMG digital platforms
* Engage with the internal search community to promote best practices, adoption, and ongoing improvement
* Contribute to agile team efforts within the One Intranet group, maintaining clear ownership of the product backlog and ensuring delivery of search\-related requirements
* Act with integrity, professionalism, and personal responsibility to uphold KPMG's respectful and courteous work environment
 Qualifications:
* Minimum seven years of recent experience in a large enterprise with an established track record of leading, identifying and addressing business requirements in all aspects of Product/Service design and delivery, and search services
* Bachelor's degree from an accredited college/university or seven years equivalent work experience in the field
* Demonstrated knowledge of Microsoft Azure and M365 services in a large Enterprise environment
* Good verbal/written communication (English), collaboration, facilitation, influencing, and negotiation skills required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https://kpmg.com/us/en/how\-we\-work/pay\-transparency.html/?id\=6780\_9\_25
 California Salary Range: $139000 \- $297000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8">
      <c r="A188" t="inlineStr">
        <is>
          <t>li-4367036289</t>
        </is>
      </c>
      <c r="B188" t="inlineStr">
        <is>
          <t>Cloud Networking WAN Solutions Product Manager</t>
        </is>
      </c>
      <c r="C188" t="inlineStr">
        <is>
          <t>Google</t>
        </is>
      </c>
      <c r="D188" t="inlineStr">
        <is>
          <t>linkedin</t>
        </is>
      </c>
      <c r="E188">
        <f>HYPERLINK("https://www.linkedin.com/jobs/view/4367036289", "https://www.linkedin.com/jobs/view/4367036289")</f>
        <v/>
      </c>
      <c r="F188">
        <f>HYPERLINK("https://careers.google.com/jobs/results/83496784654934726-cloud-networking-wan-solutions-product-manager/?src=Online/LinkedIn/linkedin_us&amp;utm_source=linkedin&amp;utm_medium=jobposting&amp;utm_campaign=contract&amp;urlHash=bolQ", "https://careers.google.com/jobs/results/83496784654934726-cloud-networking-wan-solutions-product-manager/?src=Online/LinkedIn/linkedin_us&amp;utm_source=linkedin&amp;utm_medium=jobposting&amp;utm_campaign=contract&amp;urlHash=bolQ")</f>
        <v/>
      </c>
      <c r="G188" t="inlineStr">
        <is>
          <t>Sunnyvale, CA</t>
        </is>
      </c>
      <c r="H188" t="inlineStr"/>
      <c r="I188" t="inlineStr">
        <is>
          <t>**Minimum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MBA or Master's degree in Computer Science/Engineering.
* Experience in large network designs as a solution architect or professional services specifically around global wide area networking.
* Cloud experience with a hyperscaler in a customer or field engineering role.
* Experience translating commercial business models/needs into technical solutions.
* Outstanding narrative and storytelling abilities that propel usage, adoption and market momentum.
* Proven track record of delivering network or network security designs and best practices, architecture designs, reference architectures, or blueprints.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the Cloud Networking team, we work with state\-of\-the\-art networking technologies to innovate planet\-scale networking with secure, reliable and efficient services, to enable customers and partners to achieve new opportunities with cloud services. We are building networking and network security solutions for Google Cloud customers to help them simplify and accelerate their journey to the cloud by meeting them where they are (e.g., migrating workloads, building a modern cloud native application stack, consuming and gathering insights from data, running AI/ML workloads, designing security for applications, data, and users).
 You will play a vital role as the technical/domain expert who owns the solution definition and architecture, collaborating with cross\-functional stakeholders to deliver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trusted advisor for strategic customers. Build and maintain strong customer relationships and gather customer insights and feedback.
* Define solution requirements based on customer discussions and business needs.
* Conduct design workshops and author solution design guides, reference architectures, and blueprints.
* Support and partner with the larger field technical community.
* Train sales, partners and customers on best practices on network designs.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9">
      <c r="A189" t="inlineStr">
        <is>
          <t>li-4367384161</t>
        </is>
      </c>
      <c r="B189" t="inlineStr">
        <is>
          <t>Senior Principal Program Manager</t>
        </is>
      </c>
      <c r="C189" t="inlineStr">
        <is>
          <t>Lensa</t>
        </is>
      </c>
      <c r="D189" t="inlineStr">
        <is>
          <t>linkedin</t>
        </is>
      </c>
      <c r="E189">
        <f>HYPERLINK("https://www.linkedin.com/jobs/view/4367384161", "https://www.linkedin.com/jobs/view/4367384161")</f>
        <v/>
      </c>
      <c r="F189">
        <f>HYPERLINK("https://lensa.com/cgw/dba818e584914f6184e03239da1f89cbtjo1?jpsi=directemployers_no_redirect&amp;publisher_preference=easier_apply&amp;utm_campaign=Top%20Executives&amp;utm_medium=slot&amp;utm_source=linkedin&amp;utm_term=jse&amp;urlHash=-cdf", "https://lensa.com/cgw/dba818e584914f6184e03239da1f89cbtjo1?jpsi=directemployers_no_redirect&amp;publisher_preference=easier_apply&amp;utm_campaign=Top%20Executives&amp;utm_medium=slot&amp;utm_source=linkedin&amp;utm_term=jse&amp;urlHash=-cdf")</f>
        <v/>
      </c>
      <c r="G189" t="inlineStr">
        <is>
          <t>Austin, TX</t>
        </is>
      </c>
      <c r="H189" t="inlineStr"/>
      <c r="I1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90">
      <c r="A190" t="inlineStr">
        <is>
          <t>li-4367014777</t>
        </is>
      </c>
      <c r="B190" t="inlineStr">
        <is>
          <t>Program Manager</t>
        </is>
      </c>
      <c r="C190" t="inlineStr">
        <is>
          <t>Technimark LLC</t>
        </is>
      </c>
      <c r="D190" t="inlineStr">
        <is>
          <t>linkedin</t>
        </is>
      </c>
      <c r="E190">
        <f>HYPERLINK("https://www.linkedin.com/jobs/view/4367014777", "https://www.linkedin.com/jobs/view/4367014777")</f>
        <v/>
      </c>
      <c r="F190" t="inlineStr"/>
      <c r="G190" t="inlineStr">
        <is>
          <t>El Paso, TX</t>
        </is>
      </c>
      <c r="H190" t="inlineStr"/>
      <c r="I190" t="inlineStr">
        <is>
          <t>**Program Manager – Global Manufacturing Programs** 
 At Technimark, we turn ideas into reality. As a worldwide leader in custom rigid plastic manufacturing, we partner with many of the world’s most respected brands in healthcare, consumer products, packaging, and medical devices to create high\-performance, sustainable solutions.
 With state\-of\-the\-art facilities across North America, Europe, and Asia, we deliver precision\-engineered components and systems that meet the highest standards of quality, innovation, and reliability. Our success is built on the strength of our people with their focus on collaborative problem\-solving who bring ideas to life through technology, creativity, and teamwork.
 At Technimark, we believe strong program execution and customer partnerships are critical to long\-term success—and our Program Managers play a key role in making that happen.
**Position Overview** 
 Technimark is seeking a Program Manager to support both existing and new programs, ensuring customer satisfaction, operational performance, and program profitability. This role bridges the transition from project launch into sustained manufacturing, working closely with Global Project Managers, Account Management, Operations, and technical teams.
 Once projects are fully implemented into manufacturing, the Program Manager becomes the ongoing owner—monitoring performance, scrap, delivery, and customer expectations to ensure consistent success.
**Key Responsibilities** 
 In this role, you will:
* Partner with Account Managers to build strong, trusted relationships with customer commercial and manufacturing contacts.
* Support project onboarding from Global Project Managers as programs transition into full production.
* Monitor program performance to ensure customer satisfaction, quality, scrap reduction, and profitability targets are consistently met.
* Oversee development planning and CPS timing initiatives to ensure schedules are understood and achieved.
* Support line trials at customer locations, capturing requirements and feeding key learnings back into internal documentation and control plans.
* Ensure control plans, range boards, and customer expectations are fully documented and maintained.
* Drive 100% on\-time delivery performance across assigned programs.
* Support Operations and Account Management in resolving quality and delivery challenges.
* Verify program profitability by comparing production performance to BOMs and quotations.
* Develop cost studies, improvement priorities, and SOPs applicable across customers and programs.
* Facilitate meetings across multiple organizational levels to drive planning, improvements, and alignment.
* Capture and document observations clearly to support continuous improvement initiatives.
**What You Bring** 
* Bachelor’s degree required.
* 1–3 years of professional work experience (manufacturing or technical environment preferred).
* Strong written, verbal, and interpersonal communication skills.
* Bilingual English/Spanish preferred.
* Proficiency in Microsoft Office (Excel, Word, PowerPoint, Outlook, Project) and SharePoint.
* Strong problem\-solving mindset with a results\-oriented approach.
* Ability to manage details while maintaining a big\-picture view of program success.
**Build Programs That Matter** 
 Technimark is an Equal Opportunity Employer, committed to fostering an inclusive and diverse workplace. We welcome applicants from all backgrounds and experiences.
 So, if you're ready to make a meaningful impact and contribute to our innovative projects, apply now to join our team as a Program Manager.
 Find out more at www.technimark.com</t>
        </is>
      </c>
    </row>
    <row r="191">
      <c r="A191" t="inlineStr">
        <is>
          <t>li-4367032550</t>
        </is>
      </c>
      <c r="B191" t="inlineStr">
        <is>
          <t>Senior Technical Program Manager (Enterprise Software &amp; Clinical Solutions)</t>
        </is>
      </c>
      <c r="C191" t="inlineStr">
        <is>
          <t>Q Bio</t>
        </is>
      </c>
      <c r="D191" t="inlineStr">
        <is>
          <t>linkedin</t>
        </is>
      </c>
      <c r="E191">
        <f>HYPERLINK("https://www.linkedin.com/jobs/view/4367032550", "https://www.linkedin.com/jobs/view/4367032550")</f>
        <v/>
      </c>
      <c r="F191" t="inlineStr"/>
      <c r="G191" t="inlineStr">
        <is>
          <t>San Carlos, CA</t>
        </is>
      </c>
      <c r="H191" t="inlineStr"/>
      <c r="I191" t="inlineStr">
        <is>
          <t>**About Q Bio** 
 Q Bio is redefining preventive medicine. We partner with clinics and health systems to launch premium longevity programs powered by the Q Exam—a proprietary assessment combining whole\-body MRI with integrated biomarkers to provide a clinically grounded view of health and early disease. We provide the technology, analytics, and operational infrastructure to make precision prevention scalable without adding operational burden. We are not just building a tool; we are building the data\-driven future of personalized health.
**The Opportunity** 
 We are seeking a Senior Technical Program Manager who serves as the engine of delivery for Q Bio’s enterprise software and clinical technology programs. This role is designed to own execution across complex, regulated programs by establishing clear operating cadence, surfacing risk early, and ensuring disciplined follow\-through across teams. In close partnership with Product, Engineering, Clinical, Quality, Security, and external stakeholders, the Senior Technical Program Manager ensures alignment and momentum—bringing structure, visibility, and disciplined execution to complex, cross\-functional programs. Given Q Bio’s stage, this role will both execute within existing constraints and actively build the systems, processes, and governance that enable predictable, scalable execution as the organization matures.
**The Mission** 
**Accountability \&amp; Progress** 
 Establish clear ownership, milestones, and success criteria across all programs. Drive disciplined, visible progress and ensure commitments are met or proactively escalated.
**Operational Transparency** 
 Architect and maintain a single source of truth for program health, including schedules, dependencies, risks, and resourcing. Provide leadership with high\-fidelity, decision\-ready visibility.
**Interdependency Management** 
 Proactively identify and manage cross\-functional dependencies across Product, Engineering, Clinical, Regulatory, Security, and external partners to maintain program flow.
**Engineering Force Multiplier** 
 Own coordination, logistics, and follow\-through to accelerate execution, allowing engineers and scientists to remain focused on high\-value delivery and innovation.
**What You Will Do** 
* **End\-to\-End Delivery \&amp; Deployment \-** 
 Own program execution from requirements definition through development, validation, and delivery into production for enterprise clinical environments. Coordinate deployment across hospital systems, clinic networks, and other enterprise customers, including international rollouts.
* **Release, Deployment \&amp; Readiness Management \-** 
 Lead release readiness and deployment execution across engineering, quality, security, clinical operations, and regulatory stakeholders. Ensure releases meet clinical, operational, and compliance standards and integrate effectively into real\-world clinical workflows.
* **Program\-Level Compliance Oversight \-** 
 Coordinate and track regulatory and compliance activities (e.g., SaMD documentation, validation activities, clinical or technical programs) required for program delivery, ensuring readiness, completeness, and alignment across all contributing teams.
* **Proactive Risk Management \-** 
 Maintain a rigorous program\-level risk management process, identifying technical, operational, and regulatory risks early and driving mitigations to closure.
* **Operational Efficiency \&amp; Execution Cadence \-** 
 Facilitate focused internal and external execution forums. Create and maintain program documentation to ensure visibility across all stakeholders. Publish concise weekly executive readouts highlighting progress, risks, decisions needed, and action\-item closure—while minimizing unnecessary meeting overhead for delivery teams.
* **Lead Distributed \&amp; Partner Teams \-** 
 Drive execution across remote internal teams and external consultants, vendors, and partners.
* **Governance, Process \&amp; System Building \-** 
 Define and evolve delivery processes, reporting frameworks, and oversight structures appropriate for a scaling, regulated environment. Strengthen execution systems over time to support consistency, predictability, and sustainable delivery as the organization grows.
**What You Will Bring** 
* **Experience \-** 
 7\+ years of technical program management experience in regulated environments .At least 3 years supporting Software as a Medical Device (SaMD) or enterprise health\-tech platforms.
* **SDLC \&amp; Quality Systems Fluency \-** 
 Deep experience with modern SDLC practices and strong working knowledge of ISO 13485 and IEC 62304 in agile, high\-velocity environments.
* **Compliance \&amp; Security Awareness \-** 
 Familiarity with clinical workflows and data privacy/security frameworks including HIPAA, ISO 27001, and HITRUST, sufficient to anticipate risks and drive cross\-functional alignment.
* **Operating Profile \-** 
 Experience combining large\-company rigor with early\-stage execution, including building structure where little exists. Proven ability to work “in the weeds” with delivery teams while maintaining executive\-level visibility.
* **Mindset \-** 
 High\-agency, sleeves\-up operator with a bias toward action, accountability, and follow\-through. Passion for improving healthcare outcomes through disciplined execution in fast\-moving environments.
* **What Success Looks Like in the First 6–12 Months \-** 
 Establish a unified program operating cadence and single source of truth for delivery across enterprise software initiatives. Improve release and deployment predictability by driving earlier visibility and proactive risk management. Successfully lead at least one major enterprise deployment end\-to\-end. Implement durable delivery and governance processes that scale with Q Bio’s growth.
**Total Rewards** 
* **Base Salary:** 
 $180,000 – $250,000 per year
* **Equity:** 
 Competitive stock option package with meaningful long\-term upside
* **Benefits:** 
 Comprehensive healthcare, dental, and vision coverage
* **Impact:** 
 A rare opportunity to build the execution backbone of a breakthrough preventive health platform and help define the future of data\-driven medicine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2">
      <c r="A192" t="inlineStr">
        <is>
          <t>li-4367038214</t>
        </is>
      </c>
      <c r="B192" t="inlineStr">
        <is>
          <t>Senior Program Manager I, User Voice, gTech</t>
        </is>
      </c>
      <c r="C192" t="inlineStr">
        <is>
          <t>Google</t>
        </is>
      </c>
      <c r="D192" t="inlineStr">
        <is>
          <t>linkedin</t>
        </is>
      </c>
      <c r="E192">
        <f>HYPERLINK("https://www.linkedin.com/jobs/view/4367038214", "https://www.linkedin.com/jobs/view/4367038214")</f>
        <v/>
      </c>
      <c r="F192">
        <f>HYPERLINK("https://careers.google.com/jobs/results/99789347955319494-senior-program-manager-i/?src=Online/LinkedIn/linkedin_us&amp;utm_source=linkedin&amp;utm_medium=jobposting&amp;utm_campaign=contract&amp;urlHash=GtRB", "https://careers.google.com/jobs/results/99789347955319494-senior-program-manager-i/?src=Online/LinkedIn/linkedin_us&amp;utm_source=linkedin&amp;utm_medium=jobposting&amp;utm_campaign=contract&amp;urlHash=GtRB")</f>
        <v/>
      </c>
      <c r="G192" t="inlineStr">
        <is>
          <t>Pittsburgh, PA</t>
        </is>
      </c>
      <c r="H192" t="inlineStr"/>
      <c r="I192" t="inlineStr">
        <is>
          <t>The application window will be open until at least Feb. 5th, 2026\. This opportunity will remain online based on business needs which may be before or after the specified date.
 Note: By applying to this position you will have an opportunity to share your preferred working location from the following:
 **Boulder, CO, USA; Pittsburgh, PA, USA** 
 .
 **Minimum qualifications:**
* Bachelor's degree or equivalent practical experience.
* 8 years of experience in program or project management.
* Experience with user feedback
* Experience with user experience process improvement
**Preferred qualifications:**
* 10 years of experience delivering complex, cross\-functional technical projects and programs with multiple stakeholders in a fast\-paced environment.
* 8 years of experience managing cross\-functional or cross\-team projects.
* Experience designing and implementing scalable processes and driving organizational improvements.
* Experience influencing and aligning senior leadership and stakeholders.
* Familiarity with project/portfolio management tools and processes.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PgM on the gUP TSI team, you will own and drive the delivery for the entire User Voice portfolio. You will be the central point of execution governance, risk management, and development process continuity across the large product portfolio. You will manage the portfolio of complex, interconnected programs, from conceptualization and planning through execution, landing, and iteration.
 You will be responsible for the overall health and delivery of the User Voice ecosystem, driving development best practices, fostering consistent structure, and communicating the portfolio's status to gUP leadership.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drive the planning, execution and governance for large\-scale, complex, ambiguous programs critical to gUP.
* Lead the execution and delivery of a portfolio of complex, interconnected programs, from conceptualization through landing, ensuring impactful and timely outcomes across User Voice initiatives.
* Influence and align product leadership and key stakeholders across gUP and partner organizations on program vision, priorities, resource allocation.
* Identify opportunities and lead initiatives to establish systems to identify improvements and drive future improved business processes, products, or services on an ongoing basis, through measurement of performance, progress, and success metrics.
* Establish and track key metrics to measure the effectiveness and impact of the User Voice portfolio. Communicate progress and results to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3">
      <c r="A193" t="inlineStr">
        <is>
          <t>li-4367373285</t>
        </is>
      </c>
      <c r="B193" t="inlineStr">
        <is>
          <t>Senior Principal Program Manager</t>
        </is>
      </c>
      <c r="C193" t="inlineStr">
        <is>
          <t>Lensa</t>
        </is>
      </c>
      <c r="D193" t="inlineStr">
        <is>
          <t>linkedin</t>
        </is>
      </c>
      <c r="E193">
        <f>HYPERLINK("https://www.linkedin.com/jobs/view/4367373285", "https://www.linkedin.com/jobs/view/4367373285")</f>
        <v/>
      </c>
      <c r="F193">
        <f>HYPERLINK("https://lensa.com/cgw/a017a9ac3949407fba0ba4a7e96d7ac5tjo1?jpsi=directemployers_no_redirect&amp;publisher_preference=easier_apply&amp;utm_campaign=Top%20Executives&amp;utm_medium=slot&amp;utm_source=linkedin&amp;utm_term=jse&amp;urlHash=yKjY", "https://lensa.com/cgw/a017a9ac3949407fba0ba4a7e96d7ac5tjo1?jpsi=directemployers_no_redirect&amp;publisher_preference=easier_apply&amp;utm_campaign=Top%20Executives&amp;utm_medium=slot&amp;utm_source=linkedin&amp;utm_term=jse&amp;urlHash=yKjY")</f>
        <v/>
      </c>
      <c r="G193" t="inlineStr">
        <is>
          <t>Sacramento, CA</t>
        </is>
      </c>
      <c r="H193" t="inlineStr"/>
      <c r="I19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94">
      <c r="A194" t="inlineStr">
        <is>
          <t>li-4367031506</t>
        </is>
      </c>
      <c r="B194" t="inlineStr">
        <is>
          <t>Technical Program Manager II, Incident Response and Communications Management, Core</t>
        </is>
      </c>
      <c r="C194" t="inlineStr">
        <is>
          <t>Google</t>
        </is>
      </c>
      <c r="D194" t="inlineStr">
        <is>
          <t>linkedin</t>
        </is>
      </c>
      <c r="E194">
        <f>HYPERLINK("https://www.linkedin.com/jobs/view/4367031506", "https://www.linkedin.com/jobs/view/4367031506")</f>
        <v/>
      </c>
      <c r="F194" t="inlineStr"/>
      <c r="G194" t="inlineStr">
        <is>
          <t>Boulder, CO</t>
        </is>
      </c>
      <c r="H194" t="inlineStr"/>
      <c r="I194" t="inlineStr">
        <is>
          <t>The application window will be open until at least February 5, 2026\. This opportunity will remain online based on business needs which may be before or after the specified date.
 **Minimum qualifications:**
* Bachelor's degree in a technical field, or equivalent practical experience.
* 2 years of experience in program management.
* Experience in security or privacy.
* Experience with incident response management (e.g., crisis communication, risk mitigation, escalation management, policy enforcement, risk management, etc.).
**Preferred qualifications:**
* Bachelor's degree in information systems, computer science, engineering, business, or a related field.
* 2 years of experience managing cross\-functional or cross\-team projects.
* Experience with advanced system architecture and design, technical troubleshooting, security and privacy standards, or enterprise software.
* Experience with working on operational teams.
* Ability to manage cross\-functional projects in a data\-driven environment.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team's mission is to protect user privacy through timely and innovative incident response, communication, and remediation. You will lead incidents that span the entire Alphabet ecosystem, working across product areas to solve some critical privacy incident cases.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full life\-cycle of privacy incidents, from initial triage and response to driving long\-term prevention and remediation strategies.
* Lead the full life\-cycle of incident communications, from drafting communications strategies to delivering communications.
* Identify and implement improvements for processes, playbooks, and tools.
* Deliver high quality programs improving and driving privacy incident and incident communications outcomes.
* Be on\-call to support the global team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5">
      <c r="A195" t="inlineStr">
        <is>
          <t>li-4367377708</t>
        </is>
      </c>
      <c r="B195" t="inlineStr">
        <is>
          <t>Senior Technical Program Manager, Ring</t>
        </is>
      </c>
      <c r="C195" t="inlineStr">
        <is>
          <t>Amazon</t>
        </is>
      </c>
      <c r="D195" t="inlineStr">
        <is>
          <t>linkedin</t>
        </is>
      </c>
      <c r="E195">
        <f>HYPERLINK("https://www.linkedin.com/jobs/view/4367377708", "https://www.linkedin.com/jobs/view/4367377708")</f>
        <v/>
      </c>
      <c r="F195" t="inlineStr"/>
      <c r="G195" t="inlineStr">
        <is>
          <t>North Reading, MA</t>
        </is>
      </c>
      <c r="H195" t="inlineStr"/>
      <c r="I195" t="inlineStr">
        <is>
          <t>**Description**
 Drive innovative mobile app and cloud development programs that make neighborhoods safer worldwide. Join Ring's TPM team to launch innovative devices and features while leveraging AI\-powered tools to amplify your impact.
 Are you a passionate Technical Program Manager ready to facilitate breakthrough product development that directly reduces crime and enhances community safety? Ring seeks a customer\-obsessed TPM with bias for action and insatiable curiosity to join our dynamic team.
**What You'll Do**
* Lead cross\-functional programs for new Ring devices and mobile features that delight millions of customers
* Spearhead technology convergence initiatives to boost operational excellence and accelerate launch velocity
* Leverage AI\-powered tools and strategic thinking to drive successful product launches across organizational domains
* Partner with product and engineering teams to deliver results that matter to communities globally
**Why You'll Love It Here**
* Direct impact on neighborhood safety through innovative technology
* Opportunity to combine AI\-enhanced efficiency with human\-centered leadership
* Work with advanced IoT devices, mobile apps, and cloud backend systems
* Join a team that values learning, curiosity, and bold action
 This role offers the perfect blend of strategic program management, emerging technology, and meaningful mission\-driven work in a fast\-paced, innovation\-focused environment.
**About The Team**
 The Builders TPM team orchestrates complex programs across Ring's security ecosystem, transforming product visions into market\-ready solutions that protect millions of homes worldwide.
 We bridge breakthrough ideas to reality by managing multi\-team programs spanning hardware, software, mobile apps, and cloud infrastructure from ideation through deployment.
 Our culture emphasizes customer\-first thinking, bias for action, and collaborative problem\-solving while embracing AI\-enhanced workflows and continuous learning. With high organizational visibility and ownership, we directly impact products used globally by working closely with engineering, product management, and marketing teams.
 If you're energized by turning complex technical challenges into elegant solutions that make neighborhoods safer, you'll thrive in our fast\-paced, innovation\-focused environment.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North Reading \- 148,700\.00 \- 201,200\.00 USD annually
**Company** 
 \- Amazon.com Services LLC
 Job ID: A3169824</t>
        </is>
      </c>
    </row>
    <row r="196">
      <c r="A196" t="inlineStr">
        <is>
          <t>li-4367376703</t>
        </is>
      </c>
      <c r="B196" t="inlineStr">
        <is>
          <t>Senior Technical Program Manager, Ring</t>
        </is>
      </c>
      <c r="C196" t="inlineStr">
        <is>
          <t>Amazon</t>
        </is>
      </c>
      <c r="D196" t="inlineStr">
        <is>
          <t>linkedin</t>
        </is>
      </c>
      <c r="E196">
        <f>HYPERLINK("https://www.linkedin.com/jobs/view/4367376703", "https://www.linkedin.com/jobs/view/4367376703")</f>
        <v/>
      </c>
      <c r="F196" t="inlineStr"/>
      <c r="G196" t="inlineStr">
        <is>
          <t>North Reading, MA</t>
        </is>
      </c>
      <c r="H196" t="inlineStr"/>
      <c r="I196" t="inlineStr">
        <is>
          <t>**Description**
 Drive innovative mobile app and cloud development programs that make neighborhoods safer worldwide. Join Ring's TPM team to launch innovative devices and features while leveraging AI\-powered tools to amplify your impact.
 Are you a passionate Technical Program Manager ready to facilitate breakthrough product development that directly reduces crime and enhances community safety? Ring seeks a customer\-obsessed TPM with bias for action and insatiable curiosity to join our dynamic team.
**What You'll Do**
* Lead cross\-functional programs for new Ring devices and mobile features that delight millions of customers
* Spearhead technology convergence initiatives to boost operational excellence and accelerate launch velocity
* Leverage AI\-powered tools and strategic thinking to drive successful product launches across organizational domains
* Partner with product and engineering teams to deliver results that matter to communities globally
**Why You'll Love It Here**
* Direct impact on neighborhood safety through innovative technology
* Opportunity to combine AI\-enhanced efficiency with human\-centered leadership
* Work with advanced IoT devices, mobile apps, and cloud backend systems
* Join a team that values learning, curiosity, and bold action
 This role offers the perfect blend of strategic program management, emerging technology, and meaningful mission\-driven work in a fast\-paced, innovation\-focused environment.
**About The Team**
 The Builders TPM team orchestrates complex programs across Ring's security ecosystem, transforming product visions into market\-ready solutions that protect millions of homes worldwide.
 We bridge breakthrough ideas to reality by managing multi\-team programs spanning hardware, software, mobile apps, and cloud infrastructure from ideation through deployment.
 Our culture emphasizes customer\-first thinking, bias for action, and collaborative problem\-solving while embracing AI\-enhanced workflows and continuous learning. With high organizational visibility and ownership, we directly impact products used globally by working closely with engineering, product management, and marketing teams.
 If you're energized by turning complex technical challenges into elegant solutions that make neighborhoods safer, you'll thrive in our fast\-paced, innovation\-focused environment.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North Reading \- 148,700\.00 \- 201,200\.00 USD annually
**Company** 
 \- Amazon.com Services LLC
 Job ID: A3169817</t>
        </is>
      </c>
    </row>
    <row r="197">
      <c r="A197" t="inlineStr">
        <is>
          <t>li-4367341980</t>
        </is>
      </c>
      <c r="B197" t="inlineStr">
        <is>
          <t>Technical Program Manager</t>
        </is>
      </c>
      <c r="C197" t="inlineStr">
        <is>
          <t>Hewlett Packard Enterprise</t>
        </is>
      </c>
      <c r="D197" t="inlineStr">
        <is>
          <t>linkedin</t>
        </is>
      </c>
      <c r="E197">
        <f>HYPERLINK("https://www.linkedin.com/jobs/view/4367341980", "https://www.linkedin.com/jobs/view/4367341980")</f>
        <v/>
      </c>
      <c r="F197">
        <f>HYPERLINK("https://careers.hpe.com/us/en/job/1196675/Technical-Program-Manager?utm_source=linkedin&amp;urlHash=_mLI", "https://careers.hpe.com/us/en/job/1196675/Technical-Program-Manager?utm_source=linkedin&amp;urlHash=_mLI")</f>
        <v/>
      </c>
      <c r="G197" t="inlineStr">
        <is>
          <t>Houston, TX</t>
        </is>
      </c>
      <c r="H197" t="inlineStr"/>
      <c r="I197"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At Hewlett Packard Enterprise (HPE), we're at the forefront of the AI and supercomputing revolution. Our High Performance Computing (HPC) and AI business unit is building the world's most powerful systems, like the exascale Frontier and Aurora supercomputers, to solve humanity's most complex problems. We are seeking a driven and deeply technical Program Manager (TPM) to orchestrate the development and delivery of our next\-generation HPC and AI solutions.
 A Technical Program Manager (TPM) is a leader who drives complex, cross\-functional technical projects from conception to launch, serving as the nexus of engineering, product management, and operations. They act as the bridge between all stakeholders, ensuring that technical projects meet strategic goals, stay on schedule, and fall within budget. This role requires a unique blend of a strong technical background in large\-scale systems, program management rigor, business acumen, and exceptional communication skills to manage dependencies across hardware, software, and partner ecosystems.
**As a TPM, You Would**
* Manage the entire life cycle of a program (Program Lifecycle Management – PLM), from initial Concept to Release.
* Working with Product managers and Engineering program managers to drive the alignment of consistent processes and governance with business constraints and time to market requirements
* Utilize the Work Breakdown Structure (WBS) to create and drive an integrated schedule that tracks progress across different functional teams, including hardware, firmware, software, validation, and manufacturing and manage complex dependencies.
* Drive technical projects and provide leadership in a fast\-paced, ambiguous environment. This involves managing project schedules, identifying risks, and clearly communicating them to stakeholders.
* Serve as the central point of communication for the program, providing regular status updates to executives and resolving critical issues that block progress.
* Communicate with a wide range of stakeholders, including hardware and software engineers, product managers, manufacturing, and senior leadership, ensuring everyone is aligned on goals and progress.
* Collaborate with cross\-functional teams including hardware engineering, BIOS/firmware development, thermal engineering, and manufacturing.
* Lead cross functional teams and drive interlocks across all functions in the value chain including, but not limited to Product Management, Supply Chain, Finance, R\&amp;D, Sales Enablement, Marketing and Support.
* Engage regularly with core team members \- developing relationships, sharing best practices, identifying, and managing dependencies, identifying opportunities for improvement, fostering teamwork, and gaining synergies where applicable.
* As a member of the High\-Performance Compute \&amp; AI Program Management Office, be an advocate for improvements to all PMO processes. Contribute ideas and improvements to transform to PLM processes
* Develop the skills necessary to manage solutions that are a mix of hardware, software, firmware and services.
**Minimum Qualifications**
**Education and Experience Required:**
* Bachelor’s degree in Computer Science, Electrical Engineering, or a related technical field.
* 5\+ years of experience in technical program management, software engineering, or hardware engineering.
* Proven experience managing the New Product Introduction (NPI) lifecycle for complex hardware and software products.
* Demonstrated experience leading cross\-functional teams to deliver products on schedule.
* Agile, PMP, or other program management certifications are a plus.
* HW, SW,Six Sigma, etc.
**Preferred Qualifications**
* Master’s degree or PhD in a relevant technical field.
* Direct experience in High\-Performance Computing (HPC), supercomputing, or AI/ML infrastructure.
* Deep familiarity with server system architecture, including CPUs, GPUs (e.g., NVIDIA H100, AMD MI300\), networking fabrics (e.g., Slingshot), and storage hierarchies.
* Hands\-on experience with manufacturing processes, Bill of Materials (BOM) management, and supply chain logistics for large\-scale systems.
* Understanding of the AI/HPC software stack, including parallel programming models (e.g., MPI, CUDA), job schedulers (e.g., Slurm), and popular AI frameworks (e.g., PyTorch, TensorFlow).
* Exceptional problem\-solving skills, with an ability to navigate ambiguity and make data\-driven decisions in a fast\-paced environment.
* Experience working directly with strategic partners, suppliers, and enterprise customers.
**Key Responsibilities**
* End\-to\-End Program Leadership: Own and manage the entire lifecycle of complex HPC \&amp; AI programs, from initial concept and architectural definition through development, validation, and customer delivery. Define program scope, deliverables, and success metrics.
* Cross\-Functional Execution: Lead and align a diverse team of hardware engineers (silicon, systems, networking), software developers (firmware, OS, AI frameworks), product managers, supply chain experts, and marketing teams. Foster a collaborative environment to ensure seamless execution.
* Technical Roadmapping \&amp; Scheduling: Create and maintain integrated master schedules that track hardware development milestones (e.g., CPU/GPU integration, system design, validation) alongside software release cadences. Identify and manage the critical path and interdependencies.
* Risk \&amp; Dependency Management: Proactively identify technical and logistical risks, develop mitigation strategies, and manage complex dependencies between internal teams and external partners (e.g., NVIDIA, AMD, Intel). You're not just tracking risks; you're actively solving them.
* Stakeholder Communication: Serve as the central point of communication for your programs. Clearly and concisely report on status, risks, and decisions to executive leadership and key stakeholders. Translate complex technical issues into clear business impact.
* Drive Technical Decisions: Leverage your deep technical knowledge of HPC/AI architectures—including accelerators (GPUs), high\-speed interconnects, liquid cooling, and system management software—to facilitate technical trade\-offs and drive architectural decisions that align with program goals.
* Manage complex projects following defined PLM process and governance, utilize PDP tools, and implement best practices across each phase of PLM.
* Create and manage high confidence program schedules with clear dependencies, critical path, and systematic methodology to communicate program status. Manage risks and mitigations, and re\-plan as events warrant.
* Provide clear, timely and objective communication to executive management and other stakeholders
* Strengthen core team relationships through collaboration, influence and negotiation. Be able to lead through ambiguity and change.
* Develop and deliver complete and accurate program materials to facilitate appropriate discussion and drive timely decisions, predictable results, and clear accountability.
* Drive PLM planning and execution with Business Unit cross functional leads to achieve schedule, scope, and budget program commitments aligned with business and quality targets, process execution and product launch.
* Proactively identify issues and solutions, and marshal resources necessary to resolve them
* Be an agent of change by supporting, applying, and advocating PLM processes and governance requirements
**Knowledge And Skills**
* Ability to work independently to drive program execution and/or strategic projects
* Excellent project management skills, including project structuring and managing multiple work streams interdependently.
* Strong analytical thinking, analysis, and problem\-solving skills
* Ability to communicate abstract ideas clearly and independently manage complex project objectives
* Business acumen and strategic agility with demonstrated technical cognizance.
* Strong verbal and written communication skills, including negotiation, presentation, and influence.
* Ability to independently draft and present deliverables, recommendations, and communication strategies.
* Superior group facilitation, interviewing, and influence skills.
* Proficiency in and use of project management tools such as MS Project, Confluence, Jira, Smart Sheets, PowerBI, etc.
* Strong relationship management skills, including partnering and consulting
* Strong leadership skills, including coaching, team building, conflict resolution, and management.
* Ability to learn and draw on new analytical techniques to develop creative approaches to project objectives.
* Experience managing business, product management or product development programs within HPE is a plus.
* Proficiency in Waterfall, Agile, SLDC R\&amp;D development processes.
* Escalation, analytics \&amp; alerting for problem identification, decision making, and communication
* TPC tracking utilizing KPIs
* Scenario analysis to assess potential impacts (e.g., need $xM savings, what are the options?)
* Work with stakeholders to track project budgets, track expenses, and ensure that projects stay on track financially.
* Previous role as an engineer or software developer developed software.
* Previous experience working on FW or strong technical knowledge of firmware.
**About HPE**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**Additional Skills**
 Accountability, Accountability, Active Learning, Active Listening, Bias, Business Decisions, Business Development, Business Metrics, Business Performance, Business Strategies, Calendar Management, Coaching, Computer Literacy, Creativity, Critical Thinking, Cross\-Functional Teamwork, Design Thinking, Empathy, Follow\-Through, Growth Mindset, Intellectual Curiosity (Inactive), Leadership, Long Term Planning, Managing Ambiguity, Personal Initiative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Business Planning
**Job Level**
 Master
 "The expected salary/wage range for this position is provided below. Actual offer may vary from this range based upon geographic location, work experience, education/training, and/or skill level.
 – United States of America: Annual Salary USD 119,500 \- 275,000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98">
      <c r="A198" t="inlineStr">
        <is>
          <t>li-4367361853</t>
        </is>
      </c>
      <c r="B198" t="inlineStr">
        <is>
          <t>Technical Program Manager (Zscaler)</t>
        </is>
      </c>
      <c r="C198" t="inlineStr">
        <is>
          <t>Akkodis Group Nordics</t>
        </is>
      </c>
      <c r="D198" t="inlineStr">
        <is>
          <t>linkedin</t>
        </is>
      </c>
      <c r="E198">
        <f>HYPERLINK("https://www.linkedin.com/jobs/view/4367361853", "https://www.linkedin.com/jobs/view/4367361853")</f>
        <v/>
      </c>
      <c r="F198" t="inlineStr"/>
      <c r="G198" t="inlineStr">
        <is>
          <t>Pawtucket, RI</t>
        </is>
      </c>
      <c r="H198" t="inlineStr"/>
      <c r="I198" t="inlineStr">
        <is>
          <t>Akkodis is seeking a
 **Technical Program Manager (Zscaler)** 
 for a
 **Contract** 
 job with a client in
 **Pawtucket, RI** 
 . Ideally looking for applicants with strong hands\-on experience managing cross‑functional security programs, leading Zero Trust and IAM initiatives, and deep expertise in Zscaler technologies including ZIA and ZPA.
**Rate Range:** 
 $45\.45/hour to $60/hour; The rate may be negotiable based on experience, education, geographic location, and other factors.
**Technical Program Manager (Zscaler) Job Responsibilities Include**
* Drive end‑to‑end delivery of Zscaler‑focused security programs, ensuring alignment with business and security objectives.
* Develop and maintain program roadmaps, resource plans, timelines, and risk mitigation strategies.
* Oversee deployment, integration, and operationalization of Zscaler Internet Access (ZIA) and Zscaler Private Access (ZPA) across enterprise environments.
* Ensure compliance with Zero Trust, identity, cloud security, and regulatory requirements.
* Define governance frameworks, lifecycle management processes, KPIs, and metrics to measure program success.
* Collaborate across IT, Security, IAM, and business units to align technical execution with organizational priorities.
* Facilitate workshops, training sessions, and stakeholder communication at all levels.
**Desired Qualifications**
* Bachelor’s Degree in Computer Science, Information Security, or a related field.
* 7\+ years of experience in technical program management or cybersecurity leadership roles.
* Proven expertise with Zscaler Internet Access (ZIA) and Zscaler Private Access (ZPA).
* Strong understanding of Zero Trust, identity federation, cloud security architectures, networking fundamentals (VPN, proxy, firewalls).
* Excellent communication, stakeholder management, and problem‑solving skills.
* Ability to manage multiple priorities in a fast‑paced environment.
* Preferred certifications: CISM, CISSP, PMP, Zscaler Certified Professional, or equivalent.
* Experience with cloud platforms such as AWS, Azure, or GCP, and familiarity with DevSecOps practices.
 If you are interested in this role, then please click APPLY NOW. For other opportunities available at Akkodis, or any questions, feel free to contact me at
 **Ritesh.Kumar@** 
**akkodisgroup.com.**
**Pay Details:** 
 $45\.45 to $60\.00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99">
      <c r="A199" t="inlineStr">
        <is>
          <t>li-4367005978</t>
        </is>
      </c>
      <c r="B199" t="inlineStr">
        <is>
          <t>Program Manager (Software Licensing and IT assets)</t>
        </is>
      </c>
      <c r="C199" t="inlineStr">
        <is>
          <t>Metropolitan Council of the Twin Cities</t>
        </is>
      </c>
      <c r="D199" t="inlineStr">
        <is>
          <t>linkedin</t>
        </is>
      </c>
      <c r="E199">
        <f>HYPERLINK("https://www.linkedin.com/jobs/view/4367005978", "https://www.linkedin.com/jobs/view/4367005978")</f>
        <v/>
      </c>
      <c r="F199" t="inlineStr"/>
      <c r="G199" t="inlineStr">
        <is>
          <t>St Paul, MN</t>
        </is>
      </c>
      <c r="H199" t="inlineStr"/>
      <c r="I199" t="inlineStr">
        <is>
          <t>**APPLICATION DEADLINE:** 
 2/11/2026 11:59 PM Central
**The Metropolitan Council’s Office of Equity and Equal Opportunity (OEEO)** 
 supports the role of the Council in its employment practices and business operations to advance its mission and respect for equality, equity, inclusion, access, and diversity among its employees, customers, and the citizens of the Twin Cities metropolitan area.
*This position is eligible for hybrid (remote and onsite) teleworking.* 
 The Program Manager will be responsible for establishing and maintaining a structured approach to software asset management to maximize value while minimizing potential legal and financial risks.
**Minimum Requirements:** 
 Any of the following combinations of education in Computer Science/Engineering, Information Technology, or related, and experience (in managing, tracking of software licenses, and IT assets).
* High school diploma/GED and nine (9\) years of experience
* Associate’s degree and seven (7\) years of experience
* Bachelor’s degree and five (5\) years of experience
* Master's degree and three (3\) years of experience
**Salary Range:** 
 $93,017\.60 \- $150,862\.40 Annually
**See complete job posting and apply:** 
 https://www.governmentjobs.com/careers/metrocouncil</t>
        </is>
      </c>
    </row>
    <row r="200">
      <c r="A200" t="inlineStr">
        <is>
          <t>li-4367054041</t>
        </is>
      </c>
      <c r="B200" t="inlineStr">
        <is>
          <t>Sr. Program Manager</t>
        </is>
      </c>
      <c r="C200" t="inlineStr">
        <is>
          <t>Jobs via Dice</t>
        </is>
      </c>
      <c r="D200" t="inlineStr">
        <is>
          <t>linkedin</t>
        </is>
      </c>
      <c r="E200">
        <f>HYPERLINK("https://www.linkedin.com/jobs/view/4367054041", "https://www.linkedin.com/jobs/view/4367054041")</f>
        <v/>
      </c>
      <c r="F200" t="inlineStr"/>
      <c r="G200" t="inlineStr"/>
      <c r="H200" t="inlineStr"/>
      <c r="I200" t="inlineStr">
        <is>
          <t>Dice is the leading career destination for tech experts at every stage of their careers. Our client, STAND 8, is seeking the following. Apply via Dice today!
 STAND 8 provides end to end IT solutions to enterprise partners across the United States and with offices in Los Angeles, New York, New Jersey, Atlanta, and more including internationally in Mexico and India.
 We are seeking a highly capable Technical Program Manager (TPM) to lead and drive complex, large\-scale programs spanning multiple technology, product, operational, and business teams. This role requires strong technical fluency, exceptional cross\-functional leadership, and the ability to manage programs with significant integrations, dependencies, and organizational impact.
**This position is not a Product Manager role \- the TPM will be fully focused on delivery, coordination, execution, program governance, and ensuring alignment across multiple technical workstreams.**
**Responsibilities**
 Program Leadership \&amp; Delivery
* Lead large, multi\-team technical programs and ensure alignment on priorities, timelines, scope, and deliverables.
* Create and manage program roadmaps, milestones, risks, and dependencies across all participating teams.
* Oversee system integrations, deployments, workflow changes, and multi\-environment readiness.
 Cross\-Functional Coordination
* Serve as the central point of coordination between engineering, operations, product, newsroom/business teams, and leadership.
* Translate complex technical concepts into clear, actionable communication for both technical and non\-technical stakeholders.
* Facilitate cross\-team decision\-making and drive clarity in ambiguous or rapidly evolving situations.
 Operational \&amp; Organizational Change Management
* Lead programs involving workflow transitions, system migrations, and organizational structure changes.
* Ensure teams and processes adapt successfully to new tools, systems, or operational models.
* Develop and implement scalable program processes that improve execution efficiency and predictability.
 Risk \&amp; Dependency Management
* Identify risks early, drive mitigation plans, and escalate effectively with clear context.
* Ensure all teams understand upstream/downstream dependencies and maintain alignment through program execution.
 Technical \&amp; Launch Readiness
* Coordinate technical, operational, and business readiness for major deployments and transitions.
* Ensure teams across multiple time zones remain aligned and prepared for launch milestones.
**Qualifications**
 Required
* Proven experience as a Technical Program Manager overseeing complex, multi\-workstream initiatives.
* Strong technical understanding of systems architecture, integrations, APIs, and workflow dependencies (coding background not required).
* Demonstrated ability to lead high\-visibility programs with broad cross\-functional impact.
* Experience driving organizational change management across multiple teams.
* Excellent communication, stakeholder alignment, and executive reporting skills.
* Comfortable working across time zones in distributed environments.
**Preferred**
* Experience in broadcast, media, or newsroom environments, particularly in fast\-paced or live production ecosystems.
* Background with programs involving workflow transitions, operational integration, or multi\-system deployments.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$85 \- $95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row>
    <row r="201">
      <c r="A201" t="inlineStr">
        <is>
          <t>li-4367358593</t>
        </is>
      </c>
      <c r="B201" t="inlineStr">
        <is>
          <t>Program Manager</t>
        </is>
      </c>
      <c r="C201" t="inlineStr">
        <is>
          <t>OES Equipment</t>
        </is>
      </c>
      <c r="D201" t="inlineStr">
        <is>
          <t>linkedin</t>
        </is>
      </c>
      <c r="E201">
        <f>HYPERLINK("https://www.linkedin.com/jobs/view/4367358593", "https://www.linkedin.com/jobs/view/4367358593")</f>
        <v/>
      </c>
      <c r="F201" t="inlineStr"/>
      <c r="G201" t="inlineStr">
        <is>
          <t>Atlanta, GA</t>
        </is>
      </c>
      <c r="H201" t="inlineStr"/>
      <c r="I201" t="inlineStr">
        <is>
          <t>**Job Description**
 OES Equipment, part of the DPR Family of Companies, is a fast\-paced supply and rental equipment company focused on the construction industry. We’re looking for an experienced program manager to drive and deploy technology initiatives within OES. The ideal candidate will guide the strategic roadmap for OES company initiatives and provide program governance, manage change, and rollout system enhancements that enable efficiency, innovation, and scalable growth.
**Job Responsibilities**
* Lead and coordinate diverse technology products, projects, and strategic initiatives within the OES Equipment program and roadmap.
* Guide the strategic roadmap for OES\-specific product features, technology, and integrated workgroup alignment, including new initiative intake, triage, and scoring.
* Gather additional requirements for new initiatives and ideas where needed to help guide strategic decision making.
* Develop, implement, and assess program governance, strategic plans, and objectives.
* Communicate a clear vision and direction for the program.
* Engage in stakeholder management activities.
* Contribute to the creation of comprehensive program reports, materials, and content.
* Direct and manage, formally or informally, cross\-functional teams of project managers, business analysts, database and network administrators, developers, solution architects and application administrators to ensure the delivery and execution of projects and maintenance.
* Supervise program plans, ensuring accurate tracking of progress and adjustments, inter\-project dependencies, and deployment of initiatives to meet program goals and objectives.
* Provide mentorship, coaching, and exemplary leadership to team members formally or informally.
* Participate in sprint planning meetings to help the team understand the priorities and requirements.
* Identify and implement enhancements to streamline team efficiency and processes.
* Cultivate strong relationships with vendor partners.
* Manage the program budget meticulously in partnership with direct supervisor.
**Education**
* Bachelor’s degree in Information Technology, Computer Science, Engineering, or a related technical field. A business degree with a strong technical background is also acceptable. Experience may be considered in lieu of degree.
* Proficient with project management methodologies (Agile, Lean, Waterfall, and Scrum) or a related discipline.
* Adept in various project management applications such as Miro, Asana, SmartSheet, Power BI, Monday.com, MS Project, and PowerPoint.
**Knowledge \&amp; Experience**
* 5\+ years of experience developing and managing project plans, schedules and budgets for technology implementations and projects.
* 3\+ years of experience leading and coordinating resources to meet milestones and deliverables and facilitating communication between technical and business teams to ensure alignment and understanding.
* 3\+ years of experience in collaborating with diverse stakeholders, including leadership, end users and external vendors.
* Knowledge of commercial construction, rental equipment, and supply chain processes and workflows and financials is preferred.
* Strong knowledge of application deployment concepts including utilization of multiple application or system environments (development, testing, staging, and production), testing, and rollbacks.
* Ability to manage multiple projects simultaneously and prioritize tasks effectively.
* Working knowledge of traditional/waterfall and agile project management principles and associated tools such as Jira or Azure DevOps.
* Familiarity with Information Technology Infrastructure Library (ITIL) best practices, tools, and processes such as asset, access, incident, and problem management; change control; and service request fulfillment.
* Experiencing in leading and mentoring a team of technology professionals.
**Physical Requirements**
* Prolonged periods of sitting and/or standing at a computer screen.
* Must be able to sit or stand for long periods of time.
* Must be able to lift 15 pounds at times.
* Occasional domestic travel may be required for meetings (estimated at a maximum quarterly but may flex based on project or program needs).
* While this is a hybrid role with most time being spent working from home, attendance at important meetings and events at the local OES Equipment/DPR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202">
      <c r="A202" t="inlineStr">
        <is>
          <t>li-4367038628</t>
        </is>
      </c>
      <c r="B202" t="inlineStr">
        <is>
          <t>Senior Risk Program Manager</t>
        </is>
      </c>
      <c r="C202" t="inlineStr">
        <is>
          <t>Banner Health</t>
        </is>
      </c>
      <c r="D202" t="inlineStr">
        <is>
          <t>linkedin</t>
        </is>
      </c>
      <c r="E202">
        <f>HYPERLINK("https://www.linkedin.com/jobs/view/4367038628", "https://www.linkedin.com/jobs/view/4367038628")</f>
        <v/>
      </c>
      <c r="F202" t="inlineStr"/>
      <c r="G202" t="inlineStr">
        <is>
          <t>Tucson, AZ</t>
        </is>
      </c>
      <c r="H202" t="inlineStr"/>
      <c r="I202" t="inlineStr">
        <is>
          <t>**Primary City/State:**
 Tucson, Arizona
**Department Name:**
 Clinical Risk Mgmt \&amp; Ptnt Rel
**Work Shift:**
 Day
**Job Category:**
 Risk, Quality and Safety
 You have a place in the health care industry. At Banner Health, caring for people is at the core of all we do. We are committed to fostering a strong, inclusive culture where every team member feels valued and supported. If that sounds like something you want to be a part of \- apply today!
 In this role you will investigate and manage real time patient events to assess harm, liability and opportunities to collaborate with other corporate teams for process improvement and development of best practice. The ideal candidate will have a strong clinical background preferably in critical care and prior risk, patient safety or quality experience.
**This position is hybrid at BUMC Tucson working Monday\-Friday, 8am\-5pm.**
 Within Banner Health Corporate, you will have the opportunity to apply your unique experience and expertise in support of a nationally\-recognized healthcare leader. We offer stimulating and rewarding careers in a wide array of disciplines. Whether your background is in Human Resources, Finance, Information Technology, Legal, Managed Care Programs or Public Relations, you'll find many options for contributing to our award\-winning patient care.
**Position Summary**
 This position is responsible for the assigned entity’s risk management activities, which includes, but may not be limited to a general knowledge of corporate insurance programs, administering the risk management program on a day\-to\-day basis, managing and analyzing risk management data and conducting risk management educational programs, complying with risk management related standards by The Joint Commission (TJC) and other accrediting and regulatory agencies, all with the objective of enhancing and promoting patient safety and quality of care, and minimizing loss to protect the assets of the organization. This individual is responsible for reviewing and formulating policy or organizational changes and making recommendations for final approval by senior management. While the Senior Risk Manager position may be responsible for the functions in the Risk Manager and Risk Specialist job descriptions, this position most often supervises and offers overall program direction to the Risk Manager and Risk Specialist. Oversees budget development for assigned entities and obtains management approval.
**Core Functions**
* Has full responsibility for operations of the risk management program that may include an enterprise liability approach to exposures. Plans and implements a program for both loss prevention and loss control at assigned entities, and a comprehensive orientation program; those programs will be directed to all current and future employees, physicians, and residents to advise them of their responsibilities, obligations, and part in the facility’s risk management program. Maintains awareness of legislative activities that may affect risk management programs in assigned entities and participates in the legislative process.
* Develops, implements and monitors risk management plans for assigned entities. Develops and monitors progress on annual entity\-specific risk management goals. Conducts systems analyses to uncover and identify patterns that could result in compensable events. Designs and implements risk management surveys and studies; conducts surveys, studies, and special projects to assist in long\-term planning and changes to facility policies and systems that reduce risk and losses. Participates in new business development activities by providing due diligence on new ventures/acquisitions.
* Assumes an active role in planning and decision making efforts through membership in various entity committees: hospital, clinic, and ambulatory. Provides consultative advice to senior management, administrators, physicians, relevant internal department, nurses, and other personnel regarding patient safety and risk management issues. Works with Medical Staff Services to develop and maintain risk management profiles on physicians and integrates that information into the credentialing process in compliance with state and federal agencies, TJC and/or other accrediting bodies, and institutional requirements.
* Informs service line and department directors of occurrences, issues, findings and risk management recommendations; provides feedback to directors at all levels in an effort to eliminate risks; assists clinical chairs and department heads in designing risk management programs within their departments. Works in conjunction with the patient safety officer, service excellence, and management in the investigation of potential or actual events/concerns. Participates in root cause analysis investigation and reporting of adverse drug events and sentinel events to the appropriate parties. Provides assistance to departments in complying with TJC or other accrediting agencies, regarding risk management related standards.
* Directs loss control/loss prevention activities and reports results to senior administration. Supervises the statistical trending of losses and analyzes patterns. Provides analysis of risk data for all levels of management. Participates in Case Reviews to identify emerging issues in the defense of claims.
* Responds to professional liability and facility liability questions posed by physicians, nurses, and other personnel. Leads development of organization\-wide approach on disclosure of medical errors and obtains physician support. Answers inquiries of physicians, nurses, and administrators regarding emergent patient care issues to minimize risk and control loss. Assist in resolving treatment issues, including patient decisions made against medical advice (AMA), refusals of treatment, and consent issues; initiates court orders as appropriate via in\-house and outside legal counsel. Responsible for being on call as scheduled.
* Recommends appropriate revisions to new or existing policies and procedures to reduce the frequency of future occurrences; recommends ways to minimize risks through system changes; reviews and revises facility policies as appropriate to maintain adherence to current standards. In litigated claims, assists Banner Health Claims team and legal counsel in accessing facility records and personnel. Directs and coordinates release of records and information in response to subpoenas, court orders, attorney requests, state and federal agency investigations, and other inquiries from outside sources.
* Analyzes the risk of loss versus cost of reducing risk. Supervises accumulation of risk management cost data for budgetary and historical purposes: prepares budgets for departmental operations for approval by Regional Risk Manager.
* Internal customers include senior management at assigned entities, patients and their families, administrators, physicians, relevant department heads, all types of employees, Business Health area claims managers, regional leaders, and the organization as a whole. External customers include federal agencies, the legal system such as the judiciary, outside legal counsel; state agencies, various professional boards; state and local law enforcement agencies; physicians and other health care providers.
**Minimum Qualifications**
 Must possess a knowledge of risk management as normally obtained through a bachelor’s degree in nursing or related field.
 ARM, CPHRM, DFASHRM, CPCU. CPHRM is required within one year of hire.
 Requires 6 – 9 years in Risk Management or equivalent experience. Must demonstrate and apply knowledge of federal and state statutes specific to health care, medical terminology and hospital or department policies, procedures and practices.
 Must possess strong written and oral communications skills, presentation skills, team player, ability to influence change without direct authority, and negotiation skills. Requires ability to manage and negotiate in emotional and confrontational situations, with sensitivity to operations and culture of facilities and organization as a whole.
**Preferred Qualifications**
 RN preferred.
 ARM, CPHRM, DFASHRM, CPCU.
**Additional Related Education And/or Experience Preferred.**
**EEO Statement:**
 EEO/Disabled/Veterans
 Our organization supports a drug\-free work environment.
**Privacy Policy:**
 Privacy Policy</t>
        </is>
      </c>
    </row>
    <row r="203">
      <c r="A203" t="inlineStr">
        <is>
          <t>li-4356437032</t>
        </is>
      </c>
      <c r="B203" t="inlineStr">
        <is>
          <t>Staff Technical Program Manager</t>
        </is>
      </c>
      <c r="C203" t="inlineStr">
        <is>
          <t>MX</t>
        </is>
      </c>
      <c r="D203" t="inlineStr">
        <is>
          <t>linkedin</t>
        </is>
      </c>
      <c r="E203">
        <f>HYPERLINK("https://www.linkedin.com/jobs/view/4356437032", "https://www.linkedin.com/jobs/view/4356437032")</f>
        <v/>
      </c>
      <c r="F203" t="inlineStr"/>
      <c r="G203" t="inlineStr"/>
      <c r="H203" t="inlineStr"/>
      <c r="I203" t="inlineStr">
        <is>
          <t>**Life at MX**
 We are driven by our moral imperative to advance mankind \- and it all starts with our people, product and purpose. We always carry a deep sense of drive and passion with us. If you thrive in a challenging work environment, surrounded by incredible team members who will help you grow, MX is the right place for you.
 Come build with us and be part of an award\-winning company that’s helping create meaningful and lasting change in the financial industry.
**Job Summary**
 The Staff Technical Program Manager (Product) is a high\-impact leadership role responsible for the end\-to\-end delivery of complex software products and distributed systems. You will serve as the primary bridge between Product Management and Software Engineering (SWE), ensuring that ambitious product visions are translated into scalable, high\-performance technical architectures.
 Unlike traditional program management, this role requires a deep understanding of the Software Development Lifecycle (SDLC). You will partner with engineering leads to navigate technical trade\-offs, manage cross\-team dependencies, and ensure the successful rollout of features that meet stringent security, scalability, and reliability standards. You are the "technical glue" that keeps cross\-functional teams aligned—from initial system design through to production launch.
 As a Staff TPM, you will not only drive high\-priority initiatives but also evolve our engineering processes to increase developer velocity and product quality. The ideal candidate has a background in software engineering or systems architecture and thrives in an environment where they can influence both the
 *what* 
 (product strategy) and the
 *how* 
 (technical execution).
**Job Duties**
* Technical Product Delivery: Drive the end\-to\-end execution of the product roadmap by partnering with Product Management to define requirements and software engineering to oversee technical implementation.
* System Design and Architecture Review: Participate in technical design reviews and Requests for Comments processes. Act as a critical partner to SWE leads in evaluating technical trade\-offs, such as scalability vs speed to market.
* SDLC Optimization: Own and refine the software development lifecycle for your product area(s). Identify and remove bottlenecks in the development process to increase developer velocity and ensure high\-quality, predictable deployments.
* Dependency \&amp; Risk Management: Proactively identify and manage complex cross\-team technical dependencies. Build and maintain dependency maps to ensure that platform changes, API updates or infrastructure shifts do not stall product delivery.
* Technical Specs and Documentation: Translate high level product requirement documents into actionable technical execution plans. Ensure technical documentation including API contracts and systems diagrams is accurate and accessible to stakeholders.
* Strategic Alignment: Facilitate and drive the relationship between product and engineering. Ensure that technical debt and architectural health are prioritized alongside new feature development in the long term roadmap.
* Data Driven Governance: Define and track KPIs and OKRs for program health. Use metrics to provide executive\-level visibility into progress and risks.
* Release management: Oversee complex, multi\-service release cycles. Coordinate with TechOps, InfoSec, and SRE to ensure product launches meet performance benchmarks and reliability standards.
**Requirements**
* Bachelor’s degree in Computer Science, Engineering, or a related technical field, or equivalent practical work experience.
* 10\+ years of experience in technical program management, specifically leading large\-scale software delivery within an engineering organization.
* Proven track record of managing the end\-to\-end SDLC for complex, distributed systems from initial concept through production launch.
* Expertise in using modern program management tools and methodologies (e.g., Jira, Agile/Scrum) to drive engineering velocity and improve sprint health.
* Experience managing high\-priority portfolios, including strategic roadmapping, cross\-team resource allocation, and technical risk mitigation.
* Exceptional communication skills with a demonstrated ability to provide executive\-level visibility and influence cross\-functional leadership.
* Ability to evaluate technical trade\-offs and partner with architects to ensure product requirements align with system scalability.
* Meticulous attention to detail in financial planning, personnel management, and the execution of highly technical program goals.
**Preferred Requirements (not Required)**
* Proven ability to navigate high levels of technical ambiguity and operate autonomously at a leadership level to resolve complex blockers during zero\-to\-one product builds.
* A systems\-thinking mindset with experience developing long\-term technical strategy and building business cases for architectural health (e.g., scalability or tech debt reduction).
* Strong analytical and quantitative skills with the ability to utilize engineering\-specific metrics to guide decision\-making and generate actionable product insights.
* Demonstrated curiosity with a bias toward building automated inspection mechanisms and technical governance processes that drive continuous learning and accountability.
* Fluency in executive technical storytelling and the ability to drive organizational change management.
* 3\+ years of direct experience in a technical role, such as Software Engineer, Site Reliability Engineer (SRE), DevOps, or Systems Architect.
* Experience in systemic change management.
 Work Environment
 At MX, we utilize a hybrid work model, which allows us to attract top talent, provide work\-life balance, and increase productivity through collaboration. Our team members enjoy a balance of remote work and monthly in\-person collaboration meetings. Travel expectations are about 15%, and the company covers travel expenses for remote employees. Local employees are encouraged to utilize in\-office time on a weekly basis. Both local and remote employees can take advantage of our incredible office space with onside perks like company\-paid meals, onsite massage therapist, golf simulator, and meditation room to name a few.
**Compensation**
 The expected on\-target earnings (OTE), which is comprised of a base salary and other forms of cash compensation, such as bonus or commissions is currently $min to $mid. This pay range is just one component of MX's total rewards package. MX takes a number of factors into account when determining individual starting pay, including job and level they are hired into, location, skillset, peer compensation.
 At MX, we are a high\-performance organization that thrives on trust and results. This role is based in Lehi, Utah, with flexibility for both in\-office and remote work. We believe in empowering our team members to deliver exceptional outcomes while taking advantage of our incredible office space when it best supports their work. Our Utah office features onsite perks such as company\-paid meals, massage therapists, a sports simulator, gym, mother’s lounge, and meditation room and meaningful interactions with amazing people. We encourage team members to come together in the office to collaborate, kick off key projects, or strategize cross\-functionally, fostering connection and innovation.
 MX is proudly committed to recruiting and retaining a diverse and inclusive workforce. As an Equal Opportunity Employer, we never discriminate based on race, religion, color, national origin, gender (including pregnancy, childbirth, or related medical conditions), sexual orientation, gender identity, gender expression, age, military or veteran status, status as an individual with a disability, or other applicable legally protected characteristics. We particularly welcome applications from veterans and military spouses. All your information will be kept confidential according to EEO guidelines. You may request reasonable accommodations by sending an email to hr@mx.com.</t>
        </is>
      </c>
    </row>
    <row r="204">
      <c r="A204" t="inlineStr">
        <is>
          <t>li-4367385283</t>
        </is>
      </c>
      <c r="B204" t="inlineStr">
        <is>
          <t>Sr. Technical Program Manager</t>
        </is>
      </c>
      <c r="C204" t="inlineStr">
        <is>
          <t>F5</t>
        </is>
      </c>
      <c r="D204" t="inlineStr">
        <is>
          <t>linkedin</t>
        </is>
      </c>
      <c r="E204">
        <f>HYPERLINK("https://www.linkedin.com/jobs/view/4367385283", "https://www.linkedin.com/jobs/view/4367385283")</f>
        <v/>
      </c>
      <c r="F204" t="inlineStr"/>
      <c r="G204" t="inlineStr">
        <is>
          <t>San Jose, CA</t>
        </is>
      </c>
      <c r="H204" t="inlineStr"/>
      <c r="I204"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**Role Summary**
 The Senior Technical Program Manager – Infrastructure owns the end\-to\-end lifecycle of global Points of Presence (PoPs), public cloud substrates for a mission\-critical SaaS platform. This role is accountable for planning, execution, operational readiness, and decommissioning of PoPs, public cloud substrates across regions, while ensuring availability, security, cost efficiency, and regulatory compliance.
 You will serve as the single\-threaded owner for cross\-functional infrastructure programs spanning network engineering, SRE, cloud platform, security, compliance, finance, procurement, and operations. The role requires deep technical fluency, strong execution rigor, and the ability to operate in high availability (99\.99%\+), regulated SaaS environments.
**Key Responsibilities**
* Lead cross\-functional, complex infrastructure programs across global data centers, network backbone, and edge locations.
* Own end\-to\-end delivery of data center, PoP, public cloud substrates infrastructure programs, including capacity planning, network readiness, and production rollout.
* Drive program execution across build, operate, and lifecycle optimization phases.
* Coordinate engineering, operations, procurement, real estate, security, and compliance teams.
* Manage interdependencies across hardware, network, software, and site operations.
* Develop and maintain program plans, schedules, and risk mitigation strategies.
* Communicate clearly with technical and non\-technical stakeholders.
* Identify and mitigate risks related to availability, security, compliance, and cost.
* Provide executive\-level reporting on program health, milestones, and dependencies
**Required Qualifications**
- 8\+ years of experience in Technical Program Management, Infrastructure Program Management, or Engineering Operations.
- Proven experience managing large\-scale infrastructure programs (data centers, PoPs, edge, network\-heavy platforms).
- Strong technical understanding of:
* Networking (BGP, peering, load balancing)
* Compute, storage, and platform infrastructure
* High\-availability and disaster recovery architectures
* Experience operating in high\-availability SaaS environments (99\.99%\+).
* Demonstrated ability to lead cross\-functional, multi\-region programs with high ambiguity.
**Preferred Qualifications**
* Experience with global PoP expansion and decommissioning at scale.
* Familiarity with regulatory and compliance frameworks impacting infrastructure.
* Background working closely with SRE, Network Engineering, and Security teams.
* Strong financial acumen related to infrastructure cost modeling.
* Experience in cloud \+ colo hybrid environments.
 The Job Description is intended to be a general representation of the responsibilities and requirements of the job. However, the description may not be all\-inclusive, and responsibilities and requirements are subject to change.
 The annual base pay for this position is: $157,600\.00 \- $236,400\.00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205">
      <c r="A205" t="inlineStr">
        <is>
          <t>li-4331510342</t>
        </is>
      </c>
      <c r="B205" t="inlineStr">
        <is>
          <t>Program Manager</t>
        </is>
      </c>
      <c r="C205" t="inlineStr">
        <is>
          <t>Westinghouse Electric Company</t>
        </is>
      </c>
      <c r="D205" t="inlineStr">
        <is>
          <t>linkedin</t>
        </is>
      </c>
      <c r="E205">
        <f>HYPERLINK("https://www.linkedin.com/jobs/view/4331510342", "https://www.linkedin.com/jobs/view/4331510342")</f>
        <v/>
      </c>
      <c r="F205" t="inlineStr"/>
      <c r="G205" t="inlineStr">
        <is>
          <t>Madison, PA</t>
        </is>
      </c>
      <c r="H205" t="inlineStr"/>
      <c r="I205"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Program Manager with our ELA Outage Maintenance Services team, you will provide central expertise, support, and control for the organization's technical projects and programs. This will include developing technical project management best practices, providing training and mentoring to project teams, and monitoring dependencies across multiple projects. You will play an important part in developing customer relationships and growing the product line's business opportunities in Europe, Asia, and Latin America. This will be done through successful implementation of projects, programs, or processes associated with reactor component upgrades in Westinghouse Nuclear Power Plant designs.
 You will report to the Program Manager for EMEA Reactor and Fuel Services and be located at our Waltz Mill facility in Madison, PA.
**Key Responsibilities**
* Oversee the implementation of projects, processes, and personnel for Reactor Component Upgrades in Europe, Asia, and Latin America
* Establish operational plans for Baffle Bolt Replacement and Clevis Bolt Replacement projects in Europe, Asia, and Latin America
* Work with product manager to develop business opportunities for Reactor Component Upgrades in Europe, Asia, and Latin America.
* Develop and mentor project managers for the reactor component upgrades projects in Europe, Asia, and Latin America.
* Develop and implement new projects or processes for RCU in Europe, Asia, and Latin America.
* Business growth through development of innovative technology
**Qualifications:**
* Bachelor's degree in Engineering or equivalent technical discipline.
* 5\+ years experience in Project Management role in engineering applications or equivalent
* Project Manager certification
 We are committed to transparency and equity in all of our people practices. The base salary range for this position, which is dependent upon experience, qualifications and skills, is estimated to be $130,400\.00 to $163,000\.00 per year.
**Why Westinghouse?**
**Benefits**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206">
      <c r="A206" t="inlineStr">
        <is>
          <t>li-4367036859</t>
        </is>
      </c>
      <c r="B206" t="inlineStr">
        <is>
          <t>Program Manager</t>
        </is>
      </c>
      <c r="C206" t="inlineStr">
        <is>
          <t>Jobs via Dice</t>
        </is>
      </c>
      <c r="D206" t="inlineStr">
        <is>
          <t>linkedin</t>
        </is>
      </c>
      <c r="E206">
        <f>HYPERLINK("https://www.linkedin.com/jobs/view/4367036859", "https://www.linkedin.com/jobs/view/4367036859")</f>
        <v/>
      </c>
      <c r="F206" t="inlineStr"/>
      <c r="G206" t="inlineStr">
        <is>
          <t>Dallas, TX</t>
        </is>
      </c>
      <c r="H206" t="inlineStr"/>
      <c r="I206" t="inlineStr">
        <is>
          <t>Dice is the leading career destination for tech experts at every stage of their careers. Our client, Photon, is seeking the following. Apply via Dice today!
 Hello,
 Hope you are doing well,
 Myself Mankar from Photon and I have a position with our direct client, please send me your updated resume if you are interested
**Sr. Program Manager**
**Dallas, TX**
 Seeking a strong Program Manager with solid experience in Agile delivery, JIRA, and basic technical understanding.
 Skills:
* Stakeholder management (including VP / EVP\-level users)
* Hands On experience on Program Management
* 12\+ years of relevant PM/Program experience
* Has managed multiple workstreams and integrations
* Experience across large enterprises \+ startups
* Strong technical \+ business translation skills
* Stakeholder\-facing, not just task\-tracking
 To be Highlighted:
* Multi\-project ownership
* Cross\-functional leadership
* Budget, billing, invoicing, approvals
* Executive stakeholder interaction
* Tracking and traceability of programs to major releases.</t>
        </is>
      </c>
    </row>
    <row r="207">
      <c r="A207" t="inlineStr">
        <is>
          <t>li-4367350200</t>
        </is>
      </c>
      <c r="B207" t="inlineStr">
        <is>
          <t>Program Manager Security &amp; Adjudicative Support Services - TS/SCI w/FSP</t>
        </is>
      </c>
      <c r="C207" t="inlineStr">
        <is>
          <t>VMD Corp</t>
        </is>
      </c>
      <c r="D207" t="inlineStr">
        <is>
          <t>linkedin</t>
        </is>
      </c>
      <c r="E207">
        <f>HYPERLINK("https://www.linkedin.com/jobs/view/4367350200", "https://www.linkedin.com/jobs/view/4367350200")</f>
        <v/>
      </c>
      <c r="F207" t="inlineStr"/>
      <c r="G207" t="inlineStr">
        <is>
          <t>McLean, VA</t>
        </is>
      </c>
      <c r="H207" t="inlineStr"/>
      <c r="I207" t="inlineStr">
        <is>
          <t>**Program Manager \- Security \&amp; Adjudicative Support Services**
 The Program Manager serves as the primary leader for a high\-volume, high\-complexity security and adjudication program for the Intelligence Community. The PM is the principal liaison between the Contractor and the Government, reporting directly to the Contracting Officer’s Technical Representative (COTR). This role requires a hands\-on leader capable of managing personnel, financials, and performance quality while ensuring strict adherence to the Statement of Work (SOW) and Program Management Plan (PMP).
**Security Clearance:**
 Active TS/SCI w Full Scope Polygraph
**Location:**
 Norther Virginia Area
**Responsibilities:**
* Operational Control: Plan, organize, and direct all activities. Ensure requirements are delivered IAW the Program Management Plan (PMP) with a focus on efficiency, timeliness, and quality.
* Program Management Reviews (PMR): Lead monthly PMRs (CDRL\-006\) to discuss performance, status reports, and contract topics with the COTR and CO.
* Delivery Management: Ensure all SOW requirements are delivered in accordance with the Program Management Plan (PMP), prioritizing efficiency, timeliness, and quality.
* Stakeholder Liaison: Serve as the primary point of contact for the COTR regarding all aspects of contract management, performance, personnel security, and invoicing.
* Cost Control: Maximize cost reduction opportunities and minimize delays between cost incurrence and invoicing (ensuring minimal accrual and accurate billing).
* Cost Efficiencies: Actively identify and recommend automated tools, process improvements, or SOP changes that reduce costs or increase efficiency. Submit cost\-analysis proposals for these improvements to the CO/COTR.
* Reporting: Manage the preparation and submission of all Contract Data Requirements List (CDRL) deliveries.
* Staff Management: Provide full oversight and monitoring of contractor personnel, ensuring they are qualified and that potential personnel problems are pre\-empted.
* Task Coordination: Consult with Task Managers for problem resolution, task scheduling, resource allocation, and training needs.
* Performance Standards: Ensure tasking guidance from the Government is unambiguous and that all tasks are completed within established deadlines.
**Minimum Requirements:**
* Active TS/SCI w/ FSP
* Bachelors Degree 3\+ years as a Program Manager for a program similar technical scope and complexity; or High School Diploma 6\+ years serving as a Program Manager and Technical lead for a program of similar technical scope and complexity
* Knowledge of ICD 704 regulations and the clearance adjudication process.
* Experience developing risk management plans and ITIL\-based incident reporting systems.
* Advanced ability to lead diverse teams and brief senior Government officials.
* Experience with personnel security clearance actions to include adjudication of initial applicants, industrial contractors and periodic reinvestigations of staff employees, detailees and industrial contractors.
* Familiarity with personnel security tools (ex. Scattered Castles, iSTARS, STARgate, DISS)
**About Xcelerate Solutions:**
 Founded in 2009 and headquartered in McLean, VA, Xcelerate Solutions (www.xceleratesolutions.com) is one of America's fastest\-growing companies. Xcelerate’s culture is defined by our diversified workforce of dynamic and versatile professionals, supported with growth and development opportunities that contribute to individual and company growth. This strong commitment to our employees has been recognized by our inclusion on the Washington Business Journal’s “50 Best Places to Work” list as well as being a “Great Place to Work” certified company with a 4\.6 star, and a 99% CEO approval Glassdoor rating. Come find out why Xcelerate Solutions is one of the top DC Metro employers!
*Xcelerate Solutions is an Equal Employment Opportunity/Affirmative Action Employer. We evaluate qualified applicants without regard to race, color, national origin, religion, age, equal pay, disability, veteran status, sex, sexual orientation, gender identity, genetic information, or expression of another protected characteristic. As part of this commitment to the full inclusion of all qualified individuals, Xcelerate provides reasonable accommodation if needed because of an applicant's or an employee's disability.*
*Pay Transparency Notice: Xcelerate Solutions will not discharge or in any other manner discriminate against employees or applicants because they have inquired about, discussed, or disclosed their own pay or the pay of another employee or applicant.*</t>
        </is>
      </c>
    </row>
    <row r="208">
      <c r="A208" t="inlineStr">
        <is>
          <t>li-4367371776</t>
        </is>
      </c>
      <c r="B208" t="inlineStr">
        <is>
          <t>Human Resources Program Manager</t>
        </is>
      </c>
      <c r="C208" t="inlineStr">
        <is>
          <t>Audible</t>
        </is>
      </c>
      <c r="D208" t="inlineStr">
        <is>
          <t>linkedin</t>
        </is>
      </c>
      <c r="E208">
        <f>HYPERLINK("https://www.linkedin.com/jobs/view/4367371776", "https://www.linkedin.com/jobs/view/4367371776")</f>
        <v/>
      </c>
      <c r="F208">
        <f>HYPERLINK("https://www.amazon.jobs/jobs/3160427/human-resources-program-manager?cmpid=SPLICX0248M&amp;utm_source=linkedin.com&amp;utm_campaign=audible&amp;utm_medium=social_media&amp;utm_content=job_posting&amp;ss=paid&amp;urlHash=Wsok", "https://www.amazon.jobs/jobs/3160427/human-resources-program-manager?cmpid=SPLICX0248M&amp;utm_source=linkedin.com&amp;utm_campaign=audible&amp;utm_medium=social_media&amp;utm_content=job_posting&amp;ss=paid&amp;urlHash=Wsok")</f>
        <v/>
      </c>
      <c r="G208" t="inlineStr">
        <is>
          <t>Newark, NJ</t>
        </is>
      </c>
      <c r="H208" t="inlineStr"/>
      <c r="I208" t="inlineStr">
        <is>
          <t>**Description**
 At Audible, we believe stories have the power to transform lives. That's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We are seeking a HR Program Manager to lead core HR programs and process initiatives within Audible's People \&amp; Places (P\&amp;P) organization. This role blends program management fundamentals with HR knowledge to drive critical work in a dynamic entertainment industry environment. You will own end\-to\-end program planning and execution for people\-focused initiatives, collaborating with a variety of stakeholders including Audible P\&amp;P teams, Amazon PXT teams, and business leaders. The role requires wearing multiple hats with the ability to jump into both planned and unplanned projects or programs as business needs evolve.
**About You**
 You have HR\-specific program management experience, and have both a passion for and a track record of driving process improvements, balancing competing priorities, and thinking creatively to solve complex problems with innovative ideas. You thrive in ambiguity and are comfortable operating in a fast\-moving environment, bringing high judgment decision\-making and data to build recommendations. You bring structure through your communication, verbal and written. You have a deep understanding of the employee lifecycle and have experience as an HRBP or specialized background in HR.
 As a Human Resources Program Manager, you will...
* Own and manage programs across a variety of initiatives and timelines
* Drive continuous improvement and identify areas of opportunity for expanded services within people programs
* Diagnose organizational challenges, see patterns of problems, and dive deep to recommend both immediate fixes and long\-term programmatic solutions
* Have a bias for action, excellent attention to detail, relentless commitment to follow\-through, and remove roadblocks
* Be able to multi\-task and handle multiple projects simultaneously to drive timely results, prioritize effectively and facilitate action across multiple groups
* Convey ideas and recommendations in a clear, compelling, and succinct way in written and verbal communications
* Demonstrate talent for influencing without authority to drive stakeholders, teams, and resources toward delivery of cross\-functional project goals and impactful results
* Earn trust and maintain key relationships with HR partners to avoid duplication of efforts and drive global engagement on key initiatives
* Look around corners on behalf of the customer to identify opportunities to build/communicate where there is not central guidance
* Analyze data and understand key people metrics that drive decisions and measure the impact of the work we do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5\+ years of program or project management experience
* Experience using data and metrics to determine and drive improvements
* Experience owning program strategy, end to end delivery, and communicating results to senior leadership
* Experience as an HR business partner or experience in an HR functional area including but not limited to generalist HR, Talent Management, or Recruiting
**Preferred Qualifications**
* 2\+ years of driving process improvements experience
* Experience defining program requirements and using data and metrics to measure program success
* Strong written communication skills
* Deep understanding of the employee lifecycle and HR functions
* Specialized background in HR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NJ, Newark \- 138,400\.00 \- 187,300\.00 USD annually
**Company** 
 \- Audible, Inc. \- B13
 Job ID: A3160427</t>
        </is>
      </c>
    </row>
    <row r="209">
      <c r="A209" t="inlineStr">
        <is>
          <t>li-4331581079</t>
        </is>
      </c>
      <c r="B209" t="inlineStr">
        <is>
          <t>Program Manager</t>
        </is>
      </c>
      <c r="C209" t="inlineStr">
        <is>
          <t>Community Options, Inc.</t>
        </is>
      </c>
      <c r="D209" t="inlineStr">
        <is>
          <t>linkedin</t>
        </is>
      </c>
      <c r="E209">
        <f>HYPERLINK("https://www.linkedin.com/jobs/view/4331581079", "https://www.linkedin.com/jobs/view/4331581079")</f>
        <v/>
      </c>
      <c r="F209" t="inlineStr"/>
      <c r="G209" t="inlineStr">
        <is>
          <t>Coal, PA</t>
        </is>
      </c>
      <c r="H209" t="inlineStr"/>
      <c r="I209" t="inlineStr">
        <is>
          <t>**Description**
**Community Options, Inc.** 
 is a national non\-profit agency providing services to individuals with disabilities in 12 states.
 We are actively seeking an experienced
 **Residential Program Manager** 
 in
 **Coal Township** 
**, PA.** 
 The Program Manager leads a team to provide person\-centered care tailored to meet the needs of individuals with intellectual and developmental disabilities. This person will support teams with day\-to\-day operations and challenges to achieve programmatic goals.
*Starting pay is $47,500/per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required
* Two years’ full\-time work experience in supporting people with disabilities
* One year of experience of full\-time working with children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2026-01-30T03:10:42Z</dcterms:created>
  <dcterms:modified xsi:type="dcterms:W3CDTF">2026-01-30T03:10:42Z</dcterms:modified>
</cp:coreProperties>
</file>