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4"/>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in-169a84ae37a2816e</t>
        </is>
      </c>
      <c r="B2" t="inlineStr">
        <is>
          <t>ServiceNow Platform Analytics Engineer</t>
        </is>
      </c>
      <c r="C2" t="inlineStr">
        <is>
          <t>SAIC</t>
        </is>
      </c>
      <c r="D2" t="inlineStr">
        <is>
          <t>indeed</t>
        </is>
      </c>
      <c r="E2" t="inlineStr"/>
      <c r="F2" t="inlineStr"/>
      <c r="G2" t="inlineStr">
        <is>
          <t>Washington, DC, US</t>
        </is>
      </c>
      <c r="H2" s="2" t="n">
        <v>46050</v>
      </c>
      <c r="I2" t="inlineStr">
        <is>
          <t>Job ID: 2600824
**Location:** WASHINGTON, DC, US
**Date Posted:** 2026\-01\-29
**Category:** Software
**Subcategory:** SW Engineer
**Schedule:** Full\-time
**Shift:** Day Job
**Travel:** No
**Minimum Clearance Required:** Secret
**Clearance Level Must Be Able to Obtain:** None
**Potential for Remote Work:** Yes
 **Description**
We are seeking a skilled ServiceNow Platform Analytics Engineer to develop Department of State Assessment Tool (DOSAT) dashboards. The engineer will be supporting the Vendor Performance Management (VPM) initiatives within the Department of State’s Bureau of Diplomatic Technology (DT).
This role is hybrid and reports onsite in Washington, DC on Tuesday and Thursday.
**Responsibilities:**
* Data Visualization \&amp; Reporting: Create and maintain interactive dashboards, reports, and scorecards using ServiceNow Platform Analytics.
* Performance Analysis: Develop and monitor key performance indicators (KPIs) to measure feature usage, platform engagement, and system performance.
* Platform Optimization: Analyze data to identify trends, insights, and opportunities for enhancing platform functionality and user experience.
* Data Governance \&amp; Modeling: Ensure data accuracy, consistency, and integrity, including managing data models, ETL processes, and user access permissions.
* Technical Implementation: Leverage knowledge of ServiceNow table structures, data relationships, and domain separation to ensure accurate data modeling.
* Cross\-functional Collaboration: Work with Product Managers, Data Engineering, and leadership to define metrics, analyze user behavior, and support strategic decision\-making.
**Qualifications**
**Required Education \&amp; Experience:**
* BS in Computer Science, Engineering, Information Systems, or related field and 14 years or more experience; MS and 12 years or more experience; may accept additional experience in lieu of degree.
* 5 or more years in data analytics, business intelligence, or product analytics.
* Technical Skills: Proficiency in SQL and data visualization tools ServiceNow Platform Analytics – knowledge of Tableau is nice to have.
* Platform Knowledge: Familiarity with specific platforms ServiceNow Performance Analytics and/or ServiceNow Platform Analytics.
* Analytical Skills: Strong ability to conduct A/B testing, predictive modeling, and root cause analysis.
* Experience with common tools \&amp; technologies such as:
	+ Data Visualization: ServiceNow Platform and Performance Analytics.
	+ Database/Languages: SQL, JavaScript, Glide API
 **Required Clearance:**
* US Citizenship.
* Active Secret Security Clearance.
Target salary range: $200,001 \- $240,000\. The estimate displayed represents the typical salary range for this position based on experience and other factors.</t>
        </is>
      </c>
    </row>
    <row r="3">
      <c r="A3" t="inlineStr">
        <is>
          <t>in-421248bee68e44ee</t>
        </is>
      </c>
      <c r="B3" t="inlineStr">
        <is>
          <t>Senior Manager of Data Engineering</t>
        </is>
      </c>
      <c r="C3" t="inlineStr">
        <is>
          <t>ReUp Education</t>
        </is>
      </c>
      <c r="D3" t="inlineStr">
        <is>
          <t>indeed</t>
        </is>
      </c>
      <c r="E3" t="inlineStr"/>
      <c r="F3" t="inlineStr"/>
      <c r="G3" t="inlineStr">
        <is>
          <t>Austin, TX, US</t>
        </is>
      </c>
      <c r="H3" s="2" t="n">
        <v>46051</v>
      </c>
      <c r="I3" t="inlineStr">
        <is>
          <t>### **What we do**
* Founded in 2015, ReUp Education is the only organization that focuses exclusively on helping colleges and universities engage and re\-enroll the more than 40 million US residents who have “stopped out” and support them until graduation, through our patented technology\-enabled service. To date, we have re\-enrolled over 57,000 students for our university partners. As of July 2025, ReUp Education partners with 140 active schools and a total of 1\.78 million learners. To date, ReUp Education has helped 7,960 learners graduate. Today we build regional marketplaces to connect the supply of educational opportunities with the demand for skilled and credentialed workforce professionals.
 **About the role**
* ReUp Education is looking for a Senior Manager of Data Engineering to help us empower more adult learners and educational institutions by leading a team that ingests, transforms, stores, and provides access to the data powering our products and services. This is both a people leadership and technical delivery role, ideal for someone who enjoys coaching engineers and doing hands\-on work as needed in a fast\-paced, mission\-driven environment. You will work closely with cross\-functional partners to translate business, client, and learner requirements into technical solutions for a rapidly growing company.
**What you'll do**
* Lead, manage, and develop a team of data engineers, fostering a culture of technical excellence, independence, collaboration, and accountability.
* Create and execute a Data Engineering roadmap that helps ReUp to achieve its goals.
* Partner with technology, analytics, finance, B2B, and B2C teams to define data requirements, and design and develop solutions that drive value for ReUp’s clients and learners.
* Oversee the design, development, testing, implementation, maintenance, and continuous improvement of data pipelines and warehouses that ingest, transform, store, and provide access to student and institutional data to power business intelligence products, ML models, cloud\-based web applications, and marketing and coaching services.
* Champion automation, observability, and performance to ensure ReUp’s pipeline efficiently and reliably delivers quality data to end users.
* Proactively identify, triage, and resolve data quality and availability issues through root\-cause analysis, remediation, monitoring, and cross\-functional collaboration.
* Define and monitor SLAs for data quality, workflow status and runtime, incident response and resolution time, and team velocity.
* Define and implement data engineering standards and best practices.
* Support data security, compliance, and governance initiatives.
**Qualifications**
*Research shows that women and people from underrepresented groups often only apply to jobs if they meet all of the qualifications. However, no one ever meets 100% of the qualifications. ReUp encourages you to break that statistic and to apply. We look forward to your application.*
* 6\+ years of data engineering experience.
* 3\+ years of experience managing a high\-performing data engineering team.
* Experience developing and maintaining large\-scale data pipelines and warehouses in a production environment.
* Strong fluency in SQL and Python.
* Experience working with cloud data platforms such as AWS, and data warehouses such as Redshift or Snowflake.
* Experience working with orchestration tools such as Airflow, and data integration tools such as Stitch or CData.
* Experience working with version control tools such as GitHub.
* Bachelor’s degree in Computer Science, Engineering, Data Science, Mathematics, or a related technical discipline.
* Strong communication, collaboration, and problem solving skills.
* + Nice to haves:
	+ - Experience syncing data to and from Salesforce, Iterable, and/or cloud\-based web applications.
		- Experience developing a curated data layer for data visualization tools such as Tableau.
		- Experience developing, deploying, and maintaining AI/ML models in production.
		- Experience with Agile engineering practices.
		- Experience working in higher education, education technology, and/or a startup.
**Benefits**
* Medical, dental, and vision insurance for employees
* + We pay 100% of the employee's premium and 50% of any dependents' premiums
	+ Contribute up to $1000 to employee HSA/$2000 to employee \+ dependent HSA
	+ PPO Buy\-up plan available
	+ FSA available
* Company paid short\-term disability, long\-term disability, and life insurance for employee
* Flexible time off and remote work opportunity
* Up to 80 hours of dedicated sick time annually to support your well\-being and work\-life balance
* 15 paid holidays per year (including Juneteenth and the last week of the calendar year)
* Company wellness days (2 per year)
* Day of Service (Paid day for volunteering)
* 401(k) plan
* Paid parental leave (12 weeks primary parental leave, 6 weeks secondary parental leave)
* A diverse team that fosters a high level of collaboration despite being highly distributed
### **Location**
* This hybrid role combines the best of both worlds: in\-person collaboration in our Austin, TX office for 2\-3 days per week, and the flexibility of remote work.
### **Company Culture**
REDEFINE THE POSSIBLE \* INNOVATE WITH PURPOSE \* RESILIENT BY DESIGN \* ACHIEVE BEYOND EXPECTATIONS \* THRIVE TOGETHER
At ReUp, our values guide everything we do. We **redefine the possible** by bringing energy, boldness, and vision to every challenge, breaking barriers and delivering outcomes that redefine success. We **innovate with purpose**, developing impactful solutions that inspire our partners, learners, and teams—always rooted in balance, authentic collaboration, and integrity. We are **resilient by design**, empowering learners, teams, and organizations to adapt, grow, and lead with strength in a changing world. We **achieve beyond expectations** by harnessing the power of data and evidence\-based strategies to deliver measurable, outsized results that create lasting impact for all stakeholders. And we **thrive together**, believing that through collective action, opportunities are not finite and limited but expandable, creating an ecosystem of growth and collaboration.
ReUp Education is an equal\-opportunity employer. Our company values diversity and believes diverse teams make innovation possible. We encourage all qualified applicants from any race, color, religion, sex, gender identity, sexual orientation, national origin, disability status, protected veteran status, or other characteristics to apply.
 *We are unable to offer visa sponsorship or work authorization transfers for this position. Applicants must have the legal right to work in the United States without the need for employer sponsorship*
 **The pay range for this role is:**  
140,000 \- 150,000 USD per year(Austin, TX)</t>
        </is>
      </c>
    </row>
    <row r="4">
      <c r="A4" t="inlineStr">
        <is>
          <t>in-f658d61df402301c</t>
        </is>
      </c>
      <c r="B4" t="inlineStr">
        <is>
          <t>Sr Data Engineer With Strong Python and Pyspark Only Locals to CA</t>
        </is>
      </c>
      <c r="C4" t="inlineStr">
        <is>
          <t>Deltasoft Solutions LLC</t>
        </is>
      </c>
      <c r="D4" t="inlineStr">
        <is>
          <t>indeed</t>
        </is>
      </c>
      <c r="E4" t="inlineStr"/>
      <c r="F4" t="inlineStr"/>
      <c r="G4" t="inlineStr">
        <is>
          <t>San Francisco, CA, US</t>
        </is>
      </c>
      <c r="H4" s="2" t="n">
        <v>46051</v>
      </c>
      <c r="I4" t="inlineStr">
        <is>
          <t>**Benefits:**
* 401(k)
* 401(k) matching
* Bonus based on performance
Sr Data Engineer Needed with Strong Python and Pyspark  
Duration: 12 Months\+  
Sr Data Engineer.  
Strong Python and Pyspark  
Good with Data Structures and algorithms  
Needed Only Local to bay area  
1 day onsite a must  
15\+yrs experience required  
**Responsibilities**  
? Develop and enhance data\-processing, orchestration, monitoring, and more by leveraging popular open\-source software, AWS, and GitLab automation.  
? Collaborate with product and technology teams to design and validate the capabilities of the data platform  
? Identify, design, and implement process improvements: automating manual processes, optimizing for usability, re\-designing for greater scalability  
? Provide technical support and usage guidance to the users of our platform’s services.  
? Drive the creation and refinement of metrics, monitoring, and alerting mechanisms to give us the visibility we need into our production services.  
**Qualifications**  
? Experience building and optimizing data pipelines in a distributed environment  
? Experience supporting and working with cross\-functional teams..  
? Proficiency working in Linux environment  
? working knowledge of SQL, Python, and PySpark  
? Git/Bitbucket, Jenkins/CodeBuild, CodePipeline  
**Thanks \&amp; Regards**
**Bhanu Prakash**
**DeltaSoft Solutions**
**bhanu.prakash@deltasoftgroup.com**
Flexible work from home options available.</t>
        </is>
      </c>
    </row>
    <row r="5">
      <c r="A5" t="inlineStr">
        <is>
          <t>in-ec471fad69188fae</t>
        </is>
      </c>
      <c r="B5" t="inlineStr">
        <is>
          <t>Big Data Engineer/ AWS Data Engineer</t>
        </is>
      </c>
      <c r="C5" t="inlineStr">
        <is>
          <t>Appex Innovation</t>
        </is>
      </c>
      <c r="D5" t="inlineStr">
        <is>
          <t>indeed</t>
        </is>
      </c>
      <c r="E5" t="inlineStr"/>
      <c r="F5" t="inlineStr"/>
      <c r="G5" t="inlineStr">
        <is>
          <t>Dallas, TX, US</t>
        </is>
      </c>
      <c r="H5" s="2" t="n">
        <v>46051</v>
      </c>
      <c r="I5" t="inlineStr">
        <is>
          <t>### **Job Information**
Date Opened
01/30/2026
Job Type
Contract
Industry
Health Care
City
Dallas
State/Province
Texas
Country
United States
Zip/Postal Code
75201
### **About Us**
At Appex Innovations, we believe in the power of technology to transform healthcare, we believe in being nimble and in continual innovation, we believe that every customer is unique and we believe in listening to our clients. With our deep expertise in the health care domain, solid resource base, constant industry interface and the drive to be the best in the industry, we strive to provide services that re\-define health care in the years to come. The secret to our success is Appex Innovations commitment to our people and our work. We thrive on teamwork, intelligence, and innovation. Our bright and energetic employees, hailing from over different parts of the world, share a passion for leading the way to improved healthcare outcomes. Together we work diligently to add value to our clients.  
### **Job Description**
**Job Details:**
Sr Software Engineer  
Preferably in Dallas, TX, or Atlanta, GA, but open to any US location.
Job Description:
The Software Engineer is responsible for the design and development of software applications and reusable software components for the Payment BU, in compliance with predefined coding standards and technical design. Closely working with other architects and senior engineers, this individual will help assess existing applications, produce detailed designs for hadoop components, and drive the implementation of scalable, secure, and reusable solutions on Hadoop and AWS.
Responsibilities: Design and develop high quality, maintainable software modules for Payment BU product. Conduct unit and integration testing using appropriate methodology and techniques Evaluate and integrate complementary technologies, where appropriate (Eg Aws cloud technologies such as step function, EMR and Glue) Review software engineering approach to proposed solutions to ensure adherence to best practice Provide technical mentorship, conduct code/design reviews, and promote a culture of engineering excellence. Complete all responsibilities as outlined on annual Performance Plan Complete all special projects and other duties as assigned. Must be able to perform duties with or without reasonable accommodation.
Qualifications: Bachelor’s Degree in Computer Science, Information Technology, Information Systems, or related field.
5 \- 10 years of experience with enterprise and application design patterns such as GoF
5 \- 10 years of experience with data pipeline design patterns for batch processing, stream, lambda, data mesh and lakehouse
5 years of proficiency with Scala spark and a scripting language such as Python, PySpark and Linux shell scripting Working knowledge of RDBMS such as SQL Server, MySQL, Oracle with SQL programming skills
4 \- 5 years' experience with software engineering best practices such as continuous integration, unit testing, refactoring, and code reviews Strong understanding of agile development practices, preferably SAFe
· Ability to deliver in a dynamic, fast paced environment within estimated timelines Strong analytical, organizational, and interpersonal skills · Good written and verbal communication skills
Additional skills Demonstrated proficiency in developing programs using Scala. Hands\-on experience with Hadoop ecosystem components such as Hive, YARN, Sqoop, Oozie and Groovy 4\-5 years of experience with platform engineering tools such as Bitbucket, Gradle, Octopus, Artifactory.
4\-5 years of experience with building complex components using Spark SQL, MySql, HiveQL. 2\-3 year of experience with AWS cloud technologies complementing Hadoop stack including hands\-on development experience with S3, Lambda functions, Api gateway, EMR Working knowledge of AWS components such as IAM, KMS, Glue, Athena
Preferred Qualifications AWS associate architect certification or higher. Background in Healthcare IT, especially payer systems or payment integrity solutions. Experience developing software following cloud native principles.</t>
        </is>
      </c>
    </row>
    <row r="6">
      <c r="A6" t="inlineStr">
        <is>
          <t>in-621b939963b4cacf</t>
        </is>
      </c>
      <c r="B6" t="inlineStr">
        <is>
          <t>Sr. Data Engineer I (6382)</t>
        </is>
      </c>
      <c r="C6" t="inlineStr">
        <is>
          <t>Metrostar Systems</t>
        </is>
      </c>
      <c r="D6" t="inlineStr">
        <is>
          <t>indeed</t>
        </is>
      </c>
      <c r="E6" t="inlineStr"/>
      <c r="F6" t="inlineStr"/>
      <c r="G6" t="inlineStr">
        <is>
          <t>Washington, DC, US</t>
        </is>
      </c>
      <c r="H6" s="2" t="n">
        <v>46050</v>
      </c>
      <c r="I6" t="inlineStr">
        <is>
          <t>**As a Sr. Data Engineer (Splunk),** you'll deliver Splunk data engineering and platform operations for continuous monitoring and analysis with the goal to make an impact across the federal government. **Our team** is responsible for operating and evolving mission\-critical SIEM and monitoring platforms, and you'll ensure reliable, secure, and scalable Splunk capabilities that directly support mission operations and decision\-making from day one.
We know that you can't have great technology services without amazing people. At MetroStar, we are **obsessed** withour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Design and manage Splunk data ingestion pipelines and dashboards supporting mission\-critical use cases.
* Operate and maintain Splunk Enterprise in a secure, high\-availability environment.
* Support security monitoring, detection, and incident response operations.
* Participate actively in Agile execution and team delivery cadence.
* Optimize data pipelines, performance, and data quality across the platform.
* Communicate technical insights, risks, and issues clearly to both technical and non\-technical stakeholders.
* Establish and maintain a high level of customer trust and confidence through technical excellence and reliable delivery.
* Apply creativity and sound engineering judgment to deliver innovative solutions aligned to customer needs.
**What you'll need to succeed:**
* An active Top\-Secret clearance with SCI eligibility required.
* Bachelor's degree in a technical field is preferred (relevant experience may substitute).
* 5\+ years of experience in data management or systems administration, including at least 3 years of hands\-on Splunk GA experience.
* Demonstrated expertise in data onboarding, parsing, indexing, and dashboard development.
* Experience operating Splunk Enterprise in regulated or high\-security environments.
* Holds Splunk Certified Core Consultant or Splunk Certified Enterprise Security Admin certification.
* Meets DoD 8140 DCWF Role 521 – Cyber Defense Infrastructure Support Specialist requirements with certifications such as GMON, GRID, CEH, Cloud\+, CySA\+, GSEC, PenTest\+, Security\+, or SSCP.
* Ability to contribute immediately with minimal ramp\-up.
SALARY RANGE: $170,000 \- $239,000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This role may also be eligible for bonuses and/or additional incentives based on individual and company performance.
**Benefits**: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7">
      <c r="A7" t="inlineStr">
        <is>
          <t>in-96408037ef5ec85f</t>
        </is>
      </c>
      <c r="B7" t="inlineStr">
        <is>
          <t>Sr. Data Engineer</t>
        </is>
      </c>
      <c r="C7" t="inlineStr">
        <is>
          <t>EOS IT Solutions</t>
        </is>
      </c>
      <c r="D7" t="inlineStr">
        <is>
          <t>indeed</t>
        </is>
      </c>
      <c r="E7" t="inlineStr"/>
      <c r="F7" t="inlineStr"/>
      <c r="G7" t="inlineStr">
        <is>
          <t>Burlingame, CA, US</t>
        </is>
      </c>
      <c r="H7" s="2" t="n">
        <v>46050</v>
      </c>
      <c r="I7" t="inlineStr">
        <is>
          <t>**OUR COMPANY:**
EOS IT Solutions is a Global Technology and Logistics company, providing Collaboration and Business IT Support services to some of the world's largest industry leaders, delivering forward\-thinking solutions based on multi\-domain architecture. Customer satisfaction and commitment to superior quality of service are our top business priorities, along with investing in and supporting our partners and employees.
We are a true International IT provider and are proud to deliver our services through global simplicity with trusted transparency.
**WHAT YOU WILL DO:**
 As a **Senior Data Engineer**, you will lead data engineering initiatives and build end\-to\-end scalable, stable, and secure analytical solutions. You will work with massive datasets and be responsible for organizing and curating data for analytics. You will take a strategic and long\-term view in architecting advanced data ecosystems, building efficient and scalable data services, and integrating data systems to support business intelligence and decision\-making.
**KEY RESPONSIBILITIES:**
* Design, implement, and operate large\-scale, centralized high\-volume, high\-performance data structures for analytics and data science.
* Implement data ingestion routines, both real\-time and batch, using best practices in data modeling and ETL/ELT processes.
* Collaborate with Project Managers to understand business and functional requirements and translate them into robust, scalable, and operable solutions with flexible data architecture.
* Assist software engineering teams in identifying key events and data to be logged for dashboarding and analytics.
* Continuously improve reporting and analysis processes, automating and simplifying self\-service modeling and production support.
**ESSENTIAL CRITERIA:**
* Degree in Computer Science, Engineering, Mathematics, or a related field, or 7\+ years of industry experience.
* Strong experience in data modeling, ETL development, and data warehousing with technologies such as Oracle, Redshift, PostgreSQL, etc.
* Advanced SQL skills and expertise in query performance tuning.
* Proven ability to build data products incrementally and manage data sets from multiple sources.
* Proficiency in Python programming.
**DESIRABLE CRITERIA:**
* Experience with cloud\-based data platforms and services (e.g., AWS, Azure, GCP).
* Familiarity with data governance, security, and compliance best practices.
* Knowledge of real\-time data streaming technologies (e.g., Kafka, Spark Streaming).
* Exposure to machine learning workflows and data science collaboration.
*The EOS pay range for this job is a general guideline only and not a guarantee of compensation or salary. Additional factors considered in extending an offer include (but are not limited to) responsibilities of the job, experience, education, knowledge, skills, and abilities, as well as internal equity, market data, or other laws.*
*EOS is committed to creating a diverse and inclusive work environment and is proud to be an equal opportunity employer. We invite you to consider opportunities at EOS regardless of your gender; gender identity; gender reassignment; age; religious or similar philosophical belief; race; national origin; political opinion; sexual orientation; disability; marital or civil partnership status or other non\-merit factor.*
\#LI\-MS1
\#Hybrid
\#INDHP</t>
        </is>
      </c>
    </row>
    <row r="8">
      <c r="A8" t="inlineStr">
        <is>
          <t>in-40cd690e8bff861c</t>
        </is>
      </c>
      <c r="B8" t="inlineStr">
        <is>
          <t>Data Platform Engineer - Remote</t>
        </is>
      </c>
      <c r="C8" t="inlineStr">
        <is>
          <t>DriveTime Automotive Group</t>
        </is>
      </c>
      <c r="D8" t="inlineStr">
        <is>
          <t>indeed</t>
        </is>
      </c>
      <c r="E8" t="inlineStr"/>
      <c r="F8" t="inlineStr"/>
      <c r="G8" t="inlineStr">
        <is>
          <t>Tempe, AZ, US</t>
        </is>
      </c>
      <c r="H8" s="2" t="n">
        <v>46050</v>
      </c>
      <c r="I8" t="inlineStr">
        <is>
          <t>**What’s Under the Hood**
DriveTime Family of Brands is the largest privately owned used car sales finance \&amp; servicing company in the nation. Headquartered in Tempe, Arizona and Dallas, Texas, we create opportunities and improve the lives of our customers and our employees by placing a focus on putting the right customer, in the right vehicle, on the right terms and on their path to ownership.
The DriveTime Family of Brands spans across DriveTime, Bridgecrest and SilverRock. You can find us at the intersection of technology and innovation as we use our proprietary tools and over two decades of industry knowledge to redefine the process of purchasing, financing, and protecting your vehicle.
**That’s Nice, But What’s the Job?**
**This is not a position for which sponsorship will be provided. Individuals with temporary visas or who need sponsorship now or in the future are not eligible for hire at this time.**
In short, as our remote Data Platform Engineer on the Data Platform team, you are responsible for maintaining data platforms that support data in motion, data governance, automation, self\-service, and standardizing efficient patterns. You will collaborate closely with the DBA’s, DevOps Team, and Architecture to gain developer efficiency, improve data quality and increase stability.
**What we would like to see in your Tech Stack:**
* Data Platforms (Snowflake, Microsoft SQL Server, Azure)
* Unstructured Databases (MongoDB, Cosmos)
* Scripting Languages (Python, API’s, Powershell)
* Data Integration (FiveTran, Kafka, SSIS)
* CICD Pipelines and Source Control (Azure DevOps, GitHub)
* Orchestrators (Argo, Airflow)
* Infrastructure as Code (Terraform)
* Administration and Monitoring (DataDog)
**So, What Kind of Folks Are We Looking for?**
**The Specifics.**
* 5\+ years' experience in data engineering
* Bachelor’s degree in information technology or related field
* Ability to establish cross\-functional, collaborative relationships with technology partners, engineers and architecture
* Strong engineering and data governance fundamentals; recognizes industry patterns and strategies with a focus on maintaining healthy, secure platforms
* Expert at navigating product and engineering tradeoffs within the teams
* Focused on driving what matters forward through deliberate influential action
* Communicates clearly and concisely, both orally and in writing
* Enjoys mentoring engineers and helping to remove roadblocks for them
* Data driven strategy is at the root of their approach to problem solving
* Strong analytical and problem\-solving skills, regardless of technology
**So What About the Perks? Perks matter**
* **Work From Home.** Feel free to rock the casual wear while still being camera ready. You will be working from your home office (in an approved city \&amp; state) and make sure you have a conducive and quiet workspace with no distractions and reliable and secure internet.
* **Medical, dental, and vision, oh my!** DriveTime Family of Brands covers a sizable amount of insurance premiums to ensure our employees receive top\-tier healthcare coverage.
* **But Wait, There’s More.** 401(K), Company paid life insurance policy, short and long\-term disability coverage to name a few.
* **Growth Opportunities.** You grow, I grow, we all grow! But seriously, DriveTime Family of Brands is committed to providing its employees with every opportunity to grow professionally with roughly over 1,000 employees promoted year over year.
* **Tuition Reimbursement.** We’re as passionate about your professional development as you are. With that, we’ll put our money where our mouth is.
* **Wellness Program.** Health is wealth! This program includes self\-guided coaching and journeys, cash incentives and discounts on your medical premiums through engaging in fun activities!
* **Gratitude is Green.** We offer competitive pay across the organization, because, well… money matters!
* **Paid Time Off.** Not just lip service: we work hard, to play hard! Paid time off includes (for all full\-time roles) wellness days, holidays, and good ole' fashioned YOU time! For our Part\-timers, don't fear you get some time too...vacation time is available \- the more you work, the more you earn!
**Anything Else? Absolutely.**
DriveTime Family of Brands is Great Place to Work Certified! And get this: 90% of our rockstar employees say they feel right at home here. We could spend a lot of time having you read about ALL our awards, but we’ll save time (and practice some humility) just naming a few others; Comparably Awards: Best Company for Diversity, Best Company Culture and Best Company Leadership, oh and don’t forget Phoenix Business Journal Healthiest Employers (okay, we’ll stop there)!
Hiring is contingent upon successful completion of our background and drug screening process. DriveTime is a drug\-free, tobacco\-free workplace and an Equal Opportunity Employer.
And when it comes to hiring, we don't just look for the right person for the job, we seek out the right person for DriveTime. Buckle up for plenty of opportunities to grow in a professional, fun, and high\-energy environment!</t>
        </is>
      </c>
    </row>
    <row r="9">
      <c r="A9" t="inlineStr">
        <is>
          <t>in-ec8f625b0dbad336</t>
        </is>
      </c>
      <c r="B9" t="inlineStr">
        <is>
          <t>Data Platform Engineer - Remote</t>
        </is>
      </c>
      <c r="C9" t="inlineStr">
        <is>
          <t>DriveTime Automotive Group</t>
        </is>
      </c>
      <c r="D9" t="inlineStr">
        <is>
          <t>indeed</t>
        </is>
      </c>
      <c r="E9" t="inlineStr"/>
      <c r="F9" t="inlineStr"/>
      <c r="G9" t="inlineStr">
        <is>
          <t>Phoenix, AZ, US</t>
        </is>
      </c>
      <c r="H9" s="2" t="n">
        <v>46050</v>
      </c>
      <c r="I9" t="inlineStr">
        <is>
          <t>**What’s Under the Hood**
DriveTime Family of Brands is the largest privately owned used car sales finance \&amp; servicing company in the nation. Headquartered in Tempe, Arizona and Dallas, Texas, we create opportunities and improve the lives of our customers and our employees by placing a focus on putting the right customer, in the right vehicle, on the right terms and on their path to ownership.
The DriveTime Family of Brands spans across DriveTime, Bridgecrest and SilverRock. You can find us at the intersection of technology and innovation as we use our proprietary tools and over two decades of industry knowledge to redefine the process of purchasing, financing, and protecting your vehicle.
**That’s Nice, But What’s the Job?**
**This is not a position for which sponsorship will be provided. Individuals with temporary visas or who need sponsorship now or in the future are not eligible for hire at this time.**
In short, as our remote Data Platform Engineer on the Data Platform team, you are responsible for maintaining data platforms that support data in motion, data governance, automation, self\-service, and standardizing efficient patterns. You will collaborate closely with the DBA’s, DevOps Team, and Architecture to gain developer efficiency, improve data quality and increase stability.
**What we would like to see in your Tech Stack:**
* Data Platforms (Snowflake, Microsoft SQL Server, Azure)
* Unstructured Databases (MongoDB, Cosmos)
* Scripting Languages (Python, API’s, Powershell)
* Data Integration (FiveTran, Kafka, SSIS)
* CICD Pipelines and Source Control (Azure DevOps, GitHub)
* Orchestrators (Argo, Airflow)
* Infrastructure as Code (Terraform)
* Administration and Monitoring (DataDog)
**So, What Kind of Folks Are We Looking for?**
**The Specifics.**
* 5\+ years' experience in data engineering
* Bachelor’s degree in information technology or related field
* Ability to establish cross\-functional, collaborative relationships with technology partners, engineers and architecture
* Strong engineering and data governance fundamentals; recognizes industry patterns and strategies with a focus on maintaining healthy, secure platforms
* Expert at navigating product and engineering tradeoffs within the teams
* Focused on driving what matters forward through deliberate influential action
* Communicates clearly and concisely, both orally and in writing
* Enjoys mentoring engineers and helping to remove roadblocks for them
* Data driven strategy is at the root of their approach to problem solving
* Strong analytical and problem\-solving skills, regardless of technology
**So What About the Perks? Perks matter**
* **Work From Home.** Feel free to rock the casual wear while still being camera ready. You will be working from your home office (in an approved city \&amp; state) and make sure you have a conducive and quiet workspace with no distractions and reliable and secure internet.
* **Medical, dental, and vision, oh my!** DriveTime Family of Brands covers a sizable amount of insurance premiums to ensure our employees receive top\-tier healthcare coverage.
* **But Wait, There’s More.** 401(K), Company paid life insurance policy, short and long\-term disability coverage to name a few.
* **Growth Opportunities.** You grow, I grow, we all grow! But seriously, DriveTime Family of Brands is committed to providing its employees with every opportunity to grow professionally with roughly over 1,000 employees promoted year over year.
* **Tuition Reimbursement.** We’re as passionate about your professional development as you are. With that, we’ll put our money where our mouth is.
* **Wellness Program.** Health is wealth! This program includes self\-guided coaching and journeys, cash incentives and discounts on your medical premiums through engaging in fun activities!
* **Gratitude is Green.** We offer competitive pay across the organization, because, well… money matters!
* **Paid Time Off.** Not just lip service: we work hard, to play hard! Paid time off includes (for all full\-time roles) wellness days, holidays, and good ole' fashioned YOU time! For our Part\-timers, don't fear you get some time too...vacation time is available \- the more you work, the more you earn!
**Anything Else? Absolutely.**
DriveTime Family of Brands is Great Place to Work Certified! And get this: 90% of our rockstar employees say they feel right at home here. We could spend a lot of time having you read about ALL our awards, but we’ll save time (and practice some humility) just naming a few others; Comparably Awards: Best Company for Diversity, Best Company Culture and Best Company Leadership, oh and don’t forget Phoenix Business Journal Healthiest Employers (okay, we’ll stop there)!
Hiring is contingent upon successful completion of our background and drug screening process. DriveTime is a drug\-free, tobacco\-free workplace and an Equal Opportunity Employer.
And when it comes to hiring, we don't just look for the right person for the job, we seek out the right person for DriveTime. Buckle up for plenty of opportunities to grow in a professional, fun, and high\-energy environment!</t>
        </is>
      </c>
    </row>
    <row r="10">
      <c r="A10" t="inlineStr">
        <is>
          <t>in-cd116617c8c3e883</t>
        </is>
      </c>
      <c r="B10" t="inlineStr">
        <is>
          <t>Senior Data Engineer</t>
        </is>
      </c>
      <c r="C10" t="inlineStr">
        <is>
          <t>Capgemini</t>
        </is>
      </c>
      <c r="D10" t="inlineStr">
        <is>
          <t>indeed</t>
        </is>
      </c>
      <c r="E10" t="inlineStr"/>
      <c r="F10" t="inlineStr"/>
      <c r="G10" t="inlineStr">
        <is>
          <t>Bridgewater, NJ, US</t>
        </is>
      </c>
      <c r="H10" s="2" t="n">
        <v>46050</v>
      </c>
      <c r="I10" t="inlineStr">
        <is>
          <t>Bridgewater, NJ
Senior Data Engineer
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Description* 10\+years of expereince as Datawarehouse Data Engineer.• Data Architecture Design: Develop/Modify the architecture for the EDW, including data models, data quality standards, data integration strategies, data migration and data warehousing technologies to effectively store and access data from various sources as per the requirments.
* Business Requirements Gathering: Collaborate with business stakeholders to understand their data needs, identify key performance indicators (KPIs), and translate them into data warehouse requirements.
* Data Integration and ETL Development: Design and implementation of ETL processes to extract data from various source systems,transform it into a consistent format, and load it into the EDW through Databricks. Proven track record in implementing databricks for modernization projects.
* Performance Optimization: Monitor and optimize the performance of the EDW to ensure efficient data access and query response times.
* Overall Technical Leader: Provide technical guidance on data warehouse technologies, tools, and best practices to the relevant stakeholders.
Collaboration with Stakeholders: Work closely with business users, data analysts, and application developers to understand their data needs and deliver data\-driven insights.  
* 
Skills and experience* Data Warehousing Expertise: Deep understanding of data warehousing concepts, architectures, and technologies like dimensional modeling, star schema, Databricks schema, and ETL processes.
* Database Management Systems (DBMS): Proficient in SQL's and Databricks.
* Data Integration Tools: Familiarity with data integration tools for ETL development and data cleansing.
* Communication Skills: Excellent communication skills to effectively collaborate with stakeholders from various departments
The base compensation range for this role in the posted location is: $140,000 \- $150,000\.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Ref. code
403730\-en\_GB
Posted on
29 Jan 2026
Experience level
Experienced Professionals
Contract type
Permanent
Location
Bridgewater, NJ
Business unit
I and D Global Business Line
Brand
Capgemini
Professional communities
Data \&amp; AI</t>
        </is>
      </c>
    </row>
    <row r="11">
      <c r="A11" t="inlineStr">
        <is>
          <t>in-fa642c8a28482561</t>
        </is>
      </c>
      <c r="B11" t="inlineStr">
        <is>
          <t>Lead Data Engineer - EDW</t>
        </is>
      </c>
      <c r="C11" t="inlineStr">
        <is>
          <t>Fifth Third Bank</t>
        </is>
      </c>
      <c r="D11" t="inlineStr">
        <is>
          <t>indeed</t>
        </is>
      </c>
      <c r="E11" t="inlineStr"/>
      <c r="F11" t="inlineStr"/>
      <c r="G11" t="inlineStr">
        <is>
          <t>Cincinnati, OH, US</t>
        </is>
      </c>
      <c r="H11" s="2" t="n">
        <v>46050</v>
      </c>
      <c r="I11" t="inlineStr">
        <is>
          <t>Make banking a Fifth Third better®  
We connect great people to great opportunities. Are you ready to take the next step? Discover a career in banking at Fifth Third Bank.
GENERAL FUNCTION:
The data engineer designs and builds platforms, tools, and solutions that help the bank manage, secure, and generate value from its data. The person in this role creates scalable and reusable solutions for gathering, collecting, storing, processing, and serving data on both small and very large (i.e. Big Data) scales. These solutions can include on\-premise and cloud\-based data platforms, and solutions in any of the following domains ETL, business intelligence, analytics, persistence (relational, NoSQL, data lakes), search, messaging, data warehousing, stream processing, and machine learning.
Responsible and accountable for risk by openly exchanging ideas and opinions, elevating concerns, and personally following policies and procedures as defined. Accountable for always doing the right thing for customers and colleagues, and ensures that actions and behaviors drive a positive customer experience. While operating within the Bank's risk appetite, achieves results by consistently identifying, assessing, managing, monitoring, and reporting risks of all types.
ESSENTIAL DUTIES AND RESPONSIBILITIES:* Candidate must have knowledge of 5/3 enterprise data warehouse
* Candidate must be intimate with all the following technical skills.. (dbt, Snowflake, ELevate, IBM Mainframe, DB2, DataStage, IDAA sync process)
* Must have experience leading offshore teams and being part of the hiring process for contractors.
* Understand how Power BI and BO reporting capabilities work at 5/3 bank.
* Experience with Data Warehousing
* Responsible for design, Development, and Support of data solutions, tools, and processes to enable rapid delivery of business capabilities.
* Work closely with IT application teams, Enterprise architecture, infrastructure, information security, and LOB stakeholders to translate business and technical strategies into data\-driven solutions for the Bank.
* Act as a technical Expert addressing problems related to system and application design, performance, integration, security, etc.
* Conduct research and Development based on current trends and technologies related to the banking industry, data engineering and architecture, data security, and related topics.
* Work with developers to Build CI/CD pipelines, Self\-service Build tools, and automated deployment processes.
* Evaluate software products and Provide documented recommendations as needed.
* Provide Support and troubleshooting for data platforms. Must be willing to Provide escalated on\-call Support for complicated and/or critical incidents.
* Participate in the planning process for hardware and software.
* Plan and work on internal projects as needed, including legacy system replacement, Monitoring and analytics improvements, tool Development, and technical documentation.
* Provide technical guidance and mentoring for other team members.
* Manage and prioritize multiple assignments.
MINIMUM KNOWLEDGE, SKILLS AND ABILITIES REQUIRED:* Bachelor's degree in Computer Science/Information Systems or equivalent combination of education and experience.
* Must be able to communicate ideas both verbally and in writing to management, business and IT sponsors, and technical resources in language that is appropriate for each group.
* At least 6 years of related experience, including at least 4 years in a hands\-on software development role.
* Significant experience with at least one major RDBMS product.
Experience working with and supporting Unix/Linux and Windows systems.  
* Proficient in relational database modeling concepts and techniques.
* Solid conceptual understanding of distributed computing principles.
* Working knowledge of application and data security concepts, best practices, and common vulnerabilities.
* Experience in one or more of the following disciplines preferred: big data technologies and distributions, metadata management products, commercial ETL tools, Bi and reporting tools, messaging systems, data warehousing, Java (language and run time environment), major version control systems, continuous integration/delivery tools, infrastructure automation and virtualization tools, major cloud, or rest API design and development.
* Previous experience working with offshore teams desired.
* Financial industry experience is a plus.
Technical Skills Required:* Data Stage
* IT Architecture and design
* SQL
* Database skills
* Oracle
* Teradata
* DB2
* SQL Service
* Vertica
* Denodo
* Informatica and Talend
* Agile and Lean training
* Mainframe
* Snowflake
* ELevate
Lead Data Engineer \- EDW
At Fifth Third, we understand the importance of recognizing our employees for the role they play in improving the lives of our customers, communities and each other. Our Total Rewards include comprehensive benefits and differentiated compensation offerings to give each employee the opportunity to be their best every day.
The base salary for this position is reflective of the range of salary levels for all roles within this pay grade across the U.S. Individual salaries within this range will vary based on factors such as role, relevant skillset, relevant experience, education and geographic location. In addition to the base salary, this role is eligible to participate in an incentive compensation plan, with any such payment based upon company, line of business and/or individual performance.
Our extensive benefits programs are designed to support the individual needs of our employees and their families, encompassing physical, financial, emotional and social well\-being. You can learn more about those programs on our 53\.com Careers page at: https://www.53\.com/content/fifth\-third/en/careers/benefits.html or by consulting with your talent acquisition partner.
LOCATION \- Cincinnati, Ohio 45202
Attention search firms and staffing agencies: do not submit unsolicited resumes for this posting. Fifth Third does not accept resumes from any agency that does not have an active agreement with Fifth Third. Any unsolicited resumes – no matter how they are submitted – will be considered the property of Fifth Third and Fifth Third will not be responsible for any associated fee.
Fifth Third Bank, National Association is proud to have an engaged and inclusive culture and to promote and ensure equal employment opportunity in all employment decisions regardless of race, color, gender, national origin, religion, age, disability, sexual orientation, gender identity, military status, veteran status or any other legally protected status.</t>
        </is>
      </c>
    </row>
    <row r="12">
      <c r="A12" t="inlineStr">
        <is>
          <t>in-2cd785892ef8b799</t>
        </is>
      </c>
      <c r="B12" t="inlineStr">
        <is>
          <t>Infrastructure Edge Planning, Data Engineer, Edge Strategy and Planning</t>
        </is>
      </c>
      <c r="C12" t="inlineStr">
        <is>
          <t>Amazon.com</t>
        </is>
      </c>
      <c r="D12" t="inlineStr">
        <is>
          <t>indeed</t>
        </is>
      </c>
      <c r="E12" t="inlineStr"/>
      <c r="F12" t="inlineStr"/>
      <c r="G12" t="inlineStr">
        <is>
          <t>Denver, CO, US</t>
        </is>
      </c>
      <c r="H12" s="2" t="n">
        <v>46050</v>
      </c>
      <c r="I12" t="inlineStr">
        <is>
          <t>**DESCRIPTION**
---------------
Application deadline: Feb 3, 2026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offers a broad set of global compute, storage, database, analytics, application, and deployment services that help organizations move faster, lower IT costs, and scale applications. We are growing quickly and dynamically, including in our global data center footprint. This role is part of the Infrastructure Global Strategy and Planning team, which is responsible for our strategy for data center expansion for edge infrastructure.  
In this role, you will build data automation systems to transform interconnect capacity planning across locations. You will create data pipelines and analytics frameworks for infrastructure metrics, while developing Extract, Transform, and Load (ETL) processes to integrate data from heatmaps, CloudForge, build plans, and financial systems. Your work will support both current optimization and long\-term planning through data models that connect data center architectures with network designs.  
Your main task will be building automated workflows that replace manual processes. This includes creating monitoring systems for capacity constraints, alerts for capacity thresholds, visualization dashboards, and forecasting models. Your work will improve infrastructure cost optimization and growth planning through data\-driven insights.  
The role requires collaboration with infrastructure teams to capture data requirements and with business stakeholders to convert metrics into actions. You will deliver automated data integration systems, analytics platforms for capacity monitoring, forecasting models, and infrastructure health metrics. By combining data engineering skills with infrastructure planning knowledge, you will build systems that reduce costs and enable network scalability. This role will shape how we use data for infrastructure decisions, requiring both data engineering expertise and understanding of infrastructure planning.  
Key job responsibilities  
* Build automated data pipelines to collect and analyze infrastructure metrics from multiple sources
* Design and implement ETL workflows to integrate data from heatmaps, CloudForge, build plans, and financial systems
* Develop monitoring systems and dashboards for real\-time infrastructure capacity tracking
* Create predictive models for capacity planning and cost optimization
* Automate manual data collection and analysis processes
* Partner with infrastructure teams to deliver data\-driven planning insights
* Developing data and API integrations across multiple platforms
A day in the life  
A Data Engineer in Edge Infrastructure enables data\-driven decisions for one of the world's largest edge networks, transforming raw infrastructure data into actionable insights for capacity planning and optimization. You'll monitor automated data pipelines processing metrics from hundreds of edge sites, design predictive analytics for capacity forecasting, and build machine learning models to identify cost\-saving opportunities. Working closely with infrastructure teams, you'll create visualization tools, implement automated alerts, and develop APIs for data access. Your solutions will help transform infrastructure planning from manual analysis to automated, data\-driven decision\-making, directly impacting Amazon's ability to optimize its global edge network.  
About the team  
Within AWS Networking, the Internet Edge organization is responsible for connecting Amazon to Internet. With connections to thousands of unique external networks in hundreds of locations across the world, our mission is to deliver an internet\-connectivity experience that sets the global standard for performance, availability, security, and cost, making Amazon the clear choice for customers’ needs. Our team provides high\-performing internet connectivity for a wide range of use cases, such as retail (amazon.com), video streaming (Prime Video), content delivery (CloudFront), DNS (Route53\), AWS services (such as EC2/S3\), consumer devices (such as FireTV/Kindle/Echo), and more.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3\+ years of data engineering experience
* Experience with data modeling, warehousing and building ETL pipelines
* Knowledge of data visualization tools such as Quick Sight, Tableau, Power BI or other BI packages
* Experience writing complex SQL queries
* Object oriented programming (Python Preferred)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with infrastructure metrics, capacity planning, or network data analysis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\- 132,100\.00 \- 178,800\.00 USD annually</t>
        </is>
      </c>
    </row>
    <row r="13">
      <c r="A13" t="inlineStr">
        <is>
          <t>in-8f575ee9b3709778</t>
        </is>
      </c>
      <c r="B13" t="inlineStr">
        <is>
          <t>Director of Data Engineering</t>
        </is>
      </c>
      <c r="C13" t="inlineStr">
        <is>
          <t>Alo</t>
        </is>
      </c>
      <c r="D13" t="inlineStr">
        <is>
          <t>indeed</t>
        </is>
      </c>
      <c r="E13" t="inlineStr"/>
      <c r="F13" t="inlineStr"/>
      <c r="G13" t="inlineStr">
        <is>
          <t>Beverly Hills, CA, US</t>
        </is>
      </c>
      <c r="H13" s="2" t="n">
        <v>46050</v>
      </c>
      <c r="I13" t="inlineStr">
        <is>
          <t>**WHY JOIN ALO?**
Mindful movement. It's at the core of why we do what we do at ALO—it's our calling. Because mindful movement in the studio leads to better living. It changes who yogis are off the mat, making their lives and their communities better. That's the real meaning of studio\-to\-street: taking the consciousness from practice on the mat and putting it into practice in life.
**OVERVIEW**
We are seeking a visionary and hands\-on Director of Data Engineering to lead our data engineering strategy and execution. This role will be responsible for building and scaling a modern data platform that supports business intelligence, personalization, supply chain optimization, and AI/ML initiatives across the organization.
**RESPONSIBILITIES**
* Lead and mentor a high\-performing team of data engineers and architects.
* Design and implement scalable, secure, and efficient data pipelines and infrastructure.
* Partner with business leaders, product managers, and data scientists to deliver data solutions that drive business impact.
* Oversee the development and maintenance of data lakes, data warehouses, and real\-time streaming systems.
* Establish best practices for data governance, quality, and compliance (e.g., GDPR, CCPA).
* Evaluate and implement modern data tools and platforms (e.g., Snowflake, Databricks, Airflow, dbt).
* Drive innovation in data architecture to support personalization, predictive analytics, and AI/ML capabilities.
* Manage vendor relationships and ensure cost\-effective use of third\-party data services.
**QUALIFICATIONS**
* 8\-10\+ years of experience in data engineering or related fields, with at least 5 years in a leadership role.
* Proven experience building and scaling cloud\-based data platforms (AWS, GCP, or Azure).
* Expertise in SQL, Python, Spark, and modern data stack tools.
* Strong understanding of data modeling, ETL/ELT processes, and real\-time data processing.
* Experience supporting e\-commerce, retail, or consumer brands is a plus.
* Excellent communication and stakeholder management skills.
* Bachelor's or Master's degree in Computer Science, Engineering, or a related field.
The base salary range for this position is $250,000\-$280,000 per year which represents the current range for the base salary for this exempt position. Please note that actual salaries will vary based on factors including but not limited to location, experience, and performance. As such, on occasion and when applicable, there is the possibility that the final, agreed\-upon base salary may be outside of the upper end of the range. Please also note the range listed is just one component of the company's total rewards package for exempt employees. Other rewards may include performance bonuses, long term incentives, a PTO policy, and many other progressive benefits.
For CA residents, Job Applicant Privacy Policy HERE.</t>
        </is>
      </c>
    </row>
    <row r="14">
      <c r="A14" t="inlineStr">
        <is>
          <t>in-67c725cb6a0a097e</t>
        </is>
      </c>
      <c r="B14" t="inlineStr">
        <is>
          <t>Senior Data Engineer</t>
        </is>
      </c>
      <c r="C14" t="inlineStr">
        <is>
          <t>Fidelity Investments</t>
        </is>
      </c>
      <c r="D14" t="inlineStr">
        <is>
          <t>indeed</t>
        </is>
      </c>
      <c r="E14" t="inlineStr"/>
      <c r="F14" t="inlineStr"/>
      <c r="G14" t="inlineStr">
        <is>
          <t>Merrimack, NH, US</t>
        </is>
      </c>
      <c r="H14" s="2" t="n">
        <v>46050</v>
      </c>
      <c r="I14" t="inlineStr">
        <is>
          <t>### **Job Description:**
**The Role:**
The Core Wealth Platform Financial Insights Delivery team supporting Insights and Analytics data needs across the Retail and Workplace is seeking a Principal Data Engineer to design, develop, and implement AWS data driven infrastructure and applications. This role is critical in delivering Fidelity’s promise of creating the best customer experience in the industry. Apart from cloud\-based data application development, you will get exposure to our CI/CD deployment infrastructure, Agile development tools and procedures, relational (and non\-relational) database technologies, and technology leadership opportunities.
**The Expertise and Skills You Bring:**
* 10\+ years in designing, developing, installing, and supporting Enterprise quality applications
* 5\+ years of hands\-on development experience with:
	+ Building applications on AWS using HA and DR best practices
	+ Oracle PL/SQL packages and SQL performance tuning
	+ Relational Data Modeling
	+ Python or Scala
	+ DynamoDB or other NoSQL Databases
	+ Data Streaming using Kafka, Kinesis or similar
* Proficient in Java, ideally with a micro\-services development background
* Experience with Snowflake is a plus
* Experience working in a DevOps and CI/CD environment
* Experience developing in an Agile team setting (Kanban and/or SCRUM)
* AWS Developer certification
* A Bachelor’s or Master’s degree in Computer Science, Information Technology, or equivalent experience
* Ability to think out of box and design end\-to\-end solutions
* Passion and intellectually curious to learn new technologies and implement robust, scalable solutions
* Ability to work in a fast\-paced environment
* Excellent verbal and written communication skills
* Excellent collaboration skills to work with multiple teams in the organization
### **Certifications:**
### **Category:**
Information Technology
Most roles at Fidelity are Hybrid, requiring associates to work onsite every other week (all business days, M\-F) in a Fidelity office. This does not apply to Remote or fully Onsite roles.
Please be advised that Fidelity’s business is governed by the provisions of the Securities Exchange Act of 1934, the Investment Advisers Act of 1940, the Investment Company Act of 1940, ERISA, numerous state laws governing securities, investment and retirement\-related financial activities and the rules and regulations of numerous self\-regulatory organizations, including FINRA, among others. Those laws and regulations may restrict Fidelity from hiring and/or associating with individuals with certain Criminal Histories.</t>
        </is>
      </c>
    </row>
    <row r="15">
      <c r="A15" t="inlineStr">
        <is>
          <t>in-6a22a0f3d9d1900d</t>
        </is>
      </c>
      <c r="B15" t="inlineStr">
        <is>
          <t>Analytics Engineer - Microsoft Fabric</t>
        </is>
      </c>
      <c r="C15" t="inlineStr">
        <is>
          <t>Advantive</t>
        </is>
      </c>
      <c r="D15" t="inlineStr">
        <is>
          <t>indeed</t>
        </is>
      </c>
      <c r="E15" t="inlineStr"/>
      <c r="F15" t="inlineStr"/>
      <c r="G15" t="inlineStr">
        <is>
          <t>Tampa, FL, US</t>
        </is>
      </c>
      <c r="H15" s="2" t="n">
        <v>46050</v>
      </c>
      <c r="I15" t="inlineStr">
        <is>
          <t>At **Advantive**, we don’t just make software—we build careers and power the manufacturing and distribution backbone of the global economy. We are growing fast, investing in AI, and building a culture where motivated, curious people rise quickly.
You will join Advantive’s Business Analytics organization as a key member of the team responsible for building, operating, and maintaining our enterprise analytics warehouse on Microsoft Fabric.
In this hands\-on role, you’ll focus on creating and running reliable data pipelines, transformations, and models that power our Power BI reporting and analytics. You’ll collaborate closely with our Principal Analytics Architect, Power BI developers, and business partners to make sure data is accurate, timely, and easy to work with.
A core part of your work will be maintaining and extending the logic we’ve migrated from Alteryx into Fabric, as well as supporting ongoing enhancements as business needs evolve.
**Why Advantive?**
* Culture of Growth: We don’t hire to fill seats—we hire to develop talent. You’ll be supported like an athlete, coached like a leader, and challenged like a builder.
* Career Acceleration: Many of our best leaders started in frontline roles like this one. We believe in moving fast and promoting from within.
* Real Impact: You’re not a cog in the machine here. Your work helps real businesses that keep supply chains, manufacturing lines, and entire industries running.
Artificial intelligence (AI) technology may be used during the hiring process to record, transcribe, analyze, and rank interview responses. By submitting your application and participating in the interview process, you acknowledge and consent to the use of AI technology in the hiring process.
**Interview Process:**
We believe in identifying a strong fit between our company and our employees and supporting a culture of creative problem solving and innovation. To that extent, if selected for next steps, you will be invited to complete a series of assessments that focus on aptitude and personality prior to a recruiter interview. Everyone at the company from early career all the way to CEO has taken these assessments. The assessment email will be coming from a no\-reply email address via our ATS (Hirebridge), so please be on the lookout!
*Advantive is an equal opportunity employer. We are committed to equal employment regardless of race, color, ethnicity, ancestry,* *religion, sex (including pregnancy, sexual orientation, or gender identity or expression), national origin, age, disability, veteran status, or other class protected by applicable law. All qualified applicants will receive consideration for employment without regard to these characteristics. We are committed to providing reasonable accommodations to individuals with disabilities and to ensuring a fair and inclusive hiring process.*
**Warning!** Advantive does not make job offers without conducting face\-to\-face (including virtual) interviews and will never ask you for money and/or personal information such as Social Security or bank information during the interview process.
Job scams have been reported against many companies. For more information, please visit: FTC Job Scams.
**Key Responsibilities**
**Data Pipelines \&amp; Transformations**
* Build and maintain Fabric data pipelines and transformations
* Support ingestion from Salesforce, NetSuite, and other systems
* Monitor pipeline health, refreshes, and performance
**Data Modeling \&amp; Maintenance**
* Implement and maintain warehouse tables and semantic models
* Partner with the architect to evolve models as requirements change
* Support historical tracking, reconciliations, and incremental loads
**Alteryx Logic Support**
* Help implement and validate Fabric\-based equivalents of Alteryx workflows
* Ensure transformed data aligns with existing business logic and reporting
**Analytics \&amp; Power BI Support**
* Support Power BI datasets sourcing from the warehouse
* Assist with data validation, metric definitions, and reconciliations
* Respond to ad\-hoc analytics and investigation requests
**Data Quality \&amp; Documentation**
* Proactively identify data quality issues and anomalies
* Maintain documentation for pipelines, transformations, and models
* Support governance, access controls, and audit requirements
**Qualifications**
* Bachelor’s degree in Information Systems, Data Analytics, Computer Science, or related field
* 3–6\+ years of experience in analytics engineering, data operations, or BI engineering
* Hands\-on experience with SQL and modern analytics platforms (Microsoft Fabric preferred)
* Experience supporting Power BI datasets and models
* Familiarity with Salesforce and/or NetSuite data a strong plus
**Location**: Tampa, FL
***While we offer flexibility, this role includes an expectation of being onsite three days a week in our Tampa office to support team alignment and cross\-functional collaboration.***
All your information will be kept confidential according to EEO guidelines.
Qualified applicants will be asked to complete a 30\-minute online assessment as a part of your application.</t>
        </is>
      </c>
    </row>
    <row r="16">
      <c r="A16" t="inlineStr">
        <is>
          <t>in-9521f8105a1b729a</t>
        </is>
      </c>
      <c r="B16" t="inlineStr">
        <is>
          <t>Senior Specialist, Federal Data Engineer</t>
        </is>
      </c>
      <c r="C16" t="inlineStr">
        <is>
          <t>KPMG</t>
        </is>
      </c>
      <c r="D16" t="inlineStr">
        <is>
          <t>indeed</t>
        </is>
      </c>
      <c r="E16" t="inlineStr"/>
      <c r="F16" t="inlineStr"/>
      <c r="G16" t="inlineStr">
        <is>
          <t>Washington, DC, US</t>
        </is>
      </c>
      <c r="H16" s="2" t="n">
        <v>46050</v>
      </c>
      <c r="I16" t="inlineStr">
        <is>
          <t>The KPMG Advisory practice is currently our fastest growing practice. We are seeing tremendous client demand, and looking forward we don't anticipate that slowing down. In this ever\-changing market environment, our professionals must be adaptable and thrive in a collaborative, team\-driven culture. At KPMG, our people are our number one priority. With a wealth of learning and career development opportunities, a world\-class training facility and leading market tools, we make sure our people continue to grow both professionally and personally. If you're looking for a firm with a strong team connection where you can be your whole self, have an impact, advance your skills, deepen your experiences, and have the flexibility and access to constantly find new areas of inspiration and expand your capabilities, then consider a career in Advisory.
KPMG is currently seeking a Senior Specialist to join our Federal Advisory practice.
### **Responsibilities:**
* Collaborate with multi\-disciplinary / cross\-functional teams to identify business opportunities, develop machine learning models, and data science solutions
* Utilize processes / best practices to plan, lead, and execute delivery of data analytics and AI engagements
* Work with engagement teams to discover data sources, create data requests; collaborate with data engineers to develop / utilize ETL process to ingest and enrich structured / unstructured data
* Perform explanatory data analyses, generate / test working hypotheses, prepare / analyze historical data and identify patterns; perform machine learning, natural language, and statistical analysis methods (such as classification, cluster analysis, collaborative filtering, sentiment analysis, language modeling, time\-series analysis, regression, statistical inference, etc.)
* Rapidly learn / develop skills in utilizing cloud compute, data storage resources, and other on\-prem / cloud\-native services for data acquisition, management, transformation, model development / deployment
* Contribute to developing dashboards, UI and interactive tools to support clients to turn their data into actionable insights / reproducible reports
### **Qualifications:**
* A minimum of three years of data analytics solutions, data engineering, or machine learning modeling experience; U.S. Federal government consulting experience preferred
* Bachelor's degree from an accredited college/university
* Ability to apply artificial intelligence / machine learning techniques to achieve business goals; ability to work with business to understand available resources and constraints around data (sources, integrity, definitions); provide assistance and resolve issues
* Proficiency with programming languages such as Python, R, Java, SQL and open\-source packages / libraries
* Design, build, operationalize, and maintain robust data pipelines, demonstrating deep SAP ERP knowledge to integrate complex financial / logistical data into the Jupiter platform using Databricks, Python, and Spark
* Experience leveraging Jupiter platform to engineer and model curated datasets from SAP ERP pipeline
* Experience in leveraging cloud services, Cloud Certifications (e.g. \- AWS Solution Architect, AWS Machine Learning, Google Data Engineering, Azure AI Engineer Associate, etc.) preferred
* Ability to travel as required to support firm engagements
* Applicant must possess a U.S. Government Secret clearance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https://kpmg.com/us/en/how\-we\-work/pay\-transparency.html/?id\=M101\_4\_25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17">
      <c r="A17" t="inlineStr">
        <is>
          <t>in-c7be3e6c9f900a39</t>
        </is>
      </c>
      <c r="B17" t="inlineStr">
        <is>
          <t>Senior Specialist, Federal Data Engineer</t>
        </is>
      </c>
      <c r="C17" t="inlineStr">
        <is>
          <t>KPMG</t>
        </is>
      </c>
      <c r="D17" t="inlineStr">
        <is>
          <t>indeed</t>
        </is>
      </c>
      <c r="E17" t="inlineStr"/>
      <c r="F17" t="inlineStr"/>
      <c r="G17" t="inlineStr">
        <is>
          <t>McLean, VA, US</t>
        </is>
      </c>
      <c r="H17" s="2" t="n">
        <v>46050</v>
      </c>
      <c r="I17" t="inlineStr">
        <is>
          <t>The KPMG Advisory practice is currently our fastest growing practice. We are seeing tremendous client demand, and looking forward we don't anticipate that slowing down. In this ever\-changing market environment, our professionals must be adaptable and thrive in a collaborative, team\-driven culture. At KPMG, our people are our number one priority. With a wealth of learning and career development opportunities, a world\-class training facility and leading market tools, we make sure our people continue to grow both professionally and personally. If you're looking for a firm with a strong team connection where you can be your whole self, have an impact, advance your skills, deepen your experiences, and have the flexibility and access to constantly find new areas of inspiration and expand your capabilities, then consider a career in Advisory.
KPMG is currently seeking a Senior Specialist to join our Federal Advisory practice.
### **Responsibilities:**
* Collaborate with multi\-disciplinary / cross\-functional teams to identify business opportunities, develop machine learning models, and data science solutions
* Utilize processes / best practices to plan, lead, and execute delivery of data analytics and AI engagements
* Work with engagement teams to discover data sources, create data requests; collaborate with data engineers to develop / utilize ETL process to ingest and enrich structured / unstructured data
* Perform explanatory data analyses, generate / test working hypotheses, prepare / analyze historical data and identify patterns; perform machine learning, natural language, and statistical analysis methods (such as classification, cluster analysis, collaborative filtering, sentiment analysis, language modeling, time\-series analysis, regression, statistical inference, etc.)
* Rapidly learn / develop skills in utilizing cloud compute, data storage resources, and other on\-prem / cloud\-native services for data acquisition, management, transformation, model development / deployment
* Contribute to developing dashboards, UI and interactive tools to support clients to turn their data into actionable insights / reproducible reports
### **Qualifications:**
* A minimum of three years of data analytics solutions, data engineering, or machine learning modeling experience; U.S. Federal government consulting experience preferred
* Bachelor's degree from an accredited college/university
* Ability to apply artificial intelligence / machine learning techniques to achieve business goals; ability to work with business to understand available resources and constraints around data (sources, integrity, definitions); provide assistance and resolve issues
* Proficiency with programming languages such as Python, R, Java, SQL and open\-source packages / libraries
* Design, build, operationalize, and maintain robust data pipelines, demonstrating deep SAP ERP knowledge to integrate complex financial / logistical data into the Jupiter platform using Databricks, Python, and Spark
* Experience leveraging Jupiter platform to engineer and model curated datasets from SAP ERP pipeline
* Experience in leveraging cloud services, Cloud Certifications (e.g. \- AWS Solution Architect, AWS Machine Learning, Google Data Engineering, Azure AI Engineer Associate, etc.) preferred
* Ability to travel as required to support firm engagements
* Applicant must possess a U.S. Government Secret clearance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https://kpmg.com/us/en/how\-we\-work/pay\-transparency.html/?id\=M101\_4\_25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18">
      <c r="A18" t="inlineStr">
        <is>
          <t>in-4062ad0549f54d44</t>
        </is>
      </c>
      <c r="B18" t="inlineStr">
        <is>
          <t>Principal Data Engineer</t>
        </is>
      </c>
      <c r="C18" t="inlineStr">
        <is>
          <t>Oshkosh Corporation</t>
        </is>
      </c>
      <c r="D18" t="inlineStr">
        <is>
          <t>indeed</t>
        </is>
      </c>
      <c r="E18" t="inlineStr"/>
      <c r="F18" t="inlineStr"/>
      <c r="G18" t="inlineStr">
        <is>
          <t>Oshkosh, WI, US</t>
        </is>
      </c>
      <c r="H18" s="2" t="n">
        <v>46050</v>
      </c>
      <c r="I18" t="inlineStr">
        <is>
          <t>**At Oshkosh, we build, serve and protect people and communities around the world by designing and manufacturing some of the toughest specialty trucks and access equipment. We employ over 18,000 team members all united by a common purpose. Our engineering and product innovation help keep soldiers and firefighters safe, is critical in building and keeping communities clean and helps people do their jobs every day.**
**SUMMARY:**
As a member of the Advanced Analytics organization, your primary responsibilities will be to support comprehensive planning and execution in providing a world\-class set of capabilities around data ingestion and transformation, as well as analytics platform and solutions architecture.
**YOUR IMPACT:**
* Plan, architect, design and develop scalable data and analytics solutions to deliver quantifiable value to our business teams.
* Own the architecture and user access patterns for analytics and data platforms.
* Collaborate with cross\-functional teams (e.g. data engineers, data analysts, scientists, architects, business stakeholders, application owners) on analytics product development and data requirements.
* Provide guidance and leadership for end\-to\-end testing, system integration testing, and validation to support the accuracy of data transformations and data verifications used.
* Possesses extensive understanding of ETL pipelines, SQL, programming, relational databases, data modeling, transactional and BI databases, and networking.
* Significant experience with tools such as Terraform, Spark, Databricks, Snowflake, Git, and Azure infrastructure management (ADLS Gen2, Azure Compute, Azure Data Factory, AI Foundry, AKS, VPC’s, Storage Accounts, and others).
* Build and maintain documentation, such as version\-controlled work instructions, detailed design documents and architecture documentation.
* Direct data engineering assignments, job scheduling, performance\-tuning data processes, and troubleshooting data processing issues (including root cause resolution).
* Set standards for data governance (quality, security, etc.) within the Azure data lake.
* Familiarity with ITIL methodology and ticketing software to track and manage incidents, changes, problems, tasks, and demand.
* Lead coaching and mentoring and serve as a Subject Matter Expert (SME) on new technologies and best practices across data engineering (i.e. data modeling, database design, ETL design, job scheduling and monitoring, etc.)
* Possesses advanced understanding of data structure, data processing, and overall landscape of source/ERP systems.
* Possesses strong critical thinking, analytical, problem\-solving, organizational, multitasking, interpersonal, and presentation skills.
* Designs the strategic roadmap and forward analysis for data engineering, including proof of concepts and vendor management.
* Direct feasibility studies and project estimates for proposed projects.
* Analyzes trends, emerging technologies, and version updates to optimize data engineering's vendor relationships, technical solutions, and improve customer experience.
* Partners across technology SMEs for process, policy, and procedure best practices and design.
* Proficiency in Excel skills and programming skills
* Develop process improvement strategies based on pattern recognition with the business for proactive solutions.
**MINIMUM QUALIFICATIONS:**
* Bachelors degree with seven (7\) or more years of experience in the field or in a related area.
**STANDOUT QUALIFICATIONS:**
* Masters or doctorate degree
**Pay Range:**
$136,500\.00 \- $241,500\.00
The above pay range reflects the minimum and maximum target pay for the position across all U.S. locations. Within this range, individual pay is determined by various factors, including the scope and responsibilities of the role, the candidate's experience, education and skills, as well as the equity of pay among team members in similar positions. Beyond offering a competitive total rewards package, we prioritize a people\-first culture and offer various opportunities to support team member growth and success.
Oshkosh is committed to working with and offering reasonable accommodation to job applicants with disabilities. If you need assistance or an accommodation due to disability for any part of the employment process, please contact us at corporatetalentacquisition@oshkoshcorp.com.
Oshkosh Corporation is a merit\-based Equal Opportunity Employer. Job opportunities are open for application to all qualified individuals and selection decisions are made without regard to race, color, religion, sex, national origin, age, disability, veteran status, or other protected characteristic. To the extent that information is provided or collected regarding categories as provided by law it will in no way affect the decision regarding an employment application.
Oshkosh Corporation will not discharge or in any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Oshkosh Corporation's legal duty to furnish information.
Certain positions with Oshkosh Corporation require access to controlled goods and technologies subject to the International Traffic in Arms Regulations or the Export Administration Regulations. Applicants for these positions may need to be "U.S. Persons," as defined in these regulations. Generally, a "U.S. Person" is a U.S. citizen, lawful permanent resident, or an individual who has been admitted as a refugee or granted asylum.</t>
        </is>
      </c>
    </row>
    <row r="19">
      <c r="A19" t="inlineStr">
        <is>
          <t>in-508de3e804bd603a</t>
        </is>
      </c>
      <c r="B19" t="inlineStr">
        <is>
          <t>Analytics Engineer - Microsoft Fabric</t>
        </is>
      </c>
      <c r="C19" t="inlineStr">
        <is>
          <t>Advantive</t>
        </is>
      </c>
      <c r="D19" t="inlineStr">
        <is>
          <t>indeed</t>
        </is>
      </c>
      <c r="E19" t="inlineStr"/>
      <c r="F19" t="inlineStr"/>
      <c r="G19" t="inlineStr">
        <is>
          <t>Tampa, FL, US</t>
        </is>
      </c>
      <c r="H19" s="2" t="n">
        <v>46050</v>
      </c>
      <c r="I19" t="inlineStr">
        <is>
          <t>Tampa, FL
Admin Full Time 353394
At **Advantive**, we don’t just make software—we build careers and power the manufacturing and distribution backbone of the global economy. We are growing fast, investing in AI, and building a culture where motivated, curious people rise quickly.
You will join Advantive’s Business Analytics organization as a key member of the team responsible for building, operating, and maintaining our enterprise analytics warehouse on Microsoft Fabric.
In this hands\-on role, you’ll focus on creating and running reliable data pipelines, transformations, and models that power our Power BI reporting and analytics. You’ll collaborate closely with our Principal Analytics Architect, Power BI developers, and business partners to make sure data is accurate, timely, and easy to work with.
A core part of your work will be maintaining and extending the logic we’ve migrated from Alteryx into Fabric, as well as supporting ongoing enhancements as business needs evolve.
**Key Responsibilities**
**Data Pipelines \&amp; Transformations**
* Build and maintain Fabric data pipelines and transformations
* Support ingestion from Salesforce, NetSuite, and other systems
* Monitor pipeline health, refreshes, and performance
**Data Modeling \&amp; Maintenance**
* Implement and maintain warehouse tables and semantic models
* Partner with the architect to evolve models as requirements change
* Support historical tracking, reconciliations, and incremental loads
**Alteryx Logic Support**
* Help implement and validate Fabric\-based equivalents of Alteryx workflows
* Ensure transformed data aligns with existing business logic and reporting
**Analytics \&amp; Power BI Support**
* Support Power BI datasets sourcing from the warehouse
* Assist with data validation, metric definitions, and reconciliations
* Respond to ad\-hoc analytics and investigation requests
**Data Quality \&amp; Documentation**
* Proactively identify data quality issues and anomalies
* Maintain documentation for pipelines, transformations, and models
* Support governance, access controls, and audit requirements
**Qualifications**
* Bachelor’s degree in Information Systems, Data Analytics, Computer Science, or related field
* 3–6\+ years of experience in analytics engineering, data operations, or BI engineering
* Hands\-on experience with SQL and modern analytics platforms (Microsoft Fabric preferred)
* Experience supporting Power BI datasets and models
* Familiarity with Salesforce and/or NetSuite data a strong plus
**Location**: Tampa, FL
***While we offer flexibility, this role includes an expectation of being onsite three days a week in our Tampa office to support team alignment and cross\-functional collaboration.***
**Why Advantive?**
* Culture of Growth: We don’t hire to fill seats—we hire to develop talent. You’ll be supported like an athlete, coached like a leader, and challenged like a builder.
* Career Acceleration: Many of our best leaders started in frontline roles like this one. We believe in moving fast and promoting from within.
* Real Impact: You’re not a cog in the machine here. Your work helps real businesses that keep supply chains, manufacturing lines, and entire industries running.
Artificial intelligence (AI) technology may be used during the hiring process to record, transcribe, analyze, and rank interview responses. By submitting your application and participating in the interview process, you acknowledge and consent to the use of AI technology in the hiring process.
**Interview Process:**
We believe in identifying a strong fit between our company and our employees and supporting a culture of creative problem solving and innovation. To that extent, if selected for next steps, you will be invited to complete a series of assessments that focus on aptitude and personality prior to a recruiter interview. Everyone at the company from early career all the way to CEO has taken these assessments. The assessment email will be coming from a no\-reply email address via our ATS (Hirebridge), so please be on the lookout!
*Advantive is an equal opportunity employer. We are committed to equal employment regardless of race, color, ethnicity, ancestry,* *religion, sex (including pregnancy, sexual orientation, or gender identity or expression), national origin, age, disability, veteran status, or other class protected by applicable law. All qualified applicants will receive consideration for employment without regard to these characteristics. We are committed to providing reasonable accommodations to individuals with disabilities and to ensuring a fair and inclusive hiring process.*
**Warning!** Advantive does not make job offers without conducting face\-to\-face (including virtual) interviews and will never ask you for money and/or personal information such as Social Security or bank information during the interview process.
Job scams have been reported against many companies. For more information, please visit: **FTC Job Scams**.</t>
        </is>
      </c>
    </row>
    <row r="20">
      <c r="A20" t="inlineStr">
        <is>
          <t>in-c146bdc121c20554</t>
        </is>
      </c>
      <c r="B20" t="inlineStr">
        <is>
          <t>Data Engineer</t>
        </is>
      </c>
      <c r="C20" t="inlineStr">
        <is>
          <t>Amentum</t>
        </is>
      </c>
      <c r="D20" t="inlineStr">
        <is>
          <t>indeed</t>
        </is>
      </c>
      <c r="E20" t="inlineStr"/>
      <c r="F20" t="inlineStr"/>
      <c r="G20" t="inlineStr">
        <is>
          <t>Arlington, VA, US</t>
        </is>
      </c>
      <c r="H20" s="2" t="n">
        <v>46050</v>
      </c>
      <c r="I20" t="inlineStr">
        <is>
          <t>Amentum is seeking a Data Engineer to support a Department of Homeland Security (DHS) mission requirement secure data ingestion, transformation, validation, and compliance within a controlled federal environment. The role supports DHS case management and analytical platforms by ensuring data integrity, format compliance, and operational readiness for downstream analytics and reporting.
**Responsibilities** The Data Engineer performs data engineering and compliance activities in support of DHS data repositories and analytic platforms. Responsibilities include, but are not limited to:
* Perform data cleaning, normalization, and validation of DHS case and repository data to ensure accuracy, completeness, and adherence to DHS and Amentum data standards. and scrubbing repository data to ensure accuracy.
* Design, execute, and optimize data preprocessing and ETL workflows to improve ingestion efficiency, reduce rework, and support cost\-effective operations.
* Transform and migrate structured and semi\-structured data into required schemas and formats for ingestion into DHS systems, and Amentum Tools such as NISO Ascend and TrackVia.
* Conduct data quality audits and case file reviews to ensure compliance with established formatting, metadata, and documentation requirements.
* Identify data anomalies, integrity issues, and ingestion failures; document findings and coordinate corrective actions with technical and program stakeholders.
* Maintain detailed documentation of data workflows, transformations, and validation procedures to support audits, continuity, and knowledge transfer.
* Support ad hoc data requests, data reconciliation efforts, and operational reporting as required.
**Requirements**
* Ability to obtain and maintain DHS Public Trust
* Bachelor’s degree (2–4 years exp), Master’s degree (0–2 years exp), or High School Diploma (8–10 years exp).
**Compensation Details:**
$105,000\-$150,000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01/29/2026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row>
    <row r="21">
      <c r="A21" t="inlineStr">
        <is>
          <t>in-fa612b744a91713f</t>
        </is>
      </c>
      <c r="B21" t="inlineStr">
        <is>
          <t>Data Engineer</t>
        </is>
      </c>
      <c r="C21" t="inlineStr">
        <is>
          <t>Amentum</t>
        </is>
      </c>
      <c r="D21" t="inlineStr">
        <is>
          <t>indeed</t>
        </is>
      </c>
      <c r="E21" t="inlineStr"/>
      <c r="F21" t="inlineStr"/>
      <c r="G21" t="inlineStr">
        <is>
          <t>Remote, US</t>
        </is>
      </c>
      <c r="H21" s="2" t="n">
        <v>46050</v>
      </c>
      <c r="I21" t="inlineStr">
        <is>
          <t>Amentum is seeking a Data Engineer to support a Department of Homeland Security (DHS) mission requirement secure data ingestion, transformation, validation, and compliance within a controlled federal environment. The role supports DHS case management and analytical platforms by ensuring data integrity, format compliance, and operational readiness for downstream analytics and reporting.
**Responsibilities** The Data Engineer performs data engineering and compliance activities in support of DHS data repositories and analytic platforms. Responsibilities include, but are not limited to:
* Perform data cleaning, normalization, and validation of DHS case and repository data to ensure accuracy, completeness, and adherence to DHS and Amentum data standards. and scrubbing repository data to ensure accuracy.
* Design, execute, and optimize data preprocessing and ETL workflows to improve ingestion efficiency, reduce rework, and support cost\-effective operations.
* Transform and migrate structured and semi\-structured data into required schemas and formats for ingestion into DHS systems, and Amentum Tools such as NISO Ascend and TrackVia.
* Conduct data quality audits and case file reviews to ensure compliance with established formatting, metadata, and documentation requirements.
* Identify data anomalies, integrity issues, and ingestion failures; document findings and coordinate corrective actions with technical and program stakeholders.
* Maintain detailed documentation of data workflows, transformations, and validation procedures to support audits, continuity, and knowledge transfer.
* Support ad hoc data requests, data reconciliation efforts, and operational reporting as required.
**Requirements**
* Ability to obtain and maintain DHS Public Trust
* Bachelor’s degree (2–4 years exp), Master’s degree (0–2 years exp), or High School Diploma (8–10 years exp).
**Compensation Details:**
$105,000\-$150,000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01/29/2026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row>
    <row r="22">
      <c r="A22" t="inlineStr">
        <is>
          <t>in-97e17c09275ca464</t>
        </is>
      </c>
      <c r="B22" t="inlineStr">
        <is>
          <t>Data Engineer III</t>
        </is>
      </c>
      <c r="C22" t="inlineStr">
        <is>
          <t>James Allen</t>
        </is>
      </c>
      <c r="D22" t="inlineStr">
        <is>
          <t>indeed</t>
        </is>
      </c>
      <c r="E22" t="inlineStr"/>
      <c r="F22" t="inlineStr"/>
      <c r="G22" t="inlineStr">
        <is>
          <t>Remote, US</t>
        </is>
      </c>
      <c r="H22" s="2" t="n">
        <v>46050</v>
      </c>
      <c r="I22" t="inlineStr">
        <is>
          <t>The Data Engineer III is responsible for building and maintaining robust data pipelines and models for the R2Net organization, overseeing a broad scope of ETL infrastructure and databases. By deploying expertise across many diverse systems, APIs, and platforms, this role plays a key part in enabling accurate and timely access to data across the organization, with an emphasis on simplifying and centralizing a complex ecosystem – and thereby providing trustworthy, analytic\-ready resources for the various business units.
This role, by interfacing with key stakeholders in Engineering, Analytics, Operations, Finance, Marketing, and Customer Service, will work to build a data environment that is accurate, complete, timely, and dependable, and will serve as a trusted partner to key associates across the org. In achieving these goals, this role will extend beyond pipeline management – it will involve deep collaboration with business stakeholders, proactive engagement in data strategy, and a focus on driving measurable impact through data. This engineer is expected to bridge technical execution with business outcomes, owning long\-term initiatives that drive top\-line and bottom\-line growth for R2Net as a whole.
**Key Responsibilities:**
* Design, implement, and maintain complex data pipelines, ensuring scalability and reliability using **Airflow**, **dbt**, **Rivery**, **Python**, and **SQL**, enabling robust ingestion and transformation of structured and semi\-structured data.
* Serve as a strategic partner to business teams, working closely with stakeholders to translate high\-level goals into data solutions that support forecasting, performance tracking, and optimization.
* Develop and maintain clean, well\-documented data models in **Snowflake** and **BigQuery** that support analytics, reporting, and operational workflows and contribute to architecture decisions.
* Integrate data from a variety of internal and external sources, including **Google Analytics** and third\-party APIs, to support full\-funnel visibility across departments.
* Enable self\-service analytics by ensuring data assets are discoverable and usable via tools such as **Tableau**, including thoughtful semantic layer design and performance tuning.
* Contribute to the development of robust monitoring and observability practices for data quality and pipeline health.
* Collaborate on architecture and design decisions, including cloud infrastructure and containerization using **AWS. Pulumi** and **Docker**.
* Maintain strong documentation and promote engineering standards that ensure transparency, maintainability, and reusability of data systems.
**Requirements**
* **7\+ years of professional experience** in data engineering, analytics engineering, or related roles.
* **Advanced proficiency in SQL and Python**, with expertise in efficient query writing, data structures, and software engineering principles.
* Hands\-on experience with **Snowflake** and/or **Big Query**, including data modeling and performance optimization.
* Proficiency with **orchestration tools** (e.g., Airflow) and **data integration tools** like **dbt**.
* Experience working with **cloud platforms**, especially **AWS**, for data storage, compute, and infrastructure management, including services such as **AWS Batch, ECR, Lambda functions**, and related tools.
* Familiarity with **data analytics and visualization tools**, particularly **Tableau**, and ability to support data consumers in building actionable dashboards.
* Experience with **marketing and product data sources**, including **Google Analytics** and similar platforms.
* Strong knowledge of **ETL/ELT design** and data warehousing solutions.
* Familiarity with **CI/CD pipelines** and **DevOps practices** for data engineering.
* Strong skills in **Microsoft Suite** for documentation and collaboration.
* Robust experience with **API design and integration**.
* Familiarity with **SCRUM development methodologies** and tools like **Jira**
**Benefits**
At R2Net \- James Allen \&amp; Blue Nile, many of our roles offer a high\-quality, comprehensive benefits package including healthcare, paid time off, retirement planning and opportunities for career advancement. Some offerings are dependent upon the role, employment type, work schedule or location:
* Paid Time Off
* Medical, Dental, Vision and Prescription Insurance
* 401(k) Retirement Plan with Company Match
* Flexible Spending Account \| Health Savings Account
* Tuition Reimbursement
* Employee Discount
* Parental Leave
* Life Insurance
At this time, R2Net will not sponsor a new applicant for employment authorization for this position.  
Additional Information: R2NET INC.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R2NET INC. will consider qualified applicants with criminal histories in a manner consistent with the requirements of applicable law.
**Pay Transparency Disclosure**  
If based in James Allen \&amp; Blue Nile’s Seattle or New York hub offices, this role has the annual base salary range stated below.
Annual base pay: $147,000 \- $172,000\. Final pay rate shall be determined and is based on experience and qualifications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Please discuss your specific work location with your recruiter for more information. \#LI\-WK1</t>
        </is>
      </c>
    </row>
    <row r="23">
      <c r="A23" t="inlineStr">
        <is>
          <t>in-08e48351ac7a0bcc</t>
        </is>
      </c>
      <c r="B23" t="inlineStr">
        <is>
          <t>Senior Data Engineer (GCP) - HR Technology</t>
        </is>
      </c>
      <c r="C23" t="inlineStr">
        <is>
          <t>CVS Health</t>
        </is>
      </c>
      <c r="D23" t="inlineStr">
        <is>
          <t>indeed</t>
        </is>
      </c>
      <c r="E23" t="inlineStr"/>
      <c r="F23" t="inlineStr"/>
      <c r="G23" t="inlineStr">
        <is>
          <t>Frankfort, KY, US</t>
        </is>
      </c>
      <c r="H23" s="2" t="n">
        <v>46050</v>
      </c>
      <c r="I23"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**About the Role:**
The Sr. Data Engineer (People Analytics) role is a technical developer in IT and individual contributor for the People Analytics Data Engineering team responsible for the development of data warehouse modeling, data pipelines, and related analytics specific to People and Workforce analytics in cloud data platforms.
Key Responsibilities:
* ***Data Pipeline Management*****:** Design, build, and manage robust data pipelines and ETL processes that integrate HR data from various systems, including Workday, talent management, payroll, and other data sources.
* ***Data Engineering and Transformation*****:** Develop and optimize data workflows to ensure data accuracy, quality, and availability for the People Analytics team and stakeholders across HR and business units.
* ***Technical Leadership*****:** Oversee a team of data engineers, providing mentorship, support, and guidance on best practices in data engineering, version control, and coding standards.
* ***Analytics \&amp; Reporting Support*****:** Work closely with People Analytics to structure data for analysis, develop data models, and create reproducible workflows that enable efficient reporting in R, Python, and other analytics tools.
* ***Data Security and Compliance*****:** Ensure data governance and security protocols are followed in accordance with company policies and industry regulations, with a focus on HR data confidentiality and compliance.
* ***Collaboration with Stakeholders*****:** Partner with HR leaders, IT, and People Analytics teams to understand business requirements, streamline data requests, and provide insights to support strategic decisions.
**Required Qualifications**
* 5\+ years' experience in **Data Engineering**, with a focus on HR or people data.
* 5\+ years' experience with ETL/ELT processes and tools.
* 5\+ years' experience with **SQL** and relational databases.
* 4\+ years' experience programming in **Python** for data manipulation, automation, and analysis.
* 3\+ years' experience with cloud platforms, prefer GCP (may consider Azure or AWS).
* 2\+ years' experience with data warehousing solutions (e.g., Snowflake, Redshift, BigQuery).
* 2\+ years' experience with scheduling tools like Airflow or Composer.
**Preferred Qualifications**
* Experience with Workday or similar HRIS platforms and data flows within an HR context.
* Problem\-Solving ability and strong analytical skills with the ability to troubleshoot, optimize, and automate data processes.
* Strong communication skills with the ability to communicate complex technical processes to non\-technical stakeholders effectively.
* Familiarity or working knowledge of common data visualization or business intelligence tools (PowerBI, Tableau, Oracle BI, Visier, etc.).
* Preferably technical experience specific to people or talent analytics, data engineering, visualization, business intelligence, or analytical consulting.
**Education**
* Bachelor’s degree in Computer Science, Data Engineering, Data Science, or a related field required.
* Master's degree preferred.
**Anticipated Weekly Hours**
40**Time Type**
Full time**Pay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02/09/2026
Qualified applicants with arrest or conviction records will be considered for employment in accordance with all federal, state and local laws.</t>
        </is>
      </c>
    </row>
    <row r="24">
      <c r="A24" t="inlineStr">
        <is>
          <t>in-235e44130a6acc41</t>
        </is>
      </c>
      <c r="B24" t="inlineStr">
        <is>
          <t>Senior Data Engineer (GCP) - HR Technology</t>
        </is>
      </c>
      <c r="C24" t="inlineStr">
        <is>
          <t>CVS Health</t>
        </is>
      </c>
      <c r="D24" t="inlineStr">
        <is>
          <t>indeed</t>
        </is>
      </c>
      <c r="E24" t="inlineStr"/>
      <c r="F24" t="inlineStr"/>
      <c r="G24" t="inlineStr">
        <is>
          <t>Salt Lake City, UT, US</t>
        </is>
      </c>
      <c r="H24" s="2" t="n">
        <v>46050</v>
      </c>
      <c r="I24"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**About the Role:**
The Sr. Data Engineer (People Analytics) role is a technical developer in IT and individual contributor for the People Analytics Data Engineering team responsible for the development of data warehouse modeling, data pipelines, and related analytics specific to People and Workforce analytics in cloud data platforms.
Key Responsibilities:
* ***Data Pipeline Management*****:** Design, build, and manage robust data pipelines and ETL processes that integrate HR data from various systems, including Workday, talent management, payroll, and other data sources.
* ***Data Engineering and Transformation*****:** Develop and optimize data workflows to ensure data accuracy, quality, and availability for the People Analytics team and stakeholders across HR and business units.
* ***Technical Leadership*****:** Oversee a team of data engineers, providing mentorship, support, and guidance on best practices in data engineering, version control, and coding standards.
* ***Analytics \&amp; Reporting Support*****:** Work closely with People Analytics to structure data for analysis, develop data models, and create reproducible workflows that enable efficient reporting in R, Python, and other analytics tools.
* ***Data Security and Compliance*****:** Ensure data governance and security protocols are followed in accordance with company policies and industry regulations, with a focus on HR data confidentiality and compliance.
* ***Collaboration with Stakeholders*****:** Partner with HR leaders, IT, and People Analytics teams to understand business requirements, streamline data requests, and provide insights to support strategic decisions.
**Required Qualifications**
* 5\+ years' experience in **Data Engineering**, with a focus on HR or people data.
* 5\+ years' experience with ETL/ELT processes and tools.
* 5\+ years' experience with **SQL** and relational databases.
* 4\+ years' experience programming in **Python** for data manipulation, automation, and analysis.
* 3\+ years' experience with cloud platforms, prefer GCP (may consider Azure or AWS).
* 2\+ years' experience with data warehousing solutions (e.g., Snowflake, Redshift, BigQuery).
* 2\+ years' experience with scheduling tools like Airflow or Composer.
**Preferred Qualifications**
* Experience with Workday or similar HRIS platforms and data flows within an HR context.
* Problem\-Solving ability and strong analytical skills with the ability to troubleshoot, optimize, and automate data processes.
* Strong communication skills with the ability to communicate complex technical processes to non\-technical stakeholders effectively.
* Familiarity or working knowledge of common data visualization or business intelligence tools (PowerBI, Tableau, Oracle BI, Visier, etc.).
* Preferably technical experience specific to people or talent analytics, data engineering, visualization, business intelligence, or analytical consulting.
**Education**
* Bachelor’s degree in Computer Science, Data Engineering, Data Science, or a related field required.
* Master's degree preferred.
**Anticipated Weekly Hours**
40**Time Type**
Full time**Pay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02/09/2026
Qualified applicants with arrest or conviction records will be considered for employment in accordance with all federal, state and local laws.</t>
        </is>
      </c>
    </row>
    <row r="25">
      <c r="A25" t="inlineStr">
        <is>
          <t>in-13581913f11e8067</t>
        </is>
      </c>
      <c r="B25" t="inlineStr">
        <is>
          <t>Senior Data Engineer (GCP) - HR Technology</t>
        </is>
      </c>
      <c r="C25" t="inlineStr">
        <is>
          <t>CVS Health</t>
        </is>
      </c>
      <c r="D25" t="inlineStr">
        <is>
          <t>indeed</t>
        </is>
      </c>
      <c r="E25" t="inlineStr"/>
      <c r="F25" t="inlineStr"/>
      <c r="G25" t="inlineStr">
        <is>
          <t>Columbus, OH, US</t>
        </is>
      </c>
      <c r="H25" s="2" t="n">
        <v>46050</v>
      </c>
      <c r="I25"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**About the Role:**
The Sr. Data Engineer (People Analytics) role is a technical developer in IT and individual contributor for the People Analytics Data Engineering team responsible for the development of data warehouse modeling, data pipelines, and related analytics specific to People and Workforce analytics in cloud data platforms.
Key Responsibilities:
* ***Data Pipeline Management*****:** Design, build, and manage robust data pipelines and ETL processes that integrate HR data from various systems, including Workday, talent management, payroll, and other data sources.
* ***Data Engineering and Transformation*****:** Develop and optimize data workflows to ensure data accuracy, quality, and availability for the People Analytics team and stakeholders across HR and business units.
* ***Technical Leadership*****:** Oversee a team of data engineers, providing mentorship, support, and guidance on best practices in data engineering, version control, and coding standards.
* ***Analytics \&amp; Reporting Support*****:** Work closely with People Analytics to structure data for analysis, develop data models, and create reproducible workflows that enable efficient reporting in R, Python, and other analytics tools.
* ***Data Security and Compliance*****:** Ensure data governance and security protocols are followed in accordance with company policies and industry regulations, with a focus on HR data confidentiality and compliance.
* ***Collaboration with Stakeholders*****:** Partner with HR leaders, IT, and People Analytics teams to understand business requirements, streamline data requests, and provide insights to support strategic decisions.
**Required Qualifications**
* 5\+ years' experience in **Data Engineering**, with a focus on HR or people data.
* 5\+ years' experience with ETL/ELT processes and tools.
* 5\+ years' experience with **SQL** and relational databases.
* 4\+ years' experience programming in **Python** for data manipulation, automation, and analysis.
* 3\+ years' experience with cloud platforms, prefer GCP (may consider Azure or AWS).
* 2\+ years' experience with data warehousing solutions (e.g., Snowflake, Redshift, BigQuery).
* 2\+ years' experience with scheduling tools like Airflow or Composer.
**Preferred Qualifications**
* Experience with Workday or similar HRIS platforms and data flows within an HR context.
* Problem\-Solving ability and strong analytical skills with the ability to troubleshoot, optimize, and automate data processes.
* Strong communication skills with the ability to communicate complex technical processes to non\-technical stakeholders effectively.
* Familiarity or working knowledge of common data visualization or business intelligence tools (PowerBI, Tableau, Oracle BI, Visier, etc.).
* Preferably technical experience specific to people or talent analytics, data engineering, visualization, business intelligence, or analytical consulting.
**Education**
* Bachelor’s degree in Computer Science, Data Engineering, Data Science, or a related field required.
* Master's degree preferred.
**Anticipated Weekly Hours**
40**Time Type**
Full time**Pay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02/09/2026
Qualified applicants with arrest or conviction records will be considered for employment in accordance with all federal, state and local laws.</t>
        </is>
      </c>
    </row>
    <row r="26">
      <c r="A26" t="inlineStr">
        <is>
          <t>in-5081f638f17d8994</t>
        </is>
      </c>
      <c r="B26" t="inlineStr">
        <is>
          <t>Senior Data Engineer (GCP) - HR Technology</t>
        </is>
      </c>
      <c r="C26" t="inlineStr">
        <is>
          <t>CVS Health</t>
        </is>
      </c>
      <c r="D26" t="inlineStr">
        <is>
          <t>indeed</t>
        </is>
      </c>
      <c r="E26" t="inlineStr"/>
      <c r="F26" t="inlineStr"/>
      <c r="G26" t="inlineStr">
        <is>
          <t>Topeka, KS, US</t>
        </is>
      </c>
      <c r="H26" s="2" t="n">
        <v>46050</v>
      </c>
      <c r="I26"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**About the Role:**
The Sr. Data Engineer (People Analytics) role is a technical developer in IT and individual contributor for the People Analytics Data Engineering team responsible for the development of data warehouse modeling, data pipelines, and related analytics specific to People and Workforce analytics in cloud data platforms.
Key Responsibilities:
* ***Data Pipeline Management*****:** Design, build, and manage robust data pipelines and ETL processes that integrate HR data from various systems, including Workday, talent management, payroll, and other data sources.
* ***Data Engineering and Transformation*****:** Develop and optimize data workflows to ensure data accuracy, quality, and availability for the People Analytics team and stakeholders across HR and business units.
* ***Technical Leadership*****:** Oversee a team of data engineers, providing mentorship, support, and guidance on best practices in data engineering, version control, and coding standards.
* ***Analytics \&amp; Reporting Support*****:** Work closely with People Analytics to structure data for analysis, develop data models, and create reproducible workflows that enable efficient reporting in R, Python, and other analytics tools.
* ***Data Security and Compliance*****:** Ensure data governance and security protocols are followed in accordance with company policies and industry regulations, with a focus on HR data confidentiality and compliance.
* ***Collaboration with Stakeholders*****:** Partner with HR leaders, IT, and People Analytics teams to understand business requirements, streamline data requests, and provide insights to support strategic decisions.
**Required Qualifications**
* 5\+ years' experience in **Data Engineering**, with a focus on HR or people data.
* 5\+ years' experience with ETL/ELT processes and tools.
* 5\+ years' experience with **SQL** and relational databases.
* 4\+ years' experience programming in **Python** for data manipulation, automation, and analysis.
* 3\+ years' experience with cloud platforms, prefer GCP (may consider Azure or AWS).
* 2\+ years' experience with data warehousing solutions (e.g., Snowflake, Redshift, BigQuery).
* 2\+ years' experience with scheduling tools like Airflow or Composer.
**Preferred Qualifications**
* Experience with Workday or similar HRIS platforms and data flows within an HR context.
* Problem\-Solving ability and strong analytical skills with the ability to troubleshoot, optimize, and automate data processes.
* Strong communication skills with the ability to communicate complex technical processes to non\-technical stakeholders effectively.
* Familiarity or working knowledge of common data visualization or business intelligence tools (PowerBI, Tableau, Oracle BI, Visier, etc.).
* Preferably technical experience specific to people or talent analytics, data engineering, visualization, business intelligence, or analytical consulting.
**Education**
* Bachelor’s degree in Computer Science, Data Engineering, Data Science, or a related field required.
* Master's degree preferred.
**Anticipated Weekly Hours**
40**Time Type**
Full time**Pay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02/09/2026
Qualified applicants with arrest or conviction records will be considered for employment in accordance with all federal, state and local laws.</t>
        </is>
      </c>
    </row>
    <row r="27">
      <c r="A27" t="inlineStr">
        <is>
          <t>in-3af894519aa3c5ea</t>
        </is>
      </c>
      <c r="B27" t="inlineStr">
        <is>
          <t>Senior Data Engineer (GCP) - HR Technology</t>
        </is>
      </c>
      <c r="C27" t="inlineStr">
        <is>
          <t>CVS Health</t>
        </is>
      </c>
      <c r="D27" t="inlineStr">
        <is>
          <t>indeed</t>
        </is>
      </c>
      <c r="E27" t="inlineStr"/>
      <c r="F27" t="inlineStr"/>
      <c r="G27" t="inlineStr">
        <is>
          <t>Indianapolis, IN, US</t>
        </is>
      </c>
      <c r="H27" s="2" t="n">
        <v>46050</v>
      </c>
      <c r="I27"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**About the Role:**
The Sr. Data Engineer (People Analytics) role is a technical developer in IT and individual contributor for the People Analytics Data Engineering team responsible for the development of data warehouse modeling, data pipelines, and related analytics specific to People and Workforce analytics in cloud data platforms.
Key Responsibilities:
* ***Data Pipeline Management*****:** Design, build, and manage robust data pipelines and ETL processes that integrate HR data from various systems, including Workday, talent management, payroll, and other data sources.
* ***Data Engineering and Transformation*****:** Develop and optimize data workflows to ensure data accuracy, quality, and availability for the People Analytics team and stakeholders across HR and business units.
* ***Technical Leadership*****:** Oversee a team of data engineers, providing mentorship, support, and guidance on best practices in data engineering, version control, and coding standards.
* ***Analytics \&amp; Reporting Support*****:** Work closely with People Analytics to structure data for analysis, develop data models, and create reproducible workflows that enable efficient reporting in R, Python, and other analytics tools.
* ***Data Security and Compliance*****:** Ensure data governance and security protocols are followed in accordance with company policies and industry regulations, with a focus on HR data confidentiality and compliance.
* ***Collaboration with Stakeholders*****:** Partner with HR leaders, IT, and People Analytics teams to understand business requirements, streamline data requests, and provide insights to support strategic decisions.
**Required Qualifications**
* 5\+ years' experience in **Data Engineering**, with a focus on HR or people data.
* 5\+ years' experience with ETL/ELT processes and tools.
* 5\+ years' experience with **SQL** and relational databases.
* 4\+ years' experience programming in **Python** for data manipulation, automation, and analysis.
* 3\+ years' experience with cloud platforms, prefer GCP (may consider Azure or AWS).
* 2\+ years' experience with data warehousing solutions (e.g., Snowflake, Redshift, BigQuery).
* 2\+ years' experience with scheduling tools like Airflow or Composer.
**Preferred Qualifications**
* Experience with Workday or similar HRIS platforms and data flows within an HR context.
* Problem\-Solving ability and strong analytical skills with the ability to troubleshoot, optimize, and automate data processes.
* Strong communication skills with the ability to communicate complex technical processes to non\-technical stakeholders effectively.
* Familiarity or working knowledge of common data visualization or business intelligence tools (PowerBI, Tableau, Oracle BI, Visier, etc.).
* Preferably technical experience specific to people or talent analytics, data engineering, visualization, business intelligence, or analytical consulting.
**Education**
* Bachelor’s degree in Computer Science, Data Engineering, Data Science, or a related field required.
* Master's degree preferred.
**Anticipated Weekly Hours**
40**Time Type**
Full time**Pay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02/09/2026
Qualified applicants with arrest or conviction records will be considered for employment in accordance with all federal, state and local laws.</t>
        </is>
      </c>
    </row>
    <row r="28">
      <c r="A28" t="inlineStr">
        <is>
          <t>in-16e94c7c3acac2ce</t>
        </is>
      </c>
      <c r="B28" t="inlineStr">
        <is>
          <t>Senior Data Engineer (GCP) - HR Technology</t>
        </is>
      </c>
      <c r="C28" t="inlineStr">
        <is>
          <t>CVS Health</t>
        </is>
      </c>
      <c r="D28" t="inlineStr">
        <is>
          <t>indeed</t>
        </is>
      </c>
      <c r="E28" t="inlineStr"/>
      <c r="F28" t="inlineStr"/>
      <c r="G28" t="inlineStr">
        <is>
          <t>Jefferson City, MO, US</t>
        </is>
      </c>
      <c r="H28" s="2" t="n">
        <v>46050</v>
      </c>
      <c r="I28"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**About the Role:**
The Sr. Data Engineer (People Analytics) role is a technical developer in IT and individual contributor for the People Analytics Data Engineering team responsible for the development of data warehouse modeling, data pipelines, and related analytics specific to People and Workforce analytics in cloud data platforms.
Key Responsibilities:
* ***Data Pipeline Management*****:** Design, build, and manage robust data pipelines and ETL processes that integrate HR data from various systems, including Workday, talent management, payroll, and other data sources.
* ***Data Engineering and Transformation*****:** Develop and optimize data workflows to ensure data accuracy, quality, and availability for the People Analytics team and stakeholders across HR and business units.
* ***Technical Leadership*****:** Oversee a team of data engineers, providing mentorship, support, and guidance on best practices in data engineering, version control, and coding standards.
* ***Analytics \&amp; Reporting Support*****:** Work closely with People Analytics to structure data for analysis, develop data models, and create reproducible workflows that enable efficient reporting in R, Python, and other analytics tools.
* ***Data Security and Compliance*****:** Ensure data governance and security protocols are followed in accordance with company policies and industry regulations, with a focus on HR data confidentiality and compliance.
* ***Collaboration with Stakeholders*****:** Partner with HR leaders, IT, and People Analytics teams to understand business requirements, streamline data requests, and provide insights to support strategic decisions.
**Required Qualifications**
* 5\+ years' experience in **Data Engineering**, with a focus on HR or people data.
* 5\+ years' experience with ETL/ELT processes and tools.
* 5\+ years' experience with **SQL** and relational databases.
* 4\+ years' experience programming in **Python** for data manipulation, automation, and analysis.
* 3\+ years' experience with cloud platforms, prefer GCP (may consider Azure or AWS).
* 2\+ years' experience with data warehousing solutions (e.g., Snowflake, Redshift, BigQuery).
* 2\+ years' experience with scheduling tools like Airflow or Composer.
**Preferred Qualifications**
* Experience with Workday or similar HRIS platforms and data flows within an HR context.
* Problem\-Solving ability and strong analytical skills with the ability to troubleshoot, optimize, and automate data processes.
* Strong communication skills with the ability to communicate complex technical processes to non\-technical stakeholders effectively.
* Familiarity or working knowledge of common data visualization or business intelligence tools (PowerBI, Tableau, Oracle BI, Visier, etc.).
* Preferably technical experience specific to people or talent analytics, data engineering, visualization, business intelligence, or analytical consulting.
**Education**
* Bachelor’s degree in Computer Science, Data Engineering, Data Science, or a related field required.
* Master's degree preferred.
**Anticipated Weekly Hours**
40**Time Type**
Full time**Pay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02/09/2026
Qualified applicants with arrest or conviction records will be considered for employment in accordance with all federal, state and local laws.</t>
        </is>
      </c>
    </row>
    <row r="29">
      <c r="A29" t="inlineStr">
        <is>
          <t>in-c8dd7f7f79ad6c70</t>
        </is>
      </c>
      <c r="B29" t="inlineStr">
        <is>
          <t>Senior Data Engineer (GCP) - HR Technology</t>
        </is>
      </c>
      <c r="C29" t="inlineStr">
        <is>
          <t>CVS Health</t>
        </is>
      </c>
      <c r="D29" t="inlineStr">
        <is>
          <t>indeed</t>
        </is>
      </c>
      <c r="E29" t="inlineStr"/>
      <c r="F29" t="inlineStr"/>
      <c r="G29" t="inlineStr">
        <is>
          <t>Cheyenne, WY, US</t>
        </is>
      </c>
      <c r="H29" s="2" t="n">
        <v>46050</v>
      </c>
      <c r="I29"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**About the Role:**
The Sr. Data Engineer (People Analytics) role is a technical developer in IT and individual contributor for the People Analytics Data Engineering team responsible for the development of data warehouse modeling, data pipelines, and related analytics specific to People and Workforce analytics in cloud data platforms.
Key Responsibilities:
* ***Data Pipeline Management*****:** Design, build, and manage robust data pipelines and ETL processes that integrate HR data from various systems, including Workday, talent management, payroll, and other data sources.
* ***Data Engineering and Transformation*****:** Develop and optimize data workflows to ensure data accuracy, quality, and availability for the People Analytics team and stakeholders across HR and business units.
* ***Technical Leadership*****:** Oversee a team of data engineers, providing mentorship, support, and guidance on best practices in data engineering, version control, and coding standards.
* ***Analytics \&amp; Reporting Support*****:** Work closely with People Analytics to structure data for analysis, develop data models, and create reproducible workflows that enable efficient reporting in R, Python, and other analytics tools.
* ***Data Security and Compliance*****:** Ensure data governance and security protocols are followed in accordance with company policies and industry regulations, with a focus on HR data confidentiality and compliance.
* ***Collaboration with Stakeholders*****:** Partner with HR leaders, IT, and People Analytics teams to understand business requirements, streamline data requests, and provide insights to support strategic decisions.
**Required Qualifications**
* 5\+ years' experience in **Data Engineering**, with a focus on HR or people data.
* 5\+ years' experience with ETL/ELT processes and tools.
* 5\+ years' experience with **SQL** and relational databases.
* 4\+ years' experience programming in **Python** for data manipulation, automation, and analysis.
* 3\+ years' experience with cloud platforms, prefer GCP (may consider Azure or AWS).
* 2\+ years' experience with data warehousing solutions (e.g., Snowflake, Redshift, BigQuery).
* 2\+ years' experience with scheduling tools like Airflow or Composer.
**Preferred Qualifications**
* Experience with Workday or similar HRIS platforms and data flows within an HR context.
* Problem\-Solving ability and strong analytical skills with the ability to troubleshoot, optimize, and automate data processes.
* Strong communication skills with the ability to communicate complex technical processes to non\-technical stakeholders effectively.
* Familiarity or working knowledge of common data visualization or business intelligence tools (PowerBI, Tableau, Oracle BI, Visier, etc.).
* Preferably technical experience specific to people or talent analytics, data engineering, visualization, business intelligence, or analytical consulting.
**Education**
* Bachelor’s degree in Computer Science, Data Engineering, Data Science, or a related field required.
* Master's degree preferred.
**Anticipated Weekly Hours**
40**Time Type**
Full time**Pay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02/09/2026
Qualified applicants with arrest or conviction records will be considered for employment in accordance with all federal, state and local laws.</t>
        </is>
      </c>
    </row>
    <row r="30">
      <c r="A30" t="inlineStr">
        <is>
          <t>in-7f17a8800a0ca586</t>
        </is>
      </c>
      <c r="B30" t="inlineStr">
        <is>
          <t>Senior Data Engineer (GCP) - HR Technology</t>
        </is>
      </c>
      <c r="C30" t="inlineStr">
        <is>
          <t>CVS Health</t>
        </is>
      </c>
      <c r="D30" t="inlineStr">
        <is>
          <t>indeed</t>
        </is>
      </c>
      <c r="E30" t="inlineStr"/>
      <c r="F30" t="inlineStr"/>
      <c r="G30" t="inlineStr">
        <is>
          <t>Tallahassee, FL, US</t>
        </is>
      </c>
      <c r="H30" s="2" t="n">
        <v>46050</v>
      </c>
      <c r="I30"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**About the Role:**
The Sr. Data Engineer (People Analytics) role is a technical developer in IT and individual contributor for the People Analytics Data Engineering team responsible for the development of data warehouse modeling, data pipelines, and related analytics specific to People and Workforce analytics in cloud data platforms.
Key Responsibilities:
* ***Data Pipeline Management*****:** Design, build, and manage robust data pipelines and ETL processes that integrate HR data from various systems, including Workday, talent management, payroll, and other data sources.
* ***Data Engineering and Transformation*****:** Develop and optimize data workflows to ensure data accuracy, quality, and availability for the People Analytics team and stakeholders across HR and business units.
* ***Technical Leadership*****:** Oversee a team of data engineers, providing mentorship, support, and guidance on best practices in data engineering, version control, and coding standards.
* ***Analytics \&amp; Reporting Support*****:** Work closely with People Analytics to structure data for analysis, develop data models, and create reproducible workflows that enable efficient reporting in R, Python, and other analytics tools.
* ***Data Security and Compliance*****:** Ensure data governance and security protocols are followed in accordance with company policies and industry regulations, with a focus on HR data confidentiality and compliance.
* ***Collaboration with Stakeholders*****:** Partner with HR leaders, IT, and People Analytics teams to understand business requirements, streamline data requests, and provide insights to support strategic decisions.
**Required Qualifications**
* 5\+ years' experience in **Data Engineering**, with a focus on HR or people data.
* 5\+ years' experience with ETL/ELT processes and tools.
* 5\+ years' experience with **SQL** and relational databases.
* 4\+ years' experience programming in **Python** for data manipulation, automation, and analysis.
* 3\+ years' experience with cloud platforms, prefer GCP (may consider Azure or AWS).
* 2\+ years' experience with data warehousing solutions (e.g., Snowflake, Redshift, BigQuery).
* 2\+ years' experience with scheduling tools like Airflow or Composer.
**Preferred Qualifications**
* Experience with Workday or similar HRIS platforms and data flows within an HR context.
* Problem\-Solving ability and strong analytical skills with the ability to troubleshoot, optimize, and automate data processes.
* Strong communication skills with the ability to communicate complex technical processes to non\-technical stakeholders effectively.
* Familiarity or working knowledge of common data visualization or business intelligence tools (PowerBI, Tableau, Oracle BI, Visier, etc.).
* Preferably technical experience specific to people or talent analytics, data engineering, visualization, business intelligence, or analytical consulting.
**Education**
* Bachelor’s degree in Computer Science, Data Engineering, Data Science, or a related field required.
* Master's degree preferred.
**Anticipated Weekly Hours**
40**Time Type**
Full time**Pay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02/09/2026
Qualified applicants with arrest or conviction records will be considered for employment in accordance with all federal, state and local laws.</t>
        </is>
      </c>
    </row>
    <row r="31">
      <c r="A31" t="inlineStr">
        <is>
          <t>in-711ea853b0204e7a</t>
        </is>
      </c>
      <c r="B31" t="inlineStr">
        <is>
          <t>Senior Data Engineer (GCP) - HR Technology</t>
        </is>
      </c>
      <c r="C31" t="inlineStr">
        <is>
          <t>CVS Health</t>
        </is>
      </c>
      <c r="D31" t="inlineStr">
        <is>
          <t>indeed</t>
        </is>
      </c>
      <c r="E31" t="inlineStr"/>
      <c r="F31" t="inlineStr"/>
      <c r="G31" t="inlineStr">
        <is>
          <t>Raleigh, NC, US</t>
        </is>
      </c>
      <c r="H31" s="2" t="n">
        <v>46050</v>
      </c>
      <c r="I31"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**About the Role:**
The Sr. Data Engineer (People Analytics) role is a technical developer in IT and individual contributor for the People Analytics Data Engineering team responsible for the development of data warehouse modeling, data pipelines, and related analytics specific to People and Workforce analytics in cloud data platforms.
Key Responsibilities:
* ***Data Pipeline Management*****:** Design, build, and manage robust data pipelines and ETL processes that integrate HR data from various systems, including Workday, talent management, payroll, and other data sources.
* ***Data Engineering and Transformation*****:** Develop and optimize data workflows to ensure data accuracy, quality, and availability for the People Analytics team and stakeholders across HR and business units.
* ***Technical Leadership*****:** Oversee a team of data engineers, providing mentorship, support, and guidance on best practices in data engineering, version control, and coding standards.
* ***Analytics \&amp; Reporting Support*****:** Work closely with People Analytics to structure data for analysis, develop data models, and create reproducible workflows that enable efficient reporting in R, Python, and other analytics tools.
* ***Data Security and Compliance*****:** Ensure data governance and security protocols are followed in accordance with company policies and industry regulations, with a focus on HR data confidentiality and compliance.
* ***Collaboration with Stakeholders*****:** Partner with HR leaders, IT, and People Analytics teams to understand business requirements, streamline data requests, and provide insights to support strategic decisions.
**Required Qualifications**
* 5\+ years' experience in **Data Engineering**, with a focus on HR or people data.
* 5\+ years' experience with ETL/ELT processes and tools.
* 5\+ years' experience with **SQL** and relational databases.
* 4\+ years' experience programming in **Python** for data manipulation, automation, and analysis.
* 3\+ years' experience with cloud platforms, prefer GCP (may consider Azure or AWS).
* 2\+ years' experience with data warehousing solutions (e.g., Snowflake, Redshift, BigQuery).
* 2\+ years' experience with scheduling tools like Airflow or Composer.
**Preferred Qualifications**
* Experience with Workday or similar HRIS platforms and data flows within an HR context.
* Problem\-Solving ability and strong analytical skills with the ability to troubleshoot, optimize, and automate data processes.
* Strong communication skills with the ability to communicate complex technical processes to non\-technical stakeholders effectively.
* Familiarity or working knowledge of common data visualization or business intelligence tools (PowerBI, Tableau, Oracle BI, Visier, etc.).
* Preferably technical experience specific to people or talent analytics, data engineering, visualization, business intelligence, or analytical consulting.
**Education**
* Bachelor’s degree in Computer Science, Data Engineering, Data Science, or a related field required.
* Master's degree preferred.
**Anticipated Weekly Hours**
40**Time Type**
Full time**Pay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02/09/2026
Qualified applicants with arrest or conviction records will be considered for employment in accordance with all federal, state and local laws.</t>
        </is>
      </c>
    </row>
    <row r="32">
      <c r="A32" t="inlineStr">
        <is>
          <t>in-3afdae809ee38338</t>
        </is>
      </c>
      <c r="B32" t="inlineStr">
        <is>
          <t>Senior Data Engineer (GCP) - HR Technology</t>
        </is>
      </c>
      <c r="C32" t="inlineStr">
        <is>
          <t>CVS Health</t>
        </is>
      </c>
      <c r="D32" t="inlineStr">
        <is>
          <t>indeed</t>
        </is>
      </c>
      <c r="E32" t="inlineStr"/>
      <c r="F32" t="inlineStr"/>
      <c r="G32" t="inlineStr">
        <is>
          <t>Montgomery, AL, US</t>
        </is>
      </c>
      <c r="H32" s="2" t="n">
        <v>46050</v>
      </c>
      <c r="I32"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**About the Role:**
The Sr. Data Engineer (People Analytics) role is a technical developer in IT and individual contributor for the People Analytics Data Engineering team responsible for the development of data warehouse modeling, data pipelines, and related analytics specific to People and Workforce analytics in cloud data platforms.
Key Responsibilities:
* ***Data Pipeline Management*****:** Design, build, and manage robust data pipelines and ETL processes that integrate HR data from various systems, including Workday, talent management, payroll, and other data sources.
* ***Data Engineering and Transformation*****:** Develop and optimize data workflows to ensure data accuracy, quality, and availability for the People Analytics team and stakeholders across HR and business units.
* ***Technical Leadership*****:** Oversee a team of data engineers, providing mentorship, support, and guidance on best practices in data engineering, version control, and coding standards.
* ***Analytics \&amp; Reporting Support*****:** Work closely with People Analytics to structure data for analysis, develop data models, and create reproducible workflows that enable efficient reporting in R, Python, and other analytics tools.
* ***Data Security and Compliance*****:** Ensure data governance and security protocols are followed in accordance with company policies and industry regulations, with a focus on HR data confidentiality and compliance.
* ***Collaboration with Stakeholders*****:** Partner with HR leaders, IT, and People Analytics teams to understand business requirements, streamline data requests, and provide insights to support strategic decisions.
**Required Qualifications**
* 5\+ years' experience in **Data Engineering**, with a focus on HR or people data.
* 5\+ years' experience with ETL/ELT processes and tools.
* 5\+ years' experience with **SQL** and relational databases.
* 4\+ years' experience programming in **Python** for data manipulation, automation, and analysis.
* 3\+ years' experience with cloud platforms, prefer GCP (may consider Azure or AWS).
* 2\+ years' experience with data warehousing solutions (e.g., Snowflake, Redshift, BigQuery).
* 2\+ years' experience with scheduling tools like Airflow or Composer.
**Preferred Qualifications**
* Experience with Workday or similar HRIS platforms and data flows within an HR context.
* Problem\-Solving ability and strong analytical skills with the ability to troubleshoot, optimize, and automate data processes.
* Strong communication skills with the ability to communicate complex technical processes to non\-technical stakeholders effectively.
* Familiarity or working knowledge of common data visualization or business intelligence tools (PowerBI, Tableau, Oracle BI, Visier, etc.).
* Preferably technical experience specific to people or talent analytics, data engineering, visualization, business intelligence, or analytical consulting.
**Education**
* Bachelor’s degree in Computer Science, Data Engineering, Data Science, or a related field required.
* Master's degree preferred.
**Anticipated Weekly Hours**
40**Time Type**
Full time**Pay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02/09/2026
Qualified applicants with arrest or conviction records will be considered for employment in accordance with all federal, state and local laws.</t>
        </is>
      </c>
    </row>
    <row r="33">
      <c r="A33" t="inlineStr">
        <is>
          <t>in-9f08f3c48e3a54f2</t>
        </is>
      </c>
      <c r="B33" t="inlineStr">
        <is>
          <t>Senior Data Engineer (GCP) - HR Technology</t>
        </is>
      </c>
      <c r="C33" t="inlineStr">
        <is>
          <t>CVS Health</t>
        </is>
      </c>
      <c r="D33" t="inlineStr">
        <is>
          <t>indeed</t>
        </is>
      </c>
      <c r="E33" t="inlineStr"/>
      <c r="F33" t="inlineStr"/>
      <c r="G33" t="inlineStr">
        <is>
          <t>Bismarck, ND, US</t>
        </is>
      </c>
      <c r="H33" s="2" t="n">
        <v>46050</v>
      </c>
      <c r="I33"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**About the Role:**
The Sr. Data Engineer (People Analytics) role is a technical developer in IT and individual contributor for the People Analytics Data Engineering team responsible for the development of data warehouse modeling, data pipelines, and related analytics specific to People and Workforce analytics in cloud data platforms.
Key Responsibilities:
* ***Data Pipeline Management*****:** Design, build, and manage robust data pipelines and ETL processes that integrate HR data from various systems, including Workday, talent management, payroll, and other data sources.
* ***Data Engineering and Transformation*****:** Develop and optimize data workflows to ensure data accuracy, quality, and availability for the People Analytics team and stakeholders across HR and business units.
* ***Technical Leadership*****:** Oversee a team of data engineers, providing mentorship, support, and guidance on best practices in data engineering, version control, and coding standards.
* ***Analytics \&amp; Reporting Support*****:** Work closely with People Analytics to structure data for analysis, develop data models, and create reproducible workflows that enable efficient reporting in R, Python, and other analytics tools.
* ***Data Security and Compliance*****:** Ensure data governance and security protocols are followed in accordance with company policies and industry regulations, with a focus on HR data confidentiality and compliance.
* ***Collaboration with Stakeholders*****:** Partner with HR leaders, IT, and People Analytics teams to understand business requirements, streamline data requests, and provide insights to support strategic decisions.
**Required Qualifications**
* 5\+ years' experience in **Data Engineering**, with a focus on HR or people data.
* 5\+ years' experience with ETL/ELT processes and tools.
* 5\+ years' experience with **SQL** and relational databases.
* 4\+ years' experience programming in **Python** for data manipulation, automation, and analysis.
* 3\+ years' experience with cloud platforms, prefer GCP (may consider Azure or AWS).
* 2\+ years' experience with data warehousing solutions (e.g., Snowflake, Redshift, BigQuery).
* 2\+ years' experience with scheduling tools like Airflow or Composer.
**Preferred Qualifications**
* Experience with Workday or similar HRIS platforms and data flows within an HR context.
* Problem\-Solving ability and strong analytical skills with the ability to troubleshoot, optimize, and automate data processes.
* Strong communication skills with the ability to communicate complex technical processes to non\-technical stakeholders effectively.
* Familiarity or working knowledge of common data visualization or business intelligence tools (PowerBI, Tableau, Oracle BI, Visier, etc.).
* Preferably technical experience specific to people or talent analytics, data engineering, visualization, business intelligence, or analytical consulting.
**Education**
* Bachelor’s degree in Computer Science, Data Engineering, Data Science, or a related field required.
* Master's degree preferred.
**Anticipated Weekly Hours**
40**Time Type**
Full time**Pay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02/09/2026
Qualified applicants with arrest or conviction records will be considered for employment in accordance with all federal, state and local laws.</t>
        </is>
      </c>
    </row>
    <row r="34">
      <c r="A34" t="inlineStr">
        <is>
          <t>in-e3ac74114a271946</t>
        </is>
      </c>
      <c r="B34" t="inlineStr">
        <is>
          <t>Senior Data Engineer (GCP) - HR Technology</t>
        </is>
      </c>
      <c r="C34" t="inlineStr">
        <is>
          <t>CVS Health</t>
        </is>
      </c>
      <c r="D34" t="inlineStr">
        <is>
          <t>indeed</t>
        </is>
      </c>
      <c r="E34" t="inlineStr"/>
      <c r="F34" t="inlineStr"/>
      <c r="G34" t="inlineStr">
        <is>
          <t>Pierre, SD, US</t>
        </is>
      </c>
      <c r="H34" s="2" t="n">
        <v>46050</v>
      </c>
      <c r="I34"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**About the Role:**
The Sr. Data Engineer (People Analytics) role is a technical developer in IT and individual contributor for the People Analytics Data Engineering team responsible for the development of data warehouse modeling, data pipelines, and related analytics specific to People and Workforce analytics in cloud data platforms.
Key Responsibilities:
* ***Data Pipeline Management*****:** Design, build, and manage robust data pipelines and ETL processes that integrate HR data from various systems, including Workday, talent management, payroll, and other data sources.
* ***Data Engineering and Transformation*****:** Develop and optimize data workflows to ensure data accuracy, quality, and availability for the People Analytics team and stakeholders across HR and business units.
* ***Technical Leadership*****:** Oversee a team of data engineers, providing mentorship, support, and guidance on best practices in data engineering, version control, and coding standards.
* ***Analytics \&amp; Reporting Support*****:** Work closely with People Analytics to structure data for analysis, develop data models, and create reproducible workflows that enable efficient reporting in R, Python, and other analytics tools.
* ***Data Security and Compliance*****:** Ensure data governance and security protocols are followed in accordance with company policies and industry regulations, with a focus on HR data confidentiality and compliance.
* ***Collaboration with Stakeholders*****:** Partner with HR leaders, IT, and People Analytics teams to understand business requirements, streamline data requests, and provide insights to support strategic decisions.
**Required Qualifications**
* 5\+ years' experience in **Data Engineering**, with a focus on HR or people data.
* 5\+ years' experience with ETL/ELT processes and tools.
* 5\+ years' experience with **SQL** and relational databases.
* 4\+ years' experience programming in **Python** for data manipulation, automation, and analysis.
* 3\+ years' experience with cloud platforms, prefer GCP (may consider Azure or AWS).
* 2\+ years' experience with data warehousing solutions (e.g., Snowflake, Redshift, BigQuery).
* 2\+ years' experience with scheduling tools like Airflow or Composer.
**Preferred Qualifications**
* Experience with Workday or similar HRIS platforms and data flows within an HR context.
* Problem\-Solving ability and strong analytical skills with the ability to troubleshoot, optimize, and automate data processes.
* Strong communication skills with the ability to communicate complex technical processes to non\-technical stakeholders effectively.
* Familiarity or working knowledge of common data visualization or business intelligence tools (PowerBI, Tableau, Oracle BI, Visier, etc.).
* Preferably technical experience specific to people or talent analytics, data engineering, visualization, business intelligence, or analytical consulting.
**Education**
* Bachelor’s degree in Computer Science, Data Engineering, Data Science, or a related field required.
* Master's degree preferred.
**Anticipated Weekly Hours**
40**Time Type**
Full time**Pay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02/09/2026
Qualified applicants with arrest or conviction records will be considered for employment in accordance with all federal, state and local laws.</t>
        </is>
      </c>
    </row>
    <row r="35">
      <c r="A35" t="inlineStr">
        <is>
          <t>in-c5ad5901f4416b7e</t>
        </is>
      </c>
      <c r="B35" t="inlineStr">
        <is>
          <t>Senior Data Engineer (GCP) - HR Technology</t>
        </is>
      </c>
      <c r="C35" t="inlineStr">
        <is>
          <t>CVS Health</t>
        </is>
      </c>
      <c r="D35" t="inlineStr">
        <is>
          <t>indeed</t>
        </is>
      </c>
      <c r="E35" t="inlineStr"/>
      <c r="F35" t="inlineStr"/>
      <c r="G35" t="inlineStr">
        <is>
          <t>Springfield, IL, US</t>
        </is>
      </c>
      <c r="H35" s="2" t="n">
        <v>46050</v>
      </c>
      <c r="I35"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**About the Role:**
The Sr. Data Engineer (People Analytics) role is a technical developer in IT and individual contributor for the People Analytics Data Engineering team responsible for the development of data warehouse modeling, data pipelines, and related analytics specific to People and Workforce analytics in cloud data platforms.
Key Responsibilities:
* ***Data Pipeline Management*****:** Design, build, and manage robust data pipelines and ETL processes that integrate HR data from various systems, including Workday, talent management, payroll, and other data sources.
* ***Data Engineering and Transformation*****:** Develop and optimize data workflows to ensure data accuracy, quality, and availability for the People Analytics team and stakeholders across HR and business units.
* ***Technical Leadership*****:** Oversee a team of data engineers, providing mentorship, support, and guidance on best practices in data engineering, version control, and coding standards.
* ***Analytics \&amp; Reporting Support*****:** Work closely with People Analytics to structure data for analysis, develop data models, and create reproducible workflows that enable efficient reporting in R, Python, and other analytics tools.
* ***Data Security and Compliance*****:** Ensure data governance and security protocols are followed in accordance with company policies and industry regulations, with a focus on HR data confidentiality and compliance.
* ***Collaboration with Stakeholders*****:** Partner with HR leaders, IT, and People Analytics teams to understand business requirements, streamline data requests, and provide insights to support strategic decisions.
**Required Qualifications**
* 5\+ years' experience in **Data Engineering**, with a focus on HR or people data.
* 5\+ years' experience with ETL/ELT processes and tools.
* 5\+ years' experience with **SQL** and relational databases.
* 4\+ years' experience programming in **Python** for data manipulation, automation, and analysis.
* 3\+ years' experience with cloud platforms, prefer GCP (may consider Azure or AWS).
* 2\+ years' experience with data warehousing solutions (e.g., Snowflake, Redshift, BigQuery).
* 2\+ years' experience with scheduling tools like Airflow or Composer.
**Preferred Qualifications**
* Experience with Workday or similar HRIS platforms and data flows within an HR context.
* Problem\-Solving ability and strong analytical skills with the ability to troubleshoot, optimize, and automate data processes.
* Strong communication skills with the ability to communicate complex technical processes to non\-technical stakeholders effectively.
* Familiarity or working knowledge of common data visualization or business intelligence tools (PowerBI, Tableau, Oracle BI, Visier, etc.).
* Preferably technical experience specific to people or talent analytics, data engineering, visualization, business intelligence, or analytical consulting.
**Education**
* Bachelor’s degree in Computer Science, Data Engineering, Data Science, or a related field required.
* Master's degree preferred.
**Anticipated Weekly Hours**
40**Time Type**
Full time**Pay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02/09/2026
Qualified applicants with arrest or conviction records will be considered for employment in accordance with all federal, state and local laws.</t>
        </is>
      </c>
    </row>
    <row r="36">
      <c r="A36" t="inlineStr">
        <is>
          <t>in-7c0ac44d62f98052</t>
        </is>
      </c>
      <c r="B36" t="inlineStr">
        <is>
          <t>Senior Data Engineer (GCP) - HR Technology</t>
        </is>
      </c>
      <c r="C36" t="inlineStr">
        <is>
          <t>CVS Health</t>
        </is>
      </c>
      <c r="D36" t="inlineStr">
        <is>
          <t>indeed</t>
        </is>
      </c>
      <c r="E36" t="inlineStr"/>
      <c r="F36" t="inlineStr"/>
      <c r="G36" t="inlineStr">
        <is>
          <t>Albany, NY, US</t>
        </is>
      </c>
      <c r="H36" s="2" t="n">
        <v>46050</v>
      </c>
      <c r="I36"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**About the Role:**
The Sr. Data Engineer (People Analytics) role is a technical developer in IT and individual contributor for the People Analytics Data Engineering team responsible for the development of data warehouse modeling, data pipelines, and related analytics specific to People and Workforce analytics in cloud data platforms.
Key Responsibilities:
* ***Data Pipeline Management*****:** Design, build, and manage robust data pipelines and ETL processes that integrate HR data from various systems, including Workday, talent management, payroll, and other data sources.
* ***Data Engineering and Transformation*****:** Develop and optimize data workflows to ensure data accuracy, quality, and availability for the People Analytics team and stakeholders across HR and business units.
* ***Technical Leadership*****:** Oversee a team of data engineers, providing mentorship, support, and guidance on best practices in data engineering, version control, and coding standards.
* ***Analytics \&amp; Reporting Support*****:** Work closely with People Analytics to structure data for analysis, develop data models, and create reproducible workflows that enable efficient reporting in R, Python, and other analytics tools.
* ***Data Security and Compliance*****:** Ensure data governance and security protocols are followed in accordance with company policies and industry regulations, with a focus on HR data confidentiality and compliance.
* ***Collaboration with Stakeholders*****:** Partner with HR leaders, IT, and People Analytics teams to understand business requirements, streamline data requests, and provide insights to support strategic decisions.
**Required Qualifications**
* 5\+ years' experience in **Data Engineering**, with a focus on HR or people data.
* 5\+ years' experience with ETL/ELT processes and tools.
* 5\+ years' experience with **SQL** and relational databases.
* 4\+ years' experience programming in **Python** for data manipulation, automation, and analysis.
* 3\+ years' experience with cloud platforms, prefer GCP (may consider Azure or AWS).
* 2\+ years' experience with data warehousing solutions (e.g., Snowflake, Redshift, BigQuery).
* 2\+ years' experience with scheduling tools like Airflow or Composer.
**Preferred Qualifications**
* Experience with Workday or similar HRIS platforms and data flows within an HR context.
* Problem\-Solving ability and strong analytical skills with the ability to troubleshoot, optimize, and automate data processes.
* Strong communication skills with the ability to communicate complex technical processes to non\-technical stakeholders effectively.
* Familiarity or working knowledge of common data visualization or business intelligence tools (PowerBI, Tableau, Oracle BI, Visier, etc.).
* Preferably technical experience specific to people or talent analytics, data engineering, visualization, business intelligence, or analytical consulting.
**Education**
* Bachelor’s degree in Computer Science, Data Engineering, Data Science, or a related field required.
* Master's degree preferred.
**Anticipated Weekly Hours**
40**Time Type**
Full time**Pay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02/09/2026
Qualified applicants with arrest or conviction records will be considered for employment in accordance with all federal, state and local laws.</t>
        </is>
      </c>
    </row>
    <row r="37">
      <c r="A37" t="inlineStr">
        <is>
          <t>in-7491b8adfc8b71d3</t>
        </is>
      </c>
      <c r="B37" t="inlineStr">
        <is>
          <t>Senior Data Engineer (GCP) - HR Technology</t>
        </is>
      </c>
      <c r="C37" t="inlineStr">
        <is>
          <t>CVS Health</t>
        </is>
      </c>
      <c r="D37" t="inlineStr">
        <is>
          <t>indeed</t>
        </is>
      </c>
      <c r="E37" t="inlineStr"/>
      <c r="F37" t="inlineStr"/>
      <c r="G37" t="inlineStr">
        <is>
          <t>Woonsocket, RI, US</t>
        </is>
      </c>
      <c r="H37" s="2" t="n">
        <v>46050</v>
      </c>
      <c r="I37"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**About the Role:**
The Sr. Data Engineer (People Analytics) role is a technical developer in IT and individual contributor for the People Analytics Data Engineering team responsible for the development of data warehouse modeling, data pipelines, and related analytics specific to People and Workforce analytics in cloud data platforms.
Key Responsibilities:
* ***Data Pipeline Management*****:** Design, build, and manage robust data pipelines and ETL processes that integrate HR data from various systems, including Workday, talent management, payroll, and other data sources.
* ***Data Engineering and Transformation*****:** Develop and optimize data workflows to ensure data accuracy, quality, and availability for the People Analytics team and stakeholders across HR and business units.
* ***Technical Leadership*****:** Oversee a team of data engineers, providing mentorship, support, and guidance on best practices in data engineering, version control, and coding standards.
* ***Analytics \&amp; Reporting Support*****:** Work closely with People Analytics to structure data for analysis, develop data models, and create reproducible workflows that enable efficient reporting in R, Python, and other analytics tools.
* ***Data Security and Compliance*****:** Ensure data governance and security protocols are followed in accordance with company policies and industry regulations, with a focus on HR data confidentiality and compliance.
* ***Collaboration with Stakeholders*****:** Partner with HR leaders, IT, and People Analytics teams to understand business requirements, streamline data requests, and provide insights to support strategic decisions.
**Required Qualifications**
* 5\+ years' experience in **Data Engineering**, with a focus on HR or people data.
* 5\+ years' experience with ETL/ELT processes and tools.
* 5\+ years' experience with **SQL** and relational databases.
* 4\+ years' experience programming in **Python** for data manipulation, automation, and analysis.
* 3\+ years' experience with cloud platforms, prefer GCP (may consider Azure or AWS).
* 2\+ years' experience with data warehousing solutions (e.g., Snowflake, Redshift, BigQuery).
* 2\+ years' experience with scheduling tools like Airflow or Composer.
**Preferred Qualifications**
* Experience with Workday or similar HRIS platforms and data flows within an HR context.
* Problem\-Solving ability and strong analytical skills with the ability to troubleshoot, optimize, and automate data processes.
* Strong communication skills with the ability to communicate complex technical processes to non\-technical stakeholders effectively.
* Familiarity or working knowledge of common data visualization or business intelligence tools (PowerBI, Tableau, Oracle BI, Visier, etc.).
* Preferably technical experience specific to people or talent analytics, data engineering, visualization, business intelligence, or analytical consulting.
**Education**
* Bachelor’s degree in Computer Science, Data Engineering, Data Science, or a related field required.
* Master's degree preferred.
**Anticipated Weekly Hours**
40**Time Type**
Full time**Pay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02/09/2026
Qualified applicants with arrest or conviction records will be considered for employment in accordance with all federal, state and local laws.</t>
        </is>
      </c>
    </row>
    <row r="38">
      <c r="A38" t="inlineStr">
        <is>
          <t>in-84e357a96a3b3957</t>
        </is>
      </c>
      <c r="B38" t="inlineStr">
        <is>
          <t>Senior Data Engineer (GCP) - HR Technology</t>
        </is>
      </c>
      <c r="C38" t="inlineStr">
        <is>
          <t>CVS Health</t>
        </is>
      </c>
      <c r="D38" t="inlineStr">
        <is>
          <t>indeed</t>
        </is>
      </c>
      <c r="E38" t="inlineStr"/>
      <c r="F38" t="inlineStr"/>
      <c r="G38" t="inlineStr">
        <is>
          <t>Providence, RI, US</t>
        </is>
      </c>
      <c r="H38" s="2" t="n">
        <v>46050</v>
      </c>
      <c r="I38"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**About the Role:**
The Sr. Data Engineer (People Analytics) role is a technical developer in IT and individual contributor for the People Analytics Data Engineering team responsible for the development of data warehouse modeling, data pipelines, and related analytics specific to People and Workforce analytics in cloud data platforms.
Key Responsibilities:
* ***Data Pipeline Management*****:** Design, build, and manage robust data pipelines and ETL processes that integrate HR data from various systems, including Workday, talent management, payroll, and other data sources.
* ***Data Engineering and Transformation*****:** Develop and optimize data workflows to ensure data accuracy, quality, and availability for the People Analytics team and stakeholders across HR and business units.
* ***Technical Leadership*****:** Oversee a team of data engineers, providing mentorship, support, and guidance on best practices in data engineering, version control, and coding standards.
* ***Analytics \&amp; Reporting Support*****:** Work closely with People Analytics to structure data for analysis, develop data models, and create reproducible workflows that enable efficient reporting in R, Python, and other analytics tools.
* ***Data Security and Compliance*****:** Ensure data governance and security protocols are followed in accordance with company policies and industry regulations, with a focus on HR data confidentiality and compliance.
* ***Collaboration with Stakeholders*****:** Partner with HR leaders, IT, and People Analytics teams to understand business requirements, streamline data requests, and provide insights to support strategic decisions.
**Required Qualifications**
* 5\+ years' experience in **Data Engineering**, with a focus on HR or people data.
* 5\+ years' experience with ETL/ELT processes and tools.
* 5\+ years' experience with **SQL** and relational databases.
* 4\+ years' experience programming in **Python** for data manipulation, automation, and analysis.
* 3\+ years' experience with cloud platforms, prefer GCP (may consider Azure or AWS).
* 2\+ years' experience with data warehousing solutions (e.g., Snowflake, Redshift, BigQuery).
* 2\+ years' experience with scheduling tools like Airflow or Composer.
**Preferred Qualifications**
* Experience with Workday or similar HRIS platforms and data flows within an HR context.
* Problem\-Solving ability and strong analytical skills with the ability to troubleshoot, optimize, and automate data processes.
* Strong communication skills with the ability to communicate complex technical processes to non\-technical stakeholders effectively.
* Familiarity or working knowledge of common data visualization or business intelligence tools (PowerBI, Tableau, Oracle BI, Visier, etc.).
* Preferably technical experience specific to people or talent analytics, data engineering, visualization, business intelligence, or analytical consulting.
**Education**
* Bachelor’s degree in Computer Science, Data Engineering, Data Science, or a related field required.
* Master's degree preferred.
**Anticipated Weekly Hours**
40**Time Type**
Full time**Pay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02/09/2026
Qualified applicants with arrest or conviction records will be considered for employment in accordance with all federal, state and local laws.</t>
        </is>
      </c>
    </row>
    <row r="39">
      <c r="A39" t="inlineStr">
        <is>
          <t>in-77be901cae195cd9</t>
        </is>
      </c>
      <c r="B39" t="inlineStr">
        <is>
          <t>Senior Data Engineer (GCP) - HR Technology</t>
        </is>
      </c>
      <c r="C39" t="inlineStr">
        <is>
          <t>CVS Health</t>
        </is>
      </c>
      <c r="D39" t="inlineStr">
        <is>
          <t>indeed</t>
        </is>
      </c>
      <c r="E39" t="inlineStr"/>
      <c r="F39" t="inlineStr"/>
      <c r="G39" t="inlineStr">
        <is>
          <t>Olympia, WA, US</t>
        </is>
      </c>
      <c r="H39" s="2" t="n">
        <v>46050</v>
      </c>
      <c r="I39"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**About the Role:**
The Sr. Data Engineer (People Analytics) role is a technical developer in IT and individual contributor for the People Analytics Data Engineering team responsible for the development of data warehouse modeling, data pipelines, and related analytics specific to People and Workforce analytics in cloud data platforms.
Key Responsibilities:
* ***Data Pipeline Management*****:** Design, build, and manage robust data pipelines and ETL processes that integrate HR data from various systems, including Workday, talent management, payroll, and other data sources.
* ***Data Engineering and Transformation*****:** Develop and optimize data workflows to ensure data accuracy, quality, and availability for the People Analytics team and stakeholders across HR and business units.
* ***Technical Leadership*****:** Oversee a team of data engineers, providing mentorship, support, and guidance on best practices in data engineering, version control, and coding standards.
* ***Analytics \&amp; Reporting Support*****:** Work closely with People Analytics to structure data for analysis, develop data models, and create reproducible workflows that enable efficient reporting in R, Python, and other analytics tools.
* ***Data Security and Compliance*****:** Ensure data governance and security protocols are followed in accordance with company policies and industry regulations, with a focus on HR data confidentiality and compliance.
* ***Collaboration with Stakeholders*****:** Partner with HR leaders, IT, and People Analytics teams to understand business requirements, streamline data requests, and provide insights to support strategic decisions.
**Required Qualifications**
* 5\+ years' experience in **Data Engineering**, with a focus on HR or people data.
* 5\+ years' experience with ETL/ELT processes and tools.
* 5\+ years' experience with **SQL** and relational databases.
* 4\+ years' experience programming in **Python** for data manipulation, automation, and analysis.
* 3\+ years' experience with cloud platforms, prefer GCP (may consider Azure or AWS).
* 2\+ years' experience with data warehousing solutions (e.g., Snowflake, Redshift, BigQuery).
* 2\+ years' experience with scheduling tools like Airflow or Composer.
**Preferred Qualifications**
* Experience with Workday or similar HRIS platforms and data flows within an HR context.
* Problem\-Solving ability and strong analytical skills with the ability to troubleshoot, optimize, and automate data processes.
* Strong communication skills with the ability to communicate complex technical processes to non\-technical stakeholders effectively.
* Familiarity or working knowledge of common data visualization or business intelligence tools (PowerBI, Tableau, Oracle BI, Visier, etc.).
* Preferably technical experience specific to people or talent analytics, data engineering, visualization, business intelligence, or analytical consulting.
**Education**
* Bachelor’s degree in Computer Science, Data Engineering, Data Science, or a related field required.
* Master's degree preferred.
**Anticipated Weekly Hours**
40**Time Type**
Full time**Pay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02/09/2026
Qualified applicants with arrest or conviction records will be considered for employment in accordance with all federal, state and local laws.</t>
        </is>
      </c>
    </row>
    <row r="40">
      <c r="A40" t="inlineStr">
        <is>
          <t>in-5d7cf7120c47de22</t>
        </is>
      </c>
      <c r="B40" t="inlineStr">
        <is>
          <t>Senior Data Engineer (GCP) - HR Technology</t>
        </is>
      </c>
      <c r="C40" t="inlineStr">
        <is>
          <t>CVS Health</t>
        </is>
      </c>
      <c r="D40" t="inlineStr">
        <is>
          <t>indeed</t>
        </is>
      </c>
      <c r="E40" t="inlineStr"/>
      <c r="F40" t="inlineStr"/>
      <c r="G40" t="inlineStr">
        <is>
          <t>Montpelier, VT, US</t>
        </is>
      </c>
      <c r="H40" s="2" t="n">
        <v>46050</v>
      </c>
      <c r="I40"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**About the Role:**
The Sr. Data Engineer (People Analytics) role is a technical developer in IT and individual contributor for the People Analytics Data Engineering team responsible for the development of data warehouse modeling, data pipelines, and related analytics specific to People and Workforce analytics in cloud data platforms.
Key Responsibilities:
* ***Data Pipeline Management*****:** Design, build, and manage robust data pipelines and ETL processes that integrate HR data from various systems, including Workday, talent management, payroll, and other data sources.
* ***Data Engineering and Transformation*****:** Develop and optimize data workflows to ensure data accuracy, quality, and availability for the People Analytics team and stakeholders across HR and business units.
* ***Technical Leadership*****:** Oversee a team of data engineers, providing mentorship, support, and guidance on best practices in data engineering, version control, and coding standards.
* ***Analytics \&amp; Reporting Support*****:** Work closely with People Analytics to structure data for analysis, develop data models, and create reproducible workflows that enable efficient reporting in R, Python, and other analytics tools.
* ***Data Security and Compliance*****:** Ensure data governance and security protocols are followed in accordance with company policies and industry regulations, with a focus on HR data confidentiality and compliance.
* ***Collaboration with Stakeholders*****:** Partner with HR leaders, IT, and People Analytics teams to understand business requirements, streamline data requests, and provide insights to support strategic decisions.
**Required Qualifications**
* 5\+ years' experience in **Data Engineering**, with a focus on HR or people data.
* 5\+ years' experience with ETL/ELT processes and tools.
* 5\+ years' experience with **SQL** and relational databases.
* 4\+ years' experience programming in **Python** for data manipulation, automation, and analysis.
* 3\+ years' experience with cloud platforms, prefer GCP (may consider Azure or AWS).
* 2\+ years' experience with data warehousing solutions (e.g., Snowflake, Redshift, BigQuery).
* 2\+ years' experience with scheduling tools like Airflow or Composer.
**Preferred Qualifications**
* Experience with Workday or similar HRIS platforms and data flows within an HR context.
* Problem\-Solving ability and strong analytical skills with the ability to troubleshoot, optimize, and automate data processes.
* Strong communication skills with the ability to communicate complex technical processes to non\-technical stakeholders effectively.
* Familiarity or working knowledge of common data visualization or business intelligence tools (PowerBI, Tableau, Oracle BI, Visier, etc.).
* Preferably technical experience specific to people or talent analytics, data engineering, visualization, business intelligence, or analytical consulting.
**Education**
* Bachelor’s degree in Computer Science, Data Engineering, Data Science, or a related field required.
* Master's degree preferred.
**Anticipated Weekly Hours**
40**Time Type**
Full time**Pay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02/09/2026
Qualified applicants with arrest or conviction records will be considered for employment in accordance with all federal, state and local laws.</t>
        </is>
      </c>
    </row>
    <row r="41">
      <c r="A41" t="inlineStr">
        <is>
          <t>in-497186bd3665d2f3</t>
        </is>
      </c>
      <c r="B41" t="inlineStr">
        <is>
          <t>Senior Data Engineer (GCP) - HR Technology</t>
        </is>
      </c>
      <c r="C41" t="inlineStr">
        <is>
          <t>CVS Health</t>
        </is>
      </c>
      <c r="D41" t="inlineStr">
        <is>
          <t>indeed</t>
        </is>
      </c>
      <c r="E41" t="inlineStr"/>
      <c r="F41" t="inlineStr"/>
      <c r="G41" t="inlineStr">
        <is>
          <t>Columbia, SC, US</t>
        </is>
      </c>
      <c r="H41" s="2" t="n">
        <v>46050</v>
      </c>
      <c r="I41"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**About the Role:**
The Sr. Data Engineer (People Analytics) role is a technical developer in IT and individual contributor for the People Analytics Data Engineering team responsible for the development of data warehouse modeling, data pipelines, and related analytics specific to People and Workforce analytics in cloud data platforms.
Key Responsibilities:
* ***Data Pipeline Management*****:** Design, build, and manage robust data pipelines and ETL processes that integrate HR data from various systems, including Workday, talent management, payroll, and other data sources.
* ***Data Engineering and Transformation*****:** Develop and optimize data workflows to ensure data accuracy, quality, and availability for the People Analytics team and stakeholders across HR and business units.
* ***Technical Leadership*****:** Oversee a team of data engineers, providing mentorship, support, and guidance on best practices in data engineering, version control, and coding standards.
* ***Analytics \&amp; Reporting Support*****:** Work closely with People Analytics to structure data for analysis, develop data models, and create reproducible workflows that enable efficient reporting in R, Python, and other analytics tools.
* ***Data Security and Compliance*****:** Ensure data governance and security protocols are followed in accordance with company policies and industry regulations, with a focus on HR data confidentiality and compliance.
* ***Collaboration with Stakeholders*****:** Partner with HR leaders, IT, and People Analytics teams to understand business requirements, streamline data requests, and provide insights to support strategic decisions.
**Required Qualifications**
* 5\+ years' experience in **Data Engineering**, with a focus on HR or people data.
* 5\+ years' experience with ETL/ELT processes and tools.
* 5\+ years' experience with **SQL** and relational databases.
* 4\+ years' experience programming in **Python** for data manipulation, automation, and analysis.
* 3\+ years' experience with cloud platforms, prefer GCP (may consider Azure or AWS).
* 2\+ years' experience with data warehousing solutions (e.g., Snowflake, Redshift, BigQuery).
* 2\+ years' experience with scheduling tools like Airflow or Composer.
**Preferred Qualifications**
* Experience with Workday or similar HRIS platforms and data flows within an HR context.
* Problem\-Solving ability and strong analytical skills with the ability to troubleshoot, optimize, and automate data processes.
* Strong communication skills with the ability to communicate complex technical processes to non\-technical stakeholders effectively.
* Familiarity or working knowledge of common data visualization or business intelligence tools (PowerBI, Tableau, Oracle BI, Visier, etc.).
* Preferably technical experience specific to people or talent analytics, data engineering, visualization, business intelligence, or analytical consulting.
**Education**
* Bachelor’s degree in Computer Science, Data Engineering, Data Science, or a related field required.
* Master's degree preferred.
**Anticipated Weekly Hours**
40**Time Type**
Full time**Pay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02/09/2026
Qualified applicants with arrest or conviction records will be considered for employment in accordance with all federal, state and local laws.</t>
        </is>
      </c>
    </row>
    <row r="42">
      <c r="A42" t="inlineStr">
        <is>
          <t>in-954649c25b192875</t>
        </is>
      </c>
      <c r="B42" t="inlineStr">
        <is>
          <t>Senior Data Engineer (GCP) - HR Technology</t>
        </is>
      </c>
      <c r="C42" t="inlineStr">
        <is>
          <t>CVS Health</t>
        </is>
      </c>
      <c r="D42" t="inlineStr">
        <is>
          <t>indeed</t>
        </is>
      </c>
      <c r="E42" t="inlineStr"/>
      <c r="F42" t="inlineStr"/>
      <c r="G42" t="inlineStr">
        <is>
          <t>Harrisburg, PA, US</t>
        </is>
      </c>
      <c r="H42" s="2" t="n">
        <v>46050</v>
      </c>
      <c r="I42"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**About the Role:**
The Sr. Data Engineer (People Analytics) role is a technical developer in IT and individual contributor for the People Analytics Data Engineering team responsible for the development of data warehouse modeling, data pipelines, and related analytics specific to People and Workforce analytics in cloud data platforms.
Key Responsibilities:
* ***Data Pipeline Management*****:** Design, build, and manage robust data pipelines and ETL processes that integrate HR data from various systems, including Workday, talent management, payroll, and other data sources.
* ***Data Engineering and Transformation*****:** Develop and optimize data workflows to ensure data accuracy, quality, and availability for the People Analytics team and stakeholders across HR and business units.
* ***Technical Leadership*****:** Oversee a team of data engineers, providing mentorship, support, and guidance on best practices in data engineering, version control, and coding standards.
* ***Analytics \&amp; Reporting Support*****:** Work closely with People Analytics to structure data for analysis, develop data models, and create reproducible workflows that enable efficient reporting in R, Python, and other analytics tools.
* ***Data Security and Compliance*****:** Ensure data governance and security protocols are followed in accordance with company policies and industry regulations, with a focus on HR data confidentiality and compliance.
* ***Collaboration with Stakeholders*****:** Partner with HR leaders, IT, and People Analytics teams to understand business requirements, streamline data requests, and provide insights to support strategic decisions.
**Required Qualifications**
* 5\+ years' experience in **Data Engineering**, with a focus on HR or people data.
* 5\+ years' experience with ETL/ELT processes and tools.
* 5\+ years' experience with **SQL** and relational databases.
* 4\+ years' experience programming in **Python** for data manipulation, automation, and analysis.
* 3\+ years' experience with cloud platforms, prefer GCP (may consider Azure or AWS).
* 2\+ years' experience with data warehousing solutions (e.g., Snowflake, Redshift, BigQuery).
* 2\+ years' experience with scheduling tools like Airflow or Composer.
**Preferred Qualifications**
* Experience with Workday or similar HRIS platforms and data flows within an HR context.
* Problem\-Solving ability and strong analytical skills with the ability to troubleshoot, optimize, and automate data processes.
* Strong communication skills with the ability to communicate complex technical processes to non\-technical stakeholders effectively.
* Familiarity or working knowledge of common data visualization or business intelligence tools (PowerBI, Tableau, Oracle BI, Visier, etc.).
* Preferably technical experience specific to people or talent analytics, data engineering, visualization, business intelligence, or analytical consulting.
**Education**
* Bachelor’s degree in Computer Science, Data Engineering, Data Science, or a related field required.
* Master's degree preferred.
**Anticipated Weekly Hours**
40**Time Type**
Full time**Pay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02/09/2026
Qualified applicants with arrest or conviction records will be considered for employment in accordance with all federal, state and local laws.</t>
        </is>
      </c>
    </row>
    <row r="43">
      <c r="A43" t="inlineStr">
        <is>
          <t>in-eb9c2748d5475e7f</t>
        </is>
      </c>
      <c r="B43" t="inlineStr">
        <is>
          <t>Senior Data Engineer (GCP) - HR Technology</t>
        </is>
      </c>
      <c r="C43" t="inlineStr">
        <is>
          <t>CVS Health</t>
        </is>
      </c>
      <c r="D43" t="inlineStr">
        <is>
          <t>indeed</t>
        </is>
      </c>
      <c r="E43" t="inlineStr"/>
      <c r="F43" t="inlineStr"/>
      <c r="G43" t="inlineStr">
        <is>
          <t>Richardson, TX, US</t>
        </is>
      </c>
      <c r="H43" s="2" t="n">
        <v>46050</v>
      </c>
      <c r="I43"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**About the Role:**
The Sr. Data Engineer (People Analytics) role is a technical developer in IT and individual contributor for the People Analytics Data Engineering team responsible for the development of data warehouse modeling, data pipelines, and related analytics specific to People and Workforce analytics in cloud data platforms.
Key Responsibilities:
* ***Data Pipeline Management*****:** Design, build, and manage robust data pipelines and ETL processes that integrate HR data from various systems, including Workday, talent management, payroll, and other data sources.
* ***Data Engineering and Transformation*****:** Develop and optimize data workflows to ensure data accuracy, quality, and availability for the People Analytics team and stakeholders across HR and business units.
* ***Technical Leadership*****:** Oversee a team of data engineers, providing mentorship, support, and guidance on best practices in data engineering, version control, and coding standards.
* ***Analytics \&amp; Reporting Support*****:** Work closely with People Analytics to structure data for analysis, develop data models, and create reproducible workflows that enable efficient reporting in R, Python, and other analytics tools.
* ***Data Security and Compliance*****:** Ensure data governance and security protocols are followed in accordance with company policies and industry regulations, with a focus on HR data confidentiality and compliance.
* ***Collaboration with Stakeholders*****:** Partner with HR leaders, IT, and People Analytics teams to understand business requirements, streamline data requests, and provide insights to support strategic decisions.
**Required Qualifications**
* 5\+ years' experience in **Data Engineering**, with a focus on HR or people data.
* 5\+ years' experience with ETL/ELT processes and tools.
* 5\+ years' experience with **SQL** and relational databases.
* 4\+ years' experience programming in **Python** for data manipulation, automation, and analysis.
* 3\+ years' experience with cloud platforms, prefer GCP (may consider Azure or AWS).
* 2\+ years' experience with data warehousing solutions (e.g., Snowflake, Redshift, BigQuery).
* 2\+ years' experience with scheduling tools like Airflow or Composer.
**Preferred Qualifications**
* Experience with Workday or similar HRIS platforms and data flows within an HR context.
* Problem\-Solving ability and strong analytical skills with the ability to troubleshoot, optimize, and automate data processes.
* Strong communication skills with the ability to communicate complex technical processes to non\-technical stakeholders effectively.
* Familiarity or working knowledge of common data visualization or business intelligence tools (PowerBI, Tableau, Oracle BI, Visier, etc.).
* Preferably technical experience specific to people or talent analytics, data engineering, visualization, business intelligence, or analytical consulting.
**Education**
* Bachelor’s degree in Computer Science, Data Engineering, Data Science, or a related field required.
* Master's degree preferred.
**Anticipated Weekly Hours**
40**Time Type**
Full time**Pay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02/09/2026
Qualified applicants with arrest or conviction records will be considered for employment in accordance with all federal, state and local laws.</t>
        </is>
      </c>
    </row>
    <row r="44">
      <c r="A44" t="inlineStr">
        <is>
          <t>in-c71ea804de2ca279</t>
        </is>
      </c>
      <c r="B44" t="inlineStr">
        <is>
          <t>Senior Data Engineer (GCP) - HR Technology</t>
        </is>
      </c>
      <c r="C44" t="inlineStr">
        <is>
          <t>CVS Health</t>
        </is>
      </c>
      <c r="D44" t="inlineStr">
        <is>
          <t>indeed</t>
        </is>
      </c>
      <c r="E44" t="inlineStr"/>
      <c r="F44" t="inlineStr"/>
      <c r="G44" t="inlineStr">
        <is>
          <t>Salem, OR, US</t>
        </is>
      </c>
      <c r="H44" s="2" t="n">
        <v>46050</v>
      </c>
      <c r="I44"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**About the Role:**
The Sr. Data Engineer (People Analytics) role is a technical developer in IT and individual contributor for the People Analytics Data Engineering team responsible for the development of data warehouse modeling, data pipelines, and related analytics specific to People and Workforce analytics in cloud data platforms.
Key Responsibilities:
* ***Data Pipeline Management*****:** Design, build, and manage robust data pipelines and ETL processes that integrate HR data from various systems, including Workday, talent management, payroll, and other data sources.
* ***Data Engineering and Transformation*****:** Develop and optimize data workflows to ensure data accuracy, quality, and availability for the People Analytics team and stakeholders across HR and business units.
* ***Technical Leadership*****:** Oversee a team of data engineers, providing mentorship, support, and guidance on best practices in data engineering, version control, and coding standards.
* ***Analytics \&amp; Reporting Support*****:** Work closely with People Analytics to structure data for analysis, develop data models, and create reproducible workflows that enable efficient reporting in R, Python, and other analytics tools.
* ***Data Security and Compliance*****:** Ensure data governance and security protocols are followed in accordance with company policies and industry regulations, with a focus on HR data confidentiality and compliance.
* ***Collaboration with Stakeholders*****:** Partner with HR leaders, IT, and People Analytics teams to understand business requirements, streamline data requests, and provide insights to support strategic decisions.
**Required Qualifications**
* 5\+ years' experience in **Data Engineering**, with a focus on HR or people data.
* 5\+ years' experience with ETL/ELT processes and tools.
* 5\+ years' experience with **SQL** and relational databases.
* 4\+ years' experience programming in **Python** for data manipulation, automation, and analysis.
* 3\+ years' experience with cloud platforms, prefer GCP (may consider Azure or AWS).
* 2\+ years' experience with data warehousing solutions (e.g., Snowflake, Redshift, BigQuery).
* 2\+ years' experience with scheduling tools like Airflow or Composer.
**Preferred Qualifications**
* Experience with Workday or similar HRIS platforms and data flows within an HR context.
* Problem\-Solving ability and strong analytical skills with the ability to troubleshoot, optimize, and automate data processes.
* Strong communication skills with the ability to communicate complex technical processes to non\-technical stakeholders effectively.
* Familiarity or working knowledge of common data visualization or business intelligence tools (PowerBI, Tableau, Oracle BI, Visier, etc.).
* Preferably technical experience specific to people or talent analytics, data engineering, visualization, business intelligence, or analytical consulting.
**Education**
* Bachelor’s degree in Computer Science, Data Engineering, Data Science, or a related field required.
* Master's degree preferred.
**Anticipated Weekly Hours**
40**Time Type**
Full time**Pay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02/09/2026
Qualified applicants with arrest or conviction records will be considered for employment in accordance with all federal, state and local laws.</t>
        </is>
      </c>
    </row>
    <row r="45">
      <c r="A45" t="inlineStr">
        <is>
          <t>in-91d9ccf5858cd9cc</t>
        </is>
      </c>
      <c r="B45" t="inlineStr">
        <is>
          <t>Senior Data Engineer (GCP) - HR Technology</t>
        </is>
      </c>
      <c r="C45" t="inlineStr">
        <is>
          <t>CVS Health</t>
        </is>
      </c>
      <c r="D45" t="inlineStr">
        <is>
          <t>indeed</t>
        </is>
      </c>
      <c r="E45" t="inlineStr"/>
      <c r="F45" t="inlineStr"/>
      <c r="G45" t="inlineStr">
        <is>
          <t>Santa Fe, NM, US</t>
        </is>
      </c>
      <c r="H45" s="2" t="n">
        <v>46050</v>
      </c>
      <c r="I45"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**About the Role:**
The Sr. Data Engineer (People Analytics) role is a technical developer in IT and individual contributor for the People Analytics Data Engineering team responsible for the development of data warehouse modeling, data pipelines, and related analytics specific to People and Workforce analytics in cloud data platforms.
Key Responsibilities:
* ***Data Pipeline Management*****:** Design, build, and manage robust data pipelines and ETL processes that integrate HR data from various systems, including Workday, talent management, payroll, and other data sources.
* ***Data Engineering and Transformation*****:** Develop and optimize data workflows to ensure data accuracy, quality, and availability for the People Analytics team and stakeholders across HR and business units.
* ***Technical Leadership*****:** Oversee a team of data engineers, providing mentorship, support, and guidance on best practices in data engineering, version control, and coding standards.
* ***Analytics \&amp; Reporting Support*****:** Work closely with People Analytics to structure data for analysis, develop data models, and create reproducible workflows that enable efficient reporting in R, Python, and other analytics tools.
* ***Data Security and Compliance*****:** Ensure data governance and security protocols are followed in accordance with company policies and industry regulations, with a focus on HR data confidentiality and compliance.
* ***Collaboration with Stakeholders*****:** Partner with HR leaders, IT, and People Analytics teams to understand business requirements, streamline data requests, and provide insights to support strategic decisions.
**Required Qualifications**
* 5\+ years' experience in **Data Engineering**, with a focus on HR or people data.
* 5\+ years' experience with ETL/ELT processes and tools.
* 5\+ years' experience with **SQL** and relational databases.
* 4\+ years' experience programming in **Python** for data manipulation, automation, and analysis.
* 3\+ years' experience with cloud platforms, prefer GCP (may consider Azure or AWS).
* 2\+ years' experience with data warehousing solutions (e.g., Snowflake, Redshift, BigQuery).
* 2\+ years' experience with scheduling tools like Airflow or Composer.
**Preferred Qualifications**
* Experience with Workday or similar HRIS platforms and data flows within an HR context.
* Problem\-Solving ability and strong analytical skills with the ability to troubleshoot, optimize, and automate data processes.
* Strong communication skills with the ability to communicate complex technical processes to non\-technical stakeholders effectively.
* Familiarity or working knowledge of common data visualization or business intelligence tools (PowerBI, Tableau, Oracle BI, Visier, etc.).
* Preferably technical experience specific to people or talent analytics, data engineering, visualization, business intelligence, or analytical consulting.
**Education**
* Bachelor’s degree in Computer Science, Data Engineering, Data Science, or a related field required.
* Master's degree preferred.
**Anticipated Weekly Hours**
40**Time Type**
Full time**Pay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02/09/2026
Qualified applicants with arrest or conviction records will be considered for employment in accordance with all federal, state and local laws.</t>
        </is>
      </c>
    </row>
    <row r="46">
      <c r="A46" t="inlineStr">
        <is>
          <t>in-b4f966af7947c8ae</t>
        </is>
      </c>
      <c r="B46" t="inlineStr">
        <is>
          <t>Senior Data Engineer (GCP) - HR Technology</t>
        </is>
      </c>
      <c r="C46" t="inlineStr">
        <is>
          <t>CVS Health</t>
        </is>
      </c>
      <c r="D46" t="inlineStr">
        <is>
          <t>indeed</t>
        </is>
      </c>
      <c r="E46" t="inlineStr"/>
      <c r="F46" t="inlineStr"/>
      <c r="G46" t="inlineStr">
        <is>
          <t>Oklahoma City, OK, US</t>
        </is>
      </c>
      <c r="H46" s="2" t="n">
        <v>46050</v>
      </c>
      <c r="I46"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**About the Role:**
The Sr. Data Engineer (People Analytics) role is a technical developer in IT and individual contributor for the People Analytics Data Engineering team responsible for the development of data warehouse modeling, data pipelines, and related analytics specific to People and Workforce analytics in cloud data platforms.
Key Responsibilities:
* ***Data Pipeline Management*****:** Design, build, and manage robust data pipelines and ETL processes that integrate HR data from various systems, including Workday, talent management, payroll, and other data sources.
* ***Data Engineering and Transformation*****:** Develop and optimize data workflows to ensure data accuracy, quality, and availability for the People Analytics team and stakeholders across HR and business units.
* ***Technical Leadership*****:** Oversee a team of data engineers, providing mentorship, support, and guidance on best practices in data engineering, version control, and coding standards.
* ***Analytics \&amp; Reporting Support*****:** Work closely with People Analytics to structure data for analysis, develop data models, and create reproducible workflows that enable efficient reporting in R, Python, and other analytics tools.
* ***Data Security and Compliance*****:** Ensure data governance and security protocols are followed in accordance with company policies and industry regulations, with a focus on HR data confidentiality and compliance.
* ***Collaboration with Stakeholders*****:** Partner with HR leaders, IT, and People Analytics teams to understand business requirements, streamline data requests, and provide insights to support strategic decisions.
**Required Qualifications**
* 5\+ years' experience in **Data Engineering**, with a focus on HR or people data.
* 5\+ years' experience with ETL/ELT processes and tools.
* 5\+ years' experience with **SQL** and relational databases.
* 4\+ years' experience programming in **Python** for data manipulation, automation, and analysis.
* 3\+ years' experience with cloud platforms, prefer GCP (may consider Azure or AWS).
* 2\+ years' experience with data warehousing solutions (e.g., Snowflake, Redshift, BigQuery).
* 2\+ years' experience with scheduling tools like Airflow or Composer.
**Preferred Qualifications**
* Experience with Workday or similar HRIS platforms and data flows within an HR context.
* Problem\-Solving ability and strong analytical skills with the ability to troubleshoot, optimize, and automate data processes.
* Strong communication skills with the ability to communicate complex technical processes to non\-technical stakeholders effectively.
* Familiarity or working knowledge of common data visualization or business intelligence tools (PowerBI, Tableau, Oracle BI, Visier, etc.).
* Preferably technical experience specific to people or talent analytics, data engineering, visualization, business intelligence, or analytical consulting.
**Education**
* Bachelor’s degree in Computer Science, Data Engineering, Data Science, or a related field required.
* Master's degree preferred.
**Anticipated Weekly Hours**
40**Time Type**
Full time**Pay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02/09/2026
Qualified applicants with arrest or conviction records will be considered for employment in accordance with all federal, state and local laws.</t>
        </is>
      </c>
    </row>
    <row r="47">
      <c r="A47" t="inlineStr">
        <is>
          <t>in-4d6d4afc7f6e15af</t>
        </is>
      </c>
      <c r="B47" t="inlineStr">
        <is>
          <t>Senior Data Engineer (GCP) - HR Technology</t>
        </is>
      </c>
      <c r="C47" t="inlineStr">
        <is>
          <t>CVS Health</t>
        </is>
      </c>
      <c r="D47" t="inlineStr">
        <is>
          <t>indeed</t>
        </is>
      </c>
      <c r="E47" t="inlineStr"/>
      <c r="F47" t="inlineStr"/>
      <c r="G47" t="inlineStr">
        <is>
          <t>Jackson, MS, US</t>
        </is>
      </c>
      <c r="H47" s="2" t="n">
        <v>46050</v>
      </c>
      <c r="I47"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**About the Role:**
The Sr. Data Engineer (People Analytics) role is a technical developer in IT and individual contributor for the People Analytics Data Engineering team responsible for the development of data warehouse modeling, data pipelines, and related analytics specific to People and Workforce analytics in cloud data platforms.
Key Responsibilities:
* ***Data Pipeline Management*****:** Design, build, and manage robust data pipelines and ETL processes that integrate HR data from various systems, including Workday, talent management, payroll, and other data sources.
* ***Data Engineering and Transformation*****:** Develop and optimize data workflows to ensure data accuracy, quality, and availability for the People Analytics team and stakeholders across HR and business units.
* ***Technical Leadership*****:** Oversee a team of data engineers, providing mentorship, support, and guidance on best practices in data engineering, version control, and coding standards.
* ***Analytics \&amp; Reporting Support*****:** Work closely with People Analytics to structure data for analysis, develop data models, and create reproducible workflows that enable efficient reporting in R, Python, and other analytics tools.
* ***Data Security and Compliance*****:** Ensure data governance and security protocols are followed in accordance with company policies and industry regulations, with a focus on HR data confidentiality and compliance.
* ***Collaboration with Stakeholders*****:** Partner with HR leaders, IT, and People Analytics teams to understand business requirements, streamline data requests, and provide insights to support strategic decisions.
**Required Qualifications**
* 5\+ years' experience in **Data Engineering**, with a focus on HR or people data.
* 5\+ years' experience with ETL/ELT processes and tools.
* 5\+ years' experience with **SQL** and relational databases.
* 4\+ years' experience programming in **Python** for data manipulation, automation, and analysis.
* 3\+ years' experience with cloud platforms, prefer GCP (may consider Azure or AWS).
* 2\+ years' experience with data warehousing solutions (e.g., Snowflake, Redshift, BigQuery).
* 2\+ years' experience with scheduling tools like Airflow or Composer.
**Preferred Qualifications**
* Experience with Workday or similar HRIS platforms and data flows within an HR context.
* Problem\-Solving ability and strong analytical skills with the ability to troubleshoot, optimize, and automate data processes.
* Strong communication skills with the ability to communicate complex technical processes to non\-technical stakeholders effectively.
* Familiarity or working knowledge of common data visualization or business intelligence tools (PowerBI, Tableau, Oracle BI, Visier, etc.).
* Preferably technical experience specific to people or talent analytics, data engineering, visualization, business intelligence, or analytical consulting.
**Education**
* Bachelor’s degree in Computer Science, Data Engineering, Data Science, or a related field required.
* Master's degree preferred.
**Anticipated Weekly Hours**
40**Time Type**
Full time**Pay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02/09/2026
Qualified applicants with arrest or conviction records will be considered for employment in accordance with all federal, state and local laws.</t>
        </is>
      </c>
    </row>
    <row r="48">
      <c r="A48" t="inlineStr">
        <is>
          <t>in-1b554ac387493101</t>
        </is>
      </c>
      <c r="B48" t="inlineStr">
        <is>
          <t>Senior Data Engineer (GCP) - HR Technology</t>
        </is>
      </c>
      <c r="C48" t="inlineStr">
        <is>
          <t>CVS Health</t>
        </is>
      </c>
      <c r="D48" t="inlineStr">
        <is>
          <t>indeed</t>
        </is>
      </c>
      <c r="E48" t="inlineStr"/>
      <c r="F48" t="inlineStr"/>
      <c r="G48" t="inlineStr">
        <is>
          <t>Dover, DE, US</t>
        </is>
      </c>
      <c r="H48" s="2" t="n">
        <v>46050</v>
      </c>
      <c r="I48"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**About the Role:**
The Sr. Data Engineer (People Analytics) role is a technical developer in IT and individual contributor for the People Analytics Data Engineering team responsible for the development of data warehouse modeling, data pipelines, and related analytics specific to People and Workforce analytics in cloud data platforms.
Key Responsibilities:
* ***Data Pipeline Management*****:** Design, build, and manage robust data pipelines and ETL processes that integrate HR data from various systems, including Workday, talent management, payroll, and other data sources.
* ***Data Engineering and Transformation*****:** Develop and optimize data workflows to ensure data accuracy, quality, and availability for the People Analytics team and stakeholders across HR and business units.
* ***Technical Leadership*****:** Oversee a team of data engineers, providing mentorship, support, and guidance on best practices in data engineering, version control, and coding standards.
* ***Analytics \&amp; Reporting Support*****:** Work closely with People Analytics to structure data for analysis, develop data models, and create reproducible workflows that enable efficient reporting in R, Python, and other analytics tools.
* ***Data Security and Compliance*****:** Ensure data governance and security protocols are followed in accordance with company policies and industry regulations, with a focus on HR data confidentiality and compliance.
* ***Collaboration with Stakeholders*****:** Partner with HR leaders, IT, and People Analytics teams to understand business requirements, streamline data requests, and provide insights to support strategic decisions.
**Required Qualifications**
* 5\+ years' experience in **Data Engineering**, with a focus on HR or people data.
* 5\+ years' experience with ETL/ELT processes and tools.
* 5\+ years' experience with **SQL** and relational databases.
* 4\+ years' experience programming in **Python** for data manipulation, automation, and analysis.
* 3\+ years' experience with cloud platforms, prefer GCP (may consider Azure or AWS).
* 2\+ years' experience with data warehousing solutions (e.g., Snowflake, Redshift, BigQuery).
* 2\+ years' experience with scheduling tools like Airflow or Composer.
**Preferred Qualifications**
* Experience with Workday or similar HRIS platforms and data flows within an HR context.
* Problem\-Solving ability and strong analytical skills with the ability to troubleshoot, optimize, and automate data processes.
* Strong communication skills with the ability to communicate complex technical processes to non\-technical stakeholders effectively.
* Familiarity or working knowledge of common data visualization or business intelligence tools (PowerBI, Tableau, Oracle BI, Visier, etc.).
* Preferably technical experience specific to people or talent analytics, data engineering, visualization, business intelligence, or analytical consulting.
**Education**
* Bachelor’s degree in Computer Science, Data Engineering, Data Science, or a related field required.
* Master's degree preferred.
**Anticipated Weekly Hours**
40**Time Type**
Full time**Pay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02/09/2026
Qualified applicants with arrest or conviction records will be considered for employment in accordance with all federal, state and local laws.</t>
        </is>
      </c>
    </row>
    <row r="49">
      <c r="A49" t="inlineStr">
        <is>
          <t>in-021269b21b0e1c3e</t>
        </is>
      </c>
      <c r="B49" t="inlineStr">
        <is>
          <t>Senior Data Engineer (GCP) - HR Technology</t>
        </is>
      </c>
      <c r="C49" t="inlineStr">
        <is>
          <t>CVS Health</t>
        </is>
      </c>
      <c r="D49" t="inlineStr">
        <is>
          <t>indeed</t>
        </is>
      </c>
      <c r="E49" t="inlineStr"/>
      <c r="F49" t="inlineStr"/>
      <c r="G49" t="inlineStr">
        <is>
          <t>Helena, MT, US</t>
        </is>
      </c>
      <c r="H49" s="2" t="n">
        <v>46050</v>
      </c>
      <c r="I49"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**About the Role:**
The Sr. Data Engineer (People Analytics) role is a technical developer in IT and individual contributor for the People Analytics Data Engineering team responsible for the development of data warehouse modeling, data pipelines, and related analytics specific to People and Workforce analytics in cloud data platforms.
Key Responsibilities:
* ***Data Pipeline Management*****:** Design, build, and manage robust data pipelines and ETL processes that integrate HR data from various systems, including Workday, talent management, payroll, and other data sources.
* ***Data Engineering and Transformation*****:** Develop and optimize data workflows to ensure data accuracy, quality, and availability for the People Analytics team and stakeholders across HR and business units.
* ***Technical Leadership*****:** Oversee a team of data engineers, providing mentorship, support, and guidance on best practices in data engineering, version control, and coding standards.
* ***Analytics \&amp; Reporting Support*****:** Work closely with People Analytics to structure data for analysis, develop data models, and create reproducible workflows that enable efficient reporting in R, Python, and other analytics tools.
* ***Data Security and Compliance*****:** Ensure data governance and security protocols are followed in accordance with company policies and industry regulations, with a focus on HR data confidentiality and compliance.
* ***Collaboration with Stakeholders*****:** Partner with HR leaders, IT, and People Analytics teams to understand business requirements, streamline data requests, and provide insights to support strategic decisions.
**Required Qualifications**
* 5\+ years' experience in **Data Engineering**, with a focus on HR or people data.
* 5\+ years' experience with ETL/ELT processes and tools.
* 5\+ years' experience with **SQL** and relational databases.
* 4\+ years' experience programming in **Python** for data manipulation, automation, and analysis.
* 3\+ years' experience with cloud platforms, prefer GCP (may consider Azure or AWS).
* 2\+ years' experience with data warehousing solutions (e.g., Snowflake, Redshift, BigQuery).
* 2\+ years' experience with scheduling tools like Airflow or Composer.
**Preferred Qualifications**
* Experience with Workday or similar HRIS platforms and data flows within an HR context.
* Problem\-Solving ability and strong analytical skills with the ability to troubleshoot, optimize, and automate data processes.
* Strong communication skills with the ability to communicate complex technical processes to non\-technical stakeholders effectively.
* Familiarity or working knowledge of common data visualization or business intelligence tools (PowerBI, Tableau, Oracle BI, Visier, etc.).
* Preferably technical experience specific to people or talent analytics, data engineering, visualization, business intelligence, or analytical consulting.
**Education**
* Bachelor’s degree in Computer Science, Data Engineering, Data Science, or a related field required.
* Master's degree preferred.
**Anticipated Weekly Hours**
40**Time Type**
Full time**Pay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02/09/2026
Qualified applicants with arrest or conviction records will be considered for employment in accordance with all federal, state and local laws.</t>
        </is>
      </c>
    </row>
    <row r="50">
      <c r="A50" t="inlineStr">
        <is>
          <t>in-942110d89b5ae3c8</t>
        </is>
      </c>
      <c r="B50" t="inlineStr">
        <is>
          <t>Senior Data Engineer (GCP) - HR Technology</t>
        </is>
      </c>
      <c r="C50" t="inlineStr">
        <is>
          <t>CVS Health</t>
        </is>
      </c>
      <c r="D50" t="inlineStr">
        <is>
          <t>indeed</t>
        </is>
      </c>
      <c r="E50" t="inlineStr"/>
      <c r="F50" t="inlineStr"/>
      <c r="G50" t="inlineStr">
        <is>
          <t>Nashville, TN, US</t>
        </is>
      </c>
      <c r="H50" s="2" t="n">
        <v>46050</v>
      </c>
      <c r="I50"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**About the Role:**
The Sr. Data Engineer (People Analytics) role is a technical developer in IT and individual contributor for the People Analytics Data Engineering team responsible for the development of data warehouse modeling, data pipelines, and related analytics specific to People and Workforce analytics in cloud data platforms.
Key Responsibilities:
* ***Data Pipeline Management*****:** Design, build, and manage robust data pipelines and ETL processes that integrate HR data from various systems, including Workday, talent management, payroll, and other data sources.
* ***Data Engineering and Transformation*****:** Develop and optimize data workflows to ensure data accuracy, quality, and availability for the People Analytics team and stakeholders across HR and business units.
* ***Technical Leadership*****:** Oversee a team of data engineers, providing mentorship, support, and guidance on best practices in data engineering, version control, and coding standards.
* ***Analytics \&amp; Reporting Support*****:** Work closely with People Analytics to structure data for analysis, develop data models, and create reproducible workflows that enable efficient reporting in R, Python, and other analytics tools.
* ***Data Security and Compliance*****:** Ensure data governance and security protocols are followed in accordance with company policies and industry regulations, with a focus on HR data confidentiality and compliance.
* ***Collaboration with Stakeholders*****:** Partner with HR leaders, IT, and People Analytics teams to understand business requirements, streamline data requests, and provide insights to support strategic decisions.
**Required Qualifications**
* 5\+ years' experience in **Data Engineering**, with a focus on HR or people data.
* 5\+ years' experience with ETL/ELT processes and tools.
* 5\+ years' experience with **SQL** and relational databases.
* 4\+ years' experience programming in **Python** for data manipulation, automation, and analysis.
* 3\+ years' experience with cloud platforms, prefer GCP (may consider Azure or AWS).
* 2\+ years' experience with data warehousing solutions (e.g., Snowflake, Redshift, BigQuery).
* 2\+ years' experience with scheduling tools like Airflow or Composer.
**Preferred Qualifications**
* Experience with Workday or similar HRIS platforms and data flows within an HR context.
* Problem\-Solving ability and strong analytical skills with the ability to troubleshoot, optimize, and automate data processes.
* Strong communication skills with the ability to communicate complex technical processes to non\-technical stakeholders effectively.
* Familiarity or working knowledge of common data visualization or business intelligence tools (PowerBI, Tableau, Oracle BI, Visier, etc.).
* Preferably technical experience specific to people or talent analytics, data engineering, visualization, business intelligence, or analytical consulting.
**Education**
* Bachelor’s degree in Computer Science, Data Engineering, Data Science, or a related field required.
* Master's degree preferred.
**Anticipated Weekly Hours**
40**Time Type**
Full time**Pay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02/09/2026
Qualified applicants with arrest or conviction records will be considered for employment in accordance with all federal, state and local laws.</t>
        </is>
      </c>
    </row>
    <row r="51">
      <c r="A51" t="inlineStr">
        <is>
          <t>in-079805c7ff192a45</t>
        </is>
      </c>
      <c r="B51" t="inlineStr">
        <is>
          <t>Senior Data Engineer (GCP) - HR Technology</t>
        </is>
      </c>
      <c r="C51" t="inlineStr">
        <is>
          <t>CVS Health</t>
        </is>
      </c>
      <c r="D51" t="inlineStr">
        <is>
          <t>indeed</t>
        </is>
      </c>
      <c r="E51" t="inlineStr"/>
      <c r="F51" t="inlineStr"/>
      <c r="G51" t="inlineStr">
        <is>
          <t>Hartford, CT, US</t>
        </is>
      </c>
      <c r="H51" s="2" t="n">
        <v>46050</v>
      </c>
      <c r="I51"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**About the Role:**
The Sr. Data Engineer (People Analytics) role is a technical developer in IT and individual contributor for the People Analytics Data Engineering team responsible for the development of data warehouse modeling, data pipelines, and related analytics specific to People and Workforce analytics in cloud data platforms.
Key Responsibilities:
* ***Data Pipeline Management*****:** Design, build, and manage robust data pipelines and ETL processes that integrate HR data from various systems, including Workday, talent management, payroll, and other data sources.
* ***Data Engineering and Transformation*****:** Develop and optimize data workflows to ensure data accuracy, quality, and availability for the People Analytics team and stakeholders across HR and business units.
* ***Technical Leadership*****:** Oversee a team of data engineers, providing mentorship, support, and guidance on best practices in data engineering, version control, and coding standards.
* ***Analytics \&amp; Reporting Support*****:** Work closely with People Analytics to structure data for analysis, develop data models, and create reproducible workflows that enable efficient reporting in R, Python, and other analytics tools.
* ***Data Security and Compliance*****:** Ensure data governance and security protocols are followed in accordance with company policies and industry regulations, with a focus on HR data confidentiality and compliance.
* ***Collaboration with Stakeholders*****:** Partner with HR leaders, IT, and People Analytics teams to understand business requirements, streamline data requests, and provide insights to support strategic decisions.
**Required Qualifications**
* 5\+ years' experience in **Data Engineering**, with a focus on HR or people data.
* 5\+ years' experience with ETL/ELT processes and tools.
* 5\+ years' experience with **SQL** and relational databases.
* 4\+ years' experience programming in **Python** for data manipulation, automation, and analysis.
* 3\+ years' experience with cloud platforms, prefer GCP (may consider Azure or AWS).
* 2\+ years' experience with data warehousing solutions (e.g., Snowflake, Redshift, BigQuery).
* 2\+ years' experience with scheduling tools like Airflow or Composer.
**Preferred Qualifications**
* Experience with Workday or similar HRIS platforms and data flows within an HR context.
* Problem\-Solving ability and strong analytical skills with the ability to troubleshoot, optimize, and automate data processes.
* Strong communication skills with the ability to communicate complex technical processes to non\-technical stakeholders effectively.
* Familiarity or working knowledge of common data visualization or business intelligence tools (PowerBI, Tableau, Oracle BI, Visier, etc.).
* Preferably technical experience specific to people or talent analytics, data engineering, visualization, business intelligence, or analytical consulting.
**Education**
* Bachelor’s degree in Computer Science, Data Engineering, Data Science, or a related field required.
* Master's degree preferred.
**Anticipated Weekly Hours**
40**Time Type**
Full time**Pay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02/09/2026
Qualified applicants with arrest or conviction records will be considered for employment in accordance with all federal, state and local laws.</t>
        </is>
      </c>
    </row>
    <row r="52">
      <c r="A52" t="inlineStr">
        <is>
          <t>in-977676ddbc21329c</t>
        </is>
      </c>
      <c r="B52" t="inlineStr">
        <is>
          <t>Senior Data Engineer (GCP) - HR Technology</t>
        </is>
      </c>
      <c r="C52" t="inlineStr">
        <is>
          <t>CVS Health</t>
        </is>
      </c>
      <c r="D52" t="inlineStr">
        <is>
          <t>indeed</t>
        </is>
      </c>
      <c r="E52" t="inlineStr"/>
      <c r="F52" t="inlineStr"/>
      <c r="G52" t="inlineStr">
        <is>
          <t>Saint Paul, MN, US</t>
        </is>
      </c>
      <c r="H52" s="2" t="n">
        <v>46050</v>
      </c>
      <c r="I52"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**About the Role:**
The Sr. Data Engineer (People Analytics) role is a technical developer in IT and individual contributor for the People Analytics Data Engineering team responsible for the development of data warehouse modeling, data pipelines, and related analytics specific to People and Workforce analytics in cloud data platforms.
Key Responsibilities:
* ***Data Pipeline Management*****:** Design, build, and manage robust data pipelines and ETL processes that integrate HR data from various systems, including Workday, talent management, payroll, and other data sources.
* ***Data Engineering and Transformation*****:** Develop and optimize data workflows to ensure data accuracy, quality, and availability for the People Analytics team and stakeholders across HR and business units.
* ***Technical Leadership*****:** Oversee a team of data engineers, providing mentorship, support, and guidance on best practices in data engineering, version control, and coding standards.
* ***Analytics \&amp; Reporting Support*****:** Work closely with People Analytics to structure data for analysis, develop data models, and create reproducible workflows that enable efficient reporting in R, Python, and other analytics tools.
* ***Data Security and Compliance*****:** Ensure data governance and security protocols are followed in accordance with company policies and industry regulations, with a focus on HR data confidentiality and compliance.
* ***Collaboration with Stakeholders*****:** Partner with HR leaders, IT, and People Analytics teams to understand business requirements, streamline data requests, and provide insights to support strategic decisions.
**Required Qualifications**
* 5\+ years' experience in **Data Engineering**, with a focus on HR or people data.
* 5\+ years' experience with ETL/ELT processes and tools.
* 5\+ years' experience with **SQL** and relational databases.
* 4\+ years' experience programming in **Python** for data manipulation, automation, and analysis.
* 3\+ years' experience with cloud platforms, prefer GCP (may consider Azure or AWS).
* 2\+ years' experience with data warehousing solutions (e.g., Snowflake, Redshift, BigQuery).
* 2\+ years' experience with scheduling tools like Airflow or Composer.
**Preferred Qualifications**
* Experience with Workday or similar HRIS platforms and data flows within an HR context.
* Problem\-Solving ability and strong analytical skills with the ability to troubleshoot, optimize, and automate data processes.
* Strong communication skills with the ability to communicate complex technical processes to non\-technical stakeholders effectively.
* Familiarity or working knowledge of common data visualization or business intelligence tools (PowerBI, Tableau, Oracle BI, Visier, etc.).
* Preferably technical experience specific to people or talent analytics, data engineering, visualization, business intelligence, or analytical consulting.
**Education**
* Bachelor’s degree in Computer Science, Data Engineering, Data Science, or a related field required.
* Master's degree preferred.
**Anticipated Weekly Hours**
40**Time Type**
Full time**Pay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02/09/2026
Qualified applicants with arrest or conviction records will be considered for employment in accordance with all federal, state and local laws.</t>
        </is>
      </c>
    </row>
    <row r="53">
      <c r="A53" t="inlineStr">
        <is>
          <t>in-530d4bc430d8e708</t>
        </is>
      </c>
      <c r="B53" t="inlineStr">
        <is>
          <t>Senior Data Engineer (GCP) - HR Technology</t>
        </is>
      </c>
      <c r="C53" t="inlineStr">
        <is>
          <t>CVS Health</t>
        </is>
      </c>
      <c r="D53" t="inlineStr">
        <is>
          <t>indeed</t>
        </is>
      </c>
      <c r="E53" t="inlineStr"/>
      <c r="F53" t="inlineStr"/>
      <c r="G53" t="inlineStr">
        <is>
          <t>Trenton, NJ, US</t>
        </is>
      </c>
      <c r="H53" s="2" t="n">
        <v>46050</v>
      </c>
      <c r="I53"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**About the Role:**
The Sr. Data Engineer (People Analytics) role is a technical developer in IT and individual contributor for the People Analytics Data Engineering team responsible for the development of data warehouse modeling, data pipelines, and related analytics specific to People and Workforce analytics in cloud data platforms.
Key Responsibilities:
* ***Data Pipeline Management*****:** Design, build, and manage robust data pipelines and ETL processes that integrate HR data from various systems, including Workday, talent management, payroll, and other data sources.
* ***Data Engineering and Transformation*****:** Develop and optimize data workflows to ensure data accuracy, quality, and availability for the People Analytics team and stakeholders across HR and business units.
* ***Technical Leadership*****:** Oversee a team of data engineers, providing mentorship, support, and guidance on best practices in data engineering, version control, and coding standards.
* ***Analytics \&amp; Reporting Support*****:** Work closely with People Analytics to structure data for analysis, develop data models, and create reproducible workflows that enable efficient reporting in R, Python, and other analytics tools.
* ***Data Security and Compliance*****:** Ensure data governance and security protocols are followed in accordance with company policies and industry regulations, with a focus on HR data confidentiality and compliance.
* ***Collaboration with Stakeholders*****:** Partner with HR leaders, IT, and People Analytics teams to understand business requirements, streamline data requests, and provide insights to support strategic decisions.
**Required Qualifications**
* 5\+ years' experience in **Data Engineering**, with a focus on HR or people data.
* 5\+ years' experience with ETL/ELT processes and tools.
* 5\+ years' experience with **SQL** and relational databases.
* 4\+ years' experience programming in **Python** for data manipulation, automation, and analysis.
* 3\+ years' experience with cloud platforms, prefer GCP (may consider Azure or AWS).
* 2\+ years' experience with data warehousing solutions (e.g., Snowflake, Redshift, BigQuery).
* 2\+ years' experience with scheduling tools like Airflow or Composer.
**Preferred Qualifications**
* Experience with Workday or similar HRIS platforms and data flows within an HR context.
* Problem\-Solving ability and strong analytical skills with the ability to troubleshoot, optimize, and automate data processes.
* Strong communication skills with the ability to communicate complex technical processes to non\-technical stakeholders effectively.
* Familiarity or working knowledge of common data visualization or business intelligence tools (PowerBI, Tableau, Oracle BI, Visier, etc.).
* Preferably technical experience specific to people or talent analytics, data engineering, visualization, business intelligence, or analytical consulting.
**Education**
* Bachelor’s degree in Computer Science, Data Engineering, Data Science, or a related field required.
* Master's degree preferred.
**Anticipated Weekly Hours**
40**Time Type**
Full time**Pay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02/09/2026
Qualified applicants with arrest or conviction records will be considered for employment in accordance with all federal, state and local laws.</t>
        </is>
      </c>
    </row>
    <row r="54">
      <c r="A54" t="inlineStr">
        <is>
          <t>in-39d2f8dd78093ef3</t>
        </is>
      </c>
      <c r="B54" t="inlineStr">
        <is>
          <t>Senior Data Engineer (GCP) - HR Technology</t>
        </is>
      </c>
      <c r="C54" t="inlineStr">
        <is>
          <t>CVS Health</t>
        </is>
      </c>
      <c r="D54" t="inlineStr">
        <is>
          <t>indeed</t>
        </is>
      </c>
      <c r="E54" t="inlineStr"/>
      <c r="F54" t="inlineStr"/>
      <c r="G54" t="inlineStr">
        <is>
          <t>Denver, CO, US</t>
        </is>
      </c>
      <c r="H54" s="2" t="n">
        <v>46050</v>
      </c>
      <c r="I54"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**About the Role:**
The Sr. Data Engineer (People Analytics) role is a technical developer in IT and individual contributor for the People Analytics Data Engineering team responsible for the development of data warehouse modeling, data pipelines, and related analytics specific to People and Workforce analytics in cloud data platforms.
Key Responsibilities:
* ***Data Pipeline Management*****:** Design, build, and manage robust data pipelines and ETL processes that integrate HR data from various systems, including Workday, talent management, payroll, and other data sources.
* ***Data Engineering and Transformation*****:** Develop and optimize data workflows to ensure data accuracy, quality, and availability for the People Analytics team and stakeholders across HR and business units.
* ***Technical Leadership*****:** Oversee a team of data engineers, providing mentorship, support, and guidance on best practices in data engineering, version control, and coding standards.
* ***Analytics \&amp; Reporting Support*****:** Work closely with People Analytics to structure data for analysis, develop data models, and create reproducible workflows that enable efficient reporting in R, Python, and other analytics tools.
* ***Data Security and Compliance*****:** Ensure data governance and security protocols are followed in accordance with company policies and industry regulations, with a focus on HR data confidentiality and compliance.
* ***Collaboration with Stakeholders*****:** Partner with HR leaders, IT, and People Analytics teams to understand business requirements, streamline data requests, and provide insights to support strategic decisions.
**Required Qualifications**
* 5\+ years' experience in **Data Engineering**, with a focus on HR or people data.
* 5\+ years' experience with ETL/ELT processes and tools.
* 5\+ years' experience with **SQL** and relational databases.
* 4\+ years' experience programming in **Python** for data manipulation, automation, and analysis.
* 3\+ years' experience with cloud platforms, prefer GCP (may consider Azure or AWS).
* 2\+ years' experience with data warehousing solutions (e.g., Snowflake, Redshift, BigQuery).
* 2\+ years' experience with scheduling tools like Airflow or Composer.
**Preferred Qualifications**
* Experience with Workday or similar HRIS platforms and data flows within an HR context.
* Problem\-Solving ability and strong analytical skills with the ability to troubleshoot, optimize, and automate data processes.
* Strong communication skills with the ability to communicate complex technical processes to non\-technical stakeholders effectively.
* Familiarity or working knowledge of common data visualization or business intelligence tools (PowerBI, Tableau, Oracle BI, Visier, etc.).
* Preferably technical experience specific to people or talent analytics, data engineering, visualization, business intelligence, or analytical consulting.
**Education**
* Bachelor’s degree in Computer Science, Data Engineering, Data Science, or a related field required.
* Master's degree preferred.
**Anticipated Weekly Hours**
40**Time Type**
Full time**Pay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02/09/2026
Qualified applicants with arrest or conviction records will be considered for employment in accordance with all federal, state and local laws.</t>
        </is>
      </c>
    </row>
    <row r="55">
      <c r="A55" t="inlineStr">
        <is>
          <t>in-6d629884ff71aba1</t>
        </is>
      </c>
      <c r="B55" t="inlineStr">
        <is>
          <t>Senior Data Engineer (GCP) - HR Technology</t>
        </is>
      </c>
      <c r="C55" t="inlineStr">
        <is>
          <t>CVS Health</t>
        </is>
      </c>
      <c r="D55" t="inlineStr">
        <is>
          <t>indeed</t>
        </is>
      </c>
      <c r="E55" t="inlineStr"/>
      <c r="F55" t="inlineStr"/>
      <c r="G55" t="inlineStr">
        <is>
          <t>Madison, WI, US</t>
        </is>
      </c>
      <c r="H55" s="2" t="n">
        <v>46050</v>
      </c>
      <c r="I55"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**About the Role:**
The Sr. Data Engineer (People Analytics) role is a technical developer in IT and individual contributor for the People Analytics Data Engineering team responsible for the development of data warehouse modeling, data pipelines, and related analytics specific to People and Workforce analytics in cloud data platforms.
Key Responsibilities:
* ***Data Pipeline Management*****:** Design, build, and manage robust data pipelines and ETL processes that integrate HR data from various systems, including Workday, talent management, payroll, and other data sources.
* ***Data Engineering and Transformation*****:** Develop and optimize data workflows to ensure data accuracy, quality, and availability for the People Analytics team and stakeholders across HR and business units.
* ***Technical Leadership*****:** Oversee a team of data engineers, providing mentorship, support, and guidance on best practices in data engineering, version control, and coding standards.
* ***Analytics \&amp; Reporting Support*****:** Work closely with People Analytics to structure data for analysis, develop data models, and create reproducible workflows that enable efficient reporting in R, Python, and other analytics tools.
* ***Data Security and Compliance*****:** Ensure data governance and security protocols are followed in accordance with company policies and industry regulations, with a focus on HR data confidentiality and compliance.
* ***Collaboration with Stakeholders*****:** Partner with HR leaders, IT, and People Analytics teams to understand business requirements, streamline data requests, and provide insights to support strategic decisions.
**Required Qualifications**
* 5\+ years' experience in **Data Engineering**, with a focus on HR or people data.
* 5\+ years' experience with ETL/ELT processes and tools.
* 5\+ years' experience with **SQL** and relational databases.
* 4\+ years' experience programming in **Python** for data manipulation, automation, and analysis.
* 3\+ years' experience with cloud platforms, prefer GCP (may consider Azure or AWS).
* 2\+ years' experience with data warehousing solutions (e.g., Snowflake, Redshift, BigQuery).
* 2\+ years' experience with scheduling tools like Airflow or Composer.
**Preferred Qualifications**
* Experience with Workday or similar HRIS platforms and data flows within an HR context.
* Problem\-Solving ability and strong analytical skills with the ability to troubleshoot, optimize, and automate data processes.
* Strong communication skills with the ability to communicate complex technical processes to non\-technical stakeholders effectively.
* Familiarity or working knowledge of common data visualization or business intelligence tools (PowerBI, Tableau, Oracle BI, Visier, etc.).
* Preferably technical experience specific to people or talent analytics, data engineering, visualization, business intelligence, or analytical consulting.
**Education**
* Bachelor’s degree in Computer Science, Data Engineering, Data Science, or a related field required.
* Master's degree preferred.
**Anticipated Weekly Hours**
40**Time Type**
Full time**Pay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02/09/2026
Qualified applicants with arrest or conviction records will be considered for employment in accordance with all federal, state and local laws.</t>
        </is>
      </c>
    </row>
    <row r="56">
      <c r="A56" t="inlineStr">
        <is>
          <t>in-a86692e48470f6cb</t>
        </is>
      </c>
      <c r="B56" t="inlineStr">
        <is>
          <t>Senior Data Engineer (GCP) - HR Technology</t>
        </is>
      </c>
      <c r="C56" t="inlineStr">
        <is>
          <t>CVS Health</t>
        </is>
      </c>
      <c r="D56" t="inlineStr">
        <is>
          <t>indeed</t>
        </is>
      </c>
      <c r="E56" t="inlineStr"/>
      <c r="F56" t="inlineStr"/>
      <c r="G56" t="inlineStr">
        <is>
          <t>Annapolis, MD, US</t>
        </is>
      </c>
      <c r="H56" s="2" t="n">
        <v>46050</v>
      </c>
      <c r="I56"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**About the Role:**
The Sr. Data Engineer (People Analytics) role is a technical developer in IT and individual contributor for the People Analytics Data Engineering team responsible for the development of data warehouse modeling, data pipelines, and related analytics specific to People and Workforce analytics in cloud data platforms.
Key Responsibilities:
* ***Data Pipeline Management*****:** Design, build, and manage robust data pipelines and ETL processes that integrate HR data from various systems, including Workday, talent management, payroll, and other data sources.
* ***Data Engineering and Transformation*****:** Develop and optimize data workflows to ensure data accuracy, quality, and availability for the People Analytics team and stakeholders across HR and business units.
* ***Technical Leadership*****:** Oversee a team of data engineers, providing mentorship, support, and guidance on best practices in data engineering, version control, and coding standards.
* ***Analytics \&amp; Reporting Support*****:** Work closely with People Analytics to structure data for analysis, develop data models, and create reproducible workflows that enable efficient reporting in R, Python, and other analytics tools.
* ***Data Security and Compliance*****:** Ensure data governance and security protocols are followed in accordance with company policies and industry regulations, with a focus on HR data confidentiality and compliance.
* ***Collaboration with Stakeholders*****:** Partner with HR leaders, IT, and People Analytics teams to understand business requirements, streamline data requests, and provide insights to support strategic decisions.
**Required Qualifications**
* 5\+ years' experience in **Data Engineering**, with a focus on HR or people data.
* 5\+ years' experience with ETL/ELT processes and tools.
* 5\+ years' experience with **SQL** and relational databases.
* 4\+ years' experience programming in **Python** for data manipulation, automation, and analysis.
* 3\+ years' experience with cloud platforms, prefer GCP (may consider Azure or AWS).
* 2\+ years' experience with data warehousing solutions (e.g., Snowflake, Redshift, BigQuery).
* 2\+ years' experience with scheduling tools like Airflow or Composer.
**Preferred Qualifications**
* Experience with Workday or similar HRIS platforms and data flows within an HR context.
* Problem\-Solving ability and strong analytical skills with the ability to troubleshoot, optimize, and automate data processes.
* Strong communication skills with the ability to communicate complex technical processes to non\-technical stakeholders effectively.
* Familiarity or working knowledge of common data visualization or business intelligence tools (PowerBI, Tableau, Oracle BI, Visier, etc.).
* Preferably technical experience specific to people or talent analytics, data engineering, visualization, business intelligence, or analytical consulting.
**Education**
* Bachelor’s degree in Computer Science, Data Engineering, Data Science, or a related field required.
* Master's degree preferred.
**Anticipated Weekly Hours**
40**Time Type**
Full time**Pay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02/09/2026
Qualified applicants with arrest or conviction records will be considered for employment in accordance with all federal, state and local laws.</t>
        </is>
      </c>
    </row>
    <row r="57">
      <c r="A57" t="inlineStr">
        <is>
          <t>in-ba99fe7f9cfbda48</t>
        </is>
      </c>
      <c r="B57" t="inlineStr">
        <is>
          <t>Senior Data Engineer (GCP) - HR Technology</t>
        </is>
      </c>
      <c r="C57" t="inlineStr">
        <is>
          <t>CVS Health</t>
        </is>
      </c>
      <c r="D57" t="inlineStr">
        <is>
          <t>indeed</t>
        </is>
      </c>
      <c r="E57" t="inlineStr"/>
      <c r="F57" t="inlineStr"/>
      <c r="G57" t="inlineStr">
        <is>
          <t>Phoenix, AZ, US</t>
        </is>
      </c>
      <c r="H57" s="2" t="n">
        <v>46050</v>
      </c>
      <c r="I57"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**About the Role:**
The Sr. Data Engineer (People Analytics) role is a technical developer in IT and individual contributor for the People Analytics Data Engineering team responsible for the development of data warehouse modeling, data pipelines, and related analytics specific to People and Workforce analytics in cloud data platforms.
Key Responsibilities:
* ***Data Pipeline Management*****:** Design, build, and manage robust data pipelines and ETL processes that integrate HR data from various systems, including Workday, talent management, payroll, and other data sources.
* ***Data Engineering and Transformation*****:** Develop and optimize data workflows to ensure data accuracy, quality, and availability for the People Analytics team and stakeholders across HR and business units.
* ***Technical Leadership*****:** Oversee a team of data engineers, providing mentorship, support, and guidance on best practices in data engineering, version control, and coding standards.
* ***Analytics \&amp; Reporting Support*****:** Work closely with People Analytics to structure data for analysis, develop data models, and create reproducible workflows that enable efficient reporting in R, Python, and other analytics tools.
* ***Data Security and Compliance*****:** Ensure data governance and security protocols are followed in accordance with company policies and industry regulations, with a focus on HR data confidentiality and compliance.
* ***Collaboration with Stakeholders*****:** Partner with HR leaders, IT, and People Analytics teams to understand business requirements, streamline data requests, and provide insights to support strategic decisions.
**Required Qualifications**
* 5\+ years' experience in **Data Engineering**, with a focus on HR or people data.
* 5\+ years' experience with ETL/ELT processes and tools.
* 5\+ years' experience with **SQL** and relational databases.
* 4\+ years' experience programming in **Python** for data manipulation, automation, and analysis.
* 3\+ years' experience with cloud platforms, prefer GCP (may consider Azure or AWS).
* 2\+ years' experience with data warehousing solutions (e.g., Snowflake, Redshift, BigQuery).
* 2\+ years' experience with scheduling tools like Airflow or Composer.
**Preferred Qualifications**
* Experience with Workday or similar HRIS platforms and data flows within an HR context.
* Problem\-Solving ability and strong analytical skills with the ability to troubleshoot, optimize, and automate data processes.
* Strong communication skills with the ability to communicate complex technical processes to non\-technical stakeholders effectively.
* Familiarity or working knowledge of common data visualization or business intelligence tools (PowerBI, Tableau, Oracle BI, Visier, etc.).
* Preferably technical experience specific to people or talent analytics, data engineering, visualization, business intelligence, or analytical consulting.
**Education**
* Bachelor’s degree in Computer Science, Data Engineering, Data Science, or a related field required.
* Master's degree preferred.
**Anticipated Weekly Hours**
40**Time Type**
Full time**Pay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02/09/2026
Qualified applicants with arrest or conviction records will be considered for employment in accordance with all federal, state and local laws.</t>
        </is>
      </c>
    </row>
    <row r="58">
      <c r="A58" t="inlineStr">
        <is>
          <t>in-796556528a44057a</t>
        </is>
      </c>
      <c r="B58" t="inlineStr">
        <is>
          <t>Senior Data Engineer (GCP) - HR Technology</t>
        </is>
      </c>
      <c r="C58" t="inlineStr">
        <is>
          <t>CVS Health</t>
        </is>
      </c>
      <c r="D58" t="inlineStr">
        <is>
          <t>indeed</t>
        </is>
      </c>
      <c r="E58" t="inlineStr"/>
      <c r="F58" t="inlineStr"/>
      <c r="G58" t="inlineStr">
        <is>
          <t>Boston, MA, US</t>
        </is>
      </c>
      <c r="H58" s="2" t="n">
        <v>46050</v>
      </c>
      <c r="I58"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**About the Role:**
The Sr. Data Engineer (People Analytics) role is a technical developer in IT and individual contributor for the People Analytics Data Engineering team responsible for the development of data warehouse modeling, data pipelines, and related analytics specific to People and Workforce analytics in cloud data platforms.
Key Responsibilities:
* ***Data Pipeline Management*****:** Design, build, and manage robust data pipelines and ETL processes that integrate HR data from various systems, including Workday, talent management, payroll, and other data sources.
* ***Data Engineering and Transformation*****:** Develop and optimize data workflows to ensure data accuracy, quality, and availability for the People Analytics team and stakeholders across HR and business units.
* ***Technical Leadership*****:** Oversee a team of data engineers, providing mentorship, support, and guidance on best practices in data engineering, version control, and coding standards.
* ***Analytics \&amp; Reporting Support*****:** Work closely with People Analytics to structure data for analysis, develop data models, and create reproducible workflows that enable efficient reporting in R, Python, and other analytics tools.
* ***Data Security and Compliance*****:** Ensure data governance and security protocols are followed in accordance with company policies and industry regulations, with a focus on HR data confidentiality and compliance.
* ***Collaboration with Stakeholders*****:** Partner with HR leaders, IT, and People Analytics teams to understand business requirements, streamline data requests, and provide insights to support strategic decisions.
**Required Qualifications**
* 5\+ years' experience in **Data Engineering**, with a focus on HR or people data.
* 5\+ years' experience with ETL/ELT processes and tools.
* 5\+ years' experience with **SQL** and relational databases.
* 4\+ years' experience programming in **Python** for data manipulation, automation, and analysis.
* 3\+ years' experience with cloud platforms, prefer GCP (may consider Azure or AWS).
* 2\+ years' experience with data warehousing solutions (e.g., Snowflake, Redshift, BigQuery).
* 2\+ years' experience with scheduling tools like Airflow or Composer.
**Preferred Qualifications**
* Experience with Workday or similar HRIS platforms and data flows within an HR context.
* Problem\-Solving ability and strong analytical skills with the ability to troubleshoot, optimize, and automate data processes.
* Strong communication skills with the ability to communicate complex technical processes to non\-technical stakeholders effectively.
* Familiarity or working knowledge of common data visualization or business intelligence tools (PowerBI, Tableau, Oracle BI, Visier, etc.).
* Preferably technical experience specific to people or talent analytics, data engineering, visualization, business intelligence, or analytical consulting.
**Education**
* Bachelor’s degree in Computer Science, Data Engineering, Data Science, or a related field required.
* Master's degree preferred.
**Anticipated Weekly Hours**
40**Time Type**
Full time**Pay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02/09/2026
Qualified applicants with arrest or conviction records will be considered for employment in accordance with all federal, state and local laws.</t>
        </is>
      </c>
    </row>
    <row r="59">
      <c r="A59" t="inlineStr">
        <is>
          <t>in-e10a0c61e135d260</t>
        </is>
      </c>
      <c r="B59" t="inlineStr">
        <is>
          <t>Senior Data Engineer (GCP) - HR Technology</t>
        </is>
      </c>
      <c r="C59" t="inlineStr">
        <is>
          <t>CVS Health</t>
        </is>
      </c>
      <c r="D59" t="inlineStr">
        <is>
          <t>indeed</t>
        </is>
      </c>
      <c r="E59" t="inlineStr"/>
      <c r="F59" t="inlineStr"/>
      <c r="G59" t="inlineStr">
        <is>
          <t>Des Moines, IA, US</t>
        </is>
      </c>
      <c r="H59" s="2" t="n">
        <v>46050</v>
      </c>
      <c r="I59"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**About the Role:**
The Sr. Data Engineer (People Analytics) role is a technical developer in IT and individual contributor for the People Analytics Data Engineering team responsible for the development of data warehouse modeling, data pipelines, and related analytics specific to People and Workforce analytics in cloud data platforms.
Key Responsibilities:
* ***Data Pipeline Management*****:** Design, build, and manage robust data pipelines and ETL processes that integrate HR data from various systems, including Workday, talent management, payroll, and other data sources.
* ***Data Engineering and Transformation*****:** Develop and optimize data workflows to ensure data accuracy, quality, and availability for the People Analytics team and stakeholders across HR and business units.
* ***Technical Leadership*****:** Oversee a team of data engineers, providing mentorship, support, and guidance on best practices in data engineering, version control, and coding standards.
* ***Analytics \&amp; Reporting Support*****:** Work closely with People Analytics to structure data for analysis, develop data models, and create reproducible workflows that enable efficient reporting in R, Python, and other analytics tools.
* ***Data Security and Compliance*****:** Ensure data governance and security protocols are followed in accordance with company policies and industry regulations, with a focus on HR data confidentiality and compliance.
* ***Collaboration with Stakeholders*****:** Partner with HR leaders, IT, and People Analytics teams to understand business requirements, streamline data requests, and provide insights to support strategic decisions.
**Required Qualifications**
* 5\+ years' experience in **Data Engineering**, with a focus on HR or people data.
* 5\+ years' experience with ETL/ELT processes and tools.
* 5\+ years' experience with **SQL** and relational databases.
* 4\+ years' experience programming in **Python** for data manipulation, automation, and analysis.
* 3\+ years' experience with cloud platforms, prefer GCP (may consider Azure or AWS).
* 2\+ years' experience with data warehousing solutions (e.g., Snowflake, Redshift, BigQuery).
* 2\+ years' experience with scheduling tools like Airflow or Composer.
**Preferred Qualifications**
* Experience with Workday or similar HRIS platforms and data flows within an HR context.
* Problem\-Solving ability and strong analytical skills with the ability to troubleshoot, optimize, and automate data processes.
* Strong communication skills with the ability to communicate complex technical processes to non\-technical stakeholders effectively.
* Familiarity or working knowledge of common data visualization or business intelligence tools (PowerBI, Tableau, Oracle BI, Visier, etc.).
* Preferably technical experience specific to people or talent analytics, data engineering, visualization, business intelligence, or analytical consulting.
**Education**
* Bachelor’s degree in Computer Science, Data Engineering, Data Science, or a related field required.
* Master's degree preferred.
**Anticipated Weekly Hours**
40**Time Type**
Full time**Pay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02/09/2026
Qualified applicants with arrest or conviction records will be considered for employment in accordance with all federal, state and local laws.</t>
        </is>
      </c>
    </row>
    <row r="60">
      <c r="A60" t="inlineStr">
        <is>
          <t>in-cad05b75776eb0f3</t>
        </is>
      </c>
      <c r="B60" t="inlineStr">
        <is>
          <t>Senior Data Engineer (GCP) - HR Technology</t>
        </is>
      </c>
      <c r="C60" t="inlineStr">
        <is>
          <t>CVS Health</t>
        </is>
      </c>
      <c r="D60" t="inlineStr">
        <is>
          <t>indeed</t>
        </is>
      </c>
      <c r="E60" t="inlineStr"/>
      <c r="F60" t="inlineStr"/>
      <c r="G60" t="inlineStr">
        <is>
          <t>Sacramento, CA, US</t>
        </is>
      </c>
      <c r="H60" s="2" t="n">
        <v>46050</v>
      </c>
      <c r="I60"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**About the Role:**
The Sr. Data Engineer (People Analytics) role is a technical developer in IT and individual contributor for the People Analytics Data Engineering team responsible for the development of data warehouse modeling, data pipelines, and related analytics specific to People and Workforce analytics in cloud data platforms.
Key Responsibilities:
* ***Data Pipeline Management*****:** Design, build, and manage robust data pipelines and ETL processes that integrate HR data from various systems, including Workday, talent management, payroll, and other data sources.
* ***Data Engineering and Transformation*****:** Develop and optimize data workflows to ensure data accuracy, quality, and availability for the People Analytics team and stakeholders across HR and business units.
* ***Technical Leadership*****:** Oversee a team of data engineers, providing mentorship, support, and guidance on best practices in data engineering, version control, and coding standards.
* ***Analytics \&amp; Reporting Support*****:** Work closely with People Analytics to structure data for analysis, develop data models, and create reproducible workflows that enable efficient reporting in R, Python, and other analytics tools.
* ***Data Security and Compliance*****:** Ensure data governance and security protocols are followed in accordance with company policies and industry regulations, with a focus on HR data confidentiality and compliance.
* ***Collaboration with Stakeholders*****:** Partner with HR leaders, IT, and People Analytics teams to understand business requirements, streamline data requests, and provide insights to support strategic decisions.
**Required Qualifications**
* 5\+ years' experience in **Data Engineering**, with a focus on HR or people data.
* 5\+ years' experience with ETL/ELT processes and tools.
* 5\+ years' experience with **SQL** and relational databases.
* 4\+ years' experience programming in **Python** for data manipulation, automation, and analysis.
* 3\+ years' experience with cloud platforms, prefer GCP (may consider Azure or AWS).
* 2\+ years' experience with data warehousing solutions (e.g., Snowflake, Redshift, BigQuery).
* 2\+ years' experience with scheduling tools like Airflow or Composer.
**Preferred Qualifications**
* Experience with Workday or similar HRIS platforms and data flows within an HR context.
* Problem\-Solving ability and strong analytical skills with the ability to troubleshoot, optimize, and automate data processes.
* Strong communication skills with the ability to communicate complex technical processes to non\-technical stakeholders effectively.
* Familiarity or working knowledge of common data visualization or business intelligence tools (PowerBI, Tableau, Oracle BI, Visier, etc.).
* Preferably technical experience specific to people or talent analytics, data engineering, visualization, business intelligence, or analytical consulting.
**Education**
* Bachelor’s degree in Computer Science, Data Engineering, Data Science, or a related field required.
* Master's degree preferred.
**Anticipated Weekly Hours**
40**Time Type**
Full time**Pay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02/09/2026
Qualified applicants with arrest or conviction records will be considered for employment in accordance with all federal, state and local laws.</t>
        </is>
      </c>
    </row>
    <row r="61">
      <c r="A61" t="inlineStr">
        <is>
          <t>in-6561c07ad2d22303</t>
        </is>
      </c>
      <c r="B61" t="inlineStr">
        <is>
          <t>Senior Data Engineer (GCP) - HR Technology</t>
        </is>
      </c>
      <c r="C61" t="inlineStr">
        <is>
          <t>CVS Health</t>
        </is>
      </c>
      <c r="D61" t="inlineStr">
        <is>
          <t>indeed</t>
        </is>
      </c>
      <c r="E61" t="inlineStr"/>
      <c r="F61" t="inlineStr"/>
      <c r="G61" t="inlineStr">
        <is>
          <t>Baton Rouge, LA, US</t>
        </is>
      </c>
      <c r="H61" s="2" t="n">
        <v>46050</v>
      </c>
      <c r="I61"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**About the Role:**
The Sr. Data Engineer (People Analytics) role is a technical developer in IT and individual contributor for the People Analytics Data Engineering team responsible for the development of data warehouse modeling, data pipelines, and related analytics specific to People and Workforce analytics in cloud data platforms.
Key Responsibilities:
* ***Data Pipeline Management*****:** Design, build, and manage robust data pipelines and ETL processes that integrate HR data from various systems, including Workday, talent management, payroll, and other data sources.
* ***Data Engineering and Transformation*****:** Develop and optimize data workflows to ensure data accuracy, quality, and availability for the People Analytics team and stakeholders across HR and business units.
* ***Technical Leadership*****:** Oversee a team of data engineers, providing mentorship, support, and guidance on best practices in data engineering, version control, and coding standards.
* ***Analytics \&amp; Reporting Support*****:** Work closely with People Analytics to structure data for analysis, develop data models, and create reproducible workflows that enable efficient reporting in R, Python, and other analytics tools.
* ***Data Security and Compliance*****:** Ensure data governance and security protocols are followed in accordance with company policies and industry regulations, with a focus on HR data confidentiality and compliance.
* ***Collaboration with Stakeholders*****:** Partner with HR leaders, IT, and People Analytics teams to understand business requirements, streamline data requests, and provide insights to support strategic decisions.
**Required Qualifications**
* 5\+ years' experience in **Data Engineering**, with a focus on HR or people data.
* 5\+ years' experience with ETL/ELT processes and tools.
* 5\+ years' experience with **SQL** and relational databases.
* 4\+ years' experience programming in **Python** for data manipulation, automation, and analysis.
* 3\+ years' experience with cloud platforms, prefer GCP (may consider Azure or AWS).
* 2\+ years' experience with data warehousing solutions (e.g., Snowflake, Redshift, BigQuery).
* 2\+ years' experience with scheduling tools like Airflow or Composer.
**Preferred Qualifications**
* Experience with Workday or similar HRIS platforms and data flows within an HR context.
* Problem\-Solving ability and strong analytical skills with the ability to troubleshoot, optimize, and automate data processes.
* Strong communication skills with the ability to communicate complex technical processes to non\-technical stakeholders effectively.
* Familiarity or working knowledge of common data visualization or business intelligence tools (PowerBI, Tableau, Oracle BI, Visier, etc.).
* Preferably technical experience specific to people or talent analytics, data engineering, visualization, business intelligence, or analytical consulting.
**Education**
* Bachelor’s degree in Computer Science, Data Engineering, Data Science, or a related field required.
* Master's degree preferred.
**Anticipated Weekly Hours**
40**Time Type**
Full time**Pay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02/09/2026
Qualified applicants with arrest or conviction records will be considered for employment in accordance with all federal, state and local laws.</t>
        </is>
      </c>
    </row>
    <row r="62">
      <c r="A62" t="inlineStr">
        <is>
          <t>in-d7b352d0673a46ab</t>
        </is>
      </c>
      <c r="B62" t="inlineStr">
        <is>
          <t>Senior Data Engineer (GCP) - HR Technology</t>
        </is>
      </c>
      <c r="C62" t="inlineStr">
        <is>
          <t>CVS Health</t>
        </is>
      </c>
      <c r="D62" t="inlineStr">
        <is>
          <t>indeed</t>
        </is>
      </c>
      <c r="E62" t="inlineStr"/>
      <c r="F62" t="inlineStr"/>
      <c r="G62" t="inlineStr">
        <is>
          <t>Little Rock, AR, US</t>
        </is>
      </c>
      <c r="H62" s="2" t="n">
        <v>46050</v>
      </c>
      <c r="I62"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**About the Role:**
The Sr. Data Engineer (People Analytics) role is a technical developer in IT and individual contributor for the People Analytics Data Engineering team responsible for the development of data warehouse modeling, data pipelines, and related analytics specific to People and Workforce analytics in cloud data platforms.
Key Responsibilities:
* ***Data Pipeline Management*****:** Design, build, and manage robust data pipelines and ETL processes that integrate HR data from various systems, including Workday, talent management, payroll, and other data sources.
* ***Data Engineering and Transformation*****:** Develop and optimize data workflows to ensure data accuracy, quality, and availability for the People Analytics team and stakeholders across HR and business units.
* ***Technical Leadership*****:** Oversee a team of data engineers, providing mentorship, support, and guidance on best practices in data engineering, version control, and coding standards.
* ***Analytics \&amp; Reporting Support*****:** Work closely with People Analytics to structure data for analysis, develop data models, and create reproducible workflows that enable efficient reporting in R, Python, and other analytics tools.
* ***Data Security and Compliance*****:** Ensure data governance and security protocols are followed in accordance with company policies and industry regulations, with a focus on HR data confidentiality and compliance.
* ***Collaboration with Stakeholders*****:** Partner with HR leaders, IT, and People Analytics teams to understand business requirements, streamline data requests, and provide insights to support strategic decisions.
**Required Qualifications**
* 5\+ years' experience in **Data Engineering**, with a focus on HR or people data.
* 5\+ years' experience with ETL/ELT processes and tools.
* 5\+ years' experience with **SQL** and relational databases.
* 4\+ years' experience programming in **Python** for data manipulation, automation, and analysis.
* 3\+ years' experience with cloud platforms, prefer GCP (may consider Azure or AWS).
* 2\+ years' experience with data warehousing solutions (e.g., Snowflake, Redshift, BigQuery).
* 2\+ years' experience with scheduling tools like Airflow or Composer.
**Preferred Qualifications**
* Experience with Workday or similar HRIS platforms and data flows within an HR context.
* Problem\-Solving ability and strong analytical skills with the ability to troubleshoot, optimize, and automate data processes.
* Strong communication skills with the ability to communicate complex technical processes to non\-technical stakeholders effectively.
* Familiarity or working knowledge of common data visualization or business intelligence tools (PowerBI, Tableau, Oracle BI, Visier, etc.).
* Preferably technical experience specific to people or talent analytics, data engineering, visualization, business intelligence, or analytical consulting.
**Education**
* Bachelor’s degree in Computer Science, Data Engineering, Data Science, or a related field required.
* Master's degree preferred.
**Anticipated Weekly Hours**
40**Time Type**
Full time**Pay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02/09/2026
Qualified applicants with arrest or conviction records will be considered for employment in accordance with all federal, state and local laws.</t>
        </is>
      </c>
    </row>
    <row r="63">
      <c r="A63" t="inlineStr">
        <is>
          <t>in-30fff4e15e646289</t>
        </is>
      </c>
      <c r="B63" t="inlineStr">
        <is>
          <t>Senior Data Engineer (GCP) - HR Technology</t>
        </is>
      </c>
      <c r="C63" t="inlineStr">
        <is>
          <t>CVS Health</t>
        </is>
      </c>
      <c r="D63" t="inlineStr">
        <is>
          <t>indeed</t>
        </is>
      </c>
      <c r="E63" t="inlineStr"/>
      <c r="F63" t="inlineStr"/>
      <c r="G63" t="inlineStr">
        <is>
          <t>Augusta, ME, US</t>
        </is>
      </c>
      <c r="H63" s="2" t="n">
        <v>46050</v>
      </c>
      <c r="I63"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**About the Role:**
The Sr. Data Engineer (People Analytics) role is a technical developer in IT and individual contributor for the People Analytics Data Engineering team responsible for the development of data warehouse modeling, data pipelines, and related analytics specific to People and Workforce analytics in cloud data platforms.
Key Responsibilities:
* ***Data Pipeline Management*****:** Design, build, and manage robust data pipelines and ETL processes that integrate HR data from various systems, including Workday, talent management, payroll, and other data sources.
* ***Data Engineering and Transformation*****:** Develop and optimize data workflows to ensure data accuracy, quality, and availability for the People Analytics team and stakeholders across HR and business units.
* ***Technical Leadership*****:** Oversee a team of data engineers, providing mentorship, support, and guidance on best practices in data engineering, version control, and coding standards.
* ***Analytics \&amp; Reporting Support*****:** Work closely with People Analytics to structure data for analysis, develop data models, and create reproducible workflows that enable efficient reporting in R, Python, and other analytics tools.
* ***Data Security and Compliance*****:** Ensure data governance and security protocols are followed in accordance with company policies and industry regulations, with a focus on HR data confidentiality and compliance.
* ***Collaboration with Stakeholders*****:** Partner with HR leaders, IT, and People Analytics teams to understand business requirements, streamline data requests, and provide insights to support strategic decisions.
**Required Qualifications**
* 5\+ years' experience in **Data Engineering**, with a focus on HR or people data.
* 5\+ years' experience with ETL/ELT processes and tools.
* 5\+ years' experience with **SQL** and relational databases.
* 4\+ years' experience programming in **Python** for data manipulation, automation, and analysis.
* 3\+ years' experience with cloud platforms, prefer GCP (may consider Azure or AWS).
* 2\+ years' experience with data warehousing solutions (e.g., Snowflake, Redshift, BigQuery).
* 2\+ years' experience with scheduling tools like Airflow or Composer.
**Preferred Qualifications**
* Experience with Workday or similar HRIS platforms and data flows within an HR context.
* Problem\-Solving ability and strong analytical skills with the ability to troubleshoot, optimize, and automate data processes.
* Strong communication skills with the ability to communicate complex technical processes to non\-technical stakeholders effectively.
* Familiarity or working knowledge of common data visualization or business intelligence tools (PowerBI, Tableau, Oracle BI, Visier, etc.).
* Preferably technical experience specific to people or talent analytics, data engineering, visualization, business intelligence, or analytical consulting.
**Education**
* Bachelor’s degree in Computer Science, Data Engineering, Data Science, or a related field required.
* Master's degree preferred.
**Anticipated Weekly Hours**
40**Time Type**
Full time**Pay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02/09/2026
Qualified applicants with arrest or conviction records will be considered for employment in accordance with all federal, state and local laws.</t>
        </is>
      </c>
    </row>
    <row r="64">
      <c r="A64" t="inlineStr">
        <is>
          <t>in-722bb0c1d499260c</t>
        </is>
      </c>
      <c r="B64" t="inlineStr">
        <is>
          <t>Senior Data Engineer (GCP) - HR Technology</t>
        </is>
      </c>
      <c r="C64" t="inlineStr">
        <is>
          <t>CVS Health</t>
        </is>
      </c>
      <c r="D64" t="inlineStr">
        <is>
          <t>indeed</t>
        </is>
      </c>
      <c r="E64" t="inlineStr"/>
      <c r="F64" t="inlineStr"/>
      <c r="G64" t="inlineStr">
        <is>
          <t>Lincoln, NE, US</t>
        </is>
      </c>
      <c r="H64" s="2" t="n">
        <v>46050</v>
      </c>
      <c r="I64"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**About the Role:**
The Sr. Data Engineer (People Analytics) role is a technical developer in IT and individual contributor for the People Analytics Data Engineering team responsible for the development of data warehouse modeling, data pipelines, and related analytics specific to People and Workforce analytics in cloud data platforms.
Key Responsibilities:
* ***Data Pipeline Management*****:** Design, build, and manage robust data pipelines and ETL processes that integrate HR data from various systems, including Workday, talent management, payroll, and other data sources.
* ***Data Engineering and Transformation*****:** Develop and optimize data workflows to ensure data accuracy, quality, and availability for the People Analytics team and stakeholders across HR and business units.
* ***Technical Leadership*****:** Oversee a team of data engineers, providing mentorship, support, and guidance on best practices in data engineering, version control, and coding standards.
* ***Analytics \&amp; Reporting Support*****:** Work closely with People Analytics to structure data for analysis, develop data models, and create reproducible workflows that enable efficient reporting in R, Python, and other analytics tools.
* ***Data Security and Compliance*****:** Ensure data governance and security protocols are followed in accordance with company policies and industry regulations, with a focus on HR data confidentiality and compliance.
* ***Collaboration with Stakeholders*****:** Partner with HR leaders, IT, and People Analytics teams to understand business requirements, streamline data requests, and provide insights to support strategic decisions.
**Required Qualifications**
* 5\+ years' experience in **Data Engineering**, with a focus on HR or people data.
* 5\+ years' experience with ETL/ELT processes and tools.
* 5\+ years' experience with **SQL** and relational databases.
* 4\+ years' experience programming in **Python** for data manipulation, automation, and analysis.
* 3\+ years' experience with cloud platforms, prefer GCP (may consider Azure or AWS).
* 2\+ years' experience with data warehousing solutions (e.g., Snowflake, Redshift, BigQuery).
* 2\+ years' experience with scheduling tools like Airflow or Composer.
**Preferred Qualifications**
* Experience with Workday or similar HRIS platforms and data flows within an HR context.
* Problem\-Solving ability and strong analytical skills with the ability to troubleshoot, optimize, and automate data processes.
* Strong communication skills with the ability to communicate complex technical processes to non\-technical stakeholders effectively.
* Familiarity or working knowledge of common data visualization or business intelligence tools (PowerBI, Tableau, Oracle BI, Visier, etc.).
* Preferably technical experience specific to people or talent analytics, data engineering, visualization, business intelligence, or analytical consulting.
**Education**
* Bachelor’s degree in Computer Science, Data Engineering, Data Science, or a related field required.
* Master's degree preferred.
**Anticipated Weekly Hours**
40**Time Type**
Full time**Pay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02/09/2026
Qualified applicants with arrest or conviction records will be considered for employment in accordance with all federal, state and local laws.</t>
        </is>
      </c>
    </row>
    <row r="65">
      <c r="A65" t="inlineStr">
        <is>
          <t>in-146134851971eb6e</t>
        </is>
      </c>
      <c r="B65" t="inlineStr">
        <is>
          <t>Senior Data Engineer (GCP) - HR Technology</t>
        </is>
      </c>
      <c r="C65" t="inlineStr">
        <is>
          <t>CVS Health</t>
        </is>
      </c>
      <c r="D65" t="inlineStr">
        <is>
          <t>indeed</t>
        </is>
      </c>
      <c r="E65" t="inlineStr"/>
      <c r="F65" t="inlineStr"/>
      <c r="G65" t="inlineStr">
        <is>
          <t>Richmond, VA, US</t>
        </is>
      </c>
      <c r="H65" s="2" t="n">
        <v>46050</v>
      </c>
      <c r="I65"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**About the Role:**
The Sr. Data Engineer (People Analytics) role is a technical developer in IT and individual contributor for the People Analytics Data Engineering team responsible for the development of data warehouse modeling, data pipelines, and related analytics specific to People and Workforce analytics in cloud data platforms.
Key Responsibilities:
* ***Data Pipeline Management*****:** Design, build, and manage robust data pipelines and ETL processes that integrate HR data from various systems, including Workday, talent management, payroll, and other data sources.
* ***Data Engineering and Transformation*****:** Develop and optimize data workflows to ensure data accuracy, quality, and availability for the People Analytics team and stakeholders across HR and business units.
* ***Technical Leadership*****:** Oversee a team of data engineers, providing mentorship, support, and guidance on best practices in data engineering, version control, and coding standards.
* ***Analytics \&amp; Reporting Support*****:** Work closely with People Analytics to structure data for analysis, develop data models, and create reproducible workflows that enable efficient reporting in R, Python, and other analytics tools.
* ***Data Security and Compliance*****:** Ensure data governance and security protocols are followed in accordance with company policies and industry regulations, with a focus on HR data confidentiality and compliance.
* ***Collaboration with Stakeholders*****:** Partner with HR leaders, IT, and People Analytics teams to understand business requirements, streamline data requests, and provide insights to support strategic decisions.
**Required Qualifications**
* 5\+ years' experience in **Data Engineering**, with a focus on HR or people data.
* 5\+ years' experience with ETL/ELT processes and tools.
* 5\+ years' experience with **SQL** and relational databases.
* 4\+ years' experience programming in **Python** for data manipulation, automation, and analysis.
* 3\+ years' experience with cloud platforms, prefer GCP (may consider Azure or AWS).
* 2\+ years' experience with data warehousing solutions (e.g., Snowflake, Redshift, BigQuery).
* 2\+ years' experience with scheduling tools like Airflow or Composer.
**Preferred Qualifications**
* Experience with Workday or similar HRIS platforms and data flows within an HR context.
* Problem\-Solving ability and strong analytical skills with the ability to troubleshoot, optimize, and automate data processes.
* Strong communication skills with the ability to communicate complex technical processes to non\-technical stakeholders effectively.
* Familiarity or working knowledge of common data visualization or business intelligence tools (PowerBI, Tableau, Oracle BI, Visier, etc.).
* Preferably technical experience specific to people or talent analytics, data engineering, visualization, business intelligence, or analytical consulting.
**Education**
* Bachelor’s degree in Computer Science, Data Engineering, Data Science, or a related field required.
* Master's degree preferred.
**Anticipated Weekly Hours**
40**Time Type**
Full time**Pay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02/09/2026
Qualified applicants with arrest or conviction records will be considered for employment in accordance with all federal, state and local laws.</t>
        </is>
      </c>
    </row>
    <row r="66">
      <c r="A66" t="inlineStr">
        <is>
          <t>in-5abe62ec92ef32c7</t>
        </is>
      </c>
      <c r="B66" t="inlineStr">
        <is>
          <t>Senior Data Engineer (GCP) - HR Technology</t>
        </is>
      </c>
      <c r="C66" t="inlineStr">
        <is>
          <t>CVS Health</t>
        </is>
      </c>
      <c r="D66" t="inlineStr">
        <is>
          <t>indeed</t>
        </is>
      </c>
      <c r="E66" t="inlineStr"/>
      <c r="F66" t="inlineStr"/>
      <c r="G66" t="inlineStr">
        <is>
          <t>Charleston, WV, US</t>
        </is>
      </c>
      <c r="H66" s="2" t="n">
        <v>46050</v>
      </c>
      <c r="I66"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**About the Role:**
The Sr. Data Engineer (People Analytics) role is a technical developer in IT and individual contributor for the People Analytics Data Engineering team responsible for the development of data warehouse modeling, data pipelines, and related analytics specific to People and Workforce analytics in cloud data platforms.
Key Responsibilities:
* ***Data Pipeline Management*****:** Design, build, and manage robust data pipelines and ETL processes that integrate HR data from various systems, including Workday, talent management, payroll, and other data sources.
* ***Data Engineering and Transformation*****:** Develop and optimize data workflows to ensure data accuracy, quality, and availability for the People Analytics team and stakeholders across HR and business units.
* ***Technical Leadership*****:** Oversee a team of data engineers, providing mentorship, support, and guidance on best practices in data engineering, version control, and coding standards.
* ***Analytics \&amp; Reporting Support*****:** Work closely with People Analytics to structure data for analysis, develop data models, and create reproducible workflows that enable efficient reporting in R, Python, and other analytics tools.
* ***Data Security and Compliance*****:** Ensure data governance and security protocols are followed in accordance with company policies and industry regulations, with a focus on HR data confidentiality and compliance.
* ***Collaboration with Stakeholders*****:** Partner with HR leaders, IT, and People Analytics teams to understand business requirements, streamline data requests, and provide insights to support strategic decisions.
**Required Qualifications**
* 5\+ years' experience in **Data Engineering**, with a focus on HR or people data.
* 5\+ years' experience with ETL/ELT processes and tools.
* 5\+ years' experience with **SQL** and relational databases.
* 4\+ years' experience programming in **Python** for data manipulation, automation, and analysis.
* 3\+ years' experience with cloud platforms, prefer GCP (may consider Azure or AWS).
* 2\+ years' experience with data warehousing solutions (e.g., Snowflake, Redshift, BigQuery).
* 2\+ years' experience with scheduling tools like Airflow or Composer.
**Preferred Qualifications**
* Experience with Workday or similar HRIS platforms and data flows within an HR context.
* Problem\-Solving ability and strong analytical skills with the ability to troubleshoot, optimize, and automate data processes.
* Strong communication skills with the ability to communicate complex technical processes to non\-technical stakeholders effectively.
* Familiarity or working knowledge of common data visualization or business intelligence tools (PowerBI, Tableau, Oracle BI, Visier, etc.).
* Preferably technical experience specific to people or talent analytics, data engineering, visualization, business intelligence, or analytical consulting.
**Education**
* Bachelor’s degree in Computer Science, Data Engineering, Data Science, or a related field required.
* Master's degree preferred.
**Anticipated Weekly Hours**
40**Time Type**
Full time**Pay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02/09/2026
Qualified applicants with arrest or conviction records will be considered for employment in accordance with all federal, state and local laws.</t>
        </is>
      </c>
    </row>
    <row r="67">
      <c r="A67" t="inlineStr">
        <is>
          <t>in-cc2f67ddd260d802</t>
        </is>
      </c>
      <c r="B67" t="inlineStr">
        <is>
          <t>Senior Data Engineer (GCP) - HR Technology</t>
        </is>
      </c>
      <c r="C67" t="inlineStr">
        <is>
          <t>CVS Health</t>
        </is>
      </c>
      <c r="D67" t="inlineStr">
        <is>
          <t>indeed</t>
        </is>
      </c>
      <c r="E67" t="inlineStr"/>
      <c r="F67" t="inlineStr"/>
      <c r="G67" t="inlineStr">
        <is>
          <t>Lansing, MI, US</t>
        </is>
      </c>
      <c r="H67" s="2" t="n">
        <v>46050</v>
      </c>
      <c r="I67"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**About the Role:**
The Sr. Data Engineer (People Analytics) role is a technical developer in IT and individual contributor for the People Analytics Data Engineering team responsible for the development of data warehouse modeling, data pipelines, and related analytics specific to People and Workforce analytics in cloud data platforms.
Key Responsibilities:
* ***Data Pipeline Management*****:** Design, build, and manage robust data pipelines and ETL processes that integrate HR data from various systems, including Workday, talent management, payroll, and other data sources.
* ***Data Engineering and Transformation*****:** Develop and optimize data workflows to ensure data accuracy, quality, and availability for the People Analytics team and stakeholders across HR and business units.
* ***Technical Leadership*****:** Oversee a team of data engineers, providing mentorship, support, and guidance on best practices in data engineering, version control, and coding standards.
* ***Analytics \&amp; Reporting Support*****:** Work closely with People Analytics to structure data for analysis, develop data models, and create reproducible workflows that enable efficient reporting in R, Python, and other analytics tools.
* ***Data Security and Compliance*****:** Ensure data governance and security protocols are followed in accordance with company policies and industry regulations, with a focus on HR data confidentiality and compliance.
* ***Collaboration with Stakeholders*****:** Partner with HR leaders, IT, and People Analytics teams to understand business requirements, streamline data requests, and provide insights to support strategic decisions.
**Required Qualifications**
* 5\+ years' experience in **Data Engineering**, with a focus on HR or people data.
* 5\+ years' experience with ETL/ELT processes and tools.
* 5\+ years' experience with **SQL** and relational databases.
* 4\+ years' experience programming in **Python** for data manipulation, automation, and analysis.
* 3\+ years' experience with cloud platforms, prefer GCP (may consider Azure or AWS).
* 2\+ years' experience with data warehousing solutions (e.g., Snowflake, Redshift, BigQuery).
* 2\+ years' experience with scheduling tools like Airflow or Composer.
**Preferred Qualifications**
* Experience with Workday or similar HRIS platforms and data flows within an HR context.
* Problem\-Solving ability and strong analytical skills with the ability to troubleshoot, optimize, and automate data processes.
* Strong communication skills with the ability to communicate complex technical processes to non\-technical stakeholders effectively.
* Familiarity or working knowledge of common data visualization or business intelligence tools (PowerBI, Tableau, Oracle BI, Visier, etc.).
* Preferably technical experience specific to people or talent analytics, data engineering, visualization, business intelligence, or analytical consulting.
**Education**
* Bachelor’s degree in Computer Science, Data Engineering, Data Science, or a related field required.
* Master's degree preferred.
**Anticipated Weekly Hours**
40**Time Type**
Full time**Pay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02/09/2026
Qualified applicants with arrest or conviction records will be considered for employment in accordance with all federal, state and local laws.</t>
        </is>
      </c>
    </row>
    <row r="68">
      <c r="A68" t="inlineStr">
        <is>
          <t>in-f04d9f4c2d42b4b3</t>
        </is>
      </c>
      <c r="B68" t="inlineStr">
        <is>
          <t>Senior Data Engineer (GCP) - HR Technology</t>
        </is>
      </c>
      <c r="C68" t="inlineStr">
        <is>
          <t>CVS Health</t>
        </is>
      </c>
      <c r="D68" t="inlineStr">
        <is>
          <t>indeed</t>
        </is>
      </c>
      <c r="E68" t="inlineStr"/>
      <c r="F68" t="inlineStr"/>
      <c r="G68" t="inlineStr">
        <is>
          <t>Boise, ID, US</t>
        </is>
      </c>
      <c r="H68" s="2" t="n">
        <v>46050</v>
      </c>
      <c r="I68"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**About the Role:**
The Sr. Data Engineer (People Analytics) role is a technical developer in IT and individual contributor for the People Analytics Data Engineering team responsible for the development of data warehouse modeling, data pipelines, and related analytics specific to People and Workforce analytics in cloud data platforms.
Key Responsibilities:
* ***Data Pipeline Management*****:** Design, build, and manage robust data pipelines and ETL processes that integrate HR data from various systems, including Workday, talent management, payroll, and other data sources.
* ***Data Engineering and Transformation*****:** Develop and optimize data workflows to ensure data accuracy, quality, and availability for the People Analytics team and stakeholders across HR and business units.
* ***Technical Leadership*****:** Oversee a team of data engineers, providing mentorship, support, and guidance on best practices in data engineering, version control, and coding standards.
* ***Analytics \&amp; Reporting Support*****:** Work closely with People Analytics to structure data for analysis, develop data models, and create reproducible workflows that enable efficient reporting in R, Python, and other analytics tools.
* ***Data Security and Compliance*****:** Ensure data governance and security protocols are followed in accordance with company policies and industry regulations, with a focus on HR data confidentiality and compliance.
* ***Collaboration with Stakeholders*****:** Partner with HR leaders, IT, and People Analytics teams to understand business requirements, streamline data requests, and provide insights to support strategic decisions.
**Required Qualifications**
* 5\+ years' experience in **Data Engineering**, with a focus on HR or people data.
* 5\+ years' experience with ETL/ELT processes and tools.
* 5\+ years' experience with **SQL** and relational databases.
* 4\+ years' experience programming in **Python** for data manipulation, automation, and analysis.
* 3\+ years' experience with cloud platforms, prefer GCP (may consider Azure or AWS).
* 2\+ years' experience with data warehousing solutions (e.g., Snowflake, Redshift, BigQuery).
* 2\+ years' experience with scheduling tools like Airflow or Composer.
**Preferred Qualifications**
* Experience with Workday or similar HRIS platforms and data flows within an HR context.
* Problem\-Solving ability and strong analytical skills with the ability to troubleshoot, optimize, and automate data processes.
* Strong communication skills with the ability to communicate complex technical processes to non\-technical stakeholders effectively.
* Familiarity or working knowledge of common data visualization or business intelligence tools (PowerBI, Tableau, Oracle BI, Visier, etc.).
* Preferably technical experience specific to people or talent analytics, data engineering, visualization, business intelligence, or analytical consulting.
**Education**
* Bachelor’s degree in Computer Science, Data Engineering, Data Science, or a related field required.
* Master's degree preferred.
**Anticipated Weekly Hours**
40**Time Type**
Full time**Pay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02/09/2026
Qualified applicants with arrest or conviction records will be considered for employment in accordance with all federal, state and local laws.</t>
        </is>
      </c>
    </row>
    <row r="69">
      <c r="A69" t="inlineStr">
        <is>
          <t>in-ee4e5e1d40700be0</t>
        </is>
      </c>
      <c r="B69" t="inlineStr">
        <is>
          <t>Senior Data Engineer (GCP) - HR Technology</t>
        </is>
      </c>
      <c r="C69" t="inlineStr">
        <is>
          <t>CVS Health</t>
        </is>
      </c>
      <c r="D69" t="inlineStr">
        <is>
          <t>indeed</t>
        </is>
      </c>
      <c r="E69" t="inlineStr"/>
      <c r="F69" t="inlineStr"/>
      <c r="G69" t="inlineStr">
        <is>
          <t>Hartford, CT, US</t>
        </is>
      </c>
      <c r="H69" s="2" t="n">
        <v>46050</v>
      </c>
      <c r="I69"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**About the Role:**
The Sr. Data Engineer (People Analytics) role is a technical developer in IT and individual contributor for the People Analytics Data Engineering team responsible for the development of data warehouse modeling, data pipelines, and related analytics specific to People and Workforce analytics in cloud data platforms.
Key Responsibilities:
* ***Data Pipeline Management*****:** Design, build, and manage robust data pipelines and ETL processes that integrate HR data from various systems, including Workday, talent management, payroll, and other data sources.
* ***Data Engineering and Transformation*****:** Develop and optimize data workflows to ensure data accuracy, quality, and availability for the People Analytics team and stakeholders across HR and business units.
* ***Technical Leadership*****:** Oversee a team of data engineers, providing mentorship, support, and guidance on best practices in data engineering, version control, and coding standards.
* ***Analytics \&amp; Reporting Support*****:** Work closely with People Analytics to structure data for analysis, develop data models, and create reproducible workflows that enable efficient reporting in R, Python, and other analytics tools.
* ***Data Security and Compliance*****:** Ensure data governance and security protocols are followed in accordance with company policies and industry regulations, with a focus on HR data confidentiality and compliance.
* ***Collaboration with Stakeholders*****:** Partner with HR leaders, IT, and People Analytics teams to understand business requirements, streamline data requests, and provide insights to support strategic decisions.
**Required Qualifications**
* 5\+ years' experience in **Data Engineering**, with a focus on HR or people data.
* 5\+ years' experience with ETL/ELT processes and tools.
* 5\+ years' experience with **SQL** and relational databases.
* 4\+ years' experience programming in **Python** for data manipulation, automation, and analysis.
* 3\+ years' experience with cloud platforms, prefer GCP (may consider Azure or AWS).
* 2\+ years' experience with data warehousing solutions (e.g., Snowflake, Redshift, BigQuery).
* 2\+ years' experience with scheduling tools like Airflow or Composer.
**Preferred Qualifications**
* Experience with Workday or similar HRIS platforms and data flows within an HR context.
* Problem\-Solving ability and strong analytical skills with the ability to troubleshoot, optimize, and automate data processes.
* Strong communication skills with the ability to communicate complex technical processes to non\-technical stakeholders effectively.
* Familiarity or working knowledge of common data visualization or business intelligence tools (PowerBI, Tableau, Oracle BI, Visier, etc.).
* Preferably technical experience specific to people or talent analytics, data engineering, visualization, business intelligence, or analytical consulting.
**Education**
* Bachelor’s degree in Computer Science, Data Engineering, Data Science, or a related field required.
* Master's degree preferred.
**Anticipated Weekly Hours**
40**Time Type**
Full time**Pay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02/09/2026
Qualified applicants with arrest or conviction records will be considered for employment in accordance with all federal, state and local laws.</t>
        </is>
      </c>
    </row>
    <row r="70">
      <c r="A70" t="inlineStr">
        <is>
          <t>in-19c8cfe2c6ccc09c</t>
        </is>
      </c>
      <c r="B70" t="inlineStr">
        <is>
          <t>Senior Data Engineer (GCP) - HR Technology</t>
        </is>
      </c>
      <c r="C70" t="inlineStr">
        <is>
          <t>CVS Health</t>
        </is>
      </c>
      <c r="D70" t="inlineStr">
        <is>
          <t>indeed</t>
        </is>
      </c>
      <c r="E70" t="inlineStr"/>
      <c r="F70" t="inlineStr"/>
      <c r="G70" t="inlineStr">
        <is>
          <t>Concord, NH, US</t>
        </is>
      </c>
      <c r="H70" s="2" t="n">
        <v>46050</v>
      </c>
      <c r="I70"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**About the Role:**
The Sr. Data Engineer (People Analytics) role is a technical developer in IT and individual contributor for the People Analytics Data Engineering team responsible for the development of data warehouse modeling, data pipelines, and related analytics specific to People and Workforce analytics in cloud data platforms.
Key Responsibilities:
* ***Data Pipeline Management*****:** Design, build, and manage robust data pipelines and ETL processes that integrate HR data from various systems, including Workday, talent management, payroll, and other data sources.
* ***Data Engineering and Transformation*****:** Develop and optimize data workflows to ensure data accuracy, quality, and availability for the People Analytics team and stakeholders across HR and business units.
* ***Technical Leadership*****:** Oversee a team of data engineers, providing mentorship, support, and guidance on best practices in data engineering, version control, and coding standards.
* ***Analytics \&amp; Reporting Support*****:** Work closely with People Analytics to structure data for analysis, develop data models, and create reproducible workflows that enable efficient reporting in R, Python, and other analytics tools.
* ***Data Security and Compliance*****:** Ensure data governance and security protocols are followed in accordance with company policies and industry regulations, with a focus on HR data confidentiality and compliance.
* ***Collaboration with Stakeholders*****:** Partner with HR leaders, IT, and People Analytics teams to understand business requirements, streamline data requests, and provide insights to support strategic decisions.
**Required Qualifications**
* 5\+ years' experience in **Data Engineering**, with a focus on HR or people data.
* 5\+ years' experience with ETL/ELT processes and tools.
* 5\+ years' experience with **SQL** and relational databases.
* 4\+ years' experience programming in **Python** for data manipulation, automation, and analysis.
* 3\+ years' experience with cloud platforms, prefer GCP (may consider Azure or AWS).
* 2\+ years' experience with data warehousing solutions (e.g., Snowflake, Redshift, BigQuery).
* 2\+ years' experience with scheduling tools like Airflow or Composer.
**Preferred Qualifications**
* Experience with Workday or similar HRIS platforms and data flows within an HR context.
* Problem\-Solving ability and strong analytical skills with the ability to troubleshoot, optimize, and automate data processes.
* Strong communication skills with the ability to communicate complex technical processes to non\-technical stakeholders effectively.
* Familiarity or working knowledge of common data visualization or business intelligence tools (PowerBI, Tableau, Oracle BI, Visier, etc.).
* Preferably technical experience specific to people or talent analytics, data engineering, visualization, business intelligence, or analytical consulting.
**Education**
* Bachelor’s degree in Computer Science, Data Engineering, Data Science, or a related field required.
* Master's degree preferred.
**Anticipated Weekly Hours**
40**Time Type**
Full time**Pay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02/09/2026
Qualified applicants with arrest or conviction records will be considered for employment in accordance with all federal, state and local laws.</t>
        </is>
      </c>
    </row>
    <row r="71">
      <c r="A71" t="inlineStr">
        <is>
          <t>in-b9b50d7f5fc52dfe</t>
        </is>
      </c>
      <c r="B71" t="inlineStr">
        <is>
          <t>Senior Data Engineer (GCP) - HR Technology</t>
        </is>
      </c>
      <c r="C71" t="inlineStr">
        <is>
          <t>CVS Health</t>
        </is>
      </c>
      <c r="D71" t="inlineStr">
        <is>
          <t>indeed</t>
        </is>
      </c>
      <c r="E71" t="inlineStr"/>
      <c r="F71" t="inlineStr"/>
      <c r="G71" t="inlineStr">
        <is>
          <t>Carson City, NV, US</t>
        </is>
      </c>
      <c r="H71" s="2" t="n">
        <v>46050</v>
      </c>
      <c r="I71"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**About the Role:**
The Sr. Data Engineer (People Analytics) role is a technical developer in IT and individual contributor for the People Analytics Data Engineering team responsible for the development of data warehouse modeling, data pipelines, and related analytics specific to People and Workforce analytics in cloud data platforms.
Key Responsibilities:
* ***Data Pipeline Management*****:** Design, build, and manage robust data pipelines and ETL processes that integrate HR data from various systems, including Workday, talent management, payroll, and other data sources.
* ***Data Engineering and Transformation*****:** Develop and optimize data workflows to ensure data accuracy, quality, and availability for the People Analytics team and stakeholders across HR and business units.
* ***Technical Leadership*****:** Oversee a team of data engineers, providing mentorship, support, and guidance on best practices in data engineering, version control, and coding standards.
* ***Analytics \&amp; Reporting Support*****:** Work closely with People Analytics to structure data for analysis, develop data models, and create reproducible workflows that enable efficient reporting in R, Python, and other analytics tools.
* ***Data Security and Compliance*****:** Ensure data governance and security protocols are followed in accordance with company policies and industry regulations, with a focus on HR data confidentiality and compliance.
* ***Collaboration with Stakeholders*****:** Partner with HR leaders, IT, and People Analytics teams to understand business requirements, streamline data requests, and provide insights to support strategic decisions.
**Required Qualifications**
* 5\+ years' experience in **Data Engineering**, with a focus on HR or people data.
* 5\+ years' experience with ETL/ELT processes and tools.
* 5\+ years' experience with **SQL** and relational databases.
* 4\+ years' experience programming in **Python** for data manipulation, automation, and analysis.
* 3\+ years' experience with cloud platforms, prefer GCP (may consider Azure or AWS).
* 2\+ years' experience with data warehousing solutions (e.g., Snowflake, Redshift, BigQuery).
* 2\+ years' experience with scheduling tools like Airflow or Composer.
**Preferred Qualifications**
* Experience with Workday or similar HRIS platforms and data flows within an HR context.
* Problem\-Solving ability and strong analytical skills with the ability to troubleshoot, optimize, and automate data processes.
* Strong communication skills with the ability to communicate complex technical processes to non\-technical stakeholders effectively.
* Familiarity or working knowledge of common data visualization or business intelligence tools (PowerBI, Tableau, Oracle BI, Visier, etc.).
* Preferably technical experience specific to people or talent analytics, data engineering, visualization, business intelligence, or analytical consulting.
**Education**
* Bachelor’s degree in Computer Science, Data Engineering, Data Science, or a related field required.
* Master's degree preferred.
**Anticipated Weekly Hours**
40**Time Type**
Full time**Pay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02/09/2026
Qualified applicants with arrest or conviction records will be considered for employment in accordance with all federal, state and local laws.</t>
        </is>
      </c>
    </row>
    <row r="72">
      <c r="A72" t="inlineStr">
        <is>
          <t>in-acc27b2bd1ab2b0f</t>
        </is>
      </c>
      <c r="B72" t="inlineStr">
        <is>
          <t>Senior Data Engineer (GCP) - HR Technology</t>
        </is>
      </c>
      <c r="C72" t="inlineStr">
        <is>
          <t>CVS Health</t>
        </is>
      </c>
      <c r="D72" t="inlineStr">
        <is>
          <t>indeed</t>
        </is>
      </c>
      <c r="E72" t="inlineStr"/>
      <c r="F72" t="inlineStr"/>
      <c r="G72" t="inlineStr">
        <is>
          <t>Washington, DC, US</t>
        </is>
      </c>
      <c r="H72" s="2" t="n">
        <v>46050</v>
      </c>
      <c r="I72"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**About the Role:**
The Sr. Data Engineer (People Analytics) role is a technical developer in IT and individual contributor for the People Analytics Data Engineering team responsible for the development of data warehouse modeling, data pipelines, and related analytics specific to People and Workforce analytics in cloud data platforms.
Key Responsibilities:
* ***Data Pipeline Management*****:** Design, build, and manage robust data pipelines and ETL processes that integrate HR data from various systems, including Workday, talent management, payroll, and other data sources.
* ***Data Engineering and Transformation*****:** Develop and optimize data workflows to ensure data accuracy, quality, and availability for the People Analytics team and stakeholders across HR and business units.
* ***Technical Leadership*****:** Oversee a team of data engineers, providing mentorship, support, and guidance on best practices in data engineering, version control, and coding standards.
* ***Analytics \&amp; Reporting Support*****:** Work closely with People Analytics to structure data for analysis, develop data models, and create reproducible workflows that enable efficient reporting in R, Python, and other analytics tools.
* ***Data Security and Compliance*****:** Ensure data governance and security protocols are followed in accordance with company policies and industry regulations, with a focus on HR data confidentiality and compliance.
* ***Collaboration with Stakeholders*****:** Partner with HR leaders, IT, and People Analytics teams to understand business requirements, streamline data requests, and provide insights to support strategic decisions.
**Required Qualifications**
* 5\+ years' experience in **Data Engineering**, with a focus on HR or people data.
* 5\+ years' experience with ETL/ELT processes and tools.
* 5\+ years' experience with **SQL** and relational databases.
* 4\+ years' experience programming in **Python** for data manipulation, automation, and analysis.
* 3\+ years' experience with cloud platforms, prefer GCP (may consider Azure or AWS).
* 2\+ years' experience with data warehousing solutions (e.g., Snowflake, Redshift, BigQuery).
* 2\+ years' experience with scheduling tools like Airflow or Composer.
**Preferred Qualifications**
* Experience with Workday or similar HRIS platforms and data flows within an HR context.
* Problem\-Solving ability and strong analytical skills with the ability to troubleshoot, optimize, and automate data processes.
* Strong communication skills with the ability to communicate complex technical processes to non\-technical stakeholders effectively.
* Familiarity or working knowledge of common data visualization or business intelligence tools (PowerBI, Tableau, Oracle BI, Visier, etc.).
* Preferably technical experience specific to people or talent analytics, data engineering, visualization, business intelligence, or analytical consulting.
**Education**
* Bachelor’s degree in Computer Science, Data Engineering, Data Science, or a related field required.
* Master's degree preferred.
**Anticipated Weekly Hours**
40**Time Type**
Full time**Pay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02/09/2026
Qualified applicants with arrest or conviction records will be considered for employment in accordance with all federal, state and local laws.</t>
        </is>
      </c>
    </row>
    <row r="73">
      <c r="A73" t="inlineStr">
        <is>
          <t>in-c60ed8c1f49768cd</t>
        </is>
      </c>
      <c r="B73" t="inlineStr">
        <is>
          <t>Senior Data Engineer</t>
        </is>
      </c>
      <c r="C73" t="inlineStr">
        <is>
          <t>CVS Health</t>
        </is>
      </c>
      <c r="D73" t="inlineStr">
        <is>
          <t>indeed</t>
        </is>
      </c>
      <c r="E73" t="inlineStr"/>
      <c r="F73" t="inlineStr"/>
      <c r="G73" t="inlineStr">
        <is>
          <t>MD, US</t>
        </is>
      </c>
      <c r="H73" s="2" t="n">
        <v>46050</v>
      </c>
      <c r="I73"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CVS Health is looking for a skilled Senior data engineer to join our DevOps team. The ideal candidate will have a strong background in both security and DevOps practices, with a focus on integrating security into the software development lifecycle (SDLC) and design, implement, and maintain security tools and processes for continuous integration and continuous deployment (CI/CD) environments.This role involves close collaboration with development and IT operations teams to implement automation using the latest AI technologies to enhance the performance and add efficiencies.
 **REQUIRED QUALIFICATIONS**
* 5\+ years of coding experience using Python with expertise in solution and software development.
* 5\+ years in DevOps/MLOps and a deep understanding of software engineering principles.
* 5\+ years of experience in TensorFlow and PyTorch, with additional cloud platform familiarity.
* 5\+ years of experience with cloud computing environment and management of resources.
 **PREFERRED QUALIFICATIONS**
* Proven ability to manage the production lifecycle of an MLOps pipeline.
* Deep understanding of model deployment and serving.
* Experience with orchestration and containerization methodologies.
* Familiarity with model serving tools such as MLflow, Databricks Serving, SageMaker, etc. (TensorFlow Serving is a plus).
* Experience implementing CI/CD pipelines for ML projects.
* Competence in developing automation pipelines (e.g., using GitHub Actions).
* Proficiency in Infrastructure as Code tools (e.g., Terraform, Databricks Asset Bundles,etc).
* Strong understanding of monitoring and observability, including logging tools (e.g., Prometheus, Grafana) and drift detection.
* Extensive experience with Databricks and other development tools in cloud.
**EDUCATION**
Bachelor degree from accredited university or equivalent work experience (HS diploma \+ 4 years relevant experience).
**BUSINESS OVERVIEW**
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We strive to promote and sustain a culture of diversity, inclusion and belonging every day. CVS Health is an affirmative action employer, and is an equal opportunity employer, as are the physician\-owned businesses for which CVS Health provides management services. We do not discriminate in recruiting, hiring, promotion, or any other personnel action based on race, ethnicity, color, national origin, sex/gender, sexual orientation, gender identity or expression, religion, age, disability, protected veteran status, or any other characteristic protected by applicable federal, state, or local law. We proudly support and encourage people with military experience (active, veterans, reservists and National Guard) as well as military spouses to apply for CVS Health job opportunities.
**Anticipated Weekly Hours**
40**Time Type**
Full time**Pay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03/31/2026
Qualified applicants with arrest or conviction records will be considered for employment in accordance with all federal, state and local laws.</t>
        </is>
      </c>
    </row>
    <row r="74">
      <c r="A74" t="inlineStr">
        <is>
          <t>in-7d02108d5a9a5776</t>
        </is>
      </c>
      <c r="B74" t="inlineStr">
        <is>
          <t>Senior Data Engineer</t>
        </is>
      </c>
      <c r="C74" t="inlineStr">
        <is>
          <t>CVS Health</t>
        </is>
      </c>
      <c r="D74" t="inlineStr">
        <is>
          <t>indeed</t>
        </is>
      </c>
      <c r="E74" t="inlineStr"/>
      <c r="F74" t="inlineStr"/>
      <c r="G74" t="inlineStr">
        <is>
          <t>NC, US</t>
        </is>
      </c>
      <c r="H74" s="2" t="n">
        <v>46050</v>
      </c>
      <c r="I74"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CVS Health is looking for a skilled Senior data engineer to join our DevOps team. The ideal candidate will have a strong background in both security and DevOps practices, with a focus on integrating security into the software development lifecycle (SDLC) and design, implement, and maintain security tools and processes for continuous integration and continuous deployment (CI/CD) environments.This role involves close collaboration with development and IT operations teams to implement automation using the latest AI technologies to enhance the performance and add efficiencies.
 **REQUIRED QUALIFICATIONS**
* 5\+ years of coding experience using Python with expertise in solution and software development.
* 5\+ years in DevOps/MLOps and a deep understanding of software engineering principles.
* 5\+ years of experience in TensorFlow and PyTorch, with additional cloud platform familiarity.
* 5\+ years of experience with cloud computing environment and management of resources.
 **PREFERRED QUALIFICATIONS**
* Proven ability to manage the production lifecycle of an MLOps pipeline.
* Deep understanding of model deployment and serving.
* Experience with orchestration and containerization methodologies.
* Familiarity with model serving tools such as MLflow, Databricks Serving, SageMaker, etc. (TensorFlow Serving is a plus).
* Experience implementing CI/CD pipelines for ML projects.
* Competence in developing automation pipelines (e.g., using GitHub Actions).
* Proficiency in Infrastructure as Code tools (e.g., Terraform, Databricks Asset Bundles,etc).
* Strong understanding of monitoring and observability, including logging tools (e.g., Prometheus, Grafana) and drift detection.
* Extensive experience with Databricks and other development tools in cloud.
**EDUCATION**
Bachelor degree from accredited university or equivalent work experience (HS diploma \+ 4 years relevant experience).
**BUSINESS OVERVIEW**
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We strive to promote and sustain a culture of diversity, inclusion and belonging every day. CVS Health is an affirmative action employer, and is an equal opportunity employer, as are the physician\-owned businesses for which CVS Health provides management services. We do not discriminate in recruiting, hiring, promotion, or any other personnel action based on race, ethnicity, color, national origin, sex/gender, sexual orientation, gender identity or expression, religion, age, disability, protected veteran status, or any other characteristic protected by applicable federal, state, or local law. We proudly support and encourage people with military experience (active, veterans, reservists and National Guard) as well as military spouses to apply for CVS Health job opportunities.
**Anticipated Weekly Hours**
40**Time Type**
Full time**Pay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03/31/2026
Qualified applicants with arrest or conviction records will be considered for employment in accordance with all federal, state and local laws.</t>
        </is>
      </c>
    </row>
    <row r="75">
      <c r="A75" t="inlineStr">
        <is>
          <t>in-dd1fe5c6bbf4dc3b</t>
        </is>
      </c>
      <c r="B75" t="inlineStr">
        <is>
          <t>Senior Data Engineer</t>
        </is>
      </c>
      <c r="C75" t="inlineStr">
        <is>
          <t>CVS Health</t>
        </is>
      </c>
      <c r="D75" t="inlineStr">
        <is>
          <t>indeed</t>
        </is>
      </c>
      <c r="E75" t="inlineStr"/>
      <c r="F75" t="inlineStr"/>
      <c r="G75" t="inlineStr">
        <is>
          <t>MS, US</t>
        </is>
      </c>
      <c r="H75" s="2" t="n">
        <v>46050</v>
      </c>
      <c r="I75"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CVS Health is looking for a skilled Senior data engineer to join our DevOps team. The ideal candidate will have a strong background in both security and DevOps practices, with a focus on integrating security into the software development lifecycle (SDLC) and design, implement, and maintain security tools and processes for continuous integration and continuous deployment (CI/CD) environments.This role involves close collaboration with development and IT operations teams to implement automation using the latest AI technologies to enhance the performance and add efficiencies.
 **REQUIRED QUALIFICATIONS**
* 5\+ years of coding experience using Python with expertise in solution and software development.
* 5\+ years in DevOps/MLOps and a deep understanding of software engineering principles.
* 5\+ years of experience in TensorFlow and PyTorch, with additional cloud platform familiarity.
* 5\+ years of experience with cloud computing environment and management of resources.
 **PREFERRED QUALIFICATIONS**
* Proven ability to manage the production lifecycle of an MLOps pipeline.
* Deep understanding of model deployment and serving.
* Experience with orchestration and containerization methodologies.
* Familiarity with model serving tools such as MLflow, Databricks Serving, SageMaker, etc. (TensorFlow Serving is a plus).
* Experience implementing CI/CD pipelines for ML projects.
* Competence in developing automation pipelines (e.g., using GitHub Actions).
* Proficiency in Infrastructure as Code tools (e.g., Terraform, Databricks Asset Bundles,etc).
* Strong understanding of monitoring and observability, including logging tools (e.g., Prometheus, Grafana) and drift detection.
* Extensive experience with Databricks and other development tools in cloud.
**EDUCATION**
Bachelor degree from accredited university or equivalent work experience (HS diploma \+ 4 years relevant experience).
**BUSINESS OVERVIEW**
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We strive to promote and sustain a culture of diversity, inclusion and belonging every day. CVS Health is an affirmative action employer, and is an equal opportunity employer, as are the physician\-owned businesses for which CVS Health provides management services. We do not discriminate in recruiting, hiring, promotion, or any other personnel action based on race, ethnicity, color, national origin, sex/gender, sexual orientation, gender identity or expression, religion, age, disability, protected veteran status, or any other characteristic protected by applicable federal, state, or local law. We proudly support and encourage people with military experience (active, veterans, reservists and National Guard) as well as military spouses to apply for CVS Health job opportunities.
**Anticipated Weekly Hours**
40**Time Type**
Full time**Pay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03/31/2026
Qualified applicants with arrest or conviction records will be considered for employment in accordance with all federal, state and local laws.</t>
        </is>
      </c>
    </row>
    <row r="76">
      <c r="A76" t="inlineStr">
        <is>
          <t>in-8d2b62487826907c</t>
        </is>
      </c>
      <c r="B76" t="inlineStr">
        <is>
          <t>Senior Data Engineer</t>
        </is>
      </c>
      <c r="C76" t="inlineStr">
        <is>
          <t>CVS Health</t>
        </is>
      </c>
      <c r="D76" t="inlineStr">
        <is>
          <t>indeed</t>
        </is>
      </c>
      <c r="E76" t="inlineStr"/>
      <c r="F76" t="inlineStr"/>
      <c r="G76" t="inlineStr">
        <is>
          <t>CA, US</t>
        </is>
      </c>
      <c r="H76" s="2" t="n">
        <v>46050</v>
      </c>
      <c r="I76"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CVS Health is looking for a skilled Senior data engineer to join our DevOps team. The ideal candidate will have a strong background in both security and DevOps practices, with a focus on integrating security into the software development lifecycle (SDLC) and design, implement, and maintain security tools and processes for continuous integration and continuous deployment (CI/CD) environments.This role involves close collaboration with development and IT operations teams to implement automation using the latest AI technologies to enhance the performance and add efficiencies.
 **REQUIRED QUALIFICATIONS**
* 5\+ years of coding experience using Python with expertise in solution and software development.
* 5\+ years in DevOps/MLOps and a deep understanding of software engineering principles.
* 5\+ years of experience in TensorFlow and PyTorch, with additional cloud platform familiarity.
* 5\+ years of experience with cloud computing environment and management of resources.
 **PREFERRED QUALIFICATIONS**
* Proven ability to manage the production lifecycle of an MLOps pipeline.
* Deep understanding of model deployment and serving.
* Experience with orchestration and containerization methodologies.
* Familiarity with model serving tools such as MLflow, Databricks Serving, SageMaker, etc. (TensorFlow Serving is a plus).
* Experience implementing CI/CD pipelines for ML projects.
* Competence in developing automation pipelines (e.g., using GitHub Actions).
* Proficiency in Infrastructure as Code tools (e.g., Terraform, Databricks Asset Bundles,etc).
* Strong understanding of monitoring and observability, including logging tools (e.g., Prometheus, Grafana) and drift detection.
* Extensive experience with Databricks and other development tools in cloud.
**EDUCATION**
Bachelor degree from accredited university or equivalent work experience (HS diploma \+ 4 years relevant experience).
**BUSINESS OVERVIEW**
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We strive to promote and sustain a culture of diversity, inclusion and belonging every day. CVS Health is an affirmative action employer, and is an equal opportunity employer, as are the physician\-owned businesses for which CVS Health provides management services. We do not discriminate in recruiting, hiring, promotion, or any other personnel action based on race, ethnicity, color, national origin, sex/gender, sexual orientation, gender identity or expression, religion, age, disability, protected veteran status, or any other characteristic protected by applicable federal, state, or local law. We proudly support and encourage people with military experience (active, veterans, reservists and National Guard) as well as military spouses to apply for CVS Health job opportunities.
**Anticipated Weekly Hours**
40**Time Type**
Full time**Pay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03/31/2026
Qualified applicants with arrest or conviction records will be considered for employment in accordance with all federal, state and local laws.</t>
        </is>
      </c>
    </row>
    <row r="77">
      <c r="A77" t="inlineStr">
        <is>
          <t>in-9789d40b17fac2f7</t>
        </is>
      </c>
      <c r="B77" t="inlineStr">
        <is>
          <t>Senior Data Engineer</t>
        </is>
      </c>
      <c r="C77" t="inlineStr">
        <is>
          <t>CVS Health</t>
        </is>
      </c>
      <c r="D77" t="inlineStr">
        <is>
          <t>indeed</t>
        </is>
      </c>
      <c r="E77" t="inlineStr"/>
      <c r="F77" t="inlineStr"/>
      <c r="G77" t="inlineStr">
        <is>
          <t>SC, US</t>
        </is>
      </c>
      <c r="H77" s="2" t="n">
        <v>46050</v>
      </c>
      <c r="I77"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CVS Health is looking for a skilled Senior data engineer to join our DevOps team. The ideal candidate will have a strong background in both security and DevOps practices, with a focus on integrating security into the software development lifecycle (SDLC) and design, implement, and maintain security tools and processes for continuous integration and continuous deployment (CI/CD) environments.This role involves close collaboration with development and IT operations teams to implement automation using the latest AI technologies to enhance the performance and add efficiencies.
 **REQUIRED QUALIFICATIONS**
* 5\+ years of coding experience using Python with expertise in solution and software development.
* 5\+ years in DevOps/MLOps and a deep understanding of software engineering principles.
* 5\+ years of experience in TensorFlow and PyTorch, with additional cloud platform familiarity.
* 5\+ years of experience with cloud computing environment and management of resources.
 **PREFERRED QUALIFICATIONS**
* Proven ability to manage the production lifecycle of an MLOps pipeline.
* Deep understanding of model deployment and serving.
* Experience with orchestration and containerization methodologies.
* Familiarity with model serving tools such as MLflow, Databricks Serving, SageMaker, etc. (TensorFlow Serving is a plus).
* Experience implementing CI/CD pipelines for ML projects.
* Competence in developing automation pipelines (e.g., using GitHub Actions).
* Proficiency in Infrastructure as Code tools (e.g., Terraform, Databricks Asset Bundles,etc).
* Strong understanding of monitoring and observability, including logging tools (e.g., Prometheus, Grafana) and drift detection.
* Extensive experience with Databricks and other development tools in cloud.
**EDUCATION**
Bachelor degree from accredited university or equivalent work experience (HS diploma \+ 4 years relevant experience).
**BUSINESS OVERVIEW**
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We strive to promote and sustain a culture of diversity, inclusion and belonging every day. CVS Health is an affirmative action employer, and is an equal opportunity employer, as are the physician\-owned businesses for which CVS Health provides management services. We do not discriminate in recruiting, hiring, promotion, or any other personnel action based on race, ethnicity, color, national origin, sex/gender, sexual orientation, gender identity or expression, religion, age, disability, protected veteran status, or any other characteristic protected by applicable federal, state, or local law. We proudly support and encourage people with military experience (active, veterans, reservists and National Guard) as well as military spouses to apply for CVS Health job opportunities.
**Anticipated Weekly Hours**
40**Time Type**
Full time**Pay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03/31/2026
Qualified applicants with arrest or conviction records will be considered for employment in accordance with all federal, state and local laws.</t>
        </is>
      </c>
    </row>
    <row r="78">
      <c r="A78" t="inlineStr">
        <is>
          <t>in-caccc579983c106b</t>
        </is>
      </c>
      <c r="B78" t="inlineStr">
        <is>
          <t>Senior Data Engineer</t>
        </is>
      </c>
      <c r="C78" t="inlineStr">
        <is>
          <t>CVS Health</t>
        </is>
      </c>
      <c r="D78" t="inlineStr">
        <is>
          <t>indeed</t>
        </is>
      </c>
      <c r="E78" t="inlineStr"/>
      <c r="F78" t="inlineStr"/>
      <c r="G78" t="inlineStr">
        <is>
          <t>MA, US</t>
        </is>
      </c>
      <c r="H78" s="2" t="n">
        <v>46050</v>
      </c>
      <c r="I78"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CVS Health is looking for a skilled Senior data engineer to join our DevOps team. The ideal candidate will have a strong background in both security and DevOps practices, with a focus on integrating security into the software development lifecycle (SDLC) and design, implement, and maintain security tools and processes for continuous integration and continuous deployment (CI/CD) environments.This role involves close collaboration with development and IT operations teams to implement automation using the latest AI technologies to enhance the performance and add efficiencies.
 **REQUIRED QUALIFICATIONS**
* 5\+ years of coding experience using Python with expertise in solution and software development.
* 5\+ years in DevOps/MLOps and a deep understanding of software engineering principles.
* 5\+ years of experience in TensorFlow and PyTorch, with additional cloud platform familiarity.
* 5\+ years of experience with cloud computing environment and management of resources.
 **PREFERRED QUALIFICATIONS**
* Proven ability to manage the production lifecycle of an MLOps pipeline.
* Deep understanding of model deployment and serving.
* Experience with orchestration and containerization methodologies.
* Familiarity with model serving tools such as MLflow, Databricks Serving, SageMaker, etc. (TensorFlow Serving is a plus).
* Experience implementing CI/CD pipelines for ML projects.
* Competence in developing automation pipelines (e.g., using GitHub Actions).
* Proficiency in Infrastructure as Code tools (e.g., Terraform, Databricks Asset Bundles,etc).
* Strong understanding of monitoring and observability, including logging tools (e.g., Prometheus, Grafana) and drift detection.
* Extensive experience with Databricks and other development tools in cloud.
**EDUCATION**
Bachelor degree from accredited university or equivalent work experience (HS diploma \+ 4 years relevant experience).
**BUSINESS OVERVIEW**
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We strive to promote and sustain a culture of diversity, inclusion and belonging every day. CVS Health is an affirmative action employer, and is an equal opportunity employer, as are the physician\-owned businesses for which CVS Health provides management services. We do not discriminate in recruiting, hiring, promotion, or any other personnel action based on race, ethnicity, color, national origin, sex/gender, sexual orientation, gender identity or expression, religion, age, disability, protected veteran status, or any other characteristic protected by applicable federal, state, or local law. We proudly support and encourage people with military experience (active, veterans, reservists and National Guard) as well as military spouses to apply for CVS Health job opportunities.
**Anticipated Weekly Hours**
40**Time Type**
Full time**Pay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03/31/2026
Qualified applicants with arrest or conviction records will be considered for employment in accordance with all federal, state and local laws.</t>
        </is>
      </c>
    </row>
    <row r="79">
      <c r="A79" t="inlineStr">
        <is>
          <t>in-c8ad6de525c8d282</t>
        </is>
      </c>
      <c r="B79" t="inlineStr">
        <is>
          <t>Senior Data Engineer</t>
        </is>
      </c>
      <c r="C79" t="inlineStr">
        <is>
          <t>CVS Health</t>
        </is>
      </c>
      <c r="D79" t="inlineStr">
        <is>
          <t>indeed</t>
        </is>
      </c>
      <c r="E79" t="inlineStr"/>
      <c r="F79" t="inlineStr"/>
      <c r="G79" t="inlineStr">
        <is>
          <t>NV, US</t>
        </is>
      </c>
      <c r="H79" s="2" t="n">
        <v>46050</v>
      </c>
      <c r="I79"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CVS Health is looking for a skilled Senior data engineer to join our DevOps team. The ideal candidate will have a strong background in both security and DevOps practices, with a focus on integrating security into the software development lifecycle (SDLC) and design, implement, and maintain security tools and processes for continuous integration and continuous deployment (CI/CD) environments.This role involves close collaboration with development and IT operations teams to implement automation using the latest AI technologies to enhance the performance and add efficiencies.
 **REQUIRED QUALIFICATIONS**
* 5\+ years of coding experience using Python with expertise in solution and software development.
* 5\+ years in DevOps/MLOps and a deep understanding of software engineering principles.
* 5\+ years of experience in TensorFlow and PyTorch, with additional cloud platform familiarity.
* 5\+ years of experience with cloud computing environment and management of resources.
 **PREFERRED QUALIFICATIONS**
* Proven ability to manage the production lifecycle of an MLOps pipeline.
* Deep understanding of model deployment and serving.
* Experience with orchestration and containerization methodologies.
* Familiarity with model serving tools such as MLflow, Databricks Serving, SageMaker, etc. (TensorFlow Serving is a plus).
* Experience implementing CI/CD pipelines for ML projects.
* Competence in developing automation pipelines (e.g., using GitHub Actions).
* Proficiency in Infrastructure as Code tools (e.g., Terraform, Databricks Asset Bundles,etc).
* Strong understanding of monitoring and observability, including logging tools (e.g., Prometheus, Grafana) and drift detection.
* Extensive experience with Databricks and other development tools in cloud.
**EDUCATION**
Bachelor degree from accredited university or equivalent work experience (HS diploma \+ 4 years relevant experience).
**BUSINESS OVERVIEW**
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We strive to promote and sustain a culture of diversity, inclusion and belonging every day. CVS Health is an affirmative action employer, and is an equal opportunity employer, as are the physician\-owned businesses for which CVS Health provides management services. We do not discriminate in recruiting, hiring, promotion, or any other personnel action based on race, ethnicity, color, national origin, sex/gender, sexual orientation, gender identity or expression, religion, age, disability, protected veteran status, or any other characteristic protected by applicable federal, state, or local law. We proudly support and encourage people with military experience (active, veterans, reservists and National Guard) as well as military spouses to apply for CVS Health job opportunities.
**Anticipated Weekly Hours**
40**Time Type**
Full time**Pay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03/31/2026
Qualified applicants with arrest or conviction records will be considered for employment in accordance with all federal, state and local laws.</t>
        </is>
      </c>
    </row>
    <row r="80">
      <c r="A80" t="inlineStr">
        <is>
          <t>in-2768e9b716b34bfd</t>
        </is>
      </c>
      <c r="B80" t="inlineStr">
        <is>
          <t>Senior Data Engineer</t>
        </is>
      </c>
      <c r="C80" t="inlineStr">
        <is>
          <t>CVS Health</t>
        </is>
      </c>
      <c r="D80" t="inlineStr">
        <is>
          <t>indeed</t>
        </is>
      </c>
      <c r="E80" t="inlineStr"/>
      <c r="F80" t="inlineStr"/>
      <c r="G80" t="inlineStr">
        <is>
          <t>MN, US</t>
        </is>
      </c>
      <c r="H80" s="2" t="n">
        <v>46050</v>
      </c>
      <c r="I80"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CVS Health is looking for a skilled Senior data engineer to join our DevOps team. The ideal candidate will have a strong background in both security and DevOps practices, with a focus on integrating security into the software development lifecycle (SDLC) and design, implement, and maintain security tools and processes for continuous integration and continuous deployment (CI/CD) environments.This role involves close collaboration with development and IT operations teams to implement automation using the latest AI technologies to enhance the performance and add efficiencies.
 **REQUIRED QUALIFICATIONS**
* 5\+ years of coding experience using Python with expertise in solution and software development.
* 5\+ years in DevOps/MLOps and a deep understanding of software engineering principles.
* 5\+ years of experience in TensorFlow and PyTorch, with additional cloud platform familiarity.
* 5\+ years of experience with cloud computing environment and management of resources.
 **PREFERRED QUALIFICATIONS**
* Proven ability to manage the production lifecycle of an MLOps pipeline.
* Deep understanding of model deployment and serving.
* Experience with orchestration and containerization methodologies.
* Familiarity with model serving tools such as MLflow, Databricks Serving, SageMaker, etc. (TensorFlow Serving is a plus).
* Experience implementing CI/CD pipelines for ML projects.
* Competence in developing automation pipelines (e.g., using GitHub Actions).
* Proficiency in Infrastructure as Code tools (e.g., Terraform, Databricks Asset Bundles,etc).
* Strong understanding of monitoring and observability, including logging tools (e.g., Prometheus, Grafana) and drift detection.
* Extensive experience with Databricks and other development tools in cloud.
**EDUCATION**
Bachelor degree from accredited university or equivalent work experience (HS diploma \+ 4 years relevant experience).
**BUSINESS OVERVIEW**
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We strive to promote and sustain a culture of diversity, inclusion and belonging every day. CVS Health is an affirmative action employer, and is an equal opportunity employer, as are the physician\-owned businesses for which CVS Health provides management services. We do not discriminate in recruiting, hiring, promotion, or any other personnel action based on race, ethnicity, color, national origin, sex/gender, sexual orientation, gender identity or expression, religion, age, disability, protected veteran status, or any other characteristic protected by applicable federal, state, or local law. We proudly support and encourage people with military experience (active, veterans, reservists and National Guard) as well as military spouses to apply for CVS Health job opportunities.
**Anticipated Weekly Hours**
40**Time Type**
Full time**Pay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03/31/2026
Qualified applicants with arrest or conviction records will be considered for employment in accordance with all federal, state and local laws.</t>
        </is>
      </c>
    </row>
    <row r="81">
      <c r="A81" t="inlineStr">
        <is>
          <t>in-a5cc81f433f185aa</t>
        </is>
      </c>
      <c r="B81" t="inlineStr">
        <is>
          <t>Senior Data Engineer</t>
        </is>
      </c>
      <c r="C81" t="inlineStr">
        <is>
          <t>CVS Health</t>
        </is>
      </c>
      <c r="D81" t="inlineStr">
        <is>
          <t>indeed</t>
        </is>
      </c>
      <c r="E81" t="inlineStr"/>
      <c r="F81" t="inlineStr"/>
      <c r="G81" t="inlineStr">
        <is>
          <t>MO, US</t>
        </is>
      </c>
      <c r="H81" s="2" t="n">
        <v>46050</v>
      </c>
      <c r="I81"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CVS Health is looking for a skilled Senior data engineer to join our DevOps team. The ideal candidate will have a strong background in both security and DevOps practices, with a focus on integrating security into the software development lifecycle (SDLC) and design, implement, and maintain security tools and processes for continuous integration and continuous deployment (CI/CD) environments.This role involves close collaboration with development and IT operations teams to implement automation using the latest AI technologies to enhance the performance and add efficiencies.
 **REQUIRED QUALIFICATIONS**
* 5\+ years of coding experience using Python with expertise in solution and software development.
* 5\+ years in DevOps/MLOps and a deep understanding of software engineering principles.
* 5\+ years of experience in TensorFlow and PyTorch, with additional cloud platform familiarity.
* 5\+ years of experience with cloud computing environment and management of resources.
 **PREFERRED QUALIFICATIONS**
* Proven ability to manage the production lifecycle of an MLOps pipeline.
* Deep understanding of model deployment and serving.
* Experience with orchestration and containerization methodologies.
* Familiarity with model serving tools such as MLflow, Databricks Serving, SageMaker, etc. (TensorFlow Serving is a plus).
* Experience implementing CI/CD pipelines for ML projects.
* Competence in developing automation pipelines (e.g., using GitHub Actions).
* Proficiency in Infrastructure as Code tools (e.g., Terraform, Databricks Asset Bundles,etc).
* Strong understanding of monitoring and observability, including logging tools (e.g., Prometheus, Grafana) and drift detection.
* Extensive experience with Databricks and other development tools in cloud.
**EDUCATION**
Bachelor degree from accredited university or equivalent work experience (HS diploma \+ 4 years relevant experience).
**BUSINESS OVERVIEW**
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We strive to promote and sustain a culture of diversity, inclusion and belonging every day. CVS Health is an affirmative action employer, and is an equal opportunity employer, as are the physician\-owned businesses for which CVS Health provides management services. We do not discriminate in recruiting, hiring, promotion, or any other personnel action based on race, ethnicity, color, national origin, sex/gender, sexual orientation, gender identity or expression, religion, age, disability, protected veteran status, or any other characteristic protected by applicable federal, state, or local law. We proudly support and encourage people with military experience (active, veterans, reservists and National Guard) as well as military spouses to apply for CVS Health job opportunities.
**Anticipated Weekly Hours**
40**Time Type**
Full time**Pay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03/31/2026
Qualified applicants with arrest or conviction records will be considered for employment in accordance with all federal, state and local laws.</t>
        </is>
      </c>
    </row>
    <row r="82">
      <c r="A82" t="inlineStr">
        <is>
          <t>in-035868fb79c5a3ce</t>
        </is>
      </c>
      <c r="B82" t="inlineStr">
        <is>
          <t>Senior Data Engineer</t>
        </is>
      </c>
      <c r="C82" t="inlineStr">
        <is>
          <t>CVS Health</t>
        </is>
      </c>
      <c r="D82" t="inlineStr">
        <is>
          <t>indeed</t>
        </is>
      </c>
      <c r="E82" t="inlineStr"/>
      <c r="F82" t="inlineStr"/>
      <c r="G82" t="inlineStr">
        <is>
          <t>CO, US</t>
        </is>
      </c>
      <c r="H82" s="2" t="n">
        <v>46050</v>
      </c>
      <c r="I82"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CVS Health is looking for a skilled Senior data engineer to join our DevOps team. The ideal candidate will have a strong background in both security and DevOps practices, with a focus on integrating security into the software development lifecycle (SDLC) and design, implement, and maintain security tools and processes for continuous integration and continuous deployment (CI/CD) environments.This role involves close collaboration with development and IT operations teams to implement automation using the latest AI technologies to enhance the performance and add efficiencies.
 **REQUIRED QUALIFICATIONS**
* 5\+ years of coding experience using Python with expertise in solution and software development.
* 5\+ years in DevOps/MLOps and a deep understanding of software engineering principles.
* 5\+ years of experience in TensorFlow and PyTorch, with additional cloud platform familiarity.
* 5\+ years of experience with cloud computing environment and management of resources.
 **PREFERRED QUALIFICATIONS**
* Proven ability to manage the production lifecycle of an MLOps pipeline.
* Deep understanding of model deployment and serving.
* Experience with orchestration and containerization methodologies.
* Familiarity with model serving tools such as MLflow, Databricks Serving, SageMaker, etc. (TensorFlow Serving is a plus).
* Experience implementing CI/CD pipelines for ML projects.
* Competence in developing automation pipelines (e.g., using GitHub Actions).
* Proficiency in Infrastructure as Code tools (e.g., Terraform, Databricks Asset Bundles,etc).
* Strong understanding of monitoring and observability, including logging tools (e.g., Prometheus, Grafana) and drift detection.
* Extensive experience with Databricks and other development tools in cloud.
**EDUCATION**
Bachelor degree from accredited university or equivalent work experience (HS diploma \+ 4 years relevant experience).
**BUSINESS OVERVIEW**
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We strive to promote and sustain a culture of diversity, inclusion and belonging every day. CVS Health is an affirmative action employer, and is an equal opportunity employer, as are the physician\-owned businesses for which CVS Health provides management services. We do not discriminate in recruiting, hiring, promotion, or any other personnel action based on race, ethnicity, color, national origin, sex/gender, sexual orientation, gender identity or expression, religion, age, disability, protected veteran status, or any other characteristic protected by applicable federal, state, or local law. We proudly support and encourage people with military experience (active, veterans, reservists and National Guard) as well as military spouses to apply for CVS Health job opportunities.
**Anticipated Weekly Hours**
40**Time Type**
Full time**Pay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03/31/2026
Qualified applicants with arrest or conviction records will be considered for employment in accordance with all federal, state and local laws.</t>
        </is>
      </c>
    </row>
    <row r="83">
      <c r="A83" t="inlineStr">
        <is>
          <t>in-143d0423398cce69</t>
        </is>
      </c>
      <c r="B83" t="inlineStr">
        <is>
          <t>Senior Data Engineer</t>
        </is>
      </c>
      <c r="C83" t="inlineStr">
        <is>
          <t>CVS Health</t>
        </is>
      </c>
      <c r="D83" t="inlineStr">
        <is>
          <t>indeed</t>
        </is>
      </c>
      <c r="E83" t="inlineStr"/>
      <c r="F83" t="inlineStr"/>
      <c r="G83" t="inlineStr">
        <is>
          <t>AK, US</t>
        </is>
      </c>
      <c r="H83" s="2" t="n">
        <v>46050</v>
      </c>
      <c r="I83"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CVS Health is looking for a skilled Senior data engineer to join our DevOps team. The ideal candidate will have a strong background in both security and DevOps practices, with a focus on integrating security into the software development lifecycle (SDLC) and design, implement, and maintain security tools and processes for continuous integration and continuous deployment (CI/CD) environments.This role involves close collaboration with development and IT operations teams to implement automation using the latest AI technologies to enhance the performance and add efficiencies.
 **REQUIRED QUALIFICATIONS**
* 5\+ years of coding experience using Python with expertise in solution and software development.
* 5\+ years in DevOps/MLOps and a deep understanding of software engineering principles.
* 5\+ years of experience in TensorFlow and PyTorch, with additional cloud platform familiarity.
* 5\+ years of experience with cloud computing environment and management of resources.
 **PREFERRED QUALIFICATIONS**
* Proven ability to manage the production lifecycle of an MLOps pipeline.
* Deep understanding of model deployment and serving.
* Experience with orchestration and containerization methodologies.
* Familiarity with model serving tools such as MLflow, Databricks Serving, SageMaker, etc. (TensorFlow Serving is a plus).
* Experience implementing CI/CD pipelines for ML projects.
* Competence in developing automation pipelines (e.g., using GitHub Actions).
* Proficiency in Infrastructure as Code tools (e.g., Terraform, Databricks Asset Bundles,etc).
* Strong understanding of monitoring and observability, including logging tools (e.g., Prometheus, Grafana) and drift detection.
* Extensive experience with Databricks and other development tools in cloud.
**EDUCATION**
Bachelor degree from accredited university or equivalent work experience (HS diploma \+ 4 years relevant experience).
**BUSINESS OVERVIEW**
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We strive to promote and sustain a culture of diversity, inclusion and belonging every day. CVS Health is an affirmative action employer, and is an equal opportunity employer, as are the physician\-owned businesses for which CVS Health provides management services. We do not discriminate in recruiting, hiring, promotion, or any other personnel action based on race, ethnicity, color, national origin, sex/gender, sexual orientation, gender identity or expression, religion, age, disability, protected veteran status, or any other characteristic protected by applicable federal, state, or local law. We proudly support and encourage people with military experience (active, veterans, reservists and National Guard) as well as military spouses to apply for CVS Health job opportunities.
**Anticipated Weekly Hours**
40**Time Type**
Full time**Pay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03/31/2026
Qualified applicants with arrest or conviction records will be considered for employment in accordance with all federal, state and local laws.</t>
        </is>
      </c>
    </row>
    <row r="84">
      <c r="A84" t="inlineStr">
        <is>
          <t>in-da30ef7326659dba</t>
        </is>
      </c>
      <c r="B84" t="inlineStr">
        <is>
          <t>Senior Data Engineer</t>
        </is>
      </c>
      <c r="C84" t="inlineStr">
        <is>
          <t>CVS Health</t>
        </is>
      </c>
      <c r="D84" t="inlineStr">
        <is>
          <t>indeed</t>
        </is>
      </c>
      <c r="E84" t="inlineStr"/>
      <c r="F84" t="inlineStr"/>
      <c r="G84" t="inlineStr">
        <is>
          <t>UT, US</t>
        </is>
      </c>
      <c r="H84" s="2" t="n">
        <v>46050</v>
      </c>
      <c r="I84"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CVS Health is looking for a skilled Senior data engineer to join our DevOps team. The ideal candidate will have a strong background in both security and DevOps practices, with a focus on integrating security into the software development lifecycle (SDLC) and design, implement, and maintain security tools and processes for continuous integration and continuous deployment (CI/CD) environments.This role involves close collaboration with development and IT operations teams to implement automation using the latest AI technologies to enhance the performance and add efficiencies.
 **REQUIRED QUALIFICATIONS**
* 5\+ years of coding experience using Python with expertise in solution and software development.
* 5\+ years in DevOps/MLOps and a deep understanding of software engineering principles.
* 5\+ years of experience in TensorFlow and PyTorch, with additional cloud platform familiarity.
* 5\+ years of experience with cloud computing environment and management of resources.
 **PREFERRED QUALIFICATIONS**
* Proven ability to manage the production lifecycle of an MLOps pipeline.
* Deep understanding of model deployment and serving.
* Experience with orchestration and containerization methodologies.
* Familiarity with model serving tools such as MLflow, Databricks Serving, SageMaker, etc. (TensorFlow Serving is a plus).
* Experience implementing CI/CD pipelines for ML projects.
* Competence in developing automation pipelines (e.g., using GitHub Actions).
* Proficiency in Infrastructure as Code tools (e.g., Terraform, Databricks Asset Bundles,etc).
* Strong understanding of monitoring and observability, including logging tools (e.g., Prometheus, Grafana) and drift detection.
* Extensive experience with Databricks and other development tools in cloud.
**EDUCATION**
Bachelor degree from accredited university or equivalent work experience (HS diploma \+ 4 years relevant experience).
**BUSINESS OVERVIEW**
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We strive to promote and sustain a culture of diversity, inclusion and belonging every day. CVS Health is an affirmative action employer, and is an equal opportunity employer, as are the physician\-owned businesses for which CVS Health provides management services. We do not discriminate in recruiting, hiring, promotion, or any other personnel action based on race, ethnicity, color, national origin, sex/gender, sexual orientation, gender identity or expression, religion, age, disability, protected veteran status, or any other characteristic protected by applicable federal, state, or local law. We proudly support and encourage people with military experience (active, veterans, reservists and National Guard) as well as military spouses to apply for CVS Health job opportunities.
**Anticipated Weekly Hours**
40**Time Type**
Full time**Pay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03/31/2026
Qualified applicants with arrest or conviction records will be considered for employment in accordance with all federal, state and local laws.</t>
        </is>
      </c>
    </row>
    <row r="85">
      <c r="A85" t="inlineStr">
        <is>
          <t>in-97f93035b578a9e4</t>
        </is>
      </c>
      <c r="B85" t="inlineStr">
        <is>
          <t>Senior Data Engineer</t>
        </is>
      </c>
      <c r="C85" t="inlineStr">
        <is>
          <t>CVS Health</t>
        </is>
      </c>
      <c r="D85" t="inlineStr">
        <is>
          <t>indeed</t>
        </is>
      </c>
      <c r="E85" t="inlineStr"/>
      <c r="F85" t="inlineStr"/>
      <c r="G85" t="inlineStr">
        <is>
          <t>GA, US</t>
        </is>
      </c>
      <c r="H85" s="2" t="n">
        <v>46050</v>
      </c>
      <c r="I85"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CVS Health is looking for a skilled Senior data engineer to join our DevOps team. The ideal candidate will have a strong background in both security and DevOps practices, with a focus on integrating security into the software development lifecycle (SDLC) and design, implement, and maintain security tools and processes for continuous integration and continuous deployment (CI/CD) environments.This role involves close collaboration with development and IT operations teams to implement automation using the latest AI technologies to enhance the performance and add efficiencies.
 **REQUIRED QUALIFICATIONS**
* 5\+ years of coding experience using Python with expertise in solution and software development.
* 5\+ years in DevOps/MLOps and a deep understanding of software engineering principles.
* 5\+ years of experience in TensorFlow and PyTorch, with additional cloud platform familiarity.
* 5\+ years of experience with cloud computing environment and management of resources.
 **PREFERRED QUALIFICATIONS**
* Proven ability to manage the production lifecycle of an MLOps pipeline.
* Deep understanding of model deployment and serving.
* Experience with orchestration and containerization methodologies.
* Familiarity with model serving tools such as MLflow, Databricks Serving, SageMaker, etc. (TensorFlow Serving is a plus).
* Experience implementing CI/CD pipelines for ML projects.
* Competence in developing automation pipelines (e.g., using GitHub Actions).
* Proficiency in Infrastructure as Code tools (e.g., Terraform, Databricks Asset Bundles,etc).
* Strong understanding of monitoring and observability, including logging tools (e.g., Prometheus, Grafana) and drift detection.
* Extensive experience with Databricks and other development tools in cloud.
**EDUCATION**
Bachelor degree from accredited university or equivalent work experience (HS diploma \+ 4 years relevant experience).
**BUSINESS OVERVIEW**
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We strive to promote and sustain a culture of diversity, inclusion and belonging every day. CVS Health is an affirmative action employer, and is an equal opportunity employer, as are the physician\-owned businesses for which CVS Health provides management services. We do not discriminate in recruiting, hiring, promotion, or any other personnel action based on race, ethnicity, color, national origin, sex/gender, sexual orientation, gender identity or expression, religion, age, disability, protected veteran status, or any other characteristic protected by applicable federal, state, or local law. We proudly support and encourage people with military experience (active, veterans, reservists and National Guard) as well as military spouses to apply for CVS Health job opportunities.
**Anticipated Weekly Hours**
40**Time Type**
Full time**Pay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03/31/2026
Qualified applicants with arrest or conviction records will be considered for employment in accordance with all federal, state and local laws.</t>
        </is>
      </c>
    </row>
    <row r="86">
      <c r="A86" t="inlineStr">
        <is>
          <t>in-0767600e1b8a8849</t>
        </is>
      </c>
      <c r="B86" t="inlineStr">
        <is>
          <t>Senior Data Engineer</t>
        </is>
      </c>
      <c r="C86" t="inlineStr">
        <is>
          <t>CVS Health</t>
        </is>
      </c>
      <c r="D86" t="inlineStr">
        <is>
          <t>indeed</t>
        </is>
      </c>
      <c r="E86" t="inlineStr"/>
      <c r="F86" t="inlineStr"/>
      <c r="G86" t="inlineStr">
        <is>
          <t>WI, US</t>
        </is>
      </c>
      <c r="H86" s="2" t="n">
        <v>46050</v>
      </c>
      <c r="I86"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CVS Health is looking for a skilled Senior data engineer to join our DevOps team. The ideal candidate will have a strong background in both security and DevOps practices, with a focus on integrating security into the software development lifecycle (SDLC) and design, implement, and maintain security tools and processes for continuous integration and continuous deployment (CI/CD) environments.This role involves close collaboration with development and IT operations teams to implement automation using the latest AI technologies to enhance the performance and add efficiencies.
 **REQUIRED QUALIFICATIONS**
* 5\+ years of coding experience using Python with expertise in solution and software development.
* 5\+ years in DevOps/MLOps and a deep understanding of software engineering principles.
* 5\+ years of experience in TensorFlow and PyTorch, with additional cloud platform familiarity.
* 5\+ years of experience with cloud computing environment and management of resources.
 **PREFERRED QUALIFICATIONS**
* Proven ability to manage the production lifecycle of an MLOps pipeline.
* Deep understanding of model deployment and serving.
* Experience with orchestration and containerization methodologies.
* Familiarity with model serving tools such as MLflow, Databricks Serving, SageMaker, etc. (TensorFlow Serving is a plus).
* Experience implementing CI/CD pipelines for ML projects.
* Competence in developing automation pipelines (e.g., using GitHub Actions).
* Proficiency in Infrastructure as Code tools (e.g., Terraform, Databricks Asset Bundles,etc).
* Strong understanding of monitoring and observability, including logging tools (e.g., Prometheus, Grafana) and drift detection.
* Extensive experience with Databricks and other development tools in cloud.
**EDUCATION**
Bachelor degree from accredited university or equivalent work experience (HS diploma \+ 4 years relevant experience).
**BUSINESS OVERVIEW**
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We strive to promote and sustain a culture of diversity, inclusion and belonging every day. CVS Health is an affirmative action employer, and is an equal opportunity employer, as are the physician\-owned businesses for which CVS Health provides management services. We do not discriminate in recruiting, hiring, promotion, or any other personnel action based on race, ethnicity, color, national origin, sex/gender, sexual orientation, gender identity or expression, religion, age, disability, protected veteran status, or any other characteristic protected by applicable federal, state, or local law. We proudly support and encourage people with military experience (active, veterans, reservists and National Guard) as well as military spouses to apply for CVS Health job opportunities.
**Anticipated Weekly Hours**
40**Time Type**
Full time**Pay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03/31/2026
Qualified applicants with arrest or conviction records will be considered for employment in accordance with all federal, state and local laws.</t>
        </is>
      </c>
    </row>
    <row r="87">
      <c r="A87" t="inlineStr">
        <is>
          <t>in-33b19cf0a17c5f69</t>
        </is>
      </c>
      <c r="B87" t="inlineStr">
        <is>
          <t>Senior Data Engineer</t>
        </is>
      </c>
      <c r="C87" t="inlineStr">
        <is>
          <t>CVS Health</t>
        </is>
      </c>
      <c r="D87" t="inlineStr">
        <is>
          <t>indeed</t>
        </is>
      </c>
      <c r="E87" t="inlineStr"/>
      <c r="F87" t="inlineStr"/>
      <c r="G87" t="inlineStr">
        <is>
          <t>OK, US</t>
        </is>
      </c>
      <c r="H87" s="2" t="n">
        <v>46050</v>
      </c>
      <c r="I87"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CVS Health is looking for a skilled Senior data engineer to join our DevOps team. The ideal candidate will have a strong background in both security and DevOps practices, with a focus on integrating security into the software development lifecycle (SDLC) and design, implement, and maintain security tools and processes for continuous integration and continuous deployment (CI/CD) environments.This role involves close collaboration with development and IT operations teams to implement automation using the latest AI technologies to enhance the performance and add efficiencies.
 **REQUIRED QUALIFICATIONS**
* 5\+ years of coding experience using Python with expertise in solution and software development.
* 5\+ years in DevOps/MLOps and a deep understanding of software engineering principles.
* 5\+ years of experience in TensorFlow and PyTorch, with additional cloud platform familiarity.
* 5\+ years of experience with cloud computing environment and management of resources.
 **PREFERRED QUALIFICATIONS**
* Proven ability to manage the production lifecycle of an MLOps pipeline.
* Deep understanding of model deployment and serving.
* Experience with orchestration and containerization methodologies.
* Familiarity with model serving tools such as MLflow, Databricks Serving, SageMaker, etc. (TensorFlow Serving is a plus).
* Experience implementing CI/CD pipelines for ML projects.
* Competence in developing automation pipelines (e.g., using GitHub Actions).
* Proficiency in Infrastructure as Code tools (e.g., Terraform, Databricks Asset Bundles,etc).
* Strong understanding of monitoring and observability, including logging tools (e.g., Prometheus, Grafana) and drift detection.
* Extensive experience with Databricks and other development tools in cloud.
**EDUCATION**
Bachelor degree from accredited university or equivalent work experience (HS diploma \+ 4 years relevant experience).
**BUSINESS OVERVIEW**
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We strive to promote and sustain a culture of diversity, inclusion and belonging every day. CVS Health is an affirmative action employer, and is an equal opportunity employer, as are the physician\-owned businesses for which CVS Health provides management services. We do not discriminate in recruiting, hiring, promotion, or any other personnel action based on race, ethnicity, color, national origin, sex/gender, sexual orientation, gender identity or expression, religion, age, disability, protected veteran status, or any other characteristic protected by applicable federal, state, or local law. We proudly support and encourage people with military experience (active, veterans, reservists and National Guard) as well as military spouses to apply for CVS Health job opportunities.
**Anticipated Weekly Hours**
40**Time Type**
Full time**Pay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03/31/2026
Qualified applicants with arrest or conviction records will be considered for employment in accordance with all federal, state and local laws.</t>
        </is>
      </c>
    </row>
    <row r="88">
      <c r="A88" t="inlineStr">
        <is>
          <t>in-5ac5855691d78da7</t>
        </is>
      </c>
      <c r="B88" t="inlineStr">
        <is>
          <t>Senior Data Engineer</t>
        </is>
      </c>
      <c r="C88" t="inlineStr">
        <is>
          <t>CVS Health</t>
        </is>
      </c>
      <c r="D88" t="inlineStr">
        <is>
          <t>indeed</t>
        </is>
      </c>
      <c r="E88" t="inlineStr"/>
      <c r="F88" t="inlineStr"/>
      <c r="G88" t="inlineStr">
        <is>
          <t>WY, US</t>
        </is>
      </c>
      <c r="H88" s="2" t="n">
        <v>46050</v>
      </c>
      <c r="I88"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CVS Health is looking for a skilled Senior data engineer to join our DevOps team. The ideal candidate will have a strong background in both security and DevOps practices, with a focus on integrating security into the software development lifecycle (SDLC) and design, implement, and maintain security tools and processes for continuous integration and continuous deployment (CI/CD) environments.This role involves close collaboration with development and IT operations teams to implement automation using the latest AI technologies to enhance the performance and add efficiencies.
 **REQUIRED QUALIFICATIONS**
* 5\+ years of coding experience using Python with expertise in solution and software development.
* 5\+ years in DevOps/MLOps and a deep understanding of software engineering principles.
* 5\+ years of experience in TensorFlow and PyTorch, with additional cloud platform familiarity.
* 5\+ years of experience with cloud computing environment and management of resources.
 **PREFERRED QUALIFICATIONS**
* Proven ability to manage the production lifecycle of an MLOps pipeline.
* Deep understanding of model deployment and serving.
* Experience with orchestration and containerization methodologies.
* Familiarity with model serving tools such as MLflow, Databricks Serving, SageMaker, etc. (TensorFlow Serving is a plus).
* Experience implementing CI/CD pipelines for ML projects.
* Competence in developing automation pipelines (e.g., using GitHub Actions).
* Proficiency in Infrastructure as Code tools (e.g., Terraform, Databricks Asset Bundles,etc).
* Strong understanding of monitoring and observability, including logging tools (e.g., Prometheus, Grafana) and drift detection.
* Extensive experience with Databricks and other development tools in cloud.
**EDUCATION**
Bachelor degree from accredited university or equivalent work experience (HS diploma \+ 4 years relevant experience).
**BUSINESS OVERVIEW**
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We strive to promote and sustain a culture of diversity, inclusion and belonging every day. CVS Health is an affirmative action employer, and is an equal opportunity employer, as are the physician\-owned businesses for which CVS Health provides management services. We do not discriminate in recruiting, hiring, promotion, or any other personnel action based on race, ethnicity, color, national origin, sex/gender, sexual orientation, gender identity or expression, religion, age, disability, protected veteran status, or any other characteristic protected by applicable federal, state, or local law. We proudly support and encourage people with military experience (active, veterans, reservists and National Guard) as well as military spouses to apply for CVS Health job opportunities.
**Anticipated Weekly Hours**
40**Time Type**
Full time**Pay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03/31/2026
Qualified applicants with arrest or conviction records will be considered for employment in accordance with all federal, state and local laws.</t>
        </is>
      </c>
    </row>
    <row r="89">
      <c r="A89" t="inlineStr">
        <is>
          <t>in-dc0ab7531ac9814f</t>
        </is>
      </c>
      <c r="B89" t="inlineStr">
        <is>
          <t>Senior Data Engineer</t>
        </is>
      </c>
      <c r="C89" t="inlineStr">
        <is>
          <t>CVS Health</t>
        </is>
      </c>
      <c r="D89" t="inlineStr">
        <is>
          <t>indeed</t>
        </is>
      </c>
      <c r="E89" t="inlineStr"/>
      <c r="F89" t="inlineStr"/>
      <c r="G89" t="inlineStr">
        <is>
          <t>VA, US</t>
        </is>
      </c>
      <c r="H89" s="2" t="n">
        <v>46050</v>
      </c>
      <c r="I89"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CVS Health is looking for a skilled Senior data engineer to join our DevOps team. The ideal candidate will have a strong background in both security and DevOps practices, with a focus on integrating security into the software development lifecycle (SDLC) and design, implement, and maintain security tools and processes for continuous integration and continuous deployment (CI/CD) environments.This role involves close collaboration with development and IT operations teams to implement automation using the latest AI technologies to enhance the performance and add efficiencies.
 **REQUIRED QUALIFICATIONS**
* 5\+ years of coding experience using Python with expertise in solution and software development.
* 5\+ years in DevOps/MLOps and a deep understanding of software engineering principles.
* 5\+ years of experience in TensorFlow and PyTorch, with additional cloud platform familiarity.
* 5\+ years of experience with cloud computing environment and management of resources.
 **PREFERRED QUALIFICATIONS**
* Proven ability to manage the production lifecycle of an MLOps pipeline.
* Deep understanding of model deployment and serving.
* Experience with orchestration and containerization methodologies.
* Familiarity with model serving tools such as MLflow, Databricks Serving, SageMaker, etc. (TensorFlow Serving is a plus).
* Experience implementing CI/CD pipelines for ML projects.
* Competence in developing automation pipelines (e.g., using GitHub Actions).
* Proficiency in Infrastructure as Code tools (e.g., Terraform, Databricks Asset Bundles,etc).
* Strong understanding of monitoring and observability, including logging tools (e.g., Prometheus, Grafana) and drift detection.
* Extensive experience with Databricks and other development tools in cloud.
**EDUCATION**
Bachelor degree from accredited university or equivalent work experience (HS diploma \+ 4 years relevant experience).
**BUSINESS OVERVIEW**
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We strive to promote and sustain a culture of diversity, inclusion and belonging every day. CVS Health is an affirmative action employer, and is an equal opportunity employer, as are the physician\-owned businesses for which CVS Health provides management services. We do not discriminate in recruiting, hiring, promotion, or any other personnel action based on race, ethnicity, color, national origin, sex/gender, sexual orientation, gender identity or expression, religion, age, disability, protected veteran status, or any other characteristic protected by applicable federal, state, or local law. We proudly support and encourage people with military experience (active, veterans, reservists and National Guard) as well as military spouses to apply for CVS Health job opportunities.
**Anticipated Weekly Hours**
40**Time Type**
Full time**Pay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03/31/2026
Qualified applicants with arrest or conviction records will be considered for employment in accordance with all federal, state and local laws.</t>
        </is>
      </c>
    </row>
    <row r="90">
      <c r="A90" t="inlineStr">
        <is>
          <t>in-db316727ded5c498</t>
        </is>
      </c>
      <c r="B90" t="inlineStr">
        <is>
          <t>Sr. AI Platform Data Engineer, Ring Decision Science, Ring Decision Science</t>
        </is>
      </c>
      <c r="C90" t="inlineStr">
        <is>
          <t>Amazon.com</t>
        </is>
      </c>
      <c r="D90" t="inlineStr">
        <is>
          <t>indeed</t>
        </is>
      </c>
      <c r="E90" t="inlineStr"/>
      <c r="F90" t="inlineStr"/>
      <c r="G90" t="inlineStr">
        <is>
          <t>Hawthorne, CA, US</t>
        </is>
      </c>
      <c r="H90" s="2" t="n">
        <v>46043</v>
      </c>
      <c r="I90" t="inlineStr">
        <is>
          <t>**DESCRIPTION**
---------------
We seek an AI Platform Builder—a Data Engineer focused on developing Platforms and Agentic AI solution—who embraces prompt\-driven development with strong technical, analytical, communication, and stakeholder management skills. This role sits at the intersection of data engineering, business intelligence, and platform engineering—requiring partnership with software development engineers, scientists, data analysts, and business stakeholders across various verticals. You will design, evangelize, and implement platform features and curated datasets that power Artificial Intelligence/Machine Learning (AI/ML) initiatives and self\-service analytics, helping us provide a great neighbor experience at greater velocity.  
This role requires a first\-principles approach to leveraging AI at every layer of the data stack—from using AI agents to write and optimize code, to building AI\-powered platforms that serve AI models, to deploying intelligent agents that make data accessible. You will use AI to build AI infrastructure, automate the automation, and create self\-improving systems that continuously enhance data quality, discoverability, and usability.  
Key job responsibilities  
You will build and maintain efficient, scalable, and privacy/security\-compliant data pipelines, curated datasets for AI/ML consumption, and AI\-native self\-service data platforms using an AI\-first development methodology. As a trusted technical partner to business stakeholders and data science teams, you'll deliver well\-modeled, easily discoverable data optimized for specific use cases while leveraging AI\-powered solutions and agentic frameworks to build continuously improving systems.  
A day in the life  
* Lead AI\-assisted stakeholder engagement sessions across verticals like Subscriptions, Security, Sales, and Marketing
* Design and build curated datasets leveraging AI code generation and Agentic AI tools
* Build and maintain data pipelines using AI\-assisted development with AWS services and internal Amazon tools
This Role will:  
* Implement AI\-powered self\-service platforms with natural language interfaces
* Create intelligent governance systems for data classification, PII detection, and lineage tracking
* Facilitate AI\-augmented workshops for stakeholders to explore data capabilities collaboratively
About the team  
The Analytics \&amp; Science team for Decision Sciences is at the forefront of Ring's transformation into an AI\-powered organization. We address cross\-organizational data models, develop governance frameworks, provide direct Business Intelligence (BI) support across multiple teams, and build customer\-facing and internal AI tools that fundamentally improve how effectively and quickly the organization makes decisions.**BASIC QUALIFICATIONS**
------------------------
* Experience mentoring team members on best practices
* Experience with data modeling, warehousing and building Extract, Transform, and Load (ETL) pipelines for both analytics and ML use cases
* Experience building datasets or features for machine learning models or self\-service analytics
* Extensive hands\-on experience with Generative AI (GenAI) enhanced development pipelines, AI coding assistants, and prompt engineering
* Demonstrated ability to build tools, frameworks, or platforms that enable others
**PREFERRED QUALIFICATIONS**
----------------------------
* Experience operating large data warehouses
* Experience building multi\-agent systems, LangChain/LangGraph applications, or custom AI agent frameworks
* Experience with prompt engineering, Retrieval\-Augmented Generation (RAG) systems, and Large Language Model (LLM) fine\-tuning
* Experience with BI tools (QuickSight, Tableau, Looker) and designing datasets for analytical consumption
* Experience building or contributing to AI\-native self\-service data platforms, feature stores, or intelligent data cataloging 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Hawthorne \- 154,600\.00 \- 209,100\.00 USD annually</t>
        </is>
      </c>
    </row>
    <row r="91">
      <c r="A91" t="inlineStr">
        <is>
          <t>in-a061ac5098c1bb3b</t>
        </is>
      </c>
      <c r="B91" t="inlineStr">
        <is>
          <t>Data Engineer, Global Planning, Amazon Leo</t>
        </is>
      </c>
      <c r="C91" t="inlineStr">
        <is>
          <t>Amazon.com</t>
        </is>
      </c>
      <c r="D91" t="inlineStr">
        <is>
          <t>indeed</t>
        </is>
      </c>
      <c r="E91" t="inlineStr"/>
      <c r="F91" t="inlineStr"/>
      <c r="G91" t="inlineStr">
        <is>
          <t>Arlington, VA, US</t>
        </is>
      </c>
      <c r="H91" s="2" t="n">
        <v>46037</v>
      </c>
      <c r="I91" t="inlineStr">
        <is>
          <t>**DESCRIPTION**
---------------
Amazon Leo is an initiative to increase global broadband access through a constellation of 3,236 satellites in low Earth orbit.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We are looking for a Data Engineer in Leo's Global Planning team to build enterprise\-grade data infrastructure and data assets that will support Leo's Demand Science \&amp; Forecasting models and capacity planning \&amp; simulation systems. You will be responsible to design and implement Data Architecture, using latest AWS services and to develop production level ETL pipelines from external and internal sources / APIs. This role will be instrumental in helping Leo execute on its business plans globally and requires high level of operational excellence with a relentless focus on delivering results.  
Key job responsibilities  
In this role, you will:  
* Develop Leo data products, infrastructure and ETL pipelines to ingest, parse and transform Geospatial datasets from external \&amp; internal APIs using AWS big data technologies (Glue, S3, Redshift, MWAA, EMR, Data Zone, Lambda, etc.)
* Work alongside Data Scientists, Applied Scientists, Software Engineers and Simulation Engineers to develop appropriate data assets for statistical modeling, system integration and capacity simulations
* Improve existing solutions and come up with next generation Leo's Data Architecture to improve scale, quality and performance
* Implement data governance best practices to ensure data accuracy, consistency, and compliance with security and privacy regulations.
* Develop and maintain scripts to automate processes to generate structured datasets for forecasting POR and system inputs, with focus on efficiency and scalability
* Build data dictionary, catalog and governance plan and manage and audit all of the registered data via internal mechanisms
* Provide technical guidance and support to data consumers to leverage Global Planning data assets
Export Control Requirement:  
Due to applicable export control laws and regulations, candidates must be a U.S. citizen or national, U.S. permanent resident (i.e., current Green Card holder), or lawfully admitted into the U.S. as a refugee or granted asylum.  
About the team  
Amazon Leo Global Planning team designs and builds systems that support forecasting, management and optimization of Leo's demand, bandwidth capacity and physical inventory across customer segments and channels, worldwide.**BASIC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\- 132,100\.00 \- 178,800\.00 USD annually  
USA, WA, Bellevue \- 132,100\.00 \- 178,800\.00 USD annually</t>
        </is>
      </c>
    </row>
    <row r="92">
      <c r="A92" t="inlineStr">
        <is>
          <t>in-9f7c54f9490c1605</t>
        </is>
      </c>
      <c r="B92" t="inlineStr">
        <is>
          <t>Data Engineer, Global Planning, Amazon Leo</t>
        </is>
      </c>
      <c r="C92" t="inlineStr">
        <is>
          <t>Amazon.com</t>
        </is>
      </c>
      <c r="D92" t="inlineStr">
        <is>
          <t>indeed</t>
        </is>
      </c>
      <c r="E92" t="inlineStr"/>
      <c r="F92" t="inlineStr"/>
      <c r="G92" t="inlineStr">
        <is>
          <t>Bellevue, WA, US</t>
        </is>
      </c>
      <c r="H92" s="2" t="n">
        <v>46037</v>
      </c>
      <c r="I92" t="inlineStr">
        <is>
          <t>**DESCRIPTION**
---------------
Amazon Leo is an initiative to increase global broadband access through a constellation of 3,236 satellites in low Earth orbit.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We are looking for a Data Engineer in Leo's Global Planning team to build enterprise\-grade data infrastructure and data assets that will support Leo's Demand Science \&amp; Forecasting models and capacity planning \&amp; simulation systems. You will be responsible to design and implement Data Architecture, using latest AWS services and to develop production level ETL pipelines from external and internal sources / APIs. This role will be instrumental in helping Leo execute on its business plans globally and requires high level of operational excellence with a relentless focus on delivering results.  
Key job responsibilities  
In this role, you will:  
* Develop Leo data products, infrastructure and ETL pipelines to ingest, parse and transform Geospatial datasets from external \&amp; internal APIs using AWS big data technologies (Glue, S3, Redshift, MWAA, EMR, Data Zone, Lambda, etc.)
* Work alongside Data Scientists, Applied Scientists, Software Engineers and Simulation Engineers to develop appropriate data assets for statistical modeling, system integration and capacity simulations
* Improve existing solutions and come up with next generation Leo's Data Architecture to improve scale, quality and performance
* Implement data governance best practices to ensure data accuracy, consistency, and compliance with security and privacy regulations.
* Develop and maintain scripts to automate processes to generate structured datasets for forecasting POR and system inputs, with focus on efficiency and scalability
* Build data dictionary, catalog and governance plan and manage and audit all of the registered data via internal mechanisms
* Provide technical guidance and support to data consumers to leverage Global Planning data assets
Export Control Requirement:  
Due to applicable export control laws and regulations, candidates must be a U.S. citizen or national, U.S. permanent resident (i.e., current Green Card holder), or lawfully admitted into the U.S. as a refugee or granted asylum.  
About the team  
Amazon Leo Global Planning team designs and builds systems that support forecasting, management and optimization of Leo's demand, bandwidth capacity and physical inventory across customer segments and channels, worldwide.**BASIC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\- 132,100\.00 \- 178,800\.00 USD annually  
USA, WA, Bellevue \- 132,100\.00 \- 178,800\.00 USD annually</t>
        </is>
      </c>
    </row>
    <row r="93">
      <c r="A93" t="inlineStr">
        <is>
          <t>in-1e63b1f400aa8e9e</t>
        </is>
      </c>
      <c r="B93" t="inlineStr">
        <is>
          <t>Data Engineer, Denied Party Screening, AWS Compliance &amp; Security Assurance</t>
        </is>
      </c>
      <c r="C93" t="inlineStr">
        <is>
          <t>Amazon.com</t>
        </is>
      </c>
      <c r="D93" t="inlineStr">
        <is>
          <t>indeed</t>
        </is>
      </c>
      <c r="E93" t="inlineStr"/>
      <c r="F93" t="inlineStr"/>
      <c r="G93" t="inlineStr">
        <is>
          <t>Dallas, TX, US</t>
        </is>
      </c>
      <c r="H93" s="2" t="n">
        <v>46029</v>
      </c>
      <c r="I93"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94">
      <c r="A94" t="inlineStr">
        <is>
          <t>in-56599992d5a83913</t>
        </is>
      </c>
      <c r="B94" t="inlineStr">
        <is>
          <t>Data Engineer, Denied Party Screening, AWS Compliance &amp; Security Assurance</t>
        </is>
      </c>
      <c r="C94" t="inlineStr">
        <is>
          <t>Amazon.com</t>
        </is>
      </c>
      <c r="D94" t="inlineStr">
        <is>
          <t>indeed</t>
        </is>
      </c>
      <c r="E94" t="inlineStr"/>
      <c r="F94" t="inlineStr"/>
      <c r="G94" t="inlineStr">
        <is>
          <t>Seattle, WA, US</t>
        </is>
      </c>
      <c r="H94" s="2" t="n">
        <v>46029</v>
      </c>
      <c r="I94"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95">
      <c r="A95" t="inlineStr">
        <is>
          <t>in-abdd7996bf0b7155</t>
        </is>
      </c>
      <c r="B95" t="inlineStr">
        <is>
          <t>Sr. Snowflake Data Engineer</t>
        </is>
      </c>
      <c r="C95" t="inlineStr">
        <is>
          <t>Onebridge</t>
        </is>
      </c>
      <c r="D95" t="inlineStr">
        <is>
          <t>indeed</t>
        </is>
      </c>
      <c r="E95" t="inlineStr"/>
      <c r="F95" t="inlineStr"/>
      <c r="G95" t="inlineStr">
        <is>
          <t>Irving, TX, US</t>
        </is>
      </c>
      <c r="H95" s="2" t="n">
        <v>46022</v>
      </c>
      <c r="I95" t="inlineStr">
        <is>
          <t>Onebridge, a Marlabs Company, is a global AI and Data Analytics Consulting Firm that empowers organizations worldwide to drive better outcomes through data and technology. Since 2005, we have partnered with some of the largest healthcare, life sciences, financial services, and government entities across the globe. We have an exciting opportunity for a highly skilled Snowflake Data Engineer to join our innovative and dynamic team.
This role requires onsite work three (3\) days per week in Irving, TX.
**Snowflake Data Engineer \| About You**
As a Sr. Snowflake Data Engineer, you are responsible for designing, building, and optimizing scalable data solutions that serve as trusted sources across the enterprise. You excel at transforming complex, raw data into well‑structured models that support analytics, reporting, and strategic decision‑making. You thrive in fast‑paced, agile environments and enjoy architecting efficient data pipelines within the GCP ecosystem. You collaborate effectively with cross\-functional teams and advocate for high\-quality engineering standards. Your ability to deliver reliable, performant, cloud\-native data solutions makes you a key contributor to the organization's data modernization goals.
**Snowflake Data Engineer** **\| Day\-to\-Day**
* Design, build, and maintain scalable, secure data pipelines using Snowflake and GCP\-native services to support enterprise\-wide data initiatives.
* Partner with business and technical teams to develop well\-modeled, authoritative data sources that support data commercialization and analytics.
* Manage work using Agile tools such as Jira and ServiceNow, participating in sprint ceremonies and contributing to team delivery.
* Modernize and optimize data integration workflows, including deprecating legacy systems and migrating to high\-performing, cloud\-native solutions.
* Collaborate with BI and reporting teams to enable self\-service analytics through tools like Power BI and Sigma, ensuring high data quality and availability.
* Participate in code reviews, documentation, and ongoing process improvements to strengthen engineering standards and team efficiency.
* Enhance reliability, scalability, and performance across Snowflake and GCP through strong engineering discipline and cloud best practices.
**Snowflake Data Engineer** **\| Skills \&amp; Experience**
* 7\+ years of experience in data engineering, data architecture, or related technical roles.
* Deep hands\-on expertise with Snowflake, including performance tuning, data modeling, security, and pipeline optimization.
* Strong experience with Google Cloud Platform (GCP) data services such as Pub/Sub, Dataflow, Cloud Composer, Cloud Storage, and BigQuery (ecosystem familiarity).
* Experience working within Agile environments using tools like Jira and ServiceNow.
* Background in enterprise\-grade data integration, including streaming or messaging systems such as Google Pub/Sub or comparable platforms.
* Working knowledge of Power BI, Sigma, or similar tools to support self\-service analytics.
* Familiarity with Python for data transformations, automation, and collaborating with engineering partners.
* Enthusiasm for AI\-assisted development and experimentation with tools such as Claude Code, Codex, GPT‑5, Climb, Kizer, or Cursor to enhance productivity.</t>
        </is>
      </c>
    </row>
    <row r="96">
      <c r="A96" t="inlineStr">
        <is>
          <t>in-cc058726b6dc8004</t>
        </is>
      </c>
      <c r="B96" t="inlineStr">
        <is>
          <t>Data Engineer</t>
        </is>
      </c>
      <c r="C96" t="inlineStr">
        <is>
          <t>Amazon.com</t>
        </is>
      </c>
      <c r="D96" t="inlineStr">
        <is>
          <t>indeed</t>
        </is>
      </c>
      <c r="E96" t="inlineStr"/>
      <c r="F96" t="inlineStr"/>
      <c r="G96" t="inlineStr">
        <is>
          <t>San Francisco, CA, US</t>
        </is>
      </c>
      <c r="H96" s="2" t="n">
        <v>46001</v>
      </c>
      <c r="I9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in-0ec90f100d9944ff</t>
        </is>
      </c>
      <c r="B97" t="inlineStr">
        <is>
          <t>Data Engineer</t>
        </is>
      </c>
      <c r="C97" t="inlineStr">
        <is>
          <t>Amazon.com</t>
        </is>
      </c>
      <c r="D97" t="inlineStr">
        <is>
          <t>indeed</t>
        </is>
      </c>
      <c r="E97" t="inlineStr"/>
      <c r="F97" t="inlineStr"/>
      <c r="G97" t="inlineStr">
        <is>
          <t>Seattle, WA, US</t>
        </is>
      </c>
      <c r="H97" s="2" t="n">
        <v>46001</v>
      </c>
      <c r="I9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in-85d56f175a9faa34</t>
        </is>
      </c>
      <c r="B98" t="inlineStr">
        <is>
          <t>Delivery Consultant - Data Engineer, Data and Machine Learning, WWPS US Federal</t>
        </is>
      </c>
      <c r="C98" t="inlineStr">
        <is>
          <t>Amazon Web Services</t>
        </is>
      </c>
      <c r="D98" t="inlineStr">
        <is>
          <t>indeed</t>
        </is>
      </c>
      <c r="E98" t="inlineStr"/>
      <c r="F98" t="inlineStr"/>
      <c r="G98" t="inlineStr">
        <is>
          <t>Arlington, VA, US</t>
        </is>
      </c>
      <c r="H98" s="2" t="n">
        <v>45991</v>
      </c>
      <c r="I98"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in-e88c0eabdf81bd64</t>
        </is>
      </c>
      <c r="B99" t="inlineStr">
        <is>
          <t>Delivery Consultant - Data Engineer, Data and Machine Learning, WWPS US Federal</t>
        </is>
      </c>
      <c r="C99" t="inlineStr">
        <is>
          <t>Amazon Web Services</t>
        </is>
      </c>
      <c r="D99" t="inlineStr">
        <is>
          <t>indeed</t>
        </is>
      </c>
      <c r="E99" t="inlineStr"/>
      <c r="F99" t="inlineStr"/>
      <c r="G99" t="inlineStr">
        <is>
          <t>Herndon, VA, US</t>
        </is>
      </c>
      <c r="H99" s="2" t="n">
        <v>45991</v>
      </c>
      <c r="I99"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in-483adcf2e7d39c41</t>
        </is>
      </c>
      <c r="B100" t="inlineStr">
        <is>
          <t>Analytics Engineer</t>
        </is>
      </c>
      <c r="C100" t="inlineStr">
        <is>
          <t>OpenAI</t>
        </is>
      </c>
      <c r="D100" t="inlineStr">
        <is>
          <t>indeed</t>
        </is>
      </c>
      <c r="E100" t="inlineStr"/>
      <c r="F100" t="inlineStr"/>
      <c r="G100" t="inlineStr">
        <is>
          <t>San Francisco, CA, US</t>
        </is>
      </c>
      <c r="H100" s="2" t="n">
        <v>45911</v>
      </c>
      <c r="I100" t="inlineStr">
        <is>
          <t>Careers
Analytics Engineer
Data Science \- San Francisco
About the Role
As an early member of our Data team within the Go\-To\-Market (GTM) organization, you will play a pivotal role in building a data\-centric culture, enhancing decision\-making processes, and driving strategic initiatives through analytics. This role involves a variety of projects aimed at developing canonical data sources and dashboards that enable the business to derive trustworthy, actionable insights. Most importantly, you should expect to be a core member of the GTM team, helping to bring our technology to a wide range of customers and supporting our self serve and sales led motions.
This role is based in San Francisco, CA. We use a hybrid work model of 3 days in the office per week and offer relocation assistance to new employees.
**In this role, you will:**  
Embed with the GTM team as a trusted partner, identifying high\-impact analytics problems and pioneering data\-driven solutions.
Establish a data\-driven culture by driving the definition, tracking, and operationalizing of metrics
Manage cross\-functional data projects about revenue, pricing, sales, product, marketing, growth, and other topics core to the business.
Create scalable pipelines for data collection, cleaning, and analysis from multiple sources, and manage the lifecycle of metrics and models from prototyping to production.
Develop and refine tools such as dashboards and reports that empower the team to extract and analyze data independently.
Conduct analyses to uncover insights and inform key decisions.
Use presentations, memos, and tools to communicate complex data insights clearly and persuasively across the organization.
**You might thrive in this role if you are/have:**  
Over 10 years of experience in a relevant Data role within dynamic, outcome\-driven organizations.
Highly skilled in SQL, with extensive experience extracting large datasets and designing ETL workflows.
Proficient in quantitative programming languages, Python preferred.
Experienced in using business intelligence tools, such as Tableau and Looker, to communicate insights and enable self\-serve.
Familiar with advanced custom visualizations, such as streamlit and plotly dash.
Adept at crafting clear data stories using decks, memos, and dashboards to drive decision\-making at every level.
Best\-in\-class attention to detail and unwavering commitment to accuracy.
Demonstrated ability to build effective partnerships across diverse teams and influence decision making with data.
Proven track record of delivering significant business impact, with a solid track record in Sales, Marketing, Finance, Growth, Support, or other GTM\-related areas preferred.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 No response will be provided to inquiries unrelated to job posting compliance.
We are committed to providing reasonable accommodations to applicants with disabilities.
OpenAI Global Applicant Privacy Policy
At OpenAI, we believe artificial intelligence has the potential to help people solve immense global challenges, and we want the upside of AI to be widely shared. Join us in shaping the future of technology.
Compensation
$270K – $340K \+ Offers Equity</t>
        </is>
      </c>
    </row>
    <row r="101">
      <c r="A101" t="inlineStr">
        <is>
          <t>in-4f6258f3f12257ae</t>
        </is>
      </c>
      <c r="B101" t="inlineStr">
        <is>
          <t>Staff Engineer II - Senior Data Engineer</t>
        </is>
      </c>
      <c r="C101" t="inlineStr">
        <is>
          <t>Western Alliance Bank</t>
        </is>
      </c>
      <c r="D101" t="inlineStr">
        <is>
          <t>indeed</t>
        </is>
      </c>
      <c r="E101">
        <f>HYPERLINK("https://www.indeed.com/viewjob?jk=4f6258f3f12257ae", "https://www.indeed.com/viewjob?jk=4f6258f3f12257ae")</f>
        <v/>
      </c>
      <c r="F101">
        <f>HYPERLINK("https://westernalliancebank.wd5.myworkdayjobs.com/en-US/WAB/job/Phoenix-AZ/Staff-Engineer-II---Senior-Data-Engineer_R12333", "https://westernalliancebank.wd5.myworkdayjobs.com/en-US/WAB/job/Phoenix-AZ/Staff-Engineer-II---Senior-Data-Engineer_R12333")</f>
        <v/>
      </c>
      <c r="G101" t="inlineStr">
        <is>
          <t>Phoenix, AZ, US</t>
        </is>
      </c>
      <c r="H101" s="3" t="n">
        <v>46050</v>
      </c>
      <c r="I101" t="inlineStr">
        <is>
          <t>Job Title:
Staff Engineer II \- Senior Data Engineer
Location:
Block 23
What you'll do:
As a Staff Engineer II, you'll provide expertise in a suite of technical tools and products in a given domain to ensure solutions are safe, secure, compliant and reliable. You'll identify develop and support needs, as well as taking on design responsibilities supporting project tasks. AS the Staff Engineer, II, you'll facilitate dialogue and activities to ensure team collaboration including teams outside of your domain. You'll develop effective presentations and narratives for their teams.  
As the Staff Data Engineer II, you are critical engineer in a continuous delivery team dedicated to providing integrated data flows, data warehousing and analytic ecosystem across our Western Alliance Bank business lines. You are the technical expert in a high\-performing centralized team of data engineers, data analysts and QA engineers. You champion data quality and discipline in the full data lifecycle. You must demonstrate strong technical mastery as well as an ability to collaborate and communicate with both technical team members and business stakeholders. You partner closely with enterprise architects to understand and implement solutions based on the recommended Azure Cloud data architecture and capabilities. You are required to know and/or learn modern automation and integration methods and tools, with Cloud\-First design patterns, frameworks, critical thinking, and problem\-solving skills. Being knowledgeable and up to date in the data integration and analytics trends in the industry is a differentiator in your role.* Lead the strategic planning of a project as it relates to technical solution design.
* Design and implement engineering principles aimed at reliability practices and sound recovery procedures.
* Design transaction specific application performance monitoring metrics that can be captured and passed to business partners.
* Develop and maintain technical documentation, including system configurations and procedures while also ensuring compliance with IT policies, procedures, and industry standards. Develop desktop procedures when needed that others follow.
* Implement data engineering solutions that satisfy the full data lifecycle including efficient technical hygiene and the use of Azure DevOps for the implementation of the Western Alliance Bank Regulatory Reporting and Analytics strategy and roadmap.
* Develop ETL and data pipeline capabilities considering how data is created, transformed, maintained, stored, archived, analyzed, and shared across Western Alliance Bank and our partners.
* Implement Azure DevOps CI/CD pipelines in accordance with Western Alliance Bank technical standards.
* Implement data governance and data quality controls in all data solutions in accordance with enterprise standards.
* Apply Test Driven Development methodology to all data solution design and implementations.
* Implement methods to include unstructured data and big data.
* Lead the implementation of outcomes, recommendations, and designs from Data Governance and Enterprise Architecture.
* Actively participate in making data architecture decisions.
* Collaborate with product owners and business stakeholders to gain a working understanding of business requirements and operational processes.
* Provide technical mentorship to team members and other data professionals.
* As needed, perform data exploration and data profiling with tools such as Informatica Intelligent Data Management Cloud and/or SPSS.
What you'll need:* 7\+ years’ experience with data engineering specifically in Extract, Transform and Load (ETL) concepts and processes, enterprise data warehouse capabilities, database principles, and other related tools and technologies; preferably strong to expert in Azure Data Factory and/or Databricks.
* 2\+ years’ experience designing, implementing, and supporting cloud data solutions; Azure Data Lake, Azure Data Factory, Azure Data Services, Azure Synapse, Azure Logic Apps, and Azure DevOps experience preferred.
* Bachelor’s degree in engineering or related field or equivalent experience in data management and/or data analytics.
* Previous leadership experience preferred.
* Intermediate to advanced knowledge of general Financial Services or Banking is preferred.
* Advanced knowledge of applicable regulatory and legal compliance obligations, rules and regulations, industry standards and practices.
* Advanced proven experience in leading cross\-functional teams and managing multiple projects simultaneously. Additional experience with pipeline development and leveraging Azure DevOps while working on multiple projects simultaneously.
* Advanced ability to see the big picture and align projects with organizational goals. Capable of leading and motivating cross\-functional teams. Expertise in resolving conflicts and addressing challenges as well as skilled at identifying and mitigating risks at the project level. Proficient in governance patterns tied to intake, technical reviews and architectural compliance.
* Expert level experience with at least one RDBMS and query language such as T\-SQL, PL/SQL, Spark SQL.
* Experience in conceptual, logical, and physical data design.
* Experience with design tools as it relates to creating conceptual architecture diagrams and data flow diagrams such as Visio, Archimate, Lucid Chart.
* Familiarity with data science and analytics tools such as SAS, Tableau, PowerBI.
* Familiarity with multi\-cloud data management and transformation platforms or tools such as Databricks, Snowflake, Matillion, etc.
* Experience in Agile, SAFe, and/or Scrum is preferred.
* Experience integrating with data quality, data catalog and data lineage tools is preferred.
* Certifications within Azure such as Azure Fundamentals, Azure Data Engineer, Azure Data Scientist, and/or Azure DevOps Engineer is preferred.
* Banking or financial services industry experience or other highly regulated industry experience.
* Experience implementing Large Financial Institution (LFI) Regulatory Reporting data solutions is preferred.
* Advanced speaking and writing communication skills.
* May require up to 25% travel.
Benefits you’ll love:  
We offer all the important things you'd want — like competitive salaries, an ownership stake in the company, medical and dental insurance, time off, a great 401k matching program, tuition assistance program, an employee volunteer program, and a wellness program. In addition, you’ll have the opportunity to bolster your business knowledge, learning the ins and outs of how successful companies operate and manage their finances, giving you invaluable hands\-on experience to help grow your career!
About the company:
Western Alliance Bank is a wholly owned subsidiary of Western Alliance Bancorporation. Alliance Bank of Arizona, Alliance Association Bank, Bank of Nevada, Bridge Bank, First Independent Bank, and Torrey Pines Bank are divisions of Western Alliance Bank; Member FDIC. AmeriHome Mortgage is a Western Alliance Bank company.
Western Alliance Bancorporation is committed to equal employment and will consider all qualified applicants without regard to race, sex, color, religion, age, nation origin, marital status, disability, protected veteran status, sexual orientation, gender identity or genetic information. Western Alliance Bancorporation is committed to working with and providing reasonable accommodations for individuals with disabilities. If you are an individual with a disability and require a reasonable accommodation to complete any part of the application process and/or need an alternative method of applying, please email HR@westernalliancebank.com or call 602\-386\-2488\. When contacting us, please provide your contact information and state the nature of your accessibility issue. We will only respond to inquiries concerning requests that involve a reasonable accommodation in the application process.
© Western Alliance Bancorporation</t>
        </is>
      </c>
    </row>
    <row r="102">
      <c r="A102" t="inlineStr">
        <is>
          <t>in-0ceda73f41d324e5</t>
        </is>
      </c>
      <c r="B102" t="inlineStr">
        <is>
          <t>Principal Data Engineer</t>
        </is>
      </c>
      <c r="C102" t="inlineStr">
        <is>
          <t>Empirx Health</t>
        </is>
      </c>
      <c r="D102" t="inlineStr">
        <is>
          <t>indeed</t>
        </is>
      </c>
      <c r="E102">
        <f>HYPERLINK("https://www.indeed.com/viewjob?jk=0ceda73f41d324e5", "https://www.indeed.com/viewjob?jk=0ceda73f41d324e5")</f>
        <v/>
      </c>
      <c r="F102">
        <f>HYPERLINK("https://workforcenow.adp.com/mascsr/default/mdf/recruitment/recruitment.html?cid=443e85e1-8bb3-4959-a05a-7e75939f9885&amp;ccId=9201285461928_3&amp;jobId=569548&amp;jwId=9201285461928_1&amp;source=IN&amp;lang=en_US", "https://workforcenow.adp.com/mascsr/default/mdf/recruitment/recruitment.html?cid=443e85e1-8bb3-4959-a05a-7e75939f9885&amp;ccId=9201285461928_3&amp;jobId=569548&amp;jwId=9201285461928_1&amp;source=IN&amp;lang=en_US")</f>
        <v/>
      </c>
      <c r="G102" t="inlineStr">
        <is>
          <t>US</t>
        </is>
      </c>
      <c r="H102" s="3" t="n">
        <v>46050</v>
      </c>
      <c r="I102" t="inlineStr">
        <is>
          <t>**Principal Data Engineer**
EmpiRx Health is the leading clinically\-driven pharmacy benefits management company. As the pioneer in value\-based pharmacy care, EmpiRx Health puts its customers and members first by enabling them to take control of their pharmacy benefits, healthcare outcomes, and financial results.  
We place more emphasis on member care than any other PBM by focusing on health outcomes first. Our pharmacists and clinicians are at the center of everything we do―and our population health solution delivers tailored strategies for our clients. Leveraging our newly launched, AI\-powered pharmacy care platform, Clinically*™*, EmpiRx Health’s pharmacists and client experience teams provide the highest quality pharmacy care to our clients and their members. This enables benefits plan sponsors to keep their members healthy, happy, and productive, while substantially reducing prescription drug spending, which has been on an explosive growth trajectory in recent years.  
EmpiRx Health is in unprecedented growth The Principal Data Engineer is a senior, hands\-on technical leader responsible for designing, building, and evolving EmpiRx Health’s finance\-critical data ecosystem. This role works cross\-functionally with engineering, finance, product, and business leaders while remaining deeply embedded within a small, agile delivery team supporting our Finance organization. The role plays a key part in improving team agility, delivery discipline, and overall execution effectiveness.  
This position balances direct technical ownership of mission\-critical financial data pipelines while collaborating with cross\-functional leadership to define data architecture, establish engineering standards, and drive engineering excellence, ensuring data solutions are accurate, scalable, reliable, and tightly aligned with business outcomes. **Key Responsibilities:** **Rec****Technical Leadership \&amp; Architecture*** Own the technical direction of finance\-centric data engineering solutions, with deep responsibility for Databricks and Oracle based integrations.
* Lead the design and evolution of scalable ELT/ETL pipelines and data platforms using Databricks and Python.
* Help define and uphold data engineering standards, patterns, and best practices across the organization.
* Make architectural decisions that balance long\-term platform health with practical delivery constraints.
* Advance organizational data maturity through improvements in reliability, observability, and platform discipline.
 **Delivery \&amp; Execution*** Operate as a senior individual contributor, leading by example through daily hands\-on design, implementation, problem solving, and technical decision\-making.
* Actively contributes to improving team agility, delivery flow, and execution discipline by strengthening engineering practices, technical hygiene, and collaboration.
* Partner with Product Owners and Scrum Masters to identify delivery impediments, reduce friction, and continuously improve how the team plans, executes, and ships work.
* Own the end\-to\-end lifecycle of finance\-critical data pipelines, including ingestion, transformation, validation, delivery, and operational support.
* Design and build robust, scalable integrations between Databricks, Oracle, and downstream platforms supporting finance, operations, and client deliverables.
* Ensure the production of high\-quality, compliant data extracts for internal teams, clients, vendors, and partners.
* Continuously monitor data reliability, performance, and quality; proactively identify risks and drive corrective actions.
* Serve as a primary technical partner to Finance and business stakeholders, translating complex requirements into effective, maintainable solutions.
* Contribute directly to sprint execution within a small agile delivery team while also shaping broader data engineering practices across the organization.
 **Collaboration \&amp; Influence*** Work closely with Finance leadership and business partners to understand requirements, translate needs into technical solutions, and drive adoption.
* Collaborate with data engineering leadership, application engineering, analytics, and product teams to ensure data solutions are aligned with platform strategy and business goals.
* Mentor and guide engineers through technical leadership, knowledge sharing, and architectural coaching (without direct people management responsibility).
* Contribute to cross\-team alignment on data modeling, integration patterns, and platform evolution.
 **Required Qualifications \&amp; Experience:*** Bachelor’s degree in computer science or related field.
* 10\+ years of professional experience in data engineering or related roles.
* 3\+ years of hands\-on experience building solutions in Databricks using Python and notebooks.
* Strong experience integrating with Oracle and other RDBMS platforms.
* Proven ownership of complex data pipelines and business\-critical integrations.
* Demonstrated ability to operate as a senior individual contributor with broad organizational influence.
* Excellent communication, collaboration, and stakeholder\-engagement skills.
* Strong analytical, problem\-solving, and execution discipline.
 **Preferred Qualifications:*** Experience supporting financial systems and enterprise finance organizations.
* Healthcare or PBM domain experience.
* Expertise with Delta Lake, data modeling, data quality frameworks, and data observability patterns
 **Work Environment:** Remote **Benefits And Perks**
Subject to program eligibility, this position qualifies for a robust suite of benefits including Paid Time Off, a 401(k) program, Health Insurance including Dental \&amp; Vision coverage, Student Loan Reimbursement, Health Savings Account, and an Employee Assistance Program. **EmpiRx Health is an Equal Opportunity Employer**
At EmpiRx Health, we wholeheartedly embrace the power of diversity and the magic of inclusion. The kaleidoscope of unique perspectives, backgrounds, and talents fuels our innovation and sets us apart. We're on a mission to build a team as diverse as the world we serve, where everyone is welcome and celebrated. We're not just breaking down barriers; we're actively erasing them to create an environment where opportunity knows no bounds. In unity, we find our strength and invite individuals from all walks of life to join us in our exhilarating journey to shape a brighter, more inclusive future together.  
Note: This job description is a general outline of responsibilities and qualifications for the role. Additional duties may be assigned, and the position may evolve to meet the organization's needs</t>
        </is>
      </c>
    </row>
    <row r="103">
      <c r="A103" t="inlineStr">
        <is>
          <t>in-3dbf63d8de92c968</t>
        </is>
      </c>
      <c r="B103" t="inlineStr">
        <is>
          <t>Senior Lead Data Engineer</t>
        </is>
      </c>
      <c r="C103" t="inlineStr">
        <is>
          <t>Information Technology Senior Management Forum</t>
        </is>
      </c>
      <c r="D103" t="inlineStr">
        <is>
          <t>indeed</t>
        </is>
      </c>
      <c r="E103">
        <f>HYPERLINK("https://www.indeed.com/viewjob?jk=3dbf63d8de92c968", "https://www.indeed.com/viewjob?jk=3dbf63d8de92c968")</f>
        <v/>
      </c>
      <c r="F103">
        <f>HYPERLINK("https://jobs.itsmfleaders.org/job/efjmrq/senior-lead-data-engineer/mclean/va", "https://jobs.itsmfleaders.org/job/efjmrq/senior-lead-data-engineer/mclean/va")</f>
        <v/>
      </c>
      <c r="G103" t="inlineStr">
        <is>
          <t>McLean, VA, US</t>
        </is>
      </c>
      <c r="H103" s="3" t="n">
        <v>46050</v>
      </c>
      <c r="I103" t="inlineStr">
        <is>
          <t>Posted Date
1/29/2026
Description
Senior Lead Data Engineer**Do you love building and pioneering in the technology space? Do you enjoy solving complex business problems in a fast\-paced, collaborative,****inclusive, and iterative delivery environment? At Capital One, you'll be part of a big group of makers, breakers, doers and disruptors, who solve real problems and meet real customer needs. We are seeking** **Data Engineers** **who are passionate about the data, data design and building information systems with emerging technologies. As a Capital One Senior Lead Data Engineer, you’ll have the opportunity to be on the forefront of driving a major transformation within Capital One.**
**The Cloud Operations Resilience Engineering (CORE) Technology division is responsible for enabling and evolving Capital One’s foundational cloud infrastructure layer, including observability, connectivity, resilience and availability.**
**What You’ll Do:**
* **Collaborate with and across Agile teams to design, develop, test, implement, and support technical solutions using data movement tools and technologies**
* **Work, as a lead developer, with a team of developers with deep experience in data movement, distributed computing, and full stack systems**
* **Utilize programming languages like Python, SQL and Open Source RDBMS and NoSQL databases and Cloud based data warehousing services such as Snowflake**
* **Optimize information system for end\-user and downstream application consumers by using sound data design practices**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6 years of experience in application development (Internship experience does not apply)**
* **At least 2 years of experience in big data technologies**
* **At least 1 year experience with cloud computing (AWS, Microsoft Azure, Google Cloud)**
**Preferred Qualifications:**
* **Master's Degree**
* **9\+ years of experience in application development including Python, SQL, Spark, ETL tools, AWS Glue**
* **4\+ years of experience with a public cloud (AWS, Microsoft Azure, Google Cloud)**
* **5\+ years experience with Distributed data/computing tools (MapReduce, Hadoop, Hive, EMR, Kafka, Spark,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**4\+ years experience with data modeling for data warehousing**
* **2\+ years of experience with Agile engineering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Lead Data Engineer  
New York, NY: $250,800 \- $286,200 for Sr. Lead Data Engineer  
Richmond, VA: $209,000 \- $238,500 for Sr. Lead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Lead Data Engineer**Do you love building and pioneering in the technology space? Do you enjoy solving complex business problems in a fast\-paced, collaborative,****inclusive, and iterative delivery environment? At Capital One, you'll be part of a big group of makers, breakers, doers and disruptors, who solve real problems and meet real customer needs. We are seeking** **Data Engineers** **who are passionate about the data, data design and building information systems with emerging technologies. As a Capital One Senior Lead Data Engineer, you’ll have the opportunity to be on the forefront of driving a major transformation within Capital One.**
**The Cloud Operations Resilience Engineering (CORE) Technology division is responsible for enabling and evolving Capital One’s foundational cloud infrastructure layer, including observability, connectivity, resilience and availability.**
**What You’ll Do:**
* **Collaborate with and across Agile teams to design, develop, test, implement, and support technical solutions using data movement tools and technologies**
* **Work, as a lead developer, with a team of developers with deep experience in data movement, distributed computing, and full stack systems**
* **Utilize programming languages like Python, SQL and Open Source RDBMS and NoSQL databases and Cloud based data warehousing services such as Snowflake**
* **Optimize information system for end\-user and downstream application consumers by using sound data design practices**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6 years of experience in application development (Internship experience does not apply)**
* **At least 2 years of experience in big data technologies**
* **At least 1 year experience with cloud computing (AWS, Microsoft Azure, Google Cloud)**
**Preferred Qualifications:**
* **Master's Degree**
* **9\+ years of experience in application development including Python, SQL, Spark, ETL tools, AWS Glue**
* **4\+ years of experience with a public cloud (AWS, Microsoft Azure, Google Cloud)**
* **5\+ years experience with Distributed data/computing tools (MapReduce, Hadoop, Hive, EMR, Kafka, Spark,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**4\+ years experience with data modeling for data warehousing**
* **2\+ years of experience with Agile engineering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Lead Data Engineer  
New York, NY: $250,800 \- $286,200 for Sr. Lead Data Engineer  
Richmond, VA: $209,000 \- $238,500 for Sr. Lead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229,900\.00 \- 262,400\.00 Annual
Type
Full\-time</t>
        </is>
      </c>
    </row>
    <row r="104">
      <c r="A104" t="inlineStr">
        <is>
          <t>in-421248bee68e44ee</t>
        </is>
      </c>
      <c r="B104" t="inlineStr">
        <is>
          <t>Senior Manager of Data Engineering</t>
        </is>
      </c>
      <c r="C104" t="inlineStr">
        <is>
          <t>ReUp Education</t>
        </is>
      </c>
      <c r="D104" t="inlineStr">
        <is>
          <t>indeed</t>
        </is>
      </c>
      <c r="E104">
        <f>HYPERLINK("https://www.indeed.com/viewjob?jk=421248bee68e44ee", "https://www.indeed.com/viewjob?jk=421248bee68e44ee")</f>
        <v/>
      </c>
      <c r="F104">
        <f>HYPERLINK("https://ats.rippling.com/reup-education/jobs/849dcfd2-7f7c-48b9-9600-52fab2dd2e7a?jobSite=Indeed", "https://ats.rippling.com/reup-education/jobs/849dcfd2-7f7c-48b9-9600-52fab2dd2e7a?jobSite=Indeed")</f>
        <v/>
      </c>
      <c r="G104" t="inlineStr">
        <is>
          <t>Austin, TX, US</t>
        </is>
      </c>
      <c r="H104" s="3" t="n">
        <v>46051</v>
      </c>
      <c r="I104" t="inlineStr">
        <is>
          <t>### **What we do**
* Founded in 2015, ReUp Education is the only organization that focuses exclusively on helping colleges and universities engage and re\-enroll the more than 40 million US residents who have “stopped out” and support them until graduation, through our patented technology\-enabled service. To date, we have re\-enrolled over 57,000 students for our university partners. As of July 2025, ReUp Education partners with 140 active schools and a total of 1\.78 million learners. To date, ReUp Education has helped 7,960 learners graduate. Today we build regional marketplaces to connect the supply of educational opportunities with the demand for skilled and credentialed workforce professionals.
 **About the role**
* ReUp Education is looking for a Senior Manager of Data Engineering to help us empower more adult learners and educational institutions by leading a team that ingests, transforms, stores, and provides access to the data powering our products and services. This is both a people leadership and technical delivery role, ideal for someone who enjoys coaching engineers and doing hands\-on work as needed in a fast\-paced, mission\-driven environment. You will work closely with cross\-functional partners to translate business, client, and learner requirements into technical solutions for a rapidly growing company.
**What you'll do**
* Lead, manage, and develop a team of data engineers, fostering a culture of technical excellence, independence, collaboration, and accountability.
* Create and execute a Data Engineering roadmap that helps ReUp to achieve its goals.
* Partner with technology, analytics, finance, B2B, and B2C teams to define data requirements, and design and develop solutions that drive value for ReUp’s clients and learners.
* Oversee the design, development, testing, implementation, maintenance, and continuous improvement of data pipelines and warehouses that ingest, transform, store, and provide access to student and institutional data to power business intelligence products, ML models, cloud\-based web applications, and marketing and coaching services.
* Champion automation, observability, and performance to ensure ReUp’s pipeline efficiently and reliably delivers quality data to end users.
* Proactively identify, triage, and resolve data quality and availability issues through root\-cause analysis, remediation, monitoring, and cross\-functional collaboration.
* Define and monitor SLAs for data quality, workflow status and runtime, incident response and resolution time, and team velocity.
* Define and implement data engineering standards and best practices.
* Support data security, compliance, and governance initiatives.
**Qualifications**
*Research shows that women and people from underrepresented groups often only apply to jobs if they meet all of the qualifications. However, no one ever meets 100% of the qualifications. ReUp encourages you to break that statistic and to apply. We look forward to your application.*
* 6\+ years of data engineering experience.
* 3\+ years of experience managing a high\-performing data engineering team.
* Experience developing and maintaining large\-scale data pipelines and warehouses in a production environment.
* Strong fluency in SQL and Python.
* Experience working with cloud data platforms such as AWS, and data warehouses such as Redshift or Snowflake.
* Experience working with orchestration tools such as Airflow, and data integration tools such as Stitch or CData.
* Experience working with version control tools such as GitHub.
* Bachelor’s degree in Computer Science, Engineering, Data Science, Mathematics, or a related technical discipline.
* Strong communication, collaboration, and problem solving skills.
* + Nice to haves:
	+ - Experience syncing data to and from Salesforce, Iterable, and/or cloud\-based web applications.
		- Experience developing a curated data layer for data visualization tools such as Tableau.
		- Experience developing, deploying, and maintaining AI/ML models in production.
		- Experience with Agile engineering practices.
		- Experience working in higher education, education technology, and/or a startup.
**Benefits**
* Medical, dental, and vision insurance for employees
* + We pay 100% of the employee's premium and 50% of any dependents' premiums
	+ Contribute up to $1000 to employee HSA/$2000 to employee \+ dependent HSA
	+ PPO Buy\-up plan available
	+ FSA available
* Company paid short\-term disability, long\-term disability, and life insurance for employee
* Flexible time off and remote work opportunity
* Up to 80 hours of dedicated sick time annually to support your well\-being and work\-life balance
* 15 paid holidays per year (including Juneteenth and the last week of the calendar year)
* Company wellness days (2 per year)
* Day of Service (Paid day for volunteering)
* 401(k) plan
* Paid parental leave (12 weeks primary parental leave, 6 weeks secondary parental leave)
* A diverse team that fosters a high level of collaboration despite being highly distributed
### **Location**
* This hybrid role combines the best of both worlds: in\-person collaboration in our Austin, TX office for 2\-3 days per week, and the flexibility of remote work.
### **Company Culture**
REDEFINE THE POSSIBLE \* INNOVATE WITH PURPOSE \* RESILIENT BY DESIGN \* ACHIEVE BEYOND EXPECTATIONS \* THRIVE TOGETHER
At ReUp, our values guide everything we do. We **redefine the possible** by bringing energy, boldness, and vision to every challenge, breaking barriers and delivering outcomes that redefine success. We **innovate with purpose**, developing impactful solutions that inspire our partners, learners, and teams—always rooted in balance, authentic collaboration, and integrity. We are **resilient by design**, empowering learners, teams, and organizations to adapt, grow, and lead with strength in a changing world. We **achieve beyond expectations** by harnessing the power of data and evidence\-based strategies to deliver measurable, outsized results that create lasting impact for all stakeholders. And we **thrive together**, believing that through collective action, opportunities are not finite and limited but expandable, creating an ecosystem of growth and collaboration.
ReUp Education is an equal\-opportunity employer. Our company values diversity and believes diverse teams make innovation possible. We encourage all qualified applicants from any race, color, religion, sex, gender identity, sexual orientation, national origin, disability status, protected veteran status, or other characteristics to apply.
 *We are unable to offer visa sponsorship or work authorization transfers for this position. Applicants must have the legal right to work in the United States without the need for employer sponsorship*
 **The pay range for this role is:**  
140,000 \- 150,000 USD per year(Austin, TX)</t>
        </is>
      </c>
    </row>
    <row r="105">
      <c r="A105" t="inlineStr">
        <is>
          <t>in-f658d61df402301c</t>
        </is>
      </c>
      <c r="B105" t="inlineStr">
        <is>
          <t>Sr Data Engineer With Strong Python and Pyspark Only Locals to CA</t>
        </is>
      </c>
      <c r="C105" t="inlineStr">
        <is>
          <t>Deltasoft Solutions LLC</t>
        </is>
      </c>
      <c r="D105" t="inlineStr">
        <is>
          <t>indeed</t>
        </is>
      </c>
      <c r="E105">
        <f>HYPERLINK("https://www.indeed.com/viewjob?jk=f658d61df402301c", "https://www.indeed.com/viewjob?jk=f658d61df402301c")</f>
        <v/>
      </c>
      <c r="F105">
        <f>HYPERLINK("https://deltasoft-solutions-llc.careerplug.com/j/02vefy2", "https://deltasoft-solutions-llc.careerplug.com/j/02vefy2")</f>
        <v/>
      </c>
      <c r="G105" t="inlineStr">
        <is>
          <t>San Francisco, CA, US</t>
        </is>
      </c>
      <c r="H105" s="3" t="n">
        <v>46051</v>
      </c>
      <c r="I105" t="inlineStr">
        <is>
          <t>**Benefits:**
* 401(k)
* 401(k) matching
* Bonus based on performance
Sr Data Engineer Needed with Strong Python and Pyspark  
Duration: 12 Months\+  
Sr Data Engineer.  
Strong Python and Pyspark  
Good with Data Structures and algorithms  
Needed Only Local to bay area  
1 day onsite a must  
15\+yrs experience required  
**Responsibilities**  
? Develop and enhance data\-processing, orchestration, monitoring, and more by leveraging popular open\-source software, AWS, and GitLab automation.  
? Collaborate with product and technology teams to design and validate the capabilities of the data platform  
? Identify, design, and implement process improvements: automating manual processes, optimizing for usability, re\-designing for greater scalability  
? Provide technical support and usage guidance to the users of our platform’s services.  
? Drive the creation and refinement of metrics, monitoring, and alerting mechanisms to give us the visibility we need into our production services.  
**Qualifications**  
? Experience building and optimizing data pipelines in a distributed environment  
? Experience supporting and working with cross\-functional teams..  
? Proficiency working in Linux environment  
? working knowledge of SQL, Python, and PySpark  
? Git/Bitbucket, Jenkins/CodeBuild, CodePipeline  
**Thanks \&amp; Regards**
**Bhanu Prakash**
**DeltaSoft Solutions**
**bhanu.prakash@deltasoftgroup.com**
Flexible work from home options available.</t>
        </is>
      </c>
    </row>
    <row r="106">
      <c r="A106" t="inlineStr">
        <is>
          <t>in-45a5ac9e2a89c429</t>
        </is>
      </c>
      <c r="B106" t="inlineStr">
        <is>
          <t>Data Engineer</t>
        </is>
      </c>
      <c r="C106" t="inlineStr">
        <is>
          <t>UPS</t>
        </is>
      </c>
      <c r="D106" t="inlineStr">
        <is>
          <t>indeed</t>
        </is>
      </c>
      <c r="E106">
        <f>HYPERLINK("https://www.indeed.com/viewjob?jk=45a5ac9e2a89c429", "https://www.indeed.com/viewjob?jk=45a5ac9e2a89c429")</f>
        <v/>
      </c>
      <c r="F106">
        <f>HYPERLINK("https://www.jobs-ups.com/us/en/job/UPBUPSGLOBALR26002874EXTERNALENUS/Data-Engineer?utm_source=indeed&amp;utm_medium=phenom-feeds", "https://www.jobs-ups.com/us/en/job/UPBUPSGLOBALR26002874EXTERNALENUS/Data-Engineer?utm_source=indeed&amp;utm_medium=phenom-feeds")</f>
        <v/>
      </c>
      <c r="G106" t="inlineStr">
        <is>
          <t>Alpharetta, GA, US</t>
        </is>
      </c>
      <c r="H106" s="3" t="n">
        <v>46050</v>
      </c>
      <c r="I106" t="inlineStr">
        <is>
          <t>**Before you apply to a job, select your language preference from the options available at the top right of this page.**
Explore your next opportunity at a Fortune Global 500 organization. Envision innovative possibilities, experience our rewarding culture, and work with talented teams that help you become better every day. We know what it takes to lead UPS into tomorrow—people with a unique combination of skill \+ passion. If you have the qualities and drive to lead yourself or teams, there are roles ready to cultivate your skills and take you to the next level.
**Job Description:**
JOB SUMMARY  
This position develops batch and real\-time data pipelines utilizing various data analytics processing frameworks in support of Data Science and Machine Learning practices and analytics. This position assists in the integration of data from various data sources, both internal and external. This position performs extract, transform, load (ETL) data conversions, and facilitates data cleansing and enrichment as well as performs full systems life cycle management activities, such as analysis, technical requirements, design, coding, testing, implementation of systems and applications software. This position assists in synthesizing disparate data sources to create reusable and reproducible data assets. This position requires strong capability to build data assets for analytics and assists the Data Science community working through analytical model feature tuning.
RESPONSIBILITIES  
* Contributes to data engineering projects and builds solutions by leveraging a foundational knowledge in software/application development, literate in the programming languages used for statistical modeling and analysis, data warehousing and Cloud solutions, and building data pipelines.
* Collaborates effectively, produces data engineering documentation, gathers requirements, organizes data and defines the scope of a project.
* Performs data analysis and presents findings to the stakeholders to support business needs.
* Participates in the integration of data for data engineering projects.
* Understands and utilizes analytic reporting tools and technologies.
* Assists with data engineering maintenance and support.
* Assists in defining the data interconnections between organizations’ operational and business functions.
* Assists in backup and recovery and utilizes technology solutions to perform POC analysis.
QUALIFICATIONS  
Requirements:  
* Understanding of database systems and data warehousing solutions.
* Understanding of data life cycle stages \- data collection, transformation, analysis, storing the data securely, providing data accessibility
* Understanding of the data environment to ensure that it can scale for the following demands: Throughput of data, increasing data pipeline throughput, analyzing large amounts of data, real\-time predictions, insights and customer feedback, data security, data regulations, and compliance.
* Contributes to the following: Building a data platform, ensuring data is secure in motion and at rest, automating data compliance and auditing, data warehousing solutions for scalable analytics.
* Basic knowledge of algorithms and data structures to assist in understanding the big picture of the organization’s overall data function. Knowledge in data filtering and data optimization.
* Familiarity with a Cloud services platform (e.g., GCP, or AZURE, or AWS) and all the data life cycle stages. Knowledge of Google Cloud Technologies is preferred.
* Understanding ETL tools capabilities. Ability to pull data from various sources, perform a load of the transformed data into a database or business intelligence platform.
* Familiarity with Machine learning algorithms which help data scientists make predictions based on current and historical data.
* Knowledge of algorithms and data structures with the ability to organize the data for reporting, analytics, and data mining and perform data filtering and data optimization.
* Ability to build data APIs to enable data scientists and business intelligence analysts to query the data.
* Strong knowledge of SQL and ability to code using programming language used for statistical analysis and modeling such as Python/Java/C\+\+.
* Understanding the basics of distributed systems.
* A Bachelor’s degree in MIS or mathematics, statistics, or computer science, international equivalent, or equivalent job experience.
**Employee Type:**
Permanent
UPS is committed to providing a workplace free of discrimination, harassment, and retaliation.
**Other Criteria:**
UPS is an equal opportunity employer. UPS does not discriminate on the basis of race/color/religion/sex/national origin/veteran/disability/age/sexual orientation/gender identity or any other characteristic protected by law.
**Basic Qualifications:**
Must be a U.S. Citizen or National of the U.S., an alien lawfully admitted for permanent residence, or an alien authorized to work in the U.S. for this employer.</t>
        </is>
      </c>
    </row>
    <row r="107">
      <c r="A107" t="inlineStr">
        <is>
          <t>in-f72edbb511bf92ff</t>
        </is>
      </c>
      <c r="B107" t="inlineStr">
        <is>
          <t>Data Engineer</t>
        </is>
      </c>
      <c r="C107" t="inlineStr">
        <is>
          <t>UPS</t>
        </is>
      </c>
      <c r="D107" t="inlineStr">
        <is>
          <t>indeed</t>
        </is>
      </c>
      <c r="E107">
        <f>HYPERLINK("https://www.indeed.com/viewjob?jk=f72edbb511bf92ff", "https://www.indeed.com/viewjob?jk=f72edbb511bf92ff")</f>
        <v/>
      </c>
      <c r="F107">
        <f>HYPERLINK("https://www.jobs-ups.com/global/en/job/UPBUPSGLOBALR26002874EXTERNALENGLOBAL/Data-Engineer?utm_source=indeed&amp;utm_medium=phenom-feeds", "https://www.jobs-ups.com/global/en/job/UPBUPSGLOBALR26002874EXTERNALENGLOBAL/Data-Engineer?utm_source=indeed&amp;utm_medium=phenom-feeds")</f>
        <v/>
      </c>
      <c r="G107" t="inlineStr">
        <is>
          <t>Alpharetta, GA, US</t>
        </is>
      </c>
      <c r="H107" s="3" t="n">
        <v>46050</v>
      </c>
      <c r="I107" t="inlineStr">
        <is>
          <t>**Before you apply to a job, select your language preference from the options available at the top right of this page.**
Explore your next opportunity at a Fortune Global 500 organization. Envision innovative possibilities, experience our rewarding culture, and work with talented teams that help you become better every day. We know what it takes to lead UPS into tomorrow—people with a unique combination of skill \+ passion. If you have the qualities and drive to lead yourself or teams, there are roles ready to cultivate your skills and take you to the next level.
**Job Description:**
JOB SUMMARY  
This position develops batch and real\-time data pipelines utilizing various data analytics processing frameworks in support of Data Science and Machine Learning practices and analytics. This position assists in the integration of data from various data sources, both internal and external. This position performs extract, transform, load (ETL) data conversions, and facilitates data cleansing and enrichment as well as performs full systems life cycle management activities, such as analysis, technical requirements, design, coding, testing, implementation of systems and applications software. This position assists in synthesizing disparate data sources to create reusable and reproducible data assets. This position requires strong capability to build data assets for analytics and assists the Data Science community working through analytical model feature tuning.
RESPONSIBILITIES  
* Contributes to data engineering projects and builds solutions by leveraging a foundational knowledge in software/application development, literate in the programming languages used for statistical modeling and analysis, data warehousing and Cloud solutions, and building data pipelines.
* Collaborates effectively, produces data engineering documentation, gathers requirements, organizes data and defines the scope of a project.
* Performs data analysis and presents findings to the stakeholders to support business needs.
* Participates in the integration of data for data engineering projects.
* Understands and utilizes analytic reporting tools and technologies.
* Assists with data engineering maintenance and support.
* Assists in defining the data interconnections between organizations’ operational and business functions.
* Assists in backup and recovery and utilizes technology solutions to perform POC analysis.
QUALIFICATIONS  
Requirements:  
* Understanding of database systems and data warehousing solutions.
* Understanding of data life cycle stages \- data collection, transformation, analysis, storing the data securely, providing data accessibility
* Understanding of the data environment to ensure that it can scale for the following demands: Throughput of data, increasing data pipeline throughput, analyzing large amounts of data, real\-time predictions, insights and customer feedback, data security, data regulations, and compliance.
* Contributes to the following: Building a data platform, ensuring data is secure in motion and at rest, automating data compliance and auditing, data warehousing solutions for scalable analytics.
* Basic knowledge of algorithms and data structures to assist in understanding the big picture of the organization’s overall data function. Knowledge in data filtering and data optimization.
* Familiarity with a Cloud services platform (e.g., GCP, or AZURE, or AWS) and all the data life cycle stages. Knowledge of Google Cloud Technologies is preferred.
* Understanding ETL tools capabilities. Ability to pull data from various sources, perform a load of the transformed data into a database or business intelligence platform.
* Familiarity with Machine learning algorithms which help data scientists make predictions based on current and historical data.
* Knowledge of algorithms and data structures with the ability to organize the data for reporting, analytics, and data mining and perform data filtering and data optimization.
* Ability to build data APIs to enable data scientists and business intelligence analysts to query the data.
* Strong knowledge of SQL and ability to code using programming language used for statistical analysis and modeling such as Python/Java/C\+\+.
* Understanding the basics of distributed systems.
* A Bachelor’s degree in MIS or mathematics, statistics, or computer science, international equivalent, or equivalent job experience.
**Employee Type:**
Permanent
UPS is committed to providing a workplace free of discrimination, harassment, and retaliation.
**Other Criteria:**
UPS is an equal opportunity employer. UPS does not discriminate on the basis of race/color/religion/sex/national origin/veteran/disability/age/sexual orientation/gender identity or any other characteristic protected by law.
**Basic Qualifications:**
Must be a U.S. Citizen or National of the U.S., an alien lawfully admitted for permanent residence, or an alien authorized to work in the U.S. for this employer.</t>
        </is>
      </c>
    </row>
    <row r="108">
      <c r="A108" t="inlineStr">
        <is>
          <t>in-e507761348c50a39</t>
        </is>
      </c>
      <c r="B108" t="inlineStr">
        <is>
          <t>Azure Data Engineer</t>
        </is>
      </c>
      <c r="C108" t="inlineStr">
        <is>
          <t>Dart Bank &amp; Mortgage</t>
        </is>
      </c>
      <c r="D108" t="inlineStr">
        <is>
          <t>indeed</t>
        </is>
      </c>
      <c r="E108">
        <f>HYPERLINK("https://www.indeed.com/viewjob?jk=e507761348c50a39", "https://www.indeed.com/viewjob?jk=e507761348c50a39")</f>
        <v/>
      </c>
      <c r="F108">
        <f>HYPERLINK("https://www.paycomonline.net/v4/ats/web.php/jobs/ViewJobDetails?job=240444&amp;clientkey=363F3771D138BB78A563AC8BD03B1888&amp;source=Indeed", "https://www.paycomonline.net/v4/ats/web.php/jobs/ViewJobDetails?job=240444&amp;clientkey=363F3771D138BB78A563AC8BD03B1888&amp;source=Indeed")</f>
        <v/>
      </c>
      <c r="G108" t="inlineStr">
        <is>
          <t>Mason, MI, US</t>
        </is>
      </c>
      <c r="H108" s="3" t="n">
        <v>46050</v>
      </c>
      <c r="I108" t="inlineStr">
        <is>
          <t>**JOB DESCRIPTION**
**Azure Data Engineer**
**JOB SUMMARY:**
The Azure Data Engineer is responsible for designing, building, and optimizing enterprise\-grade data pipelines and analytics platforms within a regulated banking environment. This role focuses on scalable data engineering solutions in Azure, supporting reporting, analytics, risk management, and regulatory compliance. The Data Engineer works closely with infrastructure, security, and compliance teams to ensure data solutions meet performance, governance, and security requirements.
This role may be remote with occasional onsite support in the Detroit Metro Area, MI.
**GENERAL JOB DUTIES:**
* Architect, develop, and maintain Azure\-based (Azure Data Factory, Databricks) data pipelines using modern ELT/ETL practices.
* Design scalable data models and structures to support analytics, reporting, and regulatory use cases.
* Integrate data from core banking systems, vendor platforms, and internal applications.
* Optimize data pipelines for performance, reliability, and cost efficiency.
* Implement data quality checks, validation rules, and error handling.
* Apply data security best practices including encryption, role\-based access control, and audit logging.
* Support data governance initiatives including lineage, classification, retention, and regulatory reporting readiness.
* Collaborate with Information Security and Compliance teams to ensure adherence to banking regulations (FFIEC, GLBA).
* Monitor and troubleshoot pipeline failures and performance bottlenecks.
* Maintain technical documentation, data flow diagrams, and operational runbooks.
* Support downstream analytics and reporting teams with reliable, well\-structured datasets.
* Assist in evaluating and implementing new Azure data services and technologies.
* Participate in incident response and root\-cause analysis related to data systems.
* Adhere to all applicable laws, regulations, and internal banking policies.
* Demonstrate strong ownership, accountability, and a continuous improvement mindset.
* Adheres to all Federal and State laws and regulations, including the Bank Secrecy Act.
* All other duties as assigned.
**JOB SPECIFICATIONS:**
**Education:**
Bachelor’s degree in Computer Science, Engineering, Information Systems, or related field preferred, or equivalent experience.
**Skills:**
* Strong proficiency with Azure Data Services (e.g., data pipelines, data storage, analytics platforms).
* Advanced SQL skills and experience with large datasets.
* Experience with Python, Spark, or similar data processing frameworks.
* Deep understanding of data modeling, ELT/ETL, and distributed systems.
* Knowledge of data security, governance, and compliance in regulated environments.
* Strong problem\-solving, analytical, and communication skills.
* Ability to design solutions that balance performance, cost, and regulatory requirements.
**Experience:**
* 3\+ years of hands\-on Azure Data Engineering experience preferred.
* Experience working in financial services or other regulated industries strongly preferred.
* Experience supporting enterprise reporting, risk, or regulatory data use cases.
**ESSENTIAL FUNCTIONS:**
* Some mobility
* Use of hands
* Vision
* Verbal and written communication
**ACCURACY AND ACCOUNTABILITY:**
Measured by data pipeline reliability, performance, security posture, and compliance alignment.
**SUPERVISED BY:**
IT Officer
**SUPERVISES:**
No supervisory responsibilities
Dart Bank is a community bank, serving our community since 1925\. We specialize in providing financial services, but we are passionate about serving the community and building real relationships with people. Dart Bank provides innovative financial services for both personal and business banking, consumer and mortgage loans, commercial loans and lines of credit, merchant credit card processing, investment services and more. Our array of products and services and our longstanding history within our communities shows we care about what matters most for our customers and we are there for them for the most important times in their lives. Dart Bank. For What Matters Most.
We offer:
* Medical Benefits
* Dental
* Vision
* 401(K) Employee Stock Ownership Plan
* Paid vacation \&amp; sick time
* Flexible scheduling
* Employee Assistance Program
* Dart Bank University
*At Dart Bank you can expect to be surrounded by a team that will support you and invest in your growth in a quick\-paced work environment where we deliver exceptional customer service. We are a local business that cares about our employees and our community.*
Dart Bank is committed to providing equal opportunity in employment, maintaining a diverse workforce, and prohibiting all forms of unlawful discrimination and harassment.
All employment decisions, policies, and practices, in terms of the recruitment process and other conditions and privileges of employment, will comply with applicable federal, state, and local anti\-discrimination laws. The Company seeks, employs, promotes, and compensates qualified individuals based on ability, as demonstrated by performance and other legitimate non\-discriminatory factors, without regard to race, color, religion, national origin, citizenship, ancestry, sex (including sexual orientation, gender expression, and gender identity), age, physical or mental disability, pregnancy, genetic information, military status, veteran status, or any other protected status under federal, state (in Michigan: marital status, familial status, height, weight, and misdemeanor arrest record), or local law (individually and collectively, “Protected Class”). This employer participates in E\-Verify and will provide the federal government with your Form I\-9 information to confirm that you are authorized to work in the United States. If E\-Verify cannot confirm that you are authorized to work, this employer is required to give you written instructions and an opportunity to contact Department of Homeland Security (DHS) or Social Security Administration (SSA) so that you can begin to resolve the issue before this employer can take any action against you, including terminating your employment. This employers can only use E\-Verify once you have accepted a job offer and completed Form I\-9\.</t>
        </is>
      </c>
    </row>
    <row r="109">
      <c r="A109" t="inlineStr">
        <is>
          <t>in-5b6e2156cd8b25f5</t>
        </is>
      </c>
      <c r="B109" t="inlineStr">
        <is>
          <t>Aviation Data Engineer</t>
        </is>
      </c>
      <c r="C109" t="inlineStr">
        <is>
          <t>Booz Allen Hamilton</t>
        </is>
      </c>
      <c r="D109" t="inlineStr">
        <is>
          <t>indeed</t>
        </is>
      </c>
      <c r="E109">
        <f>HYPERLINK("https://www.indeed.com/viewjob?jk=5b6e2156cd8b25f5", "https://www.indeed.com/viewjob?jk=5b6e2156cd8b25f5")</f>
        <v/>
      </c>
      <c r="F109">
        <f>HYPERLINK("https://careers.boozallen.com/careers/JobDetail?jobId=120193", "https://careers.boozallen.com/careers/JobDetail?jobId=120193")</f>
        <v/>
      </c>
      <c r="G109" t="inlineStr">
        <is>
          <t>Washington, DC, US</t>
        </is>
      </c>
      <c r="H109" s="3" t="n">
        <v>46050</v>
      </c>
      <c r="I109" t="inlineStr">
        <is>
          <t>Aviation Data Engineer**The Opportunity:**
Ever\-expanding technology like IoT, machine learning, and artificial intelligence means that there’s more structured and unstructured data available today than ever before. As a data engineer, you know that organizing data can yield pivotal insights when it’s gathered from disparate sources. We need an experienced data engineer like you to help our clients find answers in their data to impact important missions—from fraud detection to cancer research to national intelligence.
As a data engineer at Booz Allen, you’ll help build advanced technology solutions and implement data engineering activities on some of the most mission\-driven projects in the industry. You’ll deploy and develop pipelines and platforms that organize and make disparate data meaningful.
Here, you’ll work with and guide a multi\-disciplinary team of analysts, data engineers, developers, and data consumers in a fast\-paced, agile environment. You’ll use your experience in analytical exploration and data examination while you manage the assessment, design, building, and maintenance of scalable platforms for your clients. Work with us to use data for good.
Join us. The world can’t wait.
**You Have:**
* 5\+ years of experience in application development using Databricks or PySpark
* 5\+ years of experience designing, developing, operationalizing, and maintaining complex data applications at enterprise scale
* 3\+ years of experience creating software for retrieving, parsing, and processing structured and unstructured data
* 3\+ years of experience building scalable ETL or ELT workflows for reporting and analytics
* Experience with aviation, geospatial, and weather datasets
* Experience creating solutions within a collaborative, cross\-functional team environment
* Ability to develop scripts and programs for converting various types of data into usable formats and support the project team to scale, monitor, and operate data platforms
* Ability to obtain and maintain a Public Trust or Suitability/Fitness determination based on client requirements
* Bachelor’s degree
**Nice If You Have:**
* Experience with AWS
* Experience with Python, SQL, Scala, or Java
* Experience with UNIX or Linux, including basic commands and Shell scripting
* Experience working on real\-time data and streaming applications
* Experience with Agile engineering practices
* Knowledge of aviation, such as flight operations and air traffic control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10">
      <c r="A110" t="inlineStr">
        <is>
          <t>in-dbcda0afef0ab912</t>
        </is>
      </c>
      <c r="B110" t="inlineStr">
        <is>
          <t>Aviation Data Engineer</t>
        </is>
      </c>
      <c r="C110" t="inlineStr">
        <is>
          <t>Booz Allen Hamilton</t>
        </is>
      </c>
      <c r="D110" t="inlineStr">
        <is>
          <t>indeed</t>
        </is>
      </c>
      <c r="E110">
        <f>HYPERLINK("https://www.indeed.com/viewjob?jk=dbcda0afef0ab912", "https://www.indeed.com/viewjob?jk=dbcda0afef0ab912")</f>
        <v/>
      </c>
      <c r="F110">
        <f>HYPERLINK("https://careers.boozallen.com/careers/JobDetail?jobId=120192", "https://careers.boozallen.com/careers/JobDetail?jobId=120192")</f>
        <v/>
      </c>
      <c r="G110" t="inlineStr">
        <is>
          <t>Washington, DC, US</t>
        </is>
      </c>
      <c r="H110" s="3" t="n">
        <v>46050</v>
      </c>
      <c r="I110" t="inlineStr">
        <is>
          <t>Aviation Data Engineer**The Opportunity:**
Ever\-expanding technology like IoT, machine learning, and artificial intelligence means that there’s more structured and unstructured data available today than ever before. As a data engineer, you know that organizing data can yield pivotal insights when it’s gathered from disparate sources. We need a data professional like you to help our clients find answers in their data to impact important missions—from fraud detection to cancer research to national intelligence.
As an Aviation Data Engineer at Booz Allen, you’ll use your skills and experience to help build advanced technology solutions and implement data engineering activities on some of the most mission\-driven projects in the industry. You’ll develop and deploy the pipelines and platforms that organize and make disparate data meaningful.
Here, you’ll work with a multi\-disciplinary team of analysts, data engineers, developers, and data consumers in a fast\-paced, agile environment. You’ll sharpen your skills in analytical exploration and data examination while you support the assessment, design, development, and maintenance of scalable platforms for your clients.
Work with us to use data for good.
Join us. The world can’t wait.
**You Have:**
* 2\+ years of experience in application development using Databricks or PySpark
* 2\+ years of experience utilizing programming languages, including C\+\+, Java, or Python
* 2\+ years of experience developing and maintaining scalable data stores that supply big data in forms needed for business analysis
* Experience with aviation, geospatial, and weather datasets
* Experience creating software for retrieving, parsing, and processing structured and unstructured data
* Experience developing scalable ETL or ELT workflows for reporting and analytics
* Experience creating solutions within a collaborative, cross\-functional team environment
* Ability to develop scripts and programs for converting various types of data into usable formats and support the project team to scale, monitor, and operate data platforms
* Ability to obtain and maintain a Public Trust or Suitability/Fitness determination based on client requirements
* Bachelor’s degree
**Nice If You Have:**
* Experience in application development utilizing SQL or Scala
* Experience with a public cloud, including AWS, Microsoft Azure, or Google Cloud
* Experience working on real\-time data and streaming applications
* Experience with NoSQL implementation using MongoDB or Cassandra
* Experience with data warehousing, including AWS Redshift, MySQL, or Snowflake
* Experience with UNIX/Linux, including basic commands and Shell scripting
* Experience with Agile engineering practices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$62,000\.00 to $141,000\.00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11">
      <c r="A111" t="inlineStr">
        <is>
          <t>in-df159825fedfdf18</t>
        </is>
      </c>
      <c r="B111" t="inlineStr">
        <is>
          <t>Aviation Data Engineer, Lead</t>
        </is>
      </c>
      <c r="C111" t="inlineStr">
        <is>
          <t>Booz Allen Hamilton</t>
        </is>
      </c>
      <c r="D111" t="inlineStr">
        <is>
          <t>indeed</t>
        </is>
      </c>
      <c r="E111">
        <f>HYPERLINK("https://www.indeed.com/viewjob?jk=df159825fedfdf18", "https://www.indeed.com/viewjob?jk=df159825fedfdf18")</f>
        <v/>
      </c>
      <c r="F111">
        <f>HYPERLINK("https://careers.boozallen.com/careers/JobDetail?jobId=120196", "https://careers.boozallen.com/careers/JobDetail?jobId=120196")</f>
        <v/>
      </c>
      <c r="G111" t="inlineStr">
        <is>
          <t>Washington, DC, US</t>
        </is>
      </c>
      <c r="H111" s="3" t="n">
        <v>46050</v>
      </c>
      <c r="I111" t="inlineStr">
        <is>
          <t>Aviation Data Engineer, Lead**The Opportunity:**
Ever\-expanding technology like IoT, machine learning, and artificial intelligence means that there’s more structured and unstructured data available today than ever before. As a data engineer, you know that organizing data can yield pivotal insights when it’s gathered from disparate sources. We need an experienced data professional like you to help our clients find answers in their data to impact important missions—from fraud detection to cancer research to national intelligence.
As an Aviation Data Engineer at Booz Allen, you’ll use your expertise to help build advanced technology solutions and lead data engineering activities on some of the most mission\-driven projects in the industry. You’ll guide data engineering activities by overseeing the development and deployment of pipelines and platforms that organize and make disparate data meaningful.
Here, you’ll mentor a multi\-disciplinary team of analysts, data engineers, developers, and data consumers in a fast\-paced, agile environment. You’ll use your expertise in analytical exploration and data examination while you oversee the assessment, design, building, and maintenance of scalable platforms for your clients.
Work with us to use data for good.
Join us. The world can’t wait.
**You Have:**
* 7\+ years of experience in application development using Databricks, PySpark, and AWS
* 7\+ years of experience designing, developing, operationalizing, and maintaining complex data applications at enterprise scale
* 5\+ years of experience creating software for retrieving, parsing, and processing structured and unstructured data
* 5\+ years of experience developing scalable ETL or ELT workflows for reporting and analytics
* Experience developing scripts and programs for converting various types of data into usable formats and supporting the project team to scale, monitor, and operate data platforms
* Experience with aviation, geospatial, and weather datasets
* Experience supervising others and leading projects and deliverables within a collaborative, cross\-functional team environment
* Ability to obtain and maintain a Public Trust or Suitability/Fitness determination based on client requirements
* Bachelor’s degree
**Nice If You Have:**
* 5\+ years of experience with a public cloud, including AWS, Microsoft Azure, or Google Cloud
* 5\+ years of experience with distributed data and computing tools, including Spark, Databricks, Hadoop, Hive, AWS EMR, or Kafka
* 5\+ years of experience working on real\-time data and streaming applications
* 5\+ years of experience with NoSQL implementation, including MongoDB or Cassandra
* 5\+ years of experience with data warehousing, including AWS Redshift, MySQL, or Snowflake
* 5\+ years of experience with UNIX/Linux, including basic commands and Shell scripting
* 5\+ years of experience with Agile engineering practices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12">
      <c r="A112" t="inlineStr">
        <is>
          <t>in-69aab3db338d89c7</t>
        </is>
      </c>
      <c r="B112" t="inlineStr">
        <is>
          <t>Aviation Data Engineer</t>
        </is>
      </c>
      <c r="C112" t="inlineStr">
        <is>
          <t>Booz Allen Hamilton</t>
        </is>
      </c>
      <c r="D112" t="inlineStr">
        <is>
          <t>indeed</t>
        </is>
      </c>
      <c r="E112">
        <f>HYPERLINK("https://www.indeed.com/viewjob?jk=69aab3db338d89c7", "https://www.indeed.com/viewjob?jk=69aab3db338d89c7")</f>
        <v/>
      </c>
      <c r="F112">
        <f>HYPERLINK("https://careers.boozallen.com/careers/JobDetail?jobId=120197", "https://careers.boozallen.com/careers/JobDetail?jobId=120197")</f>
        <v/>
      </c>
      <c r="G112" t="inlineStr">
        <is>
          <t>Washington, DC, US</t>
        </is>
      </c>
      <c r="H112" s="3" t="n">
        <v>46050</v>
      </c>
      <c r="I112" t="inlineStr">
        <is>
          <t>Aviation Data Engineer**The Opportunity:**
Ever\-expanding technology like IoT, machine learning, and artificial intelligence means that there’s more structured and unstructured data available today than ever before. As a data engineer, you know that organizing data can yield pivotal insights when it’s gathered from disparate sources. We need an experienced data engineer like you to help our clients find answers in their data to impact important missions—from fraud detection to cancer research to national intelligence.
As a data engineer at Booz Allen, you’ll help build advanced technology solutions and implement data engineering activities on some of the most mission\-driven projects in the industry. You’ll deploy and develop pipelines and platforms that organize and make disparate data meaningful.
Here, you’ll work with and guide a multi\-disciplinary team of analysts, data engineers, developers, and data consumers in a fast\-paced, agile environment. You’ll use your experience in analytical exploration and data examination while you manage the assessment, design, building, and maintenance of scalable platforms for your clients. Work with us to use data for good.
Join us. The world can’t wait.
**You Have:**
* 5\+ years of experience in application development using Databricks or PySpark
* 5\+ years of experience designing, developing, operationalizing, and maintaining complex data applications at enterprise scale
* 3\+ years of experience creating software for retrieving, parsing, and processing structured and unstructured data
* 3\+ years of experience building scalable ETL or ELT workflows for reporting and analytics
* Experience with aviation, geospatial, and weather datasets
* Experience creating solutions within a collaborative, cross\-functional team environment
* Ability to develop scripts and programs for converting various types of data into usable formats and support the project team to scale, monitor, and operate data platforms
* Ability to obtain and maintain a Public Trust or Suitability/Fitness determination based on client requirements
* Bachelor’s degree
**Nice If You Have:**
* Experience with AWS
* Experience with Python, SQL, Scala, or Java
* Experience with UNIX or Linux, including basic commands and Shell scripting
* Experience working on real\-time data and streaming applications
* Experience with Agile engineering practices
* Knowledge of aviation, such as flight operations and air traffic control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13">
      <c r="A113" t="inlineStr">
        <is>
          <t>in-97c7cca5ed84b6c4</t>
        </is>
      </c>
      <c r="B113" t="inlineStr">
        <is>
          <t>Aviation Data Engineer</t>
        </is>
      </c>
      <c r="C113" t="inlineStr">
        <is>
          <t>Booz Allen Hamilton</t>
        </is>
      </c>
      <c r="D113" t="inlineStr">
        <is>
          <t>indeed</t>
        </is>
      </c>
      <c r="E113">
        <f>HYPERLINK("https://www.indeed.com/viewjob?jk=97c7cca5ed84b6c4", "https://www.indeed.com/viewjob?jk=97c7cca5ed84b6c4")</f>
        <v/>
      </c>
      <c r="F113">
        <f>HYPERLINK("https://careers.boozallen.com/careers/JobDetail?jobId=120191", "https://careers.boozallen.com/careers/JobDetail?jobId=120191")</f>
        <v/>
      </c>
      <c r="G113" t="inlineStr">
        <is>
          <t>Washington, DC, US</t>
        </is>
      </c>
      <c r="H113" s="3" t="n">
        <v>46050</v>
      </c>
      <c r="I113" t="inlineStr">
        <is>
          <t>Aviation Data Engineer**The Opportunity:**
Ever\-expanding technology like IoT, machine learning, and artificial intelligence means that there’s more structured and unstructured data available today than ever before. As a data engineer, you know that organizing data can yield pivotal insights when it’s gathered from disparate sources. We need a data professional like you to help our clients find answers in their data to impact important missions—from fraud detection to cancer research to national intelligence.
As an Aviation Data Engineer at Booz Allen, you’ll use your skills and experience to help build advanced technology solutions and implement data engineering activities on some of the most mission\-driven projects in the industry. You’ll develop and deploy the pipelines and platforms that organize and make disparate data meaningful.
Here, you’ll work with a multi\-disciplinary team of analysts, data engineers, developers, and data consumers in a fast\-paced, agile environment. You’ll sharpen your skills in analytical exploration and data examination while you support the assessment, design, development, and maintenance of scalable platforms for your clients.
Work with us to use data for good.
Join us. The world can’t wait.
**You Have:**
* 2\+ years of experience in application development using Databricks or PySpark
* 2\+ years of experience utilizing programming languages, including C\+\+, Java, or Python
* 2\+ years of experience developing and maintaining scalable data stores that supply big data in forms needed for business analysis
* Experience with aviation, geospatial, and weather datasets
* Experience creating software for retrieving, parsing, and processing structured and unstructured data
* Experience developing scalable ETL or ELT workflows for reporting and analytics
* Experience creating solutions within a collaborative, cross\-functional team environment
* Ability to develop scripts and programs for converting various types of data into usable formats and support the project team to scale, monitor, and operate data platforms
* Ability to obtain and maintain a Public Trust or Suitability/Fitness determination based on client requirements
* Bachelor’s degree
**Nice If You Have:**
* Experience in application development utilizing SQL or Scala
* Experience with a public cloud, including AWS, Microsoft Azure, or Google Cloud
* Experience working on real\-time data and streaming applications
* Experience with NoSQL implementation using MongoDB or Cassandra
* Experience with data warehousing, including AWS Redshift, MySQL, or Snowflake
* Experience with UNIX/Linux, including basic commands and Shell scripting
* Experience with Agile engineering practices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$62,000\.00 to $141,000\.00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14">
      <c r="A114" t="inlineStr">
        <is>
          <t>in-4a3ed884a3c39b52</t>
        </is>
      </c>
      <c r="B114" t="inlineStr">
        <is>
          <t>Data Engineer</t>
        </is>
      </c>
      <c r="C114" t="inlineStr">
        <is>
          <t>Safe-Guard Products International, LLC</t>
        </is>
      </c>
      <c r="D114" t="inlineStr">
        <is>
          <t>indeed</t>
        </is>
      </c>
      <c r="E114">
        <f>HYPERLINK("https://www.indeed.com/viewjob?jk=4a3ed884a3c39b52", "https://www.indeed.com/viewjob?jk=4a3ed884a3c39b52")</f>
        <v/>
      </c>
      <c r="F114">
        <f>HYPERLINK("https://workforcenow.adp.com/mascsr/default/mdf/recruitment/recruitment.html?cid=6bffc68e-662d-4c02-8375-b102bf145f00&amp;ccId=19000101_000001&amp;jobId=945524&amp;source=IN&amp;lang=en_US", "https://workforcenow.adp.com/mascsr/default/mdf/recruitment/recruitment.html?cid=6bffc68e-662d-4c02-8375-b102bf145f00&amp;ccId=19000101_000001&amp;jobId=945524&amp;source=IN&amp;lang=en_US")</f>
        <v/>
      </c>
      <c r="G114" t="inlineStr">
        <is>
          <t>Atlanta, GA, US</t>
        </is>
      </c>
      <c r="H114" s="3" t="n">
        <v>46050</v>
      </c>
      <c r="I114" t="inlineStr">
        <is>
          <t>***Please do not respond to direct messages with your personal information. All job applications and your sensitive, personal information should only be submitted via our official job platform.***
**Job Title: Data Engineer** (hybrid\- Monday\-Thursday onsite)
**Location:** US\-GA\-Atlanta (Sandy Springs)
**FLSA**: Exempt
\#Hybrid
**Job Overview**:
Safe\-Guard’s Risk Department is expanding and adding a new Data Engineer role within the Enterprise Analytics team. Safe\-Guard has claims and contract data on over 40 million vehicles, with thousands of vehicles added every day. We are the leading provider of automotive warranties in North America, providing warranties to a wide variety of clients. Our clients include BMW, Mercedes\-Benz, GM, and many more.
As a Data Engineer, you will be responsible for building and maintaining an enterprise\-wide analytical data warehouse. This includes but is not limited to: gathering data from different systems using SQL/Python, creating complex data models, developing proprietary reporting metrics, and driving necessary change across IT systems to help support the company’s analytical priorities. This role will be directly responsible for supporting the highest visibility initiatives at the company.
 **Job Responsibilities:**
* Serve as the technical expert for creating Safe\-Guard’s analytical data infrastructure.
* Develop extensive ETL processes to take data from across different systems and bring them into centralized data models.
* Develop and implement automated data quality control processes.
*The above statements are intended only to describe the general nature of the job and should not be construed as an all\-inclusive list of position responsibilities.*
 **Job Requirements:**
* 4\+ years working in data or analytics role.
* Extensive experience in data modeling and data infrastructure.
* B.S. in mathematics, computer science, statistics, engineering, or equivalent.
* M.S. in mathematics, computer science, statistics, engineering, or equivalent (preferred).
* Expert proficiency in SQL, Python, and Git.
* Experience using common data orchestration tools such as dbt and Airflow
* Working knowledge of common database platforms such as Snowflake, Postgres, and AWS.
* Strong written and verbal communication skills.
 **Company Benefits:**
* Medical, Dental, and Vision Insurance
* Flexible Spending Account
* Health Savings Account
* 401(k) Plan with Company Match
* Company\-paid Short\-Term and Long\-Term Disability
* Company\-paid Life Insurance
* Paid Holidays and Vacation
* Employee Referral Program
* Employee Assistance Program
* Wellness Programs
* Paid Community Service Opportunities
* Tuition Reimbursement
* Ongoing Training \&amp; Personal Development
* And More!
**About Safe\-Guard Products International:**
Safe\-Guard serves Original Equipment Manufacturers (OEMs), top retailers, and independent agents in the automotive finance and insurance industry with the leading Protection Products Platform. Our platform delivers innovative protection products and solutions that protect consumers from the perils of ownership, while providing Finance \&amp;Insurance professionals the tools to ignite scalable and sustainable business growth. Safe\-Guard’s success is driven by over 850 employees, who serve more than 12,000 dealers and support contract holders across the U.S. and Canada.
For 30 years and counting, our team continues to transform the motor vehicle space, earning a stellar reputation from our partners and peers by providing: 1\) the highest quality protection products in the industry, 2\) a broad platform of branded product, technology, marketing, and training solutions, and 3\) an unwavering commitment to uncomplicated care and customer service.
*Safe\-Guard Products International is an equal opportunity employer and gives consideration for employment to qualified applicants without regard to age, race, color, religion, creed, sex, sexual orientation, gender identity or expression, national origin, marital status, disability or protected veteran status, or any other status or characteristic protected by federal, state, or local law.*</t>
        </is>
      </c>
    </row>
    <row r="115">
      <c r="A115" t="inlineStr">
        <is>
          <t>in-b140a0e1700aaf1f</t>
        </is>
      </c>
      <c r="B115" t="inlineStr">
        <is>
          <t>Data Engineer</t>
        </is>
      </c>
      <c r="C115" t="inlineStr">
        <is>
          <t>CURE Auto Insurance</t>
        </is>
      </c>
      <c r="D115" t="inlineStr">
        <is>
          <t>indeed</t>
        </is>
      </c>
      <c r="E115">
        <f>HYPERLINK("https://www.indeed.com/viewjob?jk=b140a0e1700aaf1f", "https://www.indeed.com/viewjob?jk=b140a0e1700aaf1f")</f>
        <v/>
      </c>
      <c r="F115">
        <f>HYPERLINK("https://workforcenow.adp.com/mascsr/default/mdf/recruitment/recruitment.html?cid=0bb476b4-b567-4a78-a2b3-4c373966e282&amp;ccId=19000101_000001&amp;jobId=933067&amp;source=IN&amp;lang=en_US", "https://workforcenow.adp.com/mascsr/default/mdf/recruitment/recruitment.html?cid=0bb476b4-b567-4a78-a2b3-4c373966e282&amp;ccId=19000101_000001&amp;jobId=933067&amp;source=IN&amp;lang=en_US")</f>
        <v/>
      </c>
      <c r="G115" t="inlineStr">
        <is>
          <t>Princeton, NJ, US</t>
        </is>
      </c>
      <c r="H115" s="3" t="n">
        <v>46050</v>
      </c>
      <c r="I115" t="inlineStr">
        <is>
          <t>**Data Engineer**
CURE Auto Insurance is a leading direct writer of auto insurance in New Jersey, Pennsylvania, and Michigan. CURE offers a great working environment, competitive salary, and comprehensive benefits package which includes health and dental coverage, life and disability insurance, 401k with generous company match, and much more!  
We’re looking for a Data Engineer to design, build, and maintain reliable data pipelines and platforms that power analytics, reporting, and data products across a Property \&amp; Casualty (P\&amp;C) auto insurance business. You’ll partner with actuarial, underwriting, claims, product, finance teams to deliver trusted, well\-governed data that supports retention, loss modeling, fraud detection, customer experience.
**Essential Job Functions**:* Build and maintain scalable batch and streaming data pipelines (ingestion, transformation, validation, and delivery).
* Integrate data from core insurance systems (policy administration, billing, claims, Contact management system).
* Model and curate analytical datasets (e.g., policy, quote, exposure, premium, loss, claim, payment, reserve, subrogation, salvage).
* Implement data quality checks, anomaly detection, and reconciliation for critical metrics
* Develop and maintain a data lake/warehouse (schema design, partitioning, performance tuning, cost optimization).
* Collaborate with governance, security, and compliance teams to implement access controls, PII handling, retention, and auditability.
* Operate data workflows in production: monitoring, alerting, incident response, SLAs, and root\-cause analysis.
* Contribute to engineering best practices: CI/CD, infrastructure\-as\-code, testing, code reviews, and documentation.
* Perform other duties as assigned.
**Experience/Qualifications**:* Bachelor's degree in computer science or technology related is preferred.
* 3\+ years of experience in data engineering, Machine learning, with strong SQL skills and experience building dimensional or analytical models.
* Proficiency in at least one programming language: Python, Scala, or Java.
* Experience with modern data warehouses/lakehouses (e.g., Snowflake, BigQuery, Redshift, Databricks, Spark).
* Familiarity with data quality/testing (e.g., dbt tests, Great Expectations) and observability/monitoring patterns.
* Understanding of data security fundamentals (PII, encryption, role\-based access control).
 **Preferred**
* Experience in insurance, financial services, or other regulated industries
* Knowledge of P\&amp;C auto insurance concepts: underwriting, rating/pricing, claims lifecycle, reserves, exposure, reinsurance is a plus
* Knowledge with event/streaming systems (Kafka, Kinesis, Pub/Sub) and CDC tools (Debezium, Fivetran/HVR, etc.).
* Exposure to MLOps/data needs for fraud detection, pricing, or claims severity models is a plus.
**Benefits*** **Comprehensive health benefits** including medical, dental and vision coverage
* **Generous paid time off** (PTO days, sick days, and holidays)
* **Flexible spending options** with FSA \&amp; HSA plans
* **Life and AD\&amp;D insurance**
* **401(k) with company match**
* **Voluntary benefits** such as legal services, pet insurance, and identity \&amp; fraud protection
* **24/7 Employee Assistance Program (EAP)** for employees and their families
* **Health \&amp; wellness perks** including gym discounts, wellness reimbursements, and reward programs
* **Fun, engaging in\-office events** that support our culture
 **Physical Actions/Environment**: Required job duties consist of prompt and regular attendance, ability to frequently move about the office to coordinate work with others; standing, sitting and typing for extended periods; and lifting and/or carrying up to 5 lbs. Ability to frequently communicate with others in\-person, on the phone/virtually, and in writing. Ability to read, understand, process and evaluate large amounts of technical information and make related, informed decisions. **Salary:** $100,000 \- $120,000 annually based on experience **Schedule:** We offer flexible work hours between 8:00 AM and 5:00 PM, with options like 8–4, 8:30–4:30, or 9–5\. We do our best to support individual preferences, though schedules may be adjusted as needed to ensure strong coverage and teamwork.
We also offer a hybrid schedule: team members work onsite four days a week and can work remotely one day a week.
 **Location:** Princeton, NJ  
We recruit, hire, employ, train and promote, and compensate individuals based on job\-related qualifications and abilities. We respect the dignity and worth of each individual and are committed to an employment environment that is free from all forms of employment discrimination.  
CURE Auto Insurance provides equal employment opportunities to all employees and applicants for employment and prohibits discrimination and harassment of any type without regard to race, color, religion, age, sex, national origin, disability status, genetics, protected veteran status, sexual orientation, pregnancy,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***Disclaimer****: This job description reflects management's assignment of essential functions; it does not prescribe or restrict the tasks that may be assigned. This job description may be subject to change at any time.* ***Applicants must be authorized to work for ANY employer in the U.S. We are unable to sponsor or take over sponsorship of an employment Visa at this time.***</t>
        </is>
      </c>
    </row>
    <row r="116">
      <c r="A116" t="inlineStr">
        <is>
          <t>in-1ea4ea07d815be16</t>
        </is>
      </c>
      <c r="B116" t="inlineStr">
        <is>
          <t>Lead Data Engineer, Cat Digital</t>
        </is>
      </c>
      <c r="C116" t="inlineStr">
        <is>
          <t>Caterpillar</t>
        </is>
      </c>
      <c r="D116" t="inlineStr">
        <is>
          <t>indeed</t>
        </is>
      </c>
      <c r="E116">
        <f>HYPERLINK("https://www.indeed.com/viewjob?jk=1ea4ea07d815be16", "https://www.indeed.com/viewjob?jk=1ea4ea07d815be16")</f>
        <v/>
      </c>
      <c r="F116">
        <f>HYPERLINK("https://careers.caterpillar.com/en/jobs/r0000345213/lead-data-engineer-cat-digital/", "https://careers.caterpillar.com/en/jobs/r0000345213/lead-data-engineer-cat-digital/")</f>
        <v/>
      </c>
      <c r="G116" t="inlineStr">
        <is>
          <t>Chicago, IL, US</t>
        </is>
      </c>
      <c r="H116" s="3" t="n">
        <v>46050</v>
      </c>
      <c r="I116" t="inlineStr">
        <is>
          <t>**Career Area:**
Technology, Digital and Data**Job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*Cat Digital is the digital and technology arm of Caterpillar Inc., leveraging the latest technologies to build industry leading digital solutions for our customers and dealers. With over 1\.5 million connected assets worldwide, our teams use data, technology, advanced analytics, telematics, and AI capabilities to help our customers build a better, more sustainable world.*
**Job Summary:**  
This position on the Marketing Data \&amp; Engineering team will be responsible the design and implementation of data products. The Marketing Data \&amp; Engineering team supports Cat Digital’s overall marketing efforts having responsibility for data pipelines and products used to reach our customers where they are in their journey.
This position will be responsible for enhancing profiles for visitors, contacts, and customer personas. You will not only be expected to solution across multiple cloud database technologies but daily collaboration with various business \&amp; technical teams will be vital. Ideal candidates will have a proven track record of progressive technical responsibility, demonstrated communication skills, and comfort with a rapid\-paced environment.
 **What You Will Do:**
* Design/document standardized data models
* Design/document data pipelines required to create the models
* Work with multiple international teams for overall success of shared goals
* Execute proofs of concept as needed to prove out solutions
* Act as a subject matter expert for other team members on design \&amp; implementation issues
* Regularly report on initiative status to peers and leadership
* Standard administration tasks like time reporting, accomplishing training requirements, and task tracking via Azure DevOps
**What You Will Have:**
* **Data Modeling Expertise:** Extensive knowledge of designing and documenting standardized data models; ability to translate business requirements into scalable and maintainable data structures.
* **Data Pipeline Engineering:** Proven ability to design, document, and implement data pipelines across cloud environments; deep understanding of data ingestion, transformation, and orchestration patterns.
* **Cloud Database Proficiency:** Expert working knowledge with cloud database technologies; ability to evaluate, select, and integrate solutions aligned to architectural and business needs.
* **Cross****‑****Functional Collaboration:** Demonstrated ability to work effectively with international business and technical teams; capability to build alignment, drive shared goals, and communicate complex concepts clearly.
* **Solution Prototyping \&amp; Innovation:** Ability to execute proofs of concept to validate technical approaches; comfort exploring new technologies and rapidly iterating in a fast\-paced environment.
* **Technical Leadership \&amp; Mentorship:** Extensive experience serving as a subject matter expert for design and implementation topics; ability to guide, support, and uplift other engineers.
* **Progressive Technical Ownership:** A track record of increasing responsibility in designing and delivering data products; ability to operate autonomously while driving long\-term strategic outcomes.
**Considerations for Top Candidates:**
* Experience with web tracking, social, and ad platform data sets
* Working knowledge of SQL \&amp; Python
* Experience with web based ETL and/or Reverse ETL technologies
* Experience with Microsoft productivity tools
* Experience with Google Cloud and AWS capabilities
* Experience with BigQuery and/or Snowflake
* Demonstratable ability to distill technical topics to any audience
* Ability to bring novel solutions to reality
**Additional Information:**
This position will have the option to be based out of our Chicago, IL or Peoria, IL offices.
\#LI
\#BI (used to post on Built In Chicago)
**What You Will Get:**
Working with a Fortune 100 leader, you can build your career on a global scale and take advantage of development opportunities with emerging technologies. We’ve created an inclusive environment for you to explore your passions, make an impact and do the work that really matters. Join Us.
**About Caterpillar**
Caterpillar Inc. is the world’s leading manufacturer of construction and mining equipment, off\-highway diesel and natural gas engines, industrial gas turbines and diesel\-electric locomotives. For nearly 100 years, we’ve been helping customers build a better, more sustainable world and are committed and contributing to a reduced\-carbon future. Our innovative products and services, backed by our global dealer network, provide exceptional value that helps customers succeed.
**Summary Pay Range:**
$128,470\.00 \- $208,770\.00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Visa Sponsorship is not available for this position.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at www.caterpillar.com/careers.**Posting Dates:**
January 29, 2026 \- February 15,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117">
      <c r="A117" t="inlineStr">
        <is>
          <t>in-1c2b01578008d76e</t>
        </is>
      </c>
      <c r="B117" t="inlineStr">
        <is>
          <t>Senior Data Engineer, Cat Digital</t>
        </is>
      </c>
      <c r="C117" t="inlineStr">
        <is>
          <t>Caterpillar</t>
        </is>
      </c>
      <c r="D117" t="inlineStr">
        <is>
          <t>indeed</t>
        </is>
      </c>
      <c r="E117">
        <f>HYPERLINK("https://www.indeed.com/viewjob?jk=1c2b01578008d76e", "https://www.indeed.com/viewjob?jk=1c2b01578008d76e")</f>
        <v/>
      </c>
      <c r="F117">
        <f>HYPERLINK("https://careers.caterpillar.com/en/jobs/r0000345218/senior-data-engineer-cat-digital/", "https://careers.caterpillar.com/en/jobs/r0000345218/senior-data-engineer-cat-digital/")</f>
        <v/>
      </c>
      <c r="G117" t="inlineStr">
        <is>
          <t>Chicago, IL, US</t>
        </is>
      </c>
      <c r="H117" s="3" t="n">
        <v>46050</v>
      </c>
      <c r="I117" t="inlineStr">
        <is>
          <t>**Career Area:**
Technology, Digital and Data**Job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*Cat Digital is the digital and technology arm of Caterpillar Inc., leveraging the latest technologies to build industry leading digital solutions for our customers and dealers. With over 1\.5 million connected assets worldwide, our teams use data, technology, advanced analytics, telematics, and AI capabilities to help our customers build a better, more sustainable world.*
**Job Summary:**  
This position on the Marketing Data \&amp; Engineering team will support the implementation of data products. The Marketing Data \&amp; Engineering team supports Cat Digital’s overall marketing efforts having responsibility for data pipelines and products used to reach our customers where they are in their journey.
This position will be responsible for enhancing profiles for visitors, contacts, and customer personas. You will not only be expected to solution across multiple cloud database technologies but daily collaboration with various business \&amp; technical teams will be vital. Ideal candidates will have a proven track record of progressive technical responsibility, demonstrated communication skills, and comfort with a rapid\-paced environment.
 **What You Will Do:**
* Implement and document standardized data models
* Build and document data pipelines required to support those models
* Work with multiple international teams for overall success of shared goals
* Execute proofs of concept as needed to prove out solutions
* Support senior team members on implementation issues and best practices
* Regularly report on initiative status to peers and leadership
* Standard administration tasks like time reporting, accomplishing training requirements, and task tracking via Azure DevOps
**What You Will Have:**
* **Data Modeling Expertise:** Working knowledge of implementing and documenting standardized data models; ability to translate requirements into well‑structured datasets.
* **Data Pipeline Engineering:** Extensive knowledge of building and supporting cloud‑based data pipelines; understanding of ingestion, transformation, and orchestration patterns.
* **Cloud Database Proficiency:** Working knowledge of cloud database technologies; ability to apply best practices for performance and scalability.
* **Cross****‑****Functional Collaboration:** Ability to work effectively with international business and technical teams; capability to communicate progress and technical concepts clearly.
* **Solution Prototyping \&amp; Innovation:** Ability to support execution of proofs of concept to validate technical approaches; interest in exploring and learning new technologies.
* **Progressive Technical Ownership:** Demonstrated progression in technical capabilities and responsibility; ability to execute tasks autonomously while seeking guidance when needed.
**Considerations for Top Candidates:**
* Experience with web tracking, social, and ad platform data sets
* Working knowledge of SQL \&amp; Python
* Experience with web based ETL and/or Reverse ETL technologies
* Experience with Microsoft productivity tools
* Familiarity with Google Cloud and AWS capabilities
* Experience with BigQuery and/or Snowflake
**Additional Information:**
This position will have the option to be based out of our Chicago, IL or Peoria, IL offices.
\#LI
\#BI (used to post on Built In Chicago)
**What You Will Get:**
Working with a Fortune 100 leader, you can build your career on a global scale and take advantage of development opportunities with emerging technologies. We’ve created an inclusive environment for you to explore your passions, make an impact and do the work that really matters. Join Us.
**About Caterpillar**
Caterpillar Inc. is the world’s leading manufacturer of construction and mining equipment, off\-highway diesel and natural gas engines, industrial gas turbines and diesel\-electric locomotives. For nearly 100 years, we’ve been helping customers build a better, more sustainable world and are committed and contributing to a reduced\-carbon future. Our innovative products and services, backed by our global dealer network, provide exceptional value that helps customers succeed.
**Summary Pay Range:**
$112,710\.00 \- $183,140\.00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Visa Sponsorship is not available for this position.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at www.caterpillar.com/careers.**Posting Dates:**
January 29, 2026 \- February 15,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118">
      <c r="A118" t="inlineStr">
        <is>
          <t>in-1c06c1f0eee5ba9e</t>
        </is>
      </c>
      <c r="B118" t="inlineStr">
        <is>
          <t>Analytics Engineer</t>
        </is>
      </c>
      <c r="C118" t="inlineStr">
        <is>
          <t>Fastener Distribution Holdings</t>
        </is>
      </c>
      <c r="D118" t="inlineStr">
        <is>
          <t>indeed</t>
        </is>
      </c>
      <c r="E118">
        <f>HYPERLINK("https://www.indeed.com/viewjob?jk=1c06c1f0eee5ba9e", "https://www.indeed.com/viewjob?jk=1c06c1f0eee5ba9e")</f>
        <v/>
      </c>
      <c r="F118">
        <f>HYPERLINK("https://workforcenow.adp.com/mascsr/default/mdf/recruitment/recruitment.html?cid=a6473ed1-cdd4-45f8-bc74-747398481523&amp;ccId=19000101_000001&amp;jobId=558474&amp;source=IN&amp;lang=en_US", "https://workforcenow.adp.com/mascsr/default/mdf/recruitment/recruitment.html?cid=a6473ed1-cdd4-45f8-bc74-747398481523&amp;ccId=19000101_000001&amp;jobId=558474&amp;source=IN&amp;lang=en_US")</f>
        <v/>
      </c>
      <c r="G118" t="inlineStr">
        <is>
          <t>Irving, TX, US</t>
        </is>
      </c>
      <c r="H118" s="3" t="n">
        <v>46050</v>
      </c>
      <c r="I118" t="inlineStr">
        <is>
          <t>**Who Are We?**
**FDH Aero** is a trusted global supply chain partner for aerospace and defense companies, providing end\-to\-end supply chain solutions for OEM and aftermarket customers.
With more than 55\+ years of experience and operations in 14 countries, we bring expertise across Commercial, Defense, Space, Business Aviation and Cargo through our specialized business divisions, **Electronics**, **Hardware**, **Commercial Aftermarket, and Defense Aftermarket**.
For more information, please visit the FDH Aero website.
 **Why Work Here?**
**Fast\-paced \&amp; Impactful Work –** Every decision helps keep aircraft flying and missions moving
**Driven Team \&amp; Culture –** Supportive, driven colleagues who support you every step of the way
**High\-Growth Opportunities** **–** We invest in your success with training and development
**Competitive Benefits Package –** Includes medical, dental, vision insurance, Flexible Spending Accounts (FSA) 401k matching, wellness activities and more
At FDH Aero, we understand that the strength of our brand comes from our people, and our culture empowers every team member to contribute and grow. As a global team, our culture is rooted in five (5\) core values that begin with the words “We are” and include: service\-first, respectful, amplifiers, open\-minded and accountable.  
**We Are Looking For**
The Analytics Engineer is responsible for designing, building, and maintaining scalable data pipelines and models that transform raw data into trusted, analytics\-ready assets for FDH Electronic’s operations. This role owns the accuracy, reliability, and performance of curated datasets across the organization and ensures business teams have access to consistent, governed insights to support critical functions. The Analytics Engineer collaborates closely with analysts and business teams to translate complex business needs into efficient data solutions while driving continuous improvement in data quality, pipeline efficiency, and self\-service analytics capabilities. This position serves as a key technical bridge between IT and the business, enabling faster, data\-driven decision\-making in a high\-stakes global aerospace supply chain environment. **What You’ll Do**
As an Analytics Engineer you will:
* Build scalable, modular data models to support advanced analytics, reporting, and forecasting across the aerospace supply chain
* Transform raw data into clean, reliable, analytics\-ready tables that enable real\-time visibility into component availability, traceability, and production status
* Develop and maintain robust SQL pipelines for curated, business\-ready datasets, incorporating incremental processing and error\-handling logic to ensure consistent data freshness and minimal downtime
* Integrate and harmonize data to deliver accurate, unified reporting on key performance indicators
* Define and document reusable business metrics, KPIs, and semantic models within BI tools (Power BI), ensuring consistency and governance across all self\-service reporting and dashboards
* Enable secure, governed self\-service analytics capabilities for business, allowing them to explore performance data independently while maintaining strict data security, access controls, and compliance with aerospace industry standards
* Implement comprehensive validation frameworks, automated testing suites, and real\-time anomaly detection mechanisms to monitor data pipelines and proactively surface potential quality issues
* Proactively identify, investigate, and resolve data integrity problems to uphold traceability requirements and regulatory compliance
* Improve overall pipeline efficiency, reduce processing costs, and enhance scalability to support growing data usage
* Tune complex data models, SQL queries, and transformation logic to handle increasing data volumes and velocity driven by business growth
* Partner closely with analysts and business teams to gather and refine requirements for data products
 **What You Bring**
* Bachelor's degree in Computer Science, Data Engineering, Information Systems, or a related field
* 3\+ years of experience in analytics engineering, data modeling, or a similar role, preferably in supply chain, manufacturing, or aerospace industries.
* Proven track record working with large\-scale datasets in cloud and familiarity with ETL processes
* Strong SQL skills and experience with data warehouses
* Expertise in BI platforms and semantic modeling, with a focus on enabling user\-friendly analytics
* Analytical mindset with excellent problem\-solving skills, capable of identifying data anomalies and optimizing performance in high\-volume environments
* Collaborative communicator who can bridge technical and business teams, translating requirements into effective data solutions
* Commitment to data governance, quality assurance, and continuous improvement
* Adaptability to fast\-paced settings, with a proactive approach to innovation in analytics
 **Special Requirements:**
* ***U.S. Citizen, U.S. Permanent Resident (Green Card holder) or****asylee/refugee status as defined by 8 U.S.C. 1324b(a)(3\) required.*
* ITAR Requirement
* *120\.15\. Some positions will require current U.S. Citizenship due to contract requirements.*
*This position requires access to information that is subject to compliance with the International Traffic Arms Regulations (“ITAR”) and/or the Export Administration Regulations (“EAR”). In order to comply with the requirements of the ITAR and/or the EAR, applicants will be asked to provide specific documentation to verify U.S. person status under the ITAR and the EAR. A “U.S. person” according to their definition is a U.S. citizen, U.S. lawful permanent resident (green card holder), or protected individual such as a refugee, or asylee. See 22 CFR*
Job Type: Full Time
 **FDH Aero** is an Equal Opportunity Employer and all qualified applicants will receive consideration for employment without regard to race, color, religion, sex, national origin, sexual orientation, gender identity, disability status, protected veteran status, or any other characteristic protected by law.</t>
        </is>
      </c>
    </row>
    <row r="119">
      <c r="A119" t="inlineStr">
        <is>
          <t>in-460e37126995c9c5</t>
        </is>
      </c>
      <c r="B119" t="inlineStr">
        <is>
          <t>Analytics Engineer</t>
        </is>
      </c>
      <c r="C119" t="inlineStr">
        <is>
          <t>Fastener Distribution Holdings</t>
        </is>
      </c>
      <c r="D119" t="inlineStr">
        <is>
          <t>indeed</t>
        </is>
      </c>
      <c r="E119">
        <f>HYPERLINK("https://www.indeed.com/viewjob?jk=460e37126995c9c5", "https://www.indeed.com/viewjob?jk=460e37126995c9c5")</f>
        <v/>
      </c>
      <c r="F119">
        <f>HYPERLINK("https://workforcenow.adp.com/mascsr/default/mdf/recruitment/recruitment.html?cid=a6473ed1-cdd4-45f8-bc74-747398481523&amp;ccId=19000101_000001&amp;jobId=558474&amp;source=IN&amp;lang=en_US", "https://workforcenow.adp.com/mascsr/default/mdf/recruitment/recruitment.html?cid=a6473ed1-cdd4-45f8-bc74-747398481523&amp;ccId=19000101_000001&amp;jobId=558474&amp;source=IN&amp;lang=en_US")</f>
        <v/>
      </c>
      <c r="G119" t="inlineStr">
        <is>
          <t>Oklahoma City, OK, US</t>
        </is>
      </c>
      <c r="H119" s="3" t="n">
        <v>46050</v>
      </c>
      <c r="I119" t="inlineStr">
        <is>
          <t>**Who Are We?**
**FDH Aero** is a trusted global supply chain partner for aerospace and defense companies, providing end\-to\-end supply chain solutions for OEM and aftermarket customers.
With more than 55\+ years of experience and operations in 14 countries, we bring expertise across Commercial, Defense, Space, Business Aviation and Cargo through our specialized business divisions, **Electronics**, **Hardware**, **Commercial Aftermarket, and Defense Aftermarket**.
For more information, please visit the FDH Aero website.
 **Why Work Here?**
**Fast\-paced \&amp; Impactful Work –** Every decision helps keep aircraft flying and missions moving
**Driven Team \&amp; Culture –** Supportive, driven colleagues who support you every step of the way
**High\-Growth Opportunities** **–** We invest in your success with training and development
**Competitive Benefits Package –** Includes medical, dental, vision insurance, Flexible Spending Accounts (FSA) 401k matching, wellness activities and more
At FDH Aero, we understand that the strength of our brand comes from our people, and our culture empowers every team member to contribute and grow. As a global team, our culture is rooted in five (5\) core values that begin with the words “We are” and include: service\-first, respectful, amplifiers, open\-minded and accountable.  
**We Are Looking For**
The Analytics Engineer is responsible for designing, building, and maintaining scalable data pipelines and models that transform raw data into trusted, analytics\-ready assets for FDH Electronic’s operations. This role owns the accuracy, reliability, and performance of curated datasets across the organization and ensures business teams have access to consistent, governed insights to support critical functions. The Analytics Engineer collaborates closely with analysts and business teams to translate complex business needs into efficient data solutions while driving continuous improvement in data quality, pipeline efficiency, and self\-service analytics capabilities. This position serves as a key technical bridge between IT and the business, enabling faster, data\-driven decision\-making in a high\-stakes global aerospace supply chain environment. **What You’ll Do**
As an Analytics Engineer you will:
* Build scalable, modular data models to support advanced analytics, reporting, and forecasting across the aerospace supply chain
* Transform raw data into clean, reliable, analytics\-ready tables that enable real\-time visibility into component availability, traceability, and production status
* Develop and maintain robust SQL pipelines for curated, business\-ready datasets, incorporating incremental processing and error\-handling logic to ensure consistent data freshness and minimal downtime
* Integrate and harmonize data to deliver accurate, unified reporting on key performance indicators
* Define and document reusable business metrics, KPIs, and semantic models within BI tools (Power BI), ensuring consistency and governance across all self\-service reporting and dashboards
* Enable secure, governed self\-service analytics capabilities for business, allowing them to explore performance data independently while maintaining strict data security, access controls, and compliance with aerospace industry standards
* Implement comprehensive validation frameworks, automated testing suites, and real\-time anomaly detection mechanisms to monitor data pipelines and proactively surface potential quality issues
* Proactively identify, investigate, and resolve data integrity problems to uphold traceability requirements and regulatory compliance
* Improve overall pipeline efficiency, reduce processing costs, and enhance scalability to support growing data usage
* Tune complex data models, SQL queries, and transformation logic to handle increasing data volumes and velocity driven by business growth
* Partner closely with analysts and business teams to gather and refine requirements for data products
 **What You Bring**
* Bachelor's degree in Computer Science, Data Engineering, Information Systems, or a related field
* 3\+ years of experience in analytics engineering, data modeling, or a similar role, preferably in supply chain, manufacturing, or aerospace industries.
* Proven track record working with large\-scale datasets in cloud and familiarity with ETL processes
* Strong SQL skills and experience with data warehouses
* Expertise in BI platforms and semantic modeling, with a focus on enabling user\-friendly analytics
* Analytical mindset with excellent problem\-solving skills, capable of identifying data anomalies and optimizing performance in high\-volume environments
* Collaborative communicator who can bridge technical and business teams, translating requirements into effective data solutions
* Commitment to data governance, quality assurance, and continuous improvement
* Adaptability to fast\-paced settings, with a proactive approach to innovation in analytics
 **Special Requirements:**
* ***U.S. Citizen, U.S. Permanent Resident (Green Card holder) or****asylee/refugee status as defined by 8 U.S.C. 1324b(a)(3\) required.*
* ITAR Requirement
* *120\.15\. Some positions will require current U.S. Citizenship due to contract requirements.*
*This position requires access to information that is subject to compliance with the International Traffic Arms Regulations (“ITAR”) and/or the Export Administration Regulations (“EAR”). In order to comply with the requirements of the ITAR and/or the EAR, applicants will be asked to provide specific documentation to verify U.S. person status under the ITAR and the EAR. A “U.S. person” according to their definition is a U.S. citizen, U.S. lawful permanent resident (green card holder), or protected individual such as a refugee, or asylee. See 22 CFR*
Job Type: Full Time
 **FDH Aero** is an Equal Opportunity Employer and all qualified applicants will receive consideration for employment without regard to race, color, religion, sex, national origin, sexual orientation, gender identity, disability status, protected veteran status, or any other characteristic protected by law.</t>
        </is>
      </c>
    </row>
    <row r="120">
      <c r="A120" t="inlineStr">
        <is>
          <t>in-b503cca5f92226e0</t>
        </is>
      </c>
      <c r="B120" t="inlineStr">
        <is>
          <t>Analytics Engineer</t>
        </is>
      </c>
      <c r="C120" t="inlineStr">
        <is>
          <t>Fastener Distribution Holdings</t>
        </is>
      </c>
      <c r="D120" t="inlineStr">
        <is>
          <t>indeed</t>
        </is>
      </c>
      <c r="E120">
        <f>HYPERLINK("https://www.indeed.com/viewjob?jk=b503cca5f92226e0", "https://www.indeed.com/viewjob?jk=b503cca5f92226e0")</f>
        <v/>
      </c>
      <c r="F120">
        <f>HYPERLINK("https://workforcenow.adp.com/mascsr/default/mdf/recruitment/recruitment.html?cid=a6473ed1-cdd4-45f8-bc74-747398481523&amp;ccId=19000101_000001&amp;jobId=558474&amp;source=IN&amp;lang=en_US", "https://workforcenow.adp.com/mascsr/default/mdf/recruitment/recruitment.html?cid=a6473ed1-cdd4-45f8-bc74-747398481523&amp;ccId=19000101_000001&amp;jobId=558474&amp;source=IN&amp;lang=en_US")</f>
        <v/>
      </c>
      <c r="G120" t="inlineStr">
        <is>
          <t>US</t>
        </is>
      </c>
      <c r="H120" s="3" t="n">
        <v>46050</v>
      </c>
      <c r="I120" t="inlineStr">
        <is>
          <t>**Who Are We?**
**FDH Aero** is a trusted global supply chain partner for aerospace and defense companies, providing end\-to\-end supply chain solutions for OEM and aftermarket customers.
With more than 55\+ years of experience and operations in 14 countries, we bring expertise across Commercial, Defense, Space, Business Aviation and Cargo through our specialized business divisions, **Electronics**, **Hardware**, **Commercial Aftermarket, and Defense Aftermarket**.
For more information, please visit the FDH Aero website.
 **Why Work Here?**
**Fast\-paced \&amp; Impactful Work –** Every decision helps keep aircraft flying and missions moving
**Driven Team \&amp; Culture –** Supportive, driven colleagues who support you every step of the way
**High\-Growth Opportunities** **–** We invest in your success with training and development
**Competitive Benefits Package –** Includes medical, dental, vision insurance, Flexible Spending Accounts (FSA) 401k matching, wellness activities and more
At FDH Aero, we understand that the strength of our brand comes from our people, and our culture empowers every team member to contribute and grow. As a global team, our culture is rooted in five (5\) core values that begin with the words “We are” and include: service\-first, respectful, amplifiers, open\-minded and accountable.  
**We Are Looking For**
The Analytics Engineer is responsible for designing, building, and maintaining scalable data pipelines and models that transform raw data into trusted, analytics\-ready assets for FDH Electronic’s operations. This role owns the accuracy, reliability, and performance of curated datasets across the organization and ensures business teams have access to consistent, governed insights to support critical functions. The Analytics Engineer collaborates closely with analysts and business teams to translate complex business needs into efficient data solutions while driving continuous improvement in data quality, pipeline efficiency, and self\-service analytics capabilities. This position serves as a key technical bridge between IT and the business, enabling faster, data\-driven decision\-making in a high\-stakes global aerospace supply chain environment. **What You’ll Do**
As an Analytics Engineer you will:
* Build scalable, modular data models to support advanced analytics, reporting, and forecasting across the aerospace supply chain
* Transform raw data into clean, reliable, analytics\-ready tables that enable real\-time visibility into component availability, traceability, and production status
* Develop and maintain robust SQL pipelines for curated, business\-ready datasets, incorporating incremental processing and error\-handling logic to ensure consistent data freshness and minimal downtime
* Integrate and harmonize data to deliver accurate, unified reporting on key performance indicators
* Define and document reusable business metrics, KPIs, and semantic models within BI tools (Power BI), ensuring consistency and governance across all self\-service reporting and dashboards
* Enable secure, governed self\-service analytics capabilities for business, allowing them to explore performance data independently while maintaining strict data security, access controls, and compliance with aerospace industry standards
* Implement comprehensive validation frameworks, automated testing suites, and real\-time anomaly detection mechanisms to monitor data pipelines and proactively surface potential quality issues
* Proactively identify, investigate, and resolve data integrity problems to uphold traceability requirements and regulatory compliance
* Improve overall pipeline efficiency, reduce processing costs, and enhance scalability to support growing data usage
* Tune complex data models, SQL queries, and transformation logic to handle increasing data volumes and velocity driven by business growth
* Partner closely with analysts and business teams to gather and refine requirements for data products
 **What You Bring**
* Bachelor's degree in Computer Science, Data Engineering, Information Systems, or a related field
* 3\+ years of experience in analytics engineering, data modeling, or a similar role, preferably in supply chain, manufacturing, or aerospace industries.
* Proven track record working with large\-scale datasets in cloud and familiarity with ETL processes
* Strong SQL skills and experience with data warehouses
* Expertise in BI platforms and semantic modeling, with a focus on enabling user\-friendly analytics
* Analytical mindset with excellent problem\-solving skills, capable of identifying data anomalies and optimizing performance in high\-volume environments
* Collaborative communicator who can bridge technical and business teams, translating requirements into effective data solutions
* Commitment to data governance, quality assurance, and continuous improvement
* Adaptability to fast\-paced settings, with a proactive approach to innovation in analytics
 **Special Requirements:**
* ***U.S. Citizen, U.S. Permanent Resident (Green Card holder) or****asylee/refugee status as defined by 8 U.S.C. 1324b(a)(3\) required.*
* ITAR Requirement
* *120\.15\. Some positions will require current U.S. Citizenship due to contract requirements.*
*This position requires access to information that is subject to compliance with the International Traffic Arms Regulations (“ITAR”) and/or the Export Administration Regulations (“EAR”). In order to comply with the requirements of the ITAR and/or the EAR, applicants will be asked to provide specific documentation to verify U.S. person status under the ITAR and the EAR. A “U.S. person” according to their definition is a U.S. citizen, U.S. lawful permanent resident (green card holder), or protected individual such as a refugee, or asylee. See 22 CFR*
Job Type: Full Time
 **FDH Aero** is an Equal Opportunity Employer and all qualified applicants will receive consideration for employment without regard to race, color, religion, sex, national origin, sexual orientation, gender identity, disability status, protected veteran status, or any other characteristic protected by law.</t>
        </is>
      </c>
    </row>
    <row r="121">
      <c r="A121" t="inlineStr">
        <is>
          <t>in-f45fb308bc0021ac</t>
        </is>
      </c>
      <c r="B121" t="inlineStr">
        <is>
          <t>Analytics Engineer</t>
        </is>
      </c>
      <c r="C121" t="inlineStr">
        <is>
          <t>Fastener Distribution Holdings</t>
        </is>
      </c>
      <c r="D121" t="inlineStr">
        <is>
          <t>indeed</t>
        </is>
      </c>
      <c r="E121">
        <f>HYPERLINK("https://www.indeed.com/viewjob?jk=f45fb308bc0021ac", "https://www.indeed.com/viewjob?jk=f45fb308bc0021ac")</f>
        <v/>
      </c>
      <c r="F121">
        <f>HYPERLINK("https://workforcenow.adp.com/mascsr/default/mdf/recruitment/recruitment.html?cid=a6473ed1-cdd4-45f8-bc74-747398481523&amp;ccId=19000101_000001&amp;jobId=558474&amp;source=IN&amp;lang=en_US", "https://workforcenow.adp.com/mascsr/default/mdf/recruitment/recruitment.html?cid=a6473ed1-cdd4-45f8-bc74-747398481523&amp;ccId=19000101_000001&amp;jobId=558474&amp;source=IN&amp;lang=en_US")</f>
        <v/>
      </c>
      <c r="G121" t="inlineStr">
        <is>
          <t>Valencia, CA, US</t>
        </is>
      </c>
      <c r="H121" s="3" t="n">
        <v>46050</v>
      </c>
      <c r="I121" t="inlineStr">
        <is>
          <t>**Who Are We?**
**FDH Aero** is a trusted global supply chain partner for aerospace and defense companies, providing end\-to\-end supply chain solutions for OEM and aftermarket customers.
With more than 55\+ years of experience and operations in 14 countries, we bring expertise across Commercial, Defense, Space, Business Aviation and Cargo through our specialized business divisions, **Electronics**, **Hardware**, **Commercial Aftermarket, and Defense Aftermarket**.
For more information, please visit the FDH Aero website.
 **Why Work Here?**
**Fast\-paced \&amp; Impactful Work –** Every decision helps keep aircraft flying and missions moving
**Driven Team \&amp; Culture –** Supportive, driven colleagues who support you every step of the way
**High\-Growth Opportunities** **–** We invest in your success with training and development
**Competitive Benefits Package –** Includes medical, dental, vision insurance, Flexible Spending Accounts (FSA) 401k matching, wellness activities and more
At FDH Aero, we understand that the strength of our brand comes from our people, and our culture empowers every team member to contribute and grow. As a global team, our culture is rooted in five (5\) core values that begin with the words “We are” and include: service\-first, respectful, amplifiers, open\-minded and accountable.  
**We Are Looking For**
The Analytics Engineer is responsible for designing, building, and maintaining scalable data pipelines and models that transform raw data into trusted, analytics\-ready assets for FDH Electronic’s operations. This role owns the accuracy, reliability, and performance of curated datasets across the organization and ensures business teams have access to consistent, governed insights to support critical functions. The Analytics Engineer collaborates closely with analysts and business teams to translate complex business needs into efficient data solutions while driving continuous improvement in data quality, pipeline efficiency, and self\-service analytics capabilities. This position serves as a key technical bridge between IT and the business, enabling faster, data\-driven decision\-making in a high\-stakes global aerospace supply chain environment. **What You’ll Do**
As an Analytics Engineer you will:
* Build scalable, modular data models to support advanced analytics, reporting, and forecasting across the aerospace supply chain
* Transform raw data into clean, reliable, analytics\-ready tables that enable real\-time visibility into component availability, traceability, and production status
* Develop and maintain robust SQL pipelines for curated, business\-ready datasets, incorporating incremental processing and error\-handling logic to ensure consistent data freshness and minimal downtime
* Integrate and harmonize data to deliver accurate, unified reporting on key performance indicators
* Define and document reusable business metrics, KPIs, and semantic models within BI tools (Power BI), ensuring consistency and governance across all self\-service reporting and dashboards
* Enable secure, governed self\-service analytics capabilities for business, allowing them to explore performance data independently while maintaining strict data security, access controls, and compliance with aerospace industry standards
* Implement comprehensive validation frameworks, automated testing suites, and real\-time anomaly detection mechanisms to monitor data pipelines and proactively surface potential quality issues
* Proactively identify, investigate, and resolve data integrity problems to uphold traceability requirements and regulatory compliance
* Improve overall pipeline efficiency, reduce processing costs, and enhance scalability to support growing data usage
* Tune complex data models, SQL queries, and transformation logic to handle increasing data volumes and velocity driven by business growth
* Partner closely with analysts and business teams to gather and refine requirements for data products
 **What You Bring**
* Bachelor's degree in Computer Science, Data Engineering, Information Systems, or a related field
* 3\+ years of experience in analytics engineering, data modeling, or a similar role, preferably in supply chain, manufacturing, or aerospace industries.
* Proven track record working with large\-scale datasets in cloud and familiarity with ETL processes
* Strong SQL skills and experience with data warehouses
* Expertise in BI platforms and semantic modeling, with a focus on enabling user\-friendly analytics
* Analytical mindset with excellent problem\-solving skills, capable of identifying data anomalies and optimizing performance in high\-volume environments
* Collaborative communicator who can bridge technical and business teams, translating requirements into effective data solutions
* Commitment to data governance, quality assurance, and continuous improvement
* Adaptability to fast\-paced settings, with a proactive approach to innovation in analytics
 **Special Requirements:**
* ***U.S. Citizen, U.S. Permanent Resident (Green Card holder) or****asylee/refugee status as defined by 8 U.S.C. 1324b(a)(3\) required.*
* ITAR Requirement
* *120\.15\. Some positions will require current U.S. Citizenship due to contract requirements.*
*This position requires access to information that is subject to compliance with the International Traffic Arms Regulations (“ITAR”) and/or the Export Administration Regulations (“EAR”). In order to comply with the requirements of the ITAR and/or the EAR, applicants will be asked to provide specific documentation to verify U.S. person status under the ITAR and the EAR. A “U.S. person” according to their definition is a U.S. citizen, U.S. lawful permanent resident (green card holder), or protected individual such as a refugee, or asylee. See 22 CFR*
Job Type: Full Time
 **FDH Aero** is an Equal Opportunity Employer and all qualified applicants will receive consideration for employment without regard to race, color, religion, sex, national origin, sexual orientation, gender identity, disability status, protected veteran status, or any other characteristic protected by law.</t>
        </is>
      </c>
    </row>
    <row r="122">
      <c r="A122" t="inlineStr">
        <is>
          <t>in-c7ba34fd6c1d0c41</t>
        </is>
      </c>
      <c r="B122" t="inlineStr">
        <is>
          <t>Business Process &amp; Analytics Engineer</t>
        </is>
      </c>
      <c r="C122" t="inlineStr">
        <is>
          <t>Pitt Ohio</t>
        </is>
      </c>
      <c r="D122" t="inlineStr">
        <is>
          <t>indeed</t>
        </is>
      </c>
      <c r="E122">
        <f>HYPERLINK("https://www.indeed.com/viewjob?jk=c7ba34fd6c1d0c41", "https://www.indeed.com/viewjob?jk=c7ba34fd6c1d0c41")</f>
        <v/>
      </c>
      <c r="F122">
        <f>HYPERLINK("https://careers-pittohio.icims.com/jobs/3373/job?utm_source=indeed_integration&amp;iis=Job%20Board&amp;iisn=Indeed&amp;indeed-apply-token=73a2d2b2a8d6d5c0a62696875eaebd669103652d3f0c2cd5445d3e66b1592b0f", "https://careers-pittohio.icims.com/jobs/3373/job?utm_source=indeed_integration&amp;iis=Job%20Board&amp;iisn=Indeed&amp;indeed-apply-token=73a2d2b2a8d6d5c0a62696875eaebd669103652d3f0c2cd5445d3e66b1592b0f")</f>
        <v/>
      </c>
      <c r="G122" t="inlineStr">
        <is>
          <t>Pittsburgh, PA, US</t>
        </is>
      </c>
      <c r="H122" s="3" t="n">
        <v>46050</v>
      </c>
      <c r="I122" t="inlineStr">
        <is>
          <t>Overview:
**PITT OHIO**, a $900 million, high service, highly profitable, transportation solutions provider offering SUPPLY CHAIN, LTL and TRUCKLOAD services is seeking a **Business Process \&amp;** **Analytics Engineer** to join our team at our Corporate Headquarters in **Pittsburgh, PA**.  
We offer competitive wages, hospital/medical insurance with no weekly premiums, vision, discount prescription, dental, 401K, profit sharing, paid vacations, pleasant work environment, and much more!  
We are seeking a Business Process \&amp; Analytics Engineer to support our Administration organization by developing analytics, automations, and process improvements across six core functional areas: Freight Bill Entry, Invoicing/Billing, Accounts Receivable, Credit, Collections, and Interline Settlements. In this role, you will build and maintain dashboards, reports, and data pipelines that improve performance, efficiency, and customer satisfaction. You will also partner with department leaders and technical teams to identify problems, recommend solutions, and drive continuous improvement across the business.  
WHY JOIN US?  
* Opportunity to directly influence operational efficiency and process transformation.
* Collaborative culture focused on innovation and continuous improvement.
* Hands on experience with analytics, automation, and technology driven solutions.
* Professional growth through cross functional work and exposure to multiple administrative teams.
Responsibilities:
Data \&amp; Reporting  
* Develop, maintain, and enhance dashboards and reports in Power BI or similar tools.
* Analyze operational data and provide actionable insights to support performance improvement.
* Ensure data accuracy, consistency, and integrity across reporting sources.
* Document data definitions, sources, and reporting standards.
Process Improvement  
* Map, document, and assess current processes across administrative functions.
* Identify opportunities for automation, standardization, and efficiency improvements.
* Develop improvement strategies and track results to ensure long term sustainability.
Automation \&amp; Tools  
* Build and maintain automated workflows and bots using Power Automate or similar platforms.
* Research, evaluate, and support the implementation of new software solutions.
* Assist in requirements gathering, vendor assessments, and system rollouts.
Collaboration \&amp; Support  
* Partner with department leaders to understand operational challenges and reporting needs.
* Train staff on dashboards, analytics tools, and new processes.
* Support evolving business requirements and new analytics initiatives.
* Remain flexible to additional responsibilities as required.
Other Dutie  
* Assist in training department staff to utilize analytics tools and dashboards.
* Develop strategies and plans to assure sustainability of improvements.
* Support ongoing changes and new analytics needs as business evolves.
Qualifications:
* Bachelor’s degree in Computer Science, Engineering, Mathematics, Statistics, or a related field.
* 1–3 years of experience in data analytics, data engineering, or a related role.
* Proficiency with Power BI or other data visualization tools.
* Strong analytical, problem solving, and communication skills.
* Proficiency in Microsoft Office tools.
* Ability to work both independently and collaboratively in a fast paced environment.
* Curiosity, initiative, and commitment to continuous learning.
* Knowledge of the LTL transportation industry is a plus.
* Fluent in English for effective communication with internal and external stakeholders.
Working Conditions/Physical Requirements  
* Talking and hearing required to communication with and listen to others to share or receive information. Occasionally exposed to noise including telephone, office machinery, and conversations of others.
* Position involves sedentary work, typically sitting for extended periods.
* Requires close visual acuity for tasks such as data analysis, computer work, and reading.
* Work is performed primarily in an office environment with typical conditions such as air conditioning and minor levels of dust; minimal exposure to adverse environmental conditions.
* Regular use of manual dexterity, including keyboarding, typing, grasping, and repetitive wrist and hand motions.
* Talking and hearing are required to communicate effectively with others and exchange information. Occasional exposure to routine office noise, including conversations, phones, and office equipment.
* 
\#POE2</t>
        </is>
      </c>
    </row>
    <row r="123">
      <c r="A123" t="inlineStr">
        <is>
          <t>in-776dc18231e55dae</t>
        </is>
      </c>
      <c r="B123" t="inlineStr">
        <is>
          <t>Materials Data Engineer – Active Clearance Required</t>
        </is>
      </c>
      <c r="C123" t="inlineStr">
        <is>
          <t>Lawrence Livermore National Laboratory</t>
        </is>
      </c>
      <c r="D123" t="inlineStr">
        <is>
          <t>indeed</t>
        </is>
      </c>
      <c r="E123">
        <f>HYPERLINK("https://www.indeed.com/viewjob?jk=776dc18231e55dae", "https://www.indeed.com/viewjob?jk=776dc18231e55dae")</f>
        <v/>
      </c>
      <c r="F123">
        <f>HYPERLINK("https://www.llnl.gov/join-our-team/careers/find-your-job/all/all/3743990011420326", "https://www.llnl.gov/join-our-team/careers/find-your-job/all/all/3743990011420326")</f>
        <v/>
      </c>
      <c r="G123" t="inlineStr">
        <is>
          <t>Livermore, CA, US</t>
        </is>
      </c>
      <c r="H123" s="3" t="n">
        <v>46050</v>
      </c>
      <c r="I123" t="inlineStr">
        <is>
          <t>### **Company Description**
**Join us and make YOUR mark on the World!**
Lawrence Livermore National Laboratory (LLNL) has turned bold ideas into world\-changing impact advancing science and technology to strengthen U.S. security and promote global stability.
Our mission spans four critical national security areas nuclear deterrence, threat preparedness, energy security, and multi\-domain defense empowering teams to take on the toughest challenges of today and tomorrow. With a culture built on innovation and operational excellence, LLNL is a place where your expertise can make a real impact.
### **Job Description**
We are seeking a **Materials Data Engineer** to join our team. In this role, you will work under the guidance of principle investigators to design data and analysis pipelines to support the Laboratory's AI\-initiatives. This includes but not limited to sparse datasets, manufacturing, and high\-throughput experimentation. As part of the Materials Engineering Division (MED) within the Engineering Directorate, you will contribute to advancing strategies for national security and support DOE’s Genesis Mission. This position provides an excellent opportunity to work at the forefront of science, automation, and machine learning.
*This position offers a hybrid schedule, blending in\-person and virtual presence. You will have the flexibility to work from home one or more days per week.*
**You will**
* Design and implement data processing and analysis pipelines that are scalable and AI\-ready for high\-throughput laboratory experimental systems to support end\-to\-end and hardware\-software workflows and interface with enterprise data lake platforms such as MongoDB.
* Develop, deploy, and maintain application‑layer and AI‑assisted control software that interfaces with industrial and laboratory hardware — including PLCs, robotic controllers, motion systems, sensors/actuators, machine vision systems, and HMI/SCADA platforms — to provide robust, low‑latency monitoring and control of experiments.
* Leverage AI and statistical methods to enable early detection of off‑normal or unsafe conditions, scaling from benchtop experiments to large integrated facilities and HPC platforms.
* Specify, integrate, and validate hardware–software safety and interlock functions in close collaboration with scientists, engineers, and technicians. Ensure that control logic, AI‑assisted decision components, data models, test plans, and configuration‑managed documentation meet LLNL, DOE, and applicable SIL/compliance, software quality assurance (SQA), and cyber‑security requirements while supporting rigorous change control and regression testing over the system life cycle.
* Participate in hardware design reviews and create reports.
* Perform other duties as assigned.
### **Qualifications**
* This position requires an active Department of Energy (DOE) Q\-level clearance or active Top\-Secret clearance issued by another U.S. government agency at the time of hire.
* Bachelor's degree in computer engineering, Electrical Engineering, Mechatronics, or a related technical field, or equivalent combination of education and relevant experience.
* Experience developing software for data acquisition and processing, which includes tabular and time series data, and ingestion into databases such as MongoDB.
* Fundamental understanding of networking and IoT communication for remote monitoring and control, including designing secure, low latency networks that connect PLCs, robots, sensors, edge devices, and database backed services using protocols such as TCP/IP and RESTful APIs.
* Ability to work both independently and collaboratively in a multidisciplinary and dynamic team environment, utilizing experience and fundamental knowledge of experimental design, techniques, and execution.
* Sufficient organizational, verbal, and written communication skills to effectively collaborate in a team environment and present and explain technical information to a variety of audiences.
* Demonstrated experience designing and implementing safety\-critical control systems (safety relays for laser systems, EMO circuits, door interlocks, remote interlock I/O, watchdog timers, and PLC‑based Safety Instrumented Systems) and standards\-compliant architectures for high\-energy or laser systems.
**Qualifications We Desire**
* Advanced degree in Computer Engineering, Electrical Engineering, Mechatronics, or a related technical field.
* Proficiency in computational data analysis and scientific programming, including experience applying Python stacks (NumPy, Pandas, matplotlib, ML frameworks, MongoDB, and automated CSV/Parquet pipelines) and schema/ontology design and visualization dashboards.
* Hands\-on experience developing and tuning closed\-loop control systems (e.g., PID) in PLCs, embedded firmware, or software, with additional skills in C/C\+\+, LabVIEW, MATLAB, and collaborative development tools (e.g., Git).
**Pay Range**
$121,830 \- $154,500 Annually
This is the lowest to highest salary we in good faith believe we would pay for this role at the time of this posting. An employee’s position within the salary range will be based on several factors including, but not limited to, specific competencies, relevant education, qualifications, certifications, experience, skills, seniority, geographic location, performance, and business or organizational needs.
### **Additional Information**
\#LI\-Hybrid
**Position Information**
This is a Career Indefinite position, open to Lab employees and external candidates.
**Why Lawrence Livermore National Laboratory?**
* Included in 2026 Best Places to Work by Glassdoor!
* Flexible Benefits Package
* 401(k)
* Relocation Assistance
* Education Reimbursement Program
* Flexible schedules (\*depending on project needs)
* Our values \- visit https://www.llnl.gov/inclusion/our\-values
**Security Clearance**
This position requires an active Department of Energy (DOE) Q\-level clearance or active Top Secret clearance issued by another U.S. government agency at time of hire.
**Pre\-Employment Drug Test**
External applicant(s) selected for this position must pass a post\-offer, pre\-employment drug test. This includes testing for use of marijuana as Federal Law applies to us as a Federal Contractor.
**Wireless and Medical Devices**
Per the Department of Energy (DOE), Lawrence Livermore National Laboratory must meet certain restrictions with the use and/or possession of mobile devices in Limited Areas. Depending on your job duties, you may be required to work in a Limited Area where you are not permitted to have a personal and/or laboratory mobile device in your possession. This includes, but not limited to cell phones, tablets, fitness devices, wireless headphones, and other Bluetooth/wireless enabled devices.
If you use a medical device, which pairs with a mobile device, you must still follow the rules concerning the mobile device in individual sections within Limited Areas. Sensitive Compartmented Information Facilities require separate approval. Hearing aids without wireless capabilities or wireless that has been disabled are allowed in Limited Areas, Secure Space and Transit/Buffer Space within buildings.
**How to identify fake job advertisements**
Please be aware of recruitment scams where people or entities are misusing the name of Lawrence Livermore National Laboratory (LLNL) to post fake job advertisements. LLNL never extends an offer without a personal interview and will never charge a fee for joining our company. All current job openings are displayed on the Career Page under “Find Your Job” of our website. If you have encountered a job posting or have been approached with a job offer that you suspect may be fraudulent, we strongly recommend you do not respond.
To learn more about recruitment scams: https://www.llnl.gov/sites/www/files/2023\-05/LLNL\-Job\-Fraud\-Statement\-Updated\-4\.26\.23\.pdf
**Equal Employment Opportunity**
We are an equal opportunity employer that is committed to providing all with a work environment free of discrimination and harassment. All qualified applicants will receive consideration for employment without regard to race, color, religion, marital status, national origin, ancestry, sex, sexual orientation, gender identity, disability, medical condition, pregnancy, protected veteran status, age, citizenship, or any other characteristic protected by applicable laws.
**Reasonable Accommodation**
Our goal is to create an accessible and inclusive experience for all candidates applying and interviewing at the Laboratory. If you need a reasonable accommodation during the application or the recruiting process, please use our online form to submit a request.
**California Privacy Notice**
The California Consumer Privacy Act (CCPA) grants privacy rights to all California residents. The law also entitles job applicants, employees, and non\-employee workers to be notified of what personal information LLNL collects and for what purpose. The Employee Privacy Notice can be accessed here.</t>
        </is>
      </c>
    </row>
    <row r="124">
      <c r="A124" t="inlineStr">
        <is>
          <t>in-eac4035f66bb0490</t>
        </is>
      </c>
      <c r="B124" t="inlineStr">
        <is>
          <t>Data Engineer, Support</t>
        </is>
      </c>
      <c r="C124" t="inlineStr"/>
      <c r="D124" t="inlineStr">
        <is>
          <t>indeed</t>
        </is>
      </c>
      <c r="E124">
        <f>HYPERLINK("https://www.indeed.com/viewjob?jk=eac4035f66bb0490", "https://www.indeed.com/viewjob?jk=eac4035f66bb0490")</f>
        <v/>
      </c>
      <c r="F124">
        <f>HYPERLINK("https://jobs.ashbyhq.com/intus/ee72d4bd-5803-4f95-8c7d-c1b431ef0412?utm_source=B11DvZEp0A", "https://jobs.ashbyhq.com/intus/ee72d4bd-5803-4f95-8c7d-c1b431ef0412?utm_source=B11DvZEp0A")</f>
        <v/>
      </c>
      <c r="G124" t="inlineStr">
        <is>
          <t>US</t>
        </is>
      </c>
      <c r="H124" s="3" t="n">
        <v>46050</v>
      </c>
      <c r="I124" t="inlineStr">
        <is>
          <t>**About IntusCare**
IntusCare is the only end\-to\-end ecosystem built specifically to help Programs of All\-Inclusive Care for the Elderly (PACE) programs deliver exceptional care, strengthen financial performance, and stay compliant. IntusCare replaces outdated technology and manual workarounds with purpose\-built solutions for care coordination, risk adjustment, population health, and utilization management. IntusCare empowers teams to take control of their operations and improve outcomes for dual\-eligible seniors – some of the most socially vulnerable and clinically complex individuals in the US healthcare system
**Role Overview / Responsibilities**
You will serve as a **Data Engineer, Support** for Data Engineering, reporting to Evan Walters. In This Role You Will:
* Provide end\-to\-end ownership of a legacy population health analytics product, with a primary focus on backend data pipelines and full responsibility for the associated full\-stack application
* Own, operate, and maintain a production analytics product, including data ingestion, transformation, orchestration, and the user\-facing application
* Build, maintain, and debug backend data pipelines using Airflow, Python (Pandas, Selenium), Snowflake, dbt, and Airbyte, with a strong emphasis on data quality, reliability, and performance
* Take full\-stack responsibility for the analytics application, including backend services (Node.js) and frontend components (React)
* Handle all bug fixes, operational issues, and production incidents for the product, developing deep understanding of system behavior and failure modes
* Investigate data quality issues, pipeline failures, and application\-level defects, and implement durable, well\-reasoned fixes
* Make pragmatic improvements to legacy codebases across the stack, balancing delivery speed, correctness, and maintainability
* Communicate clearly about system health, root causes, and technical tradeoffs with teammates and stakeholders
**About You / Requirements**
* Bachelor’s degree in Computer Science, Information Systems, or related field, or equivalent practical experience
* 1–4 years of professional experience as a Software Engineer or Data Engineer
* Proficiency in Python and experience working with production data pipelines or ETL/ELT workflows
* Working knowledge of SQL and experience with relational or analytical databases
* Exposure to backend or full\-stack development, including JavaScript and backend frameworks such as Node.js
* Familiarity with frontend technologies such as React, or willingness to learn and support existing frontend codebases
* Basic familiarity with modern data platforms and tools (e.g., Airflow, dbt, Snowflake, Airbyte)
* Ability to debug unfamiliar and legacy systems and reason through complex technical issues
* Strong sense of ownership and accountability for production systems
* Clear written and verbal communication skills
**Preferred/Nice\-to\-Have**
* Experience supporting or maintaining legacy systems in production
* Exposure to healthcare data, analytics platforms, or regulated environments
* Experience working in a small team or fast\-moving environment
**Benefits**
* Competitive salary and benefits package, including uncapped PTO and health insurance
* Opportunity to work with a passionate and innovative team
* Professional development and growth opportunities
* Flexible work environment
**Compensation**: The salary range for this role is **$**95–120K. We expect the ideal candidate to fall near the midpoint of this range, though final compensation will be determined based on experience, skills, and organizational needs.
**Work location:** This is a fully remote role based in the United States.
**Sponsorship:** This position is not eligible for sponsorship.</t>
        </is>
      </c>
    </row>
    <row r="125">
      <c r="A125" t="inlineStr">
        <is>
          <t>in-12b4d046120f84eb</t>
        </is>
      </c>
      <c r="B125" t="inlineStr">
        <is>
          <t>Lead Gen AI Data Engineer</t>
        </is>
      </c>
      <c r="C125" t="inlineStr">
        <is>
          <t>The Hartford</t>
        </is>
      </c>
      <c r="D125" t="inlineStr">
        <is>
          <t>indeed</t>
        </is>
      </c>
      <c r="E125">
        <f>HYPERLINK("https://www.indeed.com/viewjob?jk=12b4d046120f84eb", "https://www.indeed.com/viewjob?jk=12b4d046120f84eb")</f>
        <v/>
      </c>
      <c r="F125">
        <f>HYPERLINK("https://click.appcast.io/t/3tBNzf7ERm8_zcKUNsfkBRgYZ34RJPTLHjbFDFSRFNM=", "https://click.appcast.io/t/3tBNzf7ERm8_zcKUNsfkBRgYZ34RJPTLHjbFDFSRFNM=")</f>
        <v/>
      </c>
      <c r="G125" t="inlineStr">
        <is>
          <t>Columbus, OH, US</t>
        </is>
      </c>
      <c r="H125" s="3" t="n">
        <v>46050</v>
      </c>
      <c r="I125" t="inlineStr">
        <is>
          <t>Sr Staff Data Engineer \- GE07DE
We’re determined to make a difference and are proud to be an insurance company that goes well beyond coverages and policies. Working here means having every opportunity to achieve your goals – and to help others accomplish theirs, too. Join our team as we help shape the future.  
Join our team as a Sr GenAI Data Engineer and lead the charge in developing cutting\-edge AI solutions and data engineering strategies. Embrace our core values of innovation, collaboration, and excellence as you unlock unparalleled growth opportunities in the dynamic field of AI and data engineering. Shape the future of technology with us! Apply now to be part of our innovative journey and make a significant impact!
This role will have a Hybrid work schedule, with the expectation of working in an office (Columbus, OH, Chicago, IL, Hartford, CT or Charlotte, NC) 3 days a week (Tuesday through Thursday).
**Key Responsibilities:**
-------------------------
Develop AI\-driven systems to improve data capabilities, ensuring compliance with industry best practices. Implement efficient Retrieval\-Augmented Generation (RAG) architectures and integrate with enterprise data infrastructure. Collaborate with cross\-functional teams to integrate solutions into operational processes and systems supporting various functions. Stay up to date with industry advancements in AI and apply modern technologies and methodologies to our systems. Design, build and maintain scalable and robust real\-time data streaming pipelines using technologies such as GCP, Vertex AI, S3, AWS Bedrock, Spark streaming, or similar. Develop data domains and data products for various consumption archetypes including Reporting, Data Science, AI/ML, Analytics etc. Ensure the reliability, availability, and scalability of data pipelines and systems through effective monitoring, alerting, and incident management. Implement best practices in reliability engineering, including redundancy, fault tolerance, and disaster recovery strategies. Collaborate closely with DevOps and infrastructure teams to ensure seamless deployment, operation, and maintenance of data systems. Mentor junior team members and engage in communities of practice to deliver high\-quality data and AI solutions while promoting best practices, standards, and adoption of reusable patterns. Apply AI solutions to insurance\-specific data use cases and challenges. Partner with architects and stakeholders to influence and implement the vision of the AI and data pipelines while safeguarding the integrity and scalability of the environment.
**Required Skills \&amp; Experience**:
* 8\+ years’ Strong hands\-on experience programming skills in Python.
* 7\+ years of data engineering Strong hands\-on experience including Data solutions, SQL and NoSQL, Snowflake, ETL/ELT tools, CICD, Bigdata, Cloud Technologies (AWS/Google/AZURE), Python/Spark.
* 3\+ years of data engineering experience focused on supporting Generative AI technologies.
* 2\+ years Strong hands\-on experience implementing production ready enterprise grade GenAI data solutions.
* 3\+ years’ experience in implementing Retrieval\-Augmented Generation (RAG) pipelines, integrating retrieval mechanisms with language models.
* 3\+ years’ Experience of vector databases and graph databases, including implementation and optimization.
* 3\+ years’ Experience in processing and leveraging unstructured data for GenAI applications.
* 3\+ years’ Proficiency in implementing scalable AI driven data systems supporting agentic solution (AWS Lambda, S3, EC2, Langchain, Langgraph).
* 3\+ years’ Experience with building AI pipelines that bring together structured, semi\-structured and unstructured data. This includes pre\-processing with extraction, chunking, embedding and grounding strategies, semantic modeling, and getting the data ready for Models and Agentic solutions.
 **Nice to Have:**
* Experience with prompt engineering techniques for large language models.
* Experience in implementing data governance practices, including Data Quality, Lineage, Data Catalogue capture, holistically, strategically, and dynamically on a large\-scale data platform.
* Experience in multi cloud hybrid AI solutions.
* AI Certifications Experience in P\&amp;C or Employee Benefits industry Knowledge of natural language processing (NLP) and computer vision technologies.
* Contributions to open\-source AI projects or research publications in the field of Generative AI.
**Candidate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$135,040 \- $202,560
Equal Opportunity Employer/Sex/Race/Color/Veterans/Disability/Sexual Orientation/Gender Identity or Expression/Religion/Age</t>
        </is>
      </c>
    </row>
    <row r="126">
      <c r="A126" t="inlineStr">
        <is>
          <t>in-35685a8713498103</t>
        </is>
      </c>
      <c r="B126" t="inlineStr">
        <is>
          <t>Lead Gen AI Data Engineer</t>
        </is>
      </c>
      <c r="C126" t="inlineStr">
        <is>
          <t>The Hartford</t>
        </is>
      </c>
      <c r="D126" t="inlineStr">
        <is>
          <t>indeed</t>
        </is>
      </c>
      <c r="E126">
        <f>HYPERLINK("https://www.indeed.com/viewjob?jk=35685a8713498103", "https://www.indeed.com/viewjob?jk=35685a8713498103")</f>
        <v/>
      </c>
      <c r="F126">
        <f>HYPERLINK("https://click.appcast.io/t/zYLHs5LXOYo_m8Ty5vb5oepJ4FOI-3EJwMg6RofySFw=", "https://click.appcast.io/t/zYLHs5LXOYo_m8Ty5vb5oepJ4FOI-3EJwMg6RofySFw=")</f>
        <v/>
      </c>
      <c r="G126" t="inlineStr">
        <is>
          <t>Hartford, CT, US</t>
        </is>
      </c>
      <c r="H126" s="3" t="n">
        <v>46050</v>
      </c>
      <c r="I126" t="inlineStr">
        <is>
          <t>Sr Staff Data Engineer \- GE07DE
We’re determined to make a difference and are proud to be an insurance company that goes well beyond coverages and policies. Working here means having every opportunity to achieve your goals – and to help others accomplish theirs, too. Join our team as we help shape the future.  
Join our team as a Sr GenAI Data Engineer and lead the charge in developing cutting\-edge AI solutions and data engineering strategies. Embrace our core values of innovation, collaboration, and excellence as you unlock unparalleled growth opportunities in the dynamic field of AI and data engineering. Shape the future of technology with us! Apply now to be part of our innovative journey and make a significant impact!
This role will have a Hybrid work schedule, with the expectation of working in an office (Columbus, OH, Chicago, IL, Hartford, CT or Charlotte, NC) 3 days a week (Tuesday through Thursday).
**Key Responsibilities:**
-------------------------
Develop AI\-driven systems to improve data capabilities, ensuring compliance with industry best practices. Implement efficient Retrieval\-Augmented Generation (RAG) architectures and integrate with enterprise data infrastructure. Collaborate with cross\-functional teams to integrate solutions into operational processes and systems supporting various functions. Stay up to date with industry advancements in AI and apply modern technologies and methodologies to our systems. Design, build and maintain scalable and robust real\-time data streaming pipelines using technologies such as GCP, Vertex AI, S3, AWS Bedrock, Spark streaming, or similar. Develop data domains and data products for various consumption archetypes including Reporting, Data Science, AI/ML, Analytics etc. Ensure the reliability, availability, and scalability of data pipelines and systems through effective monitoring, alerting, and incident management. Implement best practices in reliability engineering, including redundancy, fault tolerance, and disaster recovery strategies. Collaborate closely with DevOps and infrastructure teams to ensure seamless deployment, operation, and maintenance of data systems. Mentor junior team members and engage in communities of practice to deliver high\-quality data and AI solutions while promoting best practices, standards, and adoption of reusable patterns. Apply AI solutions to insurance\-specific data use cases and challenges. Partner with architects and stakeholders to influence and implement the vision of the AI and data pipelines while safeguarding the integrity and scalability of the environment.
**Required Skills \&amp; Experience**:
* 8\+ years’ Strong hands\-on experience programming skills in Python.
* 7\+ years of data engineering Strong hands\-on experience including Data solutions, SQL and NoSQL, Snowflake, ETL/ELT tools, CICD, Bigdata, Cloud Technologies (AWS/Google/AZURE), Python/Spark.
* 3\+ years of data engineering experience focused on supporting Generative AI technologies.
* 2\+ years Strong hands\-on experience implementing production ready enterprise grade GenAI data solutions.
* 3\+ years’ experience in implementing Retrieval\-Augmented Generation (RAG) pipelines, integrating retrieval mechanisms with language models.
* 3\+ years’ Experience of vector databases and graph databases, including implementation and optimization.
* 3\+ years’ Experience in processing and leveraging unstructured data for GenAI applications.
* 3\+ years’ Proficiency in implementing scalable AI driven data systems supporting agentic solution (AWS Lambda, S3, EC2, Langchain, Langgraph).
* 3\+ years’ Experience with building AI pipelines that bring together structured, semi\-structured and unstructured data. This includes pre\-processing with extraction, chunking, embedding and grounding strategies, semantic modeling, and getting the data ready for Models and Agentic solutions.
 **Nice to Have:**
* Experience with prompt engineering techniques for large language models.
* Experience in implementing data governance practices, including Data Quality, Lineage, Data Catalogue capture, holistically, strategically, and dynamically on a large\-scale data platform.
* Experience in multi cloud hybrid AI solutions.
* AI Certifications Experience in P\&amp;C or Employee Benefits industry Knowledge of natural language processing (NLP) and computer vision technologies.
* Contributions to open\-source AI projects or research publications in the field of Generative AI.
**Candidate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$135,040 \- $202,560
Equal Opportunity Employer/Sex/Race/Color/Veterans/Disability/Sexual Orientation/Gender Identity or Expression/Religion/Age</t>
        </is>
      </c>
    </row>
    <row r="127">
      <c r="A127" t="inlineStr">
        <is>
          <t>in-317add8ee0dcb591</t>
        </is>
      </c>
      <c r="B127" t="inlineStr">
        <is>
          <t>Lead Gen AI Data Engineer</t>
        </is>
      </c>
      <c r="C127" t="inlineStr">
        <is>
          <t>The Hartford</t>
        </is>
      </c>
      <c r="D127" t="inlineStr">
        <is>
          <t>indeed</t>
        </is>
      </c>
      <c r="E127">
        <f>HYPERLINK("https://www.indeed.com/viewjob?jk=317add8ee0dcb591", "https://www.indeed.com/viewjob?jk=317add8ee0dcb591")</f>
        <v/>
      </c>
      <c r="F127">
        <f>HYPERLINK("https://click.appcast.io/t/-MM0_JocCw6v6LmMq_4GvBL7xQy4zVVTCwIg6bh2coo=", "https://click.appcast.io/t/-MM0_JocCw6v6LmMq_4GvBL7xQy4zVVTCwIg6bh2coo=")</f>
        <v/>
      </c>
      <c r="G127" t="inlineStr">
        <is>
          <t>Charlotte, NC, US</t>
        </is>
      </c>
      <c r="H127" s="3" t="n">
        <v>46050</v>
      </c>
      <c r="I127" t="inlineStr">
        <is>
          <t>Sr Staff Data Engineer \- GE07DE
We’re determined to make a difference and are proud to be an insurance company that goes well beyond coverages and policies. Working here means having every opportunity to achieve your goals – and to help others accomplish theirs, too. Join our team as we help shape the future.  
Join our team as a Sr GenAI Data Engineer and lead the charge in developing cutting\-edge AI solutions and data engineering strategies. Embrace our core values of innovation, collaboration, and excellence as you unlock unparalleled growth opportunities in the dynamic field of AI and data engineering. Shape the future of technology with us! Apply now to be part of our innovative journey and make a significant impact!
This role will have a Hybrid work schedule, with the expectation of working in an office (Columbus, OH, Chicago, IL, Hartford, CT or Charlotte, NC) 3 days a week (Tuesday through Thursday).
**Key Responsibilities:**
-------------------------
Develop AI\-driven systems to improve data capabilities, ensuring compliance with industry best practices. Implement efficient Retrieval\-Augmented Generation (RAG) architectures and integrate with enterprise data infrastructure. Collaborate with cross\-functional teams to integrate solutions into operational processes and systems supporting various functions. Stay up to date with industry advancements in AI and apply modern technologies and methodologies to our systems. Design, build and maintain scalable and robust real\-time data streaming pipelines using technologies such as GCP, Vertex AI, S3, AWS Bedrock, Spark streaming, or similar. Develop data domains and data products for various consumption archetypes including Reporting, Data Science, AI/ML, Analytics etc. Ensure the reliability, availability, and scalability of data pipelines and systems through effective monitoring, alerting, and incident management. Implement best practices in reliability engineering, including redundancy, fault tolerance, and disaster recovery strategies. Collaborate closely with DevOps and infrastructure teams to ensure seamless deployment, operation, and maintenance of data systems. Mentor junior team members and engage in communities of practice to deliver high\-quality data and AI solutions while promoting best practices, standards, and adoption of reusable patterns. Apply AI solutions to insurance\-specific data use cases and challenges. Partner with architects and stakeholders to influence and implement the vision of the AI and data pipelines while safeguarding the integrity and scalability of the environment.
**Required Skills \&amp; Experience**:
* 8\+ years’ Strong hands\-on experience programming skills in Python.
* 7\+ years of data engineering Strong hands\-on experience including Data solutions, SQL and NoSQL, Snowflake, ETL/ELT tools, CICD, Bigdata, Cloud Technologies (AWS/Google/AZURE), Python/Spark.
* 3\+ years of data engineering experience focused on supporting Generative AI technologies.
* 2\+ years Strong hands\-on experience implementing production ready enterprise grade GenAI data solutions.
* 3\+ years’ experience in implementing Retrieval\-Augmented Generation (RAG) pipelines, integrating retrieval mechanisms with language models.
* 3\+ years’ Experience of vector databases and graph databases, including implementation and optimization.
* 3\+ years’ Experience in processing and leveraging unstructured data for GenAI applications.
* 3\+ years’ Proficiency in implementing scalable AI driven data systems supporting agentic solution (AWS Lambda, S3, EC2, Langchain, Langgraph).
* 3\+ years’ Experience with building AI pipelines that bring together structured, semi\-structured and unstructured data. This includes pre\-processing with extraction, chunking, embedding and grounding strategies, semantic modeling, and getting the data ready for Models and Agentic solutions.
 **Nice to Have:**
* Experience with prompt engineering techniques for large language models.
* Experience in implementing data governance practices, including Data Quality, Lineage, Data Catalogue capture, holistically, strategically, and dynamically on a large\-scale data platform.
* Experience in multi cloud hybrid AI solutions.
* AI Certifications Experience in P\&amp;C or Employee Benefits industry Knowledge of natural language processing (NLP) and computer vision technologies.
* Contributions to open\-source AI projects or research publications in the field of Generative AI.
**Candidate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$135,040 \- $202,560
Equal Opportunity Employer/Sex/Race/Color/Veterans/Disability/Sexual Orientation/Gender Identity or Expression/Religion/Age</t>
        </is>
      </c>
    </row>
    <row r="128">
      <c r="A128" t="inlineStr">
        <is>
          <t>in-496f3d918163d3e6</t>
        </is>
      </c>
      <c r="B128" t="inlineStr">
        <is>
          <t>Lead Gen AI Data Engineer</t>
        </is>
      </c>
      <c r="C128" t="inlineStr">
        <is>
          <t>The Hartford</t>
        </is>
      </c>
      <c r="D128" t="inlineStr">
        <is>
          <t>indeed</t>
        </is>
      </c>
      <c r="E128">
        <f>HYPERLINK("https://www.indeed.com/viewjob?jk=496f3d918163d3e6", "https://www.indeed.com/viewjob?jk=496f3d918163d3e6")</f>
        <v/>
      </c>
      <c r="F128">
        <f>HYPERLINK("https://click.appcast.io/t/KEkbNPvljciDpBMBL0kfb71rogz-h7A_4B7tS9yfioE=", "https://click.appcast.io/t/KEkbNPvljciDpBMBL0kfb71rogz-h7A_4B7tS9yfioE=")</f>
        <v/>
      </c>
      <c r="G128" t="inlineStr">
        <is>
          <t>Chicago, IL, US</t>
        </is>
      </c>
      <c r="H128" s="3" t="n">
        <v>46050</v>
      </c>
      <c r="I128" t="inlineStr">
        <is>
          <t>Sr Staff Data Engineer \- GE07DE
We’re determined to make a difference and are proud to be an insurance company that goes well beyond coverages and policies. Working here means having every opportunity to achieve your goals – and to help others accomplish theirs, too. Join our team as we help shape the future.  
Join our team as a Sr GenAI Data Engineer and lead the charge in developing cutting\-edge AI solutions and data engineering strategies. Embrace our core values of innovation, collaboration, and excellence as you unlock unparalleled growth opportunities in the dynamic field of AI and data engineering. Shape the future of technology with us! Apply now to be part of our innovative journey and make a significant impact!
This role will have a Hybrid work schedule, with the expectation of working in an office (Columbus, OH, Chicago, IL, Hartford, CT or Charlotte, NC) 3 days a week (Tuesday through Thursday).
**Key Responsibilities:**
-------------------------
Develop AI\-driven systems to improve data capabilities, ensuring compliance with industry best practices. Implement efficient Retrieval\-Augmented Generation (RAG) architectures and integrate with enterprise data infrastructure. Collaborate with cross\-functional teams to integrate solutions into operational processes and systems supporting various functions. Stay up to date with industry advancements in AI and apply modern technologies and methodologies to our systems. Design, build and maintain scalable and robust real\-time data streaming pipelines using technologies such as GCP, Vertex AI, S3, AWS Bedrock, Spark streaming, or similar. Develop data domains and data products for various consumption archetypes including Reporting, Data Science, AI/ML, Analytics etc. Ensure the reliability, availability, and scalability of data pipelines and systems through effective monitoring, alerting, and incident management. Implement best practices in reliability engineering, including redundancy, fault tolerance, and disaster recovery strategies. Collaborate closely with DevOps and infrastructure teams to ensure seamless deployment, operation, and maintenance of data systems. Mentor junior team members and engage in communities of practice to deliver high\-quality data and AI solutions while promoting best practices, standards, and adoption of reusable patterns. Apply AI solutions to insurance\-specific data use cases and challenges. Partner with architects and stakeholders to influence and implement the vision of the AI and data pipelines while safeguarding the integrity and scalability of the environment.
**Required Skills \&amp; Experience**:
* 8\+ years’ Strong hands\-on experience programming skills in Python.
* 7\+ years of data engineering Strong hands\-on experience including Data solutions, SQL and NoSQL, Snowflake, ETL/ELT tools, CICD, Bigdata, Cloud Technologies (AWS/Google/AZURE), Python/Spark.
* 3\+ years of data engineering experience focused on supporting Generative AI technologies.
* 2\+ years Strong hands\-on experience implementing production ready enterprise grade GenAI data solutions.
* 3\+ years’ experience in implementing Retrieval\-Augmented Generation (RAG) pipelines, integrating retrieval mechanisms with language models.
* 3\+ years’ Experience of vector databases and graph databases, including implementation and optimization.
* 3\+ years’ Experience in processing and leveraging unstructured data for GenAI applications.
* 3\+ years’ Proficiency in implementing scalable AI driven data systems supporting agentic solution (AWS Lambda, S3, EC2, Langchain, Langgraph).
* 3\+ years’ Experience with building AI pipelines that bring together structured, semi\-structured and unstructured data. This includes pre\-processing with extraction, chunking, embedding and grounding strategies, semantic modeling, and getting the data ready for Models and Agentic solutions.
 **Nice to Have:**
* Experience with prompt engineering techniques for large language models.
* Experience in implementing data governance practices, including Data Quality, Lineage, Data Catalogue capture, holistically, strategically, and dynamically on a large\-scale data platform.
* Experience in multi cloud hybrid AI solutions.
* AI Certifications Experience in P\&amp;C or Employee Benefits industry Knowledge of natural language processing (NLP) and computer vision technologies.
* Contributions to open\-source AI projects or research publications in the field of Generative AI.
**Candidate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$135,040 \- $202,560
Equal Opportunity Employer/Sex/Race/Color/Veterans/Disability/Sexual Orientation/Gender Identity or Expression/Religion/Age</t>
        </is>
      </c>
    </row>
    <row r="129">
      <c r="A129" t="inlineStr">
        <is>
          <t>in-8fb8db6c5654191e</t>
        </is>
      </c>
      <c r="B129" t="inlineStr">
        <is>
          <t>Analytics Engineering Manager</t>
        </is>
      </c>
      <c r="C129" t="inlineStr">
        <is>
          <t>Kin Insurance</t>
        </is>
      </c>
      <c r="D129" t="inlineStr">
        <is>
          <t>indeed</t>
        </is>
      </c>
      <c r="E129">
        <f>HYPERLINK("https://www.indeed.com/viewjob?jk=8fb8db6c5654191e", "https://www.indeed.com/viewjob?jk=8fb8db6c5654191e")</f>
        <v/>
      </c>
      <c r="F129">
        <f>HYPERLINK("https://jobs.ashbyhq.com/kin/3fe1e6f2-42cf-42c7-b635-8eac34471fbe?utm_source=Poxlxy7KOW", "https://jobs.ashbyhq.com/kin/3fe1e6f2-42cf-42c7-b635-8eac34471fbe?utm_source=Poxlxy7KOW")</f>
        <v/>
      </c>
      <c r="G129" t="inlineStr">
        <is>
          <t>Ontario, CA, US</t>
        </is>
      </c>
      <c r="H129" s="3" t="n">
        <v>46050</v>
      </c>
      <c r="I129" t="inlineStr">
        <is>
          <t>Kin is redesigning insurance to be smarter, faster, and centered on the customer. We use intelligent pricing, offer seamless bundling, and make every step (from purchasing, servicing to claims) simple and friction\-free, especially in the places traditional insurers often ignore.
We empower people to protect what matters most, starting with their homes and expanding to all they value, in a world where climate risks, rising costs, and outdated systems leave too many behind. Our approach has fostered amazing growth, attracted marquee investors, and earned us accolades, including being named to:
* Built In Chicago's Best Places to Work, Midsize Companies (2021\-2025\).
* Forbes' America's Best Startup Employers (2021\- 2024, Ranked \#37 in 2024\).
* Inc. 5000 Fastest\-Growing Private Companies.
* Forbes’ Fintech 50\.
Simply put, our people are what make us great – we need forward\-thinking, inspired game\-changers like you to join us in our mission.
**Quick summary**
-----------------
Own Looker and the semantic layer; build trust in analytics; partner with data engineering; grow a team of analytics engineers.
**The opportunity**
-------------------
We’re looking for an Analytics Engineering Manager to lead the discipline of turning well\-modeled data into shared, trusted business understanding. You’ll own the direction and quality of our semantic layer, enterprise reporting, and BI practices while partnering closely with data engineers and stakeholders across Kin’s business.
You’ll own Kin’s semantic layer and BI platform, Looker, and be responsible for the care and evolution of core enterprise reports, as well as the enablement of self\-service analytics for smaller and exploratory use cases. You’ll blend your technical leadership, stakeholder collaboration, and hands\-on skills to optimize our use of data.
**Your responsibilities**
-------------------------
* Provide directional administration of the Looker platform, including permissions, performance considerations, content lifecycle, and development standards
* Partner with teams to align on shared metrics and definitions, and guide them through semantic tradeoffs and definition differences
* Oversee the care, development, and reliability of Kin’s core dashboards and reports
* Partner with data engineers and provide input on dimensional model design and evolution while advocating for best practices that support downstream analytics
* Hire and lead analytics engineers, mentoring them on modeling, semantic design, and stakeholder partnership
* Develop and implement new analytics and reporting solutions
**What success looks like**
---------------------------
* A clearer direction for Kin’s BI semantic layer, prioritizing simplicity, consistency and long\-term durability
* Enhanced self\-service through curated datasets, reusable metrics, documentation, and lightweight guardrails
* Improved performance and reliability of enterprise level and self\-service reporting and dashboards
* A larger and higher\-performing analytics engineering team
**Your experience \&amp; skills**
-----------------------------
* 6–8\+ years in analytics engineering, BI engineering, or data modeling roles
* Expert\-level SQL and dimensional modeling abilities
* Advanced reasoning related to metrics, definitions, and business meaning
* Proven ability to design simple, durable semantic layers over complex data
* Comfort influencing upstream data design without owning ingestion or platform operations
* Excellent written and verbal communication skills, and ability to align technical and non\-technical partners
* High emotional intelligence and empathy when working through differing perspectives
* Demonstrated leadership through mentoring, technical direction\-setting, or informal team leadership
* Hands\-on experience with modern lakehouse or warehouse platforms (e.g., Databricks) or BI tools (e.g., Looker)
**Our benefits**
----------------
*This role is eligible for our comprehensive benefits program, which includes standard coverage and additional supplemental benefits.*
***This role is available and may represent a new position. Applications for this role are accepted on an ongoing basis***
***We use AI\-enabled tools to sort applications based on job\-related criteria and help with noting\-taking during the interview process. A human always decides who moves forward.***
\#LI\-REMOTE
*For Sales Agents and Customer Service Agents: These roles sit in any of the following 30 states: AL, AZ, CO, FL, ID, IL, IN, KS, KY, MA, MD, ME, MI, MO, MT, NC, NE, NM, NV, NY, OH, OK, PA, SC, TN, TX, UT, VT, VA, WA, and WI.*
*For remote technical positions located in Canada, we are only able to hire individuals who reside in Ontario. Applicants must be able to live and work full\-time in Ontario to be considered.*
*For all other positions, these roles can sit in any of the following 40 states: AL, AR, AZ, CA (exempt only), CO, CT, FL, GA, ID, IL, IN, IA, KS, KY, MA, ME, MD, MI, MN, MO, MT, NC, NE, NJ, NM, NV, NY, OH, OK, OR, PA, SC, SD, TN, TX, UT, VT, VA, WA, and WI. Please only apply if you are able to live and work full\-time in one of the states listed above.*
*State locations and specifics are subject to change as our hiring requirements shift.*
### **About Kin**
Kin is the only pure\-play, direct\-to\-consumer digital insurer focused on the growing home insurance market. We make policies convenient and affordable through a technology platform that delivers a seamless user experience, customized options for coverage, and fast, high\-quality claims service. Kin is a fully licensed carrier that offers coverage through its reciprocal exchanges which are owned by its policyholders. To learn more, visit www.kin.com.
### **EEOC Statement**
Kin is proud to be an Equal Employment Opportunity and Affirmative Action Employer. We don't just accept difference – we honor it, nurture it, and celebrate it. We don’t discriminate based 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Kin welcomes and encourages applications from people with disabilities. Accommodations are available on request for candidates taking part in all aspects of the selection process. If you require accommodation, please contact us by sending an email to careers@kin.com
Compensation Range: CA$149K \- CA$186K</t>
        </is>
      </c>
    </row>
    <row r="130">
      <c r="A130" t="inlineStr">
        <is>
          <t>in-c5da239594403243</t>
        </is>
      </c>
      <c r="B130" t="inlineStr">
        <is>
          <t>Senior Analytics Engineer</t>
        </is>
      </c>
      <c r="C130" t="inlineStr">
        <is>
          <t>POSH</t>
        </is>
      </c>
      <c r="D130" t="inlineStr">
        <is>
          <t>indeed</t>
        </is>
      </c>
      <c r="E130">
        <f>HYPERLINK("https://www.indeed.com/viewjob?jk=c5da239594403243", "https://www.indeed.com/viewjob?jk=c5da239594403243")</f>
        <v/>
      </c>
      <c r="F130">
        <f>HYPERLINK("https://jobs.ashbyhq.com/posh/244e9236-39d1-4b5a-9979-bad528314a11?utm_source=brBRDRNA1G", "https://jobs.ashbyhq.com/posh/244e9236-39d1-4b5a-9979-bad528314a11?utm_source=brBRDRNA1G")</f>
        <v/>
      </c>
      <c r="G130" t="inlineStr">
        <is>
          <t>New York, NY, US</t>
        </is>
      </c>
      <c r="H130" s="3" t="n">
        <v>46050</v>
      </c>
      <c r="I130" t="inlineStr">
        <is>
          <t>**About Posh**
==============
We are all social creatures, but the dominant “social” companies today have evolved into digital loneliness machines, driving isolation, anxiety, and mental health challenges around the world.
Human connection is lost. Posh is a beacon guiding us back.
Posh enables anyone to build an IRL community based on shared interests, while connecting consumers with the communities of people just like them. Founded by event organizers who were frustrated with the growing loneliness epidemic and the tools available to build their own event brand, we’ve built the ultimate platform for launching, monetizing, and finding IRL communities of people just like you. In just 5 years, Posh has grown to a team of 65, expanded to 7M\+ users, secured $70m in venture funding, and facilitated over $300M in transactions.
**About The Role**
==================
We’re seeking a **Senior Analytics Engineer** to own and evolve our product analytics ecosystem. In this highly cross\-functional role, you’ll collaborate with Product, Design, and Engineering to define, instrument, and analyze user behavior across the POSH platform. You’ll build and maintain the data models, experimentation infrastructure, and dashboards that provide clarity into feature usage and drive data\-informed decision making.
As the product analytics lead within the data team, you'll ensure clean tracking, trustworthy reporting, and high\-quality experimentation practices. This role is perfect for someone who thrives at the intersection of data, product, and engineering—and who is passionate about building scalable analytics infrastructure in a fast\-paced environment.
**This is an in\-person role based in our New York City office in the heart of SoHo**. Building live experiences and building with soul are important for our customers, and we believe being and working together as a team is the best way for Posh to feel and achieve this. Events on Posh should be fun, alive, and driven with passion and we want to mirror this in our teams every day!
**At a high level, you’ll be in charge of:**
============================================
* **Define, instrument, and validate product tracking** in partnership with engineering to ensure accurate, scalable, and privacy\-conscious data collection for new features and user flows.
* **Design and maintain dbt models** for product metrics such as feature adoption, funnels, retention, and engagement—supporting fast, reliable, and reusable analytics.
* **Build and own dashboards** that report on product usage, track feature launches, and monitor key behavioral metrics across the user lifecycle.
* **Proactively analyze product behavior** to uncover usage patterns, identify friction points, and inform product iteration or roadmap decisions.
* **Create and maintain an event taxonomy** to ensure consistent, interpretable tracking across teams and over time.
* **Enable a self\-serve analytics culture** by exposing clean semantic layers in BI tools, creating documentation, and mentoring product stakeholders on data access and interpretation.
* **Develop and evaluate A/B tests** end\-to\-end, including experiment design, assignment logic, metric selection, and post\-test analysis using statistical best practices.
* **Collaborate closely with PMs, Designers, and Engineers** to define success criteria and align on KPIs for feature launches and roadmap initiatives.
**Our ideal candidate:**
========================
* **Possesses 5\+ Years of Applied Experience:** Has over five years of experience working as a data engineer, analytics engineer, data scientist, analyst or other highly analytical, data\-oriented roles, demonstrating a deep understanding and practical application of analytical skills.
* **Expert in SQL and dbt:** Demonstrates advanced proficiency in SQL and experience building modular, well\-documented, and testable dbt models that power scalable analytics. Demonstrated experience with data transformation and ELT tools.
* **Understands Product Data at Scale:** Has worked extensively with event\-driven data and understands how to structure, clean, and interpret tracking logs to reflect real user behavior.
* **Experienced in Experimentation Design and Analysis:** Comfortable owning the full lifecycle of A/B tests, including experiment design, power calculations, and post\-analysis interpretation with statistical rigor.
* **Skilled in Building and Maintaining Dashboards:** Creates intuitive, reliable dashboards that provide key stakeholders with visibility into product usage, feature adoption, and overall performance.
* **Strong Communicator and Thought Partner:** Able to translate complex data concepts into clear insights, collaborating closely with product, engineering, and design to inform decision\-making.
* **Highly Organized, Proactive, and Efficient:** Is able to manage multiple projects simultaneously. Capable of prioritizing tasks effectively to meet deadlines, ensuring efficient and timely completion of projects.
* **Has a Background in Startups:** Exhibits high interest in startups and fast\-paced environments and is always looking for ways to improve.
Posh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Posh is committed to providing reasonable accommodations for qualified individuals with disabilities in our job application procedures. Please let us know if you need assistance or accommodation due to a disability
Compensation Range: $180K \- $220K</t>
        </is>
      </c>
    </row>
    <row r="131">
      <c r="A131" t="inlineStr">
        <is>
          <t>in-b25c95ff11411b81</t>
        </is>
      </c>
      <c r="B131" t="inlineStr">
        <is>
          <t>Data Engineer</t>
        </is>
      </c>
      <c r="C131" t="inlineStr">
        <is>
          <t>Bank of Utah</t>
        </is>
      </c>
      <c r="D131" t="inlineStr">
        <is>
          <t>indeed</t>
        </is>
      </c>
      <c r="E131">
        <f>HYPERLINK("https://www.indeed.com/viewjob?jk=b25c95ff11411b81", "https://www.indeed.com/viewjob?jk=b25c95ff11411b81")</f>
        <v/>
      </c>
      <c r="F131">
        <f>HYPERLINK("https://recruitingbypaycor.com/career/JobIntroduction.action?id=8a7883ac9be7cb38019c06d848983219&amp;source=Indeed+Free", "https://recruitingbypaycor.com/career/JobIntroduction.action?id=8a7883ac9be7cb38019c06d848983219&amp;source=Indeed+Free")</f>
        <v/>
      </c>
      <c r="G131" t="inlineStr">
        <is>
          <t>Salt Lake City, UT, US</t>
        </is>
      </c>
      <c r="H131" s="3" t="n">
        <v>46050</v>
      </c>
      <c r="I131" t="inlineStr">
        <is>
          <t>Thanks for your interest in applying to the Bank of Utah. My name is Ron Ross, and I work as VP of Advanced Analytics \&amp; AI. As an introduction to our company, the Bank of Utah was founded in 1952, and is one of Utah’s largest privately owned community banks. We were named Nasdaq’s Best Bank in Utah for 2025 and a Top 100 Fastest Growing Company.
**Our Mission Statement:**
We strive to unlock the potential of our team members, clients, and community. We act with integrity in every decision, build trust through every interaction, and exceed expectations at every opportunity. We seek to responsibly create lasting prosperity today and for generations to come.
**Job Opening Details:**
If our mission statement piques your interest, we encourage you to apply for the currently open position of **Data Engineer** to work Monday \- Friday at our Branch located at 50 South 200 East Salt Lake City, UT. This **Data Engineer** is responsible for the aggregation, transformation, and engineering of Bank data. Will serve as a Subject Matter Expert (SME) for data processing and reporting applications, ensuring the integrity and usability of data for further analysis and visualization. Primary tasks will include engineering data pipelines, coordinating with various business units on data projects, and leveraging data analytic and RPA tools to gather and organize reliable data
**Job Qualifications:**
* Education: Associate or Bachelor’s degree in Computer Science, Information Systems, Data Engineering, or a related field.
* Technical Skills: Proficiency in data visualization tools such as Tableau and experience with Snowflake are preferred. Coding skills in SQL is also preferred.
* Data Analytics: Ability to perform exploratory data analysis and develop analytical models.
* Passion: Enthusiasm for data engineering, technology, and the banking industry.
* Communication: Strong communication skills with the ability to provide and receive feedback effectively.
* Organization: Excellent organizational skills, with a focus on detail and follow\-through.
* Career Goals: Aiming to pursue a career in data engineering and business intelligence.
* Data Skills: Competence in data gathering, cleaning, and transformation techniques.
* Learning Orientation: Eagerness to learn and apply new skills in data engineering and analytics.
**Benefits of Working with Us:**
Bank of Utah's comprehensive benefits package includes:
* Great work\-life balance, with a Monday\-Friday schedule
* Competitive pay and benefits, including medical, dental and vision plans
* 401(k) plan and match up to 5 percent in our employee stock ownership program (eligibility requirements must be met)
* 12 paid bank holidays \+ paid time off, including paid parental leave
* Volunteer opportunities to make a difference in the communities where you work and live
* Awards and recognition to celebrate you and your colleagues for living the bank's values
**Job Description:**
* Data Engineering: Design, build, and maintain data pipelines to facilitate the extraction, transformation, and loading (ETL) of data. Ensure that data flows are efficient, accurate, and timely.
* Data Aggregation: Aggregate data from multiple sources, ensuring consistency and accuracy in the data used for analysis and reporting.
* Data Transformation: Clean, filter, and transform data to prepare it for analysis. Identify and resolve data integrity issues.
* Data Analytics: Perform exploratory data analysis (EDA) to uncover patterns, trends, and insights from complex datasets. Develop and implement analytical models to support business decisions.
* Reporting: Assist in generating and maintaining reports from primary reporting applications, providing insights and analysis as required.
* Tool Utilization: Use data analytic tools and RPA tools to automate and streamline data collection and processing tasks. Experience with Tableau and Snowflake is preferred.
* Collaboration: Work closely with different business units to support data\-driven projects, ensuring alignment and coordination across teams.</t>
        </is>
      </c>
    </row>
    <row r="132">
      <c r="A132" t="inlineStr">
        <is>
          <t>in-9bec7eadc4336cf0</t>
        </is>
      </c>
      <c r="B132" t="inlineStr">
        <is>
          <t>Automation Data Engineer</t>
        </is>
      </c>
      <c r="C132" t="inlineStr">
        <is>
          <t>Ensign Services</t>
        </is>
      </c>
      <c r="D132" t="inlineStr">
        <is>
          <t>indeed</t>
        </is>
      </c>
      <c r="E132">
        <f>HYPERLINK("https://www.indeed.com/viewjob?jk=9bec7eadc4336cf0", "https://www.indeed.com/viewjob?jk=9bec7eadc4336cf0")</f>
        <v/>
      </c>
      <c r="F132">
        <f>HYPERLINK("https://recruitingbypaycor.com/career/JobIntroduction.action?id=8a7887a89be7cb9f019c0b86c5663c7e&amp;source=Indeed+Free", "https://recruitingbypaycor.com/career/JobIntroduction.action?id=8a7887a89be7cb9f019c0b86c5663c7e&amp;source=Indeed+Free")</f>
        <v/>
      </c>
      <c r="G132" t="inlineStr">
        <is>
          <t>Dallas, TX, US</t>
        </is>
      </c>
      <c r="H132" s="3" t="n">
        <v>46050</v>
      </c>
      <c r="I132" t="inlineStr">
        <is>
          <t>**Automation Data Engineer**
============================
Location: Dallas, TX Metroplex
Work schedule: Hybrid work (2 days for now and can change) in office.
**Overview:**
-------------
**Ensign Services, Inc. is seeking a motivated and detail\-oriented Junior Automation Data Engineer to join our growing team. This entry to mid\-level role is ideal for early\-career professionals with a passion for data, automation, and continuous learning. You’ll work alongside experienced engineers and stakeholders to support the design and implementation of data solutions that drive process automation and business efficiency.**
---------------------------------------------------------------------------------------------------------------------------------------------------------------------------------------------------------------------------------------------------------------------------------------------------------------------------------------------------------------------------------------------------------------------------------------------------
**Responsibilities:**
---------------------
* Assist in designing and supporting data solutions for automation projects.
* Collaborate with business analysts and subject matter experts to understand data requirements.
* Help interpret data models and extract insights from various source systems.
* Participate in testing, deployment, and maintenance of data pipelines and automation tools.
* Document processes and contribute to project deliverables.
* Learn and apply best practices in data engineering and automation.
* Stay informed on emerging technologies and tools relevant to data and automation.
* Support internal controls and ensure data integrity across systems.
**Requirements:**
-----------------
* Bachelor’s degree in Information Systems, Computer Science, Data Engineering, or a related field, with or Master’s degree.
* 2\+ years of experience in data engineering, automation, or software development.
* Familiarity with Python programming, java\-scripts and SQL.
* Exposure to cloud platforms (AWS preferred) and data tools such as S3, Glue, Lambda, Athena, Redshift, etc.
* Understanding of ETL concepts and basic data pipeline design.
* Willingness to learn visualization tools like Quicksight, and Power\-BI.
* Strong problem\-solving skills and eagerness to grow in a collaborative environment.
**Nice\-to\-Haves:**
--------------------
* Basic knowledge of Spark SQL, Iceberg, or Glue.
* Exposure to automation frameworks or workflow tools.
* Understanding of data warehousing concepts.
* Interest in business operations.
**Additional Information:**
---------------------------
* Salary range: $85,000 \- $120,000, DOE.
* Location: local to Dallas Metroplex,
* Work schedule: Hybrid work (2 days for now and can change) in office.
* Pre\-employment criminal background screening required.
We are committed to providing a competitive benefits and compensation package which includes medical/dental/vision coverage, company\-provided life insurance, 401(k) with company match, and sick/vacation plans. We also believe in supporting our employee’s professional growth and development through our Learning Management System as well as training sessions and seminars.
Ensign Services, Inc. is an Equal Opportunity Employer.</t>
        </is>
      </c>
    </row>
    <row r="133">
      <c r="A133" t="inlineStr">
        <is>
          <t>in-f852ec2c722c69d7</t>
        </is>
      </c>
      <c r="B133" t="inlineStr">
        <is>
          <t>Senior Staff Data Engineer</t>
        </is>
      </c>
      <c r="C133" t="inlineStr"/>
      <c r="D133" t="inlineStr">
        <is>
          <t>indeed</t>
        </is>
      </c>
      <c r="E133">
        <f>HYPERLINK("https://www.indeed.com/viewjob?jk=f852ec2c722c69d7", "https://www.indeed.com/viewjob?jk=f852ec2c722c69d7")</f>
        <v/>
      </c>
      <c r="F133">
        <f>HYPERLINK("https://jobs.lever.co/findhelp/db6f1fe0-b7c8-4b41-9171-52ded434644b?lever-source=Indeed", "https://jobs.lever.co/findhelp/db6f1fe0-b7c8-4b41-9171-52ded434644b?lever-source=Indeed")</f>
        <v/>
      </c>
      <c r="G133" t="inlineStr">
        <is>
          <t>Denver, CO, US</t>
        </is>
      </c>
      <c r="H133" s="3" t="n">
        <v>46050</v>
      </c>
      <c r="I133" t="inlineStr">
        <is>
          <t>**We’re changing the way people connect to social care.**  
At Findhelp, we’ve built a comprehensive platform of products and services that make it easy for you to connect people to resources, follow them on their journey, and track your impact in a fast and reliable way. Our industry\-leading social care network includes more than half a million local, state, and national programs that serve every ZIP Code in the country, from rural areas to major metropolitan centers.
Findhelp is headquartered in Austin, Texas and has been enabling healthcare, government, education, and other organizations to connect people with the social care resources that serve them, with privacy and security, since 2010\.  
As a mission driven organization, we are focused on creating a positive impact by connecting people in need to the programs that serve them with dignity and ease. Powered by our proprietary technology that enables people to find the resources available in their area, we have helped millions of Seekers find food, health, housing and employment programs.  
We are seeking a skilled Staff Data Engineer to own and enhance our data integration processes, with a focus on uploading and syncing data related to 211 relationships and other organizational data. This role is critical in ensuring data consistency, automation, and scalability across our data ecosystem.As a Senior Staff Data Engineer, you will be responsible for designing, building, and maintaining data pipelines that transform, load, and synchronize data from various sources into our environment. You will leverage cloud\-based batch data load strategies and update APIs to ensure seamless integration. You will also play a key role in optimizing production systems, resolving incidents, and identifying automation opportunities to improve efficiency.
### **Responsibilities:**
* Data Integration \&amp; Processing: Own all data uploading and syncing related to 211 relationships and potentially other organizational datasets.
* Pipeline Development: Design, build, and maintain scalable data pipelines that transform raw source outputs (e.g., customer 211s) into a structured format for internal use.
* API\-Driven Data Uploads: Partner with Programs Team on creation and updating APIs to upload and synchronize bulk data efficiently.
* Database Design \&amp; Documentation: Create and maintain data models, metadata, ETL specifications, and process flows to support business data projects.
* Production System Monitoring: Monitor, maintain, and optimize data pipelines to ensure reliability, performance, and data integrity.
* Incident Resolution: Investigate and resolve user\-reported incidents related to data syncing, transformation, and pipeline failures.
* Automation \&amp; Optimization: Identify opportunities to automate, consolidate, and simplify data solutions for better scalability.
* Code Reviews \&amp; Best Practices: Conduct periodic code reviews to enforce best practices in design, performance tuning, and maintainability.
### **Qualifications:**
* 7\+ years of experience in data engineering, with a focus on data pipeline development, transformation, and bulk syncing, with experience in one or more languages commonly used for data operations including SQL and Python.
* Deep knowledge and hands\-on experience building/operating highly available, distributed systems of data extraction, ingestion, and processing in cloud environments such as GCP (ideal), Microsoft Azure or AWS.
* Experience with bulk API integration and JSON processing, including designing, optimizing, and troubleshooting high\-volume data exchanges.
* Demonstrated strength in data modeling, ETL development, and data warehousing.
* Experience with relational databases such as MySQL (ideal), Oracle, or PostgreSQL.
* Experience with BigQuery (ideal), Redshift, or Snowflake.
* Experience in Airflow, GitHub, and CI/CD processes are a must.
* Ability to troubleshoot and optimize data solutions for performance and reliability.
The salary range provided reflects the national average for this job title and does not represent compensation specific to Findhelp. Actual compensation will vary based on experience, qualifications, and market factors relevant to the position.**We value being together**
We believe being together enables stronger relationships, collaboration, and culture.**This position is in office and candidates must be located in Austin, Texas, Madison, Wisconsin, or Denver, Colorado** **Perks at Findhelp*** 401k \&amp; equity grants
* Free food and onsite gym at our Austin HQ
* Paid parental leave
* Competitive PTO \&amp; 10 paid holidays
* Employee only paid Health, Dental, and Vision insurance
* Dog\-friendly office in Austin HQ
* 24/7 access to telemedicine and counseling
* Book Purchasing Program
 **We’re building a diverse, inclusive team**  
You’re welcome here. We want everyone to be able to easily connect to the help they need, and we want our teams to reflect and represent our communities. It is our policy to recruit, hire, train, and promote individuals, as well as administer any and all Company policies, without regard to age, color, disability, ethnicity, family or marital status, gender identity or expression, language, national origin or ancestry, physical and mental ability, political affiliation, race, religion, creed, sexual orientation, socio\-economic status, veteran status, or any other protected class, in accordance with applicable laws. Accommodations are available for applicants with disabilities.  
Here are some of the ways we support our staff:* Culture Committee
* Leadership Development Training
* Paid Volunteering Time</t>
        </is>
      </c>
    </row>
    <row r="134">
      <c r="A134" t="inlineStr">
        <is>
          <t>in-45114dc411a30d77</t>
        </is>
      </c>
      <c r="B134" t="inlineStr">
        <is>
          <t>Senior Staff Data Engineer</t>
        </is>
      </c>
      <c r="C134" t="inlineStr"/>
      <c r="D134" t="inlineStr">
        <is>
          <t>indeed</t>
        </is>
      </c>
      <c r="E134">
        <f>HYPERLINK("https://www.indeed.com/viewjob?jk=45114dc411a30d77", "https://www.indeed.com/viewjob?jk=45114dc411a30d77")</f>
        <v/>
      </c>
      <c r="F134">
        <f>HYPERLINK("https://jobs.lever.co/findhelp/db6f1fe0-b7c8-4b41-9171-52ded434644b?lever-source=Indeed", "https://jobs.lever.co/findhelp/db6f1fe0-b7c8-4b41-9171-52ded434644b?lever-source=Indeed")</f>
        <v/>
      </c>
      <c r="G134" t="inlineStr">
        <is>
          <t>Madison, WI, US</t>
        </is>
      </c>
      <c r="H134" s="3" t="n">
        <v>46050</v>
      </c>
      <c r="I134" t="inlineStr">
        <is>
          <t>**We’re changing the way people connect to social care.**  
At Findhelp, we’ve built a comprehensive platform of products and services that make it easy for you to connect people to resources, follow them on their journey, and track your impact in a fast and reliable way. Our industry\-leading social care network includes more than half a million local, state, and national programs that serve every ZIP Code in the country, from rural areas to major metropolitan centers.
Findhelp is headquartered in Austin, Texas and has been enabling healthcare, government, education, and other organizations to connect people with the social care resources that serve them, with privacy and security, since 2010\.  
As a mission driven organization, we are focused on creating a positive impact by connecting people in need to the programs that serve them with dignity and ease. Powered by our proprietary technology that enables people to find the resources available in their area, we have helped millions of Seekers find food, health, housing and employment programs.  
We are seeking a skilled Staff Data Engineer to own and enhance our data integration processes, with a focus on uploading and syncing data related to 211 relationships and other organizational data. This role is critical in ensuring data consistency, automation, and scalability across our data ecosystem.As a Senior Staff Data Engineer, you will be responsible for designing, building, and maintaining data pipelines that transform, load, and synchronize data from various sources into our environment. You will leverage cloud\-based batch data load strategies and update APIs to ensure seamless integration. You will also play a key role in optimizing production systems, resolving incidents, and identifying automation opportunities to improve efficiency.
### **Responsibilities:**
* Data Integration \&amp; Processing: Own all data uploading and syncing related to 211 relationships and potentially other organizational datasets.
* Pipeline Development: Design, build, and maintain scalable data pipelines that transform raw source outputs (e.g., customer 211s) into a structured format for internal use.
* API\-Driven Data Uploads: Partner with Programs Team on creation and updating APIs to upload and synchronize bulk data efficiently.
* Database Design \&amp; Documentation: Create and maintain data models, metadata, ETL specifications, and process flows to support business data projects.
* Production System Monitoring: Monitor, maintain, and optimize data pipelines to ensure reliability, performance, and data integrity.
* Incident Resolution: Investigate and resolve user\-reported incidents related to data syncing, transformation, and pipeline failures.
* Automation \&amp; Optimization: Identify opportunities to automate, consolidate, and simplify data solutions for better scalability.
* Code Reviews \&amp; Best Practices: Conduct periodic code reviews to enforce best practices in design, performance tuning, and maintainability.
### **Qualifications:**
* 7\+ years of experience in data engineering, with a focus on data pipeline development, transformation, and bulk syncing, with experience in one or more languages commonly used for data operations including SQL and Python.
* Deep knowledge and hands\-on experience building/operating highly available, distributed systems of data extraction, ingestion, and processing in cloud environments such as GCP (ideal), Microsoft Azure or AWS.
* Experience with bulk API integration and JSON processing, including designing, optimizing, and troubleshooting high\-volume data exchanges.
* Demonstrated strength in data modeling, ETL development, and data warehousing.
* Experience with relational databases such as MySQL (ideal), Oracle, or PostgreSQL.
* Experience with BigQuery (ideal), Redshift, or Snowflake.
* Experience in Airflow, GitHub, and CI/CD processes are a must.
* Ability to troubleshoot and optimize data solutions for performance and reliability.
The salary range provided reflects the national average for this job title and does not represent compensation specific to Findhelp. Actual compensation will vary based on experience, qualifications, and market factors relevant to the position.**We value being together**
We believe being together enables stronger relationships, collaboration, and culture.**This position is in office and candidates must be located in Austin, Texas, Madison, Wisconsin, or Denver, Colorado** **Perks at Findhelp*** 401k \&amp; equity grants
* Free food and onsite gym at our Austin HQ
* Paid parental leave
* Competitive PTO \&amp; 10 paid holidays
* Employee only paid Health, Dental, and Vision insurance
* Dog\-friendly office in Austin HQ
* 24/7 access to telemedicine and counseling
* Book Purchasing Program
 **We’re building a diverse, inclusive team**  
You’re welcome here. We want everyone to be able to easily connect to the help they need, and we want our teams to reflect and represent our communities. It is our policy to recruit, hire, train, and promote individuals, as well as administer any and all Company policies, without regard to age, color, disability, ethnicity, family or marital status, gender identity or expression, language, national origin or ancestry, physical and mental ability, political affiliation, race, religion, creed, sexual orientation, socio\-economic status, veteran status, or any other protected class, in accordance with applicable laws. Accommodations are available for applicants with disabilities.  
Here are some of the ways we support our staff:* Culture Committee
* Leadership Development Training
* Paid Volunteering Time</t>
        </is>
      </c>
    </row>
    <row r="135">
      <c r="A135" t="inlineStr">
        <is>
          <t>in-9527957198ba6fc8</t>
        </is>
      </c>
      <c r="B135" t="inlineStr">
        <is>
          <t>Senior Staff Data Engineer</t>
        </is>
      </c>
      <c r="C135" t="inlineStr"/>
      <c r="D135" t="inlineStr">
        <is>
          <t>indeed</t>
        </is>
      </c>
      <c r="E135">
        <f>HYPERLINK("https://www.indeed.com/viewjob?jk=9527957198ba6fc8", "https://www.indeed.com/viewjob?jk=9527957198ba6fc8")</f>
        <v/>
      </c>
      <c r="F135">
        <f>HYPERLINK("https://jobs.lever.co/findhelp/db6f1fe0-b7c8-4b41-9171-52ded434644b?lever-source=Indeed", "https://jobs.lever.co/findhelp/db6f1fe0-b7c8-4b41-9171-52ded434644b?lever-source=Indeed")</f>
        <v/>
      </c>
      <c r="G135" t="inlineStr">
        <is>
          <t>Austin, TX, US</t>
        </is>
      </c>
      <c r="H135" s="3" t="n">
        <v>46050</v>
      </c>
      <c r="I135" t="inlineStr">
        <is>
          <t>**We’re changing the way people connect to social care.**  
At Findhelp, we’ve built a comprehensive platform of products and services that make it easy for you to connect people to resources, follow them on their journey, and track your impact in a fast and reliable way. Our industry\-leading social care network includes more than half a million local, state, and national programs that serve every ZIP Code in the country, from rural areas to major metropolitan centers.
Findhelp is headquartered in Austin, Texas and has been enabling healthcare, government, education, and other organizations to connect people with the social care resources that serve them, with privacy and security, since 2010\.  
As a mission driven organization, we are focused on creating a positive impact by connecting people in need to the programs that serve them with dignity and ease. Powered by our proprietary technology that enables people to find the resources available in their area, we have helped millions of Seekers find food, health, housing and employment programs.  
We are seeking a skilled Staff Data Engineer to own and enhance our data integration processes, with a focus on uploading and syncing data related to 211 relationships and other organizational data. This role is critical in ensuring data consistency, automation, and scalability across our data ecosystem.As a Senior Staff Data Engineer, you will be responsible for designing, building, and maintaining data pipelines that transform, load, and synchronize data from various sources into our environment. You will leverage cloud\-based batch data load strategies and update APIs to ensure seamless integration. You will also play a key role in optimizing production systems, resolving incidents, and identifying automation opportunities to improve efficiency.
### **Responsibilities:**
* Data Integration \&amp; Processing: Own all data uploading and syncing related to 211 relationships and potentially other organizational datasets.
* Pipeline Development: Design, build, and maintain scalable data pipelines that transform raw source outputs (e.g., customer 211s) into a structured format for internal use.
* API\-Driven Data Uploads: Partner with Programs Team on creation and updating APIs to upload and synchronize bulk data efficiently.
* Database Design \&amp; Documentation: Create and maintain data models, metadata, ETL specifications, and process flows to support business data projects.
* Production System Monitoring: Monitor, maintain, and optimize data pipelines to ensure reliability, performance, and data integrity.
* Incident Resolution: Investigate and resolve user\-reported incidents related to data syncing, transformation, and pipeline failures.
* Automation \&amp; Optimization: Identify opportunities to automate, consolidate, and simplify data solutions for better scalability.
* Code Reviews \&amp; Best Practices: Conduct periodic code reviews to enforce best practices in design, performance tuning, and maintainability.
### **Qualifications:**
* 7\+ years of experience in data engineering, with a focus on data pipeline development, transformation, and bulk syncing, with experience in one or more languages commonly used for data operations including SQL and Python.
* Deep knowledge and hands\-on experience building/operating highly available, distributed systems of data extraction, ingestion, and processing in cloud environments such as GCP (ideal), Microsoft Azure or AWS.
* Experience with bulk API integration and JSON processing, including designing, optimizing, and troubleshooting high\-volume data exchanges.
* Demonstrated strength in data modeling, ETL development, and data warehousing.
* Experience with relational databases such as MySQL (ideal), Oracle, or PostgreSQL.
* Experience with BigQuery (ideal), Redshift, or Snowflake.
* Experience in Airflow, GitHub, and CI/CD processes are a must.
* Ability to troubleshoot and optimize data solutions for performance and reliability.
The salary range provided reflects the national average for this job title and does not represent compensation specific to Findhelp. Actual compensation will vary based on experience, qualifications, and market factors relevant to the position.**We value being together**
We believe being together enables stronger relationships, collaboration, and culture.**This position is in office and candidates must be located in Austin, Texas, Madison, Wisconsin, or Denver, Colorado** **Perks at Findhelp*** 401k \&amp; equity grants
* Free food and onsite gym at our Austin HQ
* Paid parental leave
* Competitive PTO \&amp; 10 paid holidays
* Employee only paid Health, Dental, and Vision insurance
* Dog\-friendly office in Austin HQ
* 24/7 access to telemedicine and counseling
* Book Purchasing Program
 **We’re building a diverse, inclusive team**  
You’re welcome here. We want everyone to be able to easily connect to the help they need, and we want our teams to reflect and represent our communities. It is our policy to recruit, hire, train, and promote individuals, as well as administer any and all Company policies, without regard to age, color, disability, ethnicity, family or marital status, gender identity or expression, language, national origin or ancestry, physical and mental ability, political affiliation, race, religion, creed, sexual orientation, socio\-economic status, veteran status, or any other protected class, in accordance with applicable laws. Accommodations are available for applicants with disabilities.  
Here are some of the ways we support our staff:* Culture Committee
* Leadership Development Training
* Paid Volunteering Time</t>
        </is>
      </c>
    </row>
    <row r="136">
      <c r="A136" t="inlineStr">
        <is>
          <t>in-1ac981adb0ac1862</t>
        </is>
      </c>
      <c r="B136" t="inlineStr">
        <is>
          <t>Data Engineer</t>
        </is>
      </c>
      <c r="C136" t="inlineStr">
        <is>
          <t>DraftKings</t>
        </is>
      </c>
      <c r="D136" t="inlineStr">
        <is>
          <t>indeed</t>
        </is>
      </c>
      <c r="E136">
        <f>HYPERLINK("https://www.indeed.com/viewjob?jk=1ac981adb0ac1862", "https://www.indeed.com/viewjob?jk=1ac981adb0ac1862")</f>
        <v/>
      </c>
      <c r="F136">
        <f>HYPERLINK("https://click.appcast.io/t/7UoneE7rSgZnEmxpOEfGtSxWE4_tt2_aq6c1NYQkRJA=", "https://click.appcast.io/t/7UoneE7rSgZnEmxpOEfGtSxWE4_tt2_aq6c1NYQkRJA=")</f>
        <v/>
      </c>
      <c r="G136" t="inlineStr">
        <is>
          <t>Boston, MA, US</t>
        </is>
      </c>
      <c r="H136" s="3" t="n">
        <v>46050</v>
      </c>
      <c r="I136" t="inlineStr">
        <is>
          <t>At DraftKings, AI is becoming an integral part of both our present and future, powering how work gets done today, guiding smarter decisions, and sparking bold ideas. It’s transforming how we enhance customer experiences, streamline operations, and unlock new possibilities. Our teams are energized by innovation and readily embrace emerging technology. We’re not waiting for the future to arrive. We’re shaping it, one bold step at a time. To those who see AI as a driver of progress, come build the future together.
### **The Crown Is Yours**
As a Data Engineer on the Data Enablement team, you’ll help build the infrastructure that powers how teams across DraftKings discover, understand, and trust their data. You’ll design scalable solutions to improve metadata accuracy, data quality, and governance ensuring analytics and reporting are not only reliable but impactful. This role sits at the intersection of data engineering and usability, giving you the chance to shape how data is documented, monitored, and accessed across the business. You’ll collaborate with engineering and business partners alike to unlock new ways of delivering trusted data at scale.
### **What You’ll Do**
* Build and support scripts, APIs, and data integrations that connect internal tools and data sources.
* Partner with Data Engineering, IT, and business teams to help implement data quality rules, monitoring, and alerting processes.
* Contribute to the curation and maintenance of the enterprise data catalog, helping ensure metadata is accurate, discoverable, and useful for end users.
* Support data governance efforts focused on protecting customer personal information, helping ensure data is handled, documented, and used responsibly across data platforms.
* Help define and implement reusable patterns for collecting, validating, and maintaining metadata across data platforms.
* Contribute to foundational work that supports DraftKings’ Semantic Data Layer, including consistent definitions, lineage, and metadata that can be leveraged by analytics tools and AI\-powered experiences.
### **What You’ll Bring**
* Bachelor’s Degree in Computer Science or any suitable combination of education, experience, and training.
* At least one year of working with data pipelines and integrations using Python.
* Familiarity with analyzing data flows and dependencies, and contributing to reliable data solutions.
* Exposure to modern data platforms and tools such as Snowflake, Databricks, Kafka, Terraform, PagerDuty, Datadog, Jira, Confluence, and Bitbucket.
* Working knowledge of data warehousing concepts, data lakes, and basic data modeling principles.
* Familiarity with ETL/ELT concepts and data pipeline development.
* Interest in how metadata, semantics, and governance enable AI\-driven analytics and intelligent data discovery.
### **Join Our Team**
We’re a publicly traded (NASDAQ: DKNG) technology company headquartered in Boston. As a regulated gaming company, you may be required to obtain a gaming license issued by the appropriate state agency as a condition of employment. Don’t worry, we’ll guide you through the process if this is relevant to your role.
The US base salary range for this full\-time position is 101,600\.00 USD \- 127,000\.00 USD, plus bonus, equity, and benefits as applicable. Our ranges are determined by role, level, and location. The compensation information displayed on each job posting reflects the range for new hire pay rates for the position across all US locations. Within the range, individual pay is determined by work location and additional factors, including job\-related skills, experience, and relevant education or training. Your recruiter can share more about the specific pay range and how that was determined during the hiring process. It is unlawful in Massachusetts to require or administer a lie detector test as a condition of employment or continued employment. An employer who violates this law shall be subject to criminal penalties and civil liability.
We know finding a new job can be intimidating. Don't let imposter syndrome stop you from applying! Even if you don't think you tick off every box in this job description, we'd still love for you to apply or join our Talent Community.
DraftKings is proud to be an equal\-opportunity employer. We do not tolerate discrimination of any kind and are committed to providing equal employment opportunities regardless of your gender identity, race, nationality, religion, sexual orientation, status as a protected veteran, or status as an individual with a disability.</t>
        </is>
      </c>
    </row>
    <row r="137">
      <c r="A137" t="inlineStr">
        <is>
          <t>in-2e8fb8e1df221ecd</t>
        </is>
      </c>
      <c r="B137" t="inlineStr">
        <is>
          <t>Associate Director - Integrated Risk Data Engineer</t>
        </is>
      </c>
      <c r="C137" t="inlineStr">
        <is>
          <t>Eli Lilly</t>
        </is>
      </c>
      <c r="D137" t="inlineStr">
        <is>
          <t>indeed</t>
        </is>
      </c>
      <c r="E137">
        <f>HYPERLINK("https://www.indeed.com/viewjob?jk=2e8fb8e1df221ecd", "https://www.indeed.com/viewjob?jk=2e8fb8e1df221ecd")</f>
        <v/>
      </c>
      <c r="F137">
        <f>HYPERLINK("https://careers.lilly.com/us/en/job/LILLUSR99150EXTERNALENUS/Associate-Director-Integrated-Risk-Data-Engineer?utm_source=indeed&amp;utm_medium=phenom-feeds", "https://careers.lilly.com/us/en/job/LILLUSR99150EXTERNALENUS/Associate-Director-Integrated-Risk-Data-Engineer?utm_source=indeed&amp;utm_medium=phenom-feeds")</f>
        <v/>
      </c>
      <c r="G137" t="inlineStr">
        <is>
          <t>Indianapolis, IN, US</t>
        </is>
      </c>
      <c r="H137" s="3" t="n">
        <v>46050</v>
      </c>
      <c r="I137" t="inlineStr">
        <is>
          <t>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**Integrated Risk Management Program Overview**
Lilly's Integrated Risk Management (IRM) program is a strategic enterprise initiative that transforms traditional risk management into a competitive advantage by uniting multi\-functional expertise with pioneering analytics and technology. IRM enables faster, better informed decision\-making that protects what matters most: our operations, reputation, and ability to deliver life\-saving medicines to patients. This integrated approach creates a coordinated and proactive system that helps Lilly stay resilient and agile as we continue reaching more patients than ever before.
**Position Description**
The Integrated Risk Data Engineer serves as the technical expert who is responsible for the data foundation powering risk intelligence across the enterprise. This individual contributor role independently leads data architecture and engineering initiatives from conception through delivery, integrating fragmented systems, designing unified data pipelines, and ensuring risk leaders have access to complete, accurate, and timely risk data. Working within the centralized IRM Analytics team, you will define and implement the Microsoft Fabric architecture and data governance framework that connects disparate risk platforms, including ServiceNow GRC, assurance systems, enterprise applications, and business\-specific tools, into cohesive data ecosystems that enable comprehensive risk visibility.
This role requires depth and breadth of expertise in data engineering, with recognized proficiency that positions you as a key technical resource within the IRM function. You will lead the design and maintenance of robust data infrastructure using Microsoft Fabric's medallion architecture, lead data pipeline and transformation initiatives, and establish data governance standards that ensure data quality, security, and accessibility across all IRM functions. Balancing hands\-on delivery with standards definition and technical leadership, you will transform how risk data flows through the organization—breaking down historical silos and creating analytics and AI\-ready datasets that enable advanced analytics, real\-time monitoring, and predictive risk intelligence.
**Primary Position Responsibilities**
**Data Architecture \&amp; Infrastructure Leadership**
* Lead the Microsoft Fabric architecture for IRM, defining standards, design patterns, and procedures that ensure scalable, maintainable, and high\-performing data infrastructure across the risk ecosystem
* Design, build, and maintain enterprise risk data pipelines using Microsoft Fabric with medallion architecture (bronze, silver, gold layers) that integrate data from multiple risk domains and enterprise systems
* Architect and implement data engineering workflows using Fabric Data Factory, Synapse Data Engineering (Spark notebooks), and Dataflows Gen2 to consolidate fragmented risk data from ServiceNow GRC, SAP, Workday, SuccessFactors, assurance platforms, and other enterprise and function\-specific systems
* Design unified data models and Power BI semantic models that enable multi\-functional risk analytics, ensuring data consistency, accuracy, and accessibility across all risk functions
* Establish and lead the data governance framework for IRM, including data quality standards, validation rules, supervising processes, security protocols, and access controls that protect critical risk information while enabling appropriate data sharing
**Solution Delivery \&amp; Technical Excellence**
* Serve as a key technical resource partnering with Analytics Developers, Architects, and Data Scientists to understand data requirements and deliver datasets that power dashboards, reports, predictive models, and risk assessments
* Architect and build scalable, automated data solutions using Fabric pipelines and dataflows that reduce manual data preparation efforts and enable real\-time or near\-real\-time risk monitoring capabilities
* Optimize data pipeline performance using Fabric's compute resources and data storage options (Lakehouse, Data Warehouse) to ensure collaborators receive timely, accurate risk intelligence when decisions need to be made
* Design and implement data observability and monitoring solutions that proactively identify and resolve data quality issues before they impact business decisions
* Lead migration and integration initiatives as new risk technologies and platforms are adopted across the enterprise, independently owning project planning, solution architecture, and delivery
**Operational Excellence \&amp; Standards Definition**
* Independently respond to sophisticated data requests from risk functions, producing clean, well\-documented datasets in Fabric Lakehouses and Data Warehouses that support risk assessments, audits, investigations, and critical initiatives
* Anticipate and resolve complex data quality issues, working with source system owners and business partners to implement sustainable fixes that prevent recurrence
* Define and maintain comprehensive documentation standards for data lineage, transformation logic, data dictionaries, and technical architecture that enable knowledge sharing and maintain institutional knowledge
* Build strategic relationships with Tech@Lilly (IT), risk platform administrators, and business data owners to identify and resolve data integration challenges that impact the broader IRM function
**Strategic Partnership \&amp; Influence**
* Build and maintain strategic relationships with risk data owners, assurance function partners, and enterprise data teams to identify internal customer requirements and opportunities to improve data availability, quality, and integration
* Lead standardization of data definitions, taxonomies, and integration patterns across risk functions, influencing technical decisions that enable more effective multi\-functional analytics
* Lead the upskilling of IRM team members and business partners in data engineering concepts, serving as an authority and contributing to data literacy across the organization
* Know the latest on emerging data engineering technologies, practices, and tools, evaluating and applying relevant innovations to enhance Lilly's risk data capabilities
**Basic Qualifications/Requirements**
* Bachelor's Degree in Computer Science, Information Systems, Data Engineering, or related field
* 5\+ years of relevant professional experience in data engineering, ETL development, or data integration, with demonstrated progression in responsibility and complexity
* Qualified applicants must be authorized to work in the United States on a full\-time basis. Lilly will not provide support for or sponsor work authorization and/or visas for this role.
**Additional Skills/Preferences**
* Sophisticated SQL skills and deep experience with both relational and non\-relational database technologies
* Demonstrated experience independently leading data engineering projects from planning through delivery, including architecture design and standards definition
* Demonstrated ability to translate sophisticated business requirements into scalable technical data solutions with sound decision\-making within functional guidelines
* Solid understanding of Power BI data modeling, semantic model design, and optimizing datasets for analytical performance
* Expert proficiency with Microsoft Fabric (preferred) or similar cloud data platforms (Azure Data Factory, Synapse Analytics, Databricks), with ability to define architecture standards and guidelines
* Hands\-on experience with Microsoft Fabric components including Data Factory, Synapse Data Engineering, Data Warehouse, Lakehouse, and Dataflows Gen2
* Experience designing and implementing medallion architecture or similar layered data lake design patterns at enterprise scale
* Experience with ServiceNow platform, ServiceNow GRC, or other governance, risk, and compliance systems
* Proficiency in dimensional modeling, star schema design, and data warehouse concepts
* Experience in pharmaceutical, healthcare, or highly regulated industries with complex data governance requirements
* Background in risk management, audit, compliance, or assurance domain data
* Familiarity with Power Platform integration (Power Automate, Power Apps) with Fabric
* Strong problem\-solving skills with ability to anticipate, diagnose, and resolve complex data integration challenges
* Demonstrable ability to collaborate effectively with both technical teams and non\-technical business collaborators, translating technical concepts into business language
* Diligent with commitment to data quality and comprehensive documentation
* Self\-directed professional who works independently, takes initiative on sophisticated problems, and proactively sees opportunities for improvement
* Demonstrated strong motivation, rapid learning agility, and growth mindset
**Travel**
Up to 5\-10% travel based on business needs
Lilly is dedicated to helping individuals with disabilities to actively engage in the workforce, ensuring equal opportunities when vying for positions. If you require accommodation to submit a resume for a position at Lilly, please complete the accommodation request form (https://careers.lilly.com/us/en/workplace\-accommodation) for further assistance. Please note this is for individuals to request an accommodation as part of the application process and any other correspondence will not receive a response.
Lilly is proud to be an EEO Employer and does not discriminate on the basis of age, race, color, religion, gender identity, sex, gender expression, sexual orientation, genetic information, ancestry, national origin, protected veteran status, disability, or any other legally protected status.
Our employee resource groups (ERGs) offer strong support networks for their members and are open to all employees. Our current groups include: Africa, Middle East, Central Asia Network, Black Employees at Lilly, Chinese Culture Network, Japanese International Leadership Network (JILN), Lilly India Network, Organization of Latinx at Lilly (OLA), PRIDE (LGBTQ\+ Allies), Veterans Leadership Network (VLN), Women’s Initiative for Leading at Lilly (WILL), enAble (for people with disabilities). Learn more about all of our groups.
Actual compensation will depend on a candidate’s education, experience, skills, and geographic location. The anticipated wage for this position is
$124,500 \- $182,600
Full\-time equivalent employees also will be eligible for a company bonus (depending, in part, on company and individual performance). In addition, Lilly offers a comprehensive benefit program to eligible employees, including eligibility to participate in a company\-sponsored 401(k); pension; vacation benefits; eligibility for medical, dental, vision and prescription drug benefits; flexible benefits (e.g., healthcare and/or dependent day care flexible spending accounts); life insurance and death benefits; certain time off and leave of absence benefits; and well\-being benefits (e.g., employee assistance program, fitness benefits, and employee clubs and activities).Lilly reserves the right to amend, modify, or terminate its compensation and benefit programs in its sole discretion and Lilly’s compensation practices and guidelines will apply regarding the details of any promotion or transfer of Lilly employees.
\#WeAreLilly</t>
        </is>
      </c>
    </row>
    <row r="138">
      <c r="A138" t="inlineStr">
        <is>
          <t>in-f5c0ae9e87e210f0</t>
        </is>
      </c>
      <c r="B138" t="inlineStr">
        <is>
          <t>Cloud/Data Engineer</t>
        </is>
      </c>
      <c r="C138" t="inlineStr">
        <is>
          <t>Prometheus Federal Services</t>
        </is>
      </c>
      <c r="D138" t="inlineStr">
        <is>
          <t>indeed</t>
        </is>
      </c>
      <c r="E138">
        <f>HYPERLINK("https://www.indeed.com/viewjob?jk=f5c0ae9e87e210f0", "https://www.indeed.com/viewjob?jk=f5c0ae9e87e210f0")</f>
        <v/>
      </c>
      <c r="F138">
        <f>HYPERLINK("https://prometheusfederalservices.applytojob.com/apply/zh6OlJvtwB/CloudData-Engineer?source=INDE&amp;~", "https://prometheusfederalservices.applytojob.com/apply/zh6OlJvtwB/CloudData-Engineer?source=INDE&amp;~")</f>
        <v/>
      </c>
      <c r="G138" t="inlineStr">
        <is>
          <t>Fairfax, VA, US</t>
        </is>
      </c>
      <c r="H138" s="3" t="n">
        <v>46050</v>
      </c>
      <c r="I138" t="inlineStr">
        <is>
          <t>**Position Summary**  
Prometheus Federal Services (PFS) is a trusted partner to federal health agencies, delivering mission\-driven data, analytics, and technology solutions. We are seeking skilled Cloud/Data Engineering to design, build, and modernize data platforms that support analytics, automation, and AI/ML initiatives across federal health programs. In this role, you will develop scalable cloud\-based data pipelines, implement data quality and governance frameworks, and contribute to modernization efforts that drive insight, performance, and operational excellence for our federal clients.  
**Essential Duties and Responsibilities*** Design, develop, and deploy end\-to\-end pipelines for data acquisition, preparation, cleaning, and transformation.
* Design, develop, and deliver data quality monitoring and observability tools to track data lineage and manage integrity across data pipelines.
* Design, develop, and manage cloud solutions to deliver data, analytics, and AI/ML products, including migration and modernization efforts.
* Manage cloud environments to support data and analytics development, including provisioning, configuration, and cost management.
* Apply DevOps tools to deliver enhanced automation, workflow orchestration, and monitoring.
**Minimum Qualifications*** Bachelor's degree in Computer Science, Data Science, or a related field.
* Five (5\) \+ years of experience with data engineering and data architecture development, including developing scalable ETL/ELT pipelines for reporting and analytics.
* Three (3\) \+ years of experience working with cloud infrastructure (i.e., AWS, Azure, GCP), including environment provisioning, configuration, and management.
* Three (3\) \+ years of experience utilizing languages such as SQL, Python, and PySpark for data ingestion, cleaning, and transformation.
* Experience working with DevOps/DevSecOps tools and frameworks, including Continuous Integration/Continuous Delivery (CI/CD), build automation, and Infrastructure as Code (e.g., Terraform, CloudFormation) and containerization (e.g., Docker, Kubernetes).
* Experience working across a variety of data warehousing tools, including SQL and Oracle.
* Experience with GitHub, GitLab, and GitHub Actions.
* Excellent written and verbal communication skills with both technical and non\-technical stakeholders.
* Authorized to work in the U.S. indefinitely without sponsorship.
* Ability to obtain a public trust.
**Preferred Qualifications*** Experience building data pipelines and architecture to manage ingest, integration, and data product development for large\-scale unstructured datasets (PDF, documents) across multiple source systems.
* Experience working with data platforms and processing tools, including Databricks and Spark.
* Experience migrating legacy and on\-premises data and systems to cloud environments.
* Experience developing data products through a medallion architecture.
* Knowledge and experience applying data governance and data quality management tools, frameworks, and best practices.
* Amazon or Azure cloud certifications.
**Compensation \&amp; Benefits**
PFS offers a benefits package that may include health, dental, and vision coverage; flexible spending accounts; disability and life insurance; retirement plan; paid time off; and other programs to support employees and their families. Learn more about PFS Benefits.
PFS benefits, compensation, and bonuses are determined by various factors, including but not limited to location, the individual's particular combination of education, knowledge, skills, competencies, and experience, as well as contract\-specific affordability and organizational requirements.
**Equal Employment Opportunity**
All qualified applicants will receive consideration for employment without regard to race, color, religion, sex, parental status, national origin, age, disability, genetic information, political affiliation, military service, or other status protected by law.
**Accommodations**
PFS is committed to providing equal employment opportunities to all applicants. If you require a reasonable accommodation during the application or interview process, please contact us at recruiting@pfs.us. Reasonable accommodations are available to ensure applicants with disabilities have equal access to the hiring process, in accordance with the Americans with Disabilities Act (ADA) and applicable laws.
**Workplace Health, Safety, and Compliance**
This position may be subject to client‑specific or government‑mandated vaccination, health, or safety requirements, which may change over time.
**Texting Privacy Policy and Information:**
* Message type: Informational; you will receive text messages regarding your application and potentially regarding interview scheduling.
* No mobile information will be shared with third parties/affiliates for marketing/promotional purposes.
* Message frequency will vary depending on the application process.
* Msg \&amp; data rates may apply.
* Opt out at any time by texting "stop".
zh6OlJvtwB</t>
        </is>
      </c>
    </row>
    <row r="139">
      <c r="A139" t="inlineStr">
        <is>
          <t>in-f284f54d7a9433d8</t>
        </is>
      </c>
      <c r="B139" t="inlineStr">
        <is>
          <t>Senior Specialist - Data Engineering</t>
        </is>
      </c>
      <c r="C139" t="inlineStr">
        <is>
          <t>LTIMindtree</t>
        </is>
      </c>
      <c r="D139" t="inlineStr">
        <is>
          <t>indeed</t>
        </is>
      </c>
      <c r="E139">
        <f>HYPERLINK("https://www.indeed.com/viewjob?jk=f284f54d7a9433d8", "https://www.indeed.com/viewjob?jk=f284f54d7a9433d8")</f>
        <v/>
      </c>
      <c r="F139">
        <f>HYPERLINK("https://ltimindtree.ripplehire.com/candidate/?token=lBTGkD9wjhuGZVi4aGRT&amp;lang=en&amp;source=INDEED&amp;ref=INDEED#detail/job/839180", "https://ltimindtree.ripplehire.com/candidate/?token=lBTGkD9wjhuGZVi4aGRT&amp;lang=en&amp;source=INDEED&amp;ref=INDEED#detail/job/839180")</f>
        <v/>
      </c>
      <c r="G139" t="inlineStr">
        <is>
          <t>Santa Clara, CA, US</t>
        </is>
      </c>
      <c r="H139" s="3" t="n">
        <v>46050</v>
      </c>
      <c r="I139" t="inlineStr">
        <is>
          <t>**Role description**  
Data Migration Lead required in Santa Clara has to report to client office in Santa Clara
Role Data Engineer Level III
Duties Data Migration Lead
Skills Snowflake Matillion
The skills required will be Snowflake Matillion
Location Santa Clara CA
Role Data Engineer Level III
Duties Data Migration Lead
Skills Snowflake Matillion
The skills required will be Snowflake Matillion
Location Santa Clara CA
Role Data Engineer Level III
Duties Data Migration Lead
Skills Snowflake Matillion
The skills required will be Snowflake Matillion
Location Santa Clara CA
**About Us:**
**LTIMindtree**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nearly 90,000 talented and entrepreneurial professionals across more than 30 countries, LTIMindtree — a Larsen \&amp; Toubro Group company — combines the industry\-acclaimed strengths of erstwhile Larsen and Toubro Infotech and Mindtree in solving the most complex business challenges and delivering transformation at scale. For more information, please visit .
**Job Title:** \- Snowflake Matillion Consultant
**Location:** Santa Clara, California
**Duration:** Fulltime
**Job Summary**
Duties Data Migration Lead  
Skills Snowflake Matillion  
The skills required will be Snowflake Matillion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**Safe return to office****:**
In order to comply with LTIMindtree’ s company COVID\-19 vaccine mandate, candidates must be able to provide proof of full vaccination against COVID\-19 before or by the date of hire. Alternatively, one may submit a request for reasonable accommodation from LTIMindtree’s COVID\-19 vaccination mandate for approval, in accordance with applicable state and federal law, by the date of hire. Any request is subject to review through LTIMindtree’s applicable processes.
**Skills** **Mandatory Skills :** Matillion ELT, Snowflake
 **Other details**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**Benefits**  
Compensation range: $100,000\.00 to $120,000\.00 per year  
**About LTIMindtree**  
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87,000\+ talented and entrepreneurial professionals across more than 40 countries, LTIMindtree — a Larsen \&amp; Toubro Group company — solves the most complex business challenges and delivers transformation at scale. For more information, please visit https://www.ltimindtree.com/.</t>
        </is>
      </c>
    </row>
    <row r="140">
      <c r="A140" t="inlineStr">
        <is>
          <t>in-621b939963b4cacf</t>
        </is>
      </c>
      <c r="B140" t="inlineStr">
        <is>
          <t>Sr. Data Engineer I (6382)</t>
        </is>
      </c>
      <c r="C140" t="inlineStr">
        <is>
          <t>Metrostar Systems</t>
        </is>
      </c>
      <c r="D140" t="inlineStr">
        <is>
          <t>indeed</t>
        </is>
      </c>
      <c r="E140">
        <f>HYPERLINK("https://www.indeed.com/viewjob?jk=621b939963b4cacf", "https://www.indeed.com/viewjob?jk=621b939963b4cacf")</f>
        <v/>
      </c>
      <c r="F140">
        <f>HYPERLINK("https://grnh.se/lxxbabe03us", "https://grnh.se/lxxbabe03us")</f>
        <v/>
      </c>
      <c r="G140" t="inlineStr">
        <is>
          <t>Washington, DC, US</t>
        </is>
      </c>
      <c r="H140" s="3" t="n">
        <v>46050</v>
      </c>
      <c r="I140" t="inlineStr">
        <is>
          <t>**As a Sr. Data Engineer (Splunk),** you'll deliver Splunk data engineering and platform operations for continuous monitoring and analysis with the goal to make an impact across the federal government. **Our team** is responsible for operating and evolving mission\-critical SIEM and monitoring platforms, and you'll ensure reliable, secure, and scalable Splunk capabilities that directly support mission operations and decision\-making from day one.
We know that you can't have great technology services without amazing people. At MetroStar, we are **obsessed** withour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Design and manage Splunk data ingestion pipelines and dashboards supporting mission\-critical use cases.
* Operate and maintain Splunk Enterprise in a secure, high\-availability environment.
* Support security monitoring, detection, and incident response operations.
* Participate actively in Agile execution and team delivery cadence.
* Optimize data pipelines, performance, and data quality across the platform.
* Communicate technical insights, risks, and issues clearly to both technical and non\-technical stakeholders.
* Establish and maintain a high level of customer trust and confidence through technical excellence and reliable delivery.
* Apply creativity and sound engineering judgment to deliver innovative solutions aligned to customer needs.
**What you'll need to succeed:**
* An active Top\-Secret clearance with SCI eligibility required.
* Bachelor's degree in a technical field is preferred (relevant experience may substitute).
* 5\+ years of experience in data management or systems administration, including at least 3 years of hands\-on Splunk GA experience.
* Demonstrated expertise in data onboarding, parsing, indexing, and dashboard development.
* Experience operating Splunk Enterprise in regulated or high\-security environments.
* Holds Splunk Certified Core Consultant or Splunk Certified Enterprise Security Admin certification.
* Meets DoD 8140 DCWF Role 521 – Cyber Defense Infrastructure Support Specialist requirements with certifications such as GMON, GRID, CEH, Cloud\+, CySA\+, GSEC, PenTest\+, Security\+, or SSCP.
* Ability to contribute immediately with minimal ramp\-up.
SALARY RANGE: $170,000 \- $239,000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This role may also be eligible for bonuses and/or additional incentives based on individual and company performance.
**Benefits**: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141">
      <c r="A141" t="inlineStr">
        <is>
          <t>in-96408037ef5ec85f</t>
        </is>
      </c>
      <c r="B141" t="inlineStr">
        <is>
          <t>Sr. Data Engineer</t>
        </is>
      </c>
      <c r="C141" t="inlineStr">
        <is>
          <t>EOS IT Solutions</t>
        </is>
      </c>
      <c r="D141" t="inlineStr">
        <is>
          <t>indeed</t>
        </is>
      </c>
      <c r="E141">
        <f>HYPERLINK("https://www.indeed.com/viewjob?jk=96408037ef5ec85f", "https://www.indeed.com/viewjob?jk=96408037ef5ec85f")</f>
        <v/>
      </c>
      <c r="F141">
        <f>HYPERLINK("https://grnh.se/hc33pjcy2us", "https://grnh.se/hc33pjcy2us")</f>
        <v/>
      </c>
      <c r="G141" t="inlineStr">
        <is>
          <t>Burlingame, CA, US</t>
        </is>
      </c>
      <c r="H141" s="3" t="n">
        <v>46050</v>
      </c>
      <c r="I141" t="inlineStr">
        <is>
          <t>**OUR COMPANY:**
EOS IT Solutions is a Global Technology and Logistics company, providing Collaboration and Business IT Support services to some of the world's largest industry leaders, delivering forward\-thinking solutions based on multi\-domain architecture. Customer satisfaction and commitment to superior quality of service are our top business priorities, along with investing in and supporting our partners and employees.
We are a true International IT provider and are proud to deliver our services through global simplicity with trusted transparency.
**WHAT YOU WILL DO:**
 As a **Senior Data Engineer**, you will lead data engineering initiatives and build end\-to\-end scalable, stable, and secure analytical solutions. You will work with massive datasets and be responsible for organizing and curating data for analytics. You will take a strategic and long\-term view in architecting advanced data ecosystems, building efficient and scalable data services, and integrating data systems to support business intelligence and decision\-making.
**KEY RESPONSIBILITIES:**
* Design, implement, and operate large\-scale, centralized high\-volume, high\-performance data structures for analytics and data science.
* Implement data ingestion routines, both real\-time and batch, using best practices in data modeling and ETL/ELT processes.
* Collaborate with Project Managers to understand business and functional requirements and translate them into robust, scalable, and operable solutions with flexible data architecture.
* Assist software engineering teams in identifying key events and data to be logged for dashboarding and analytics.
* Continuously improve reporting and analysis processes, automating and simplifying self\-service modeling and production support.
**ESSENTIAL CRITERIA:**
* Degree in Computer Science, Engineering, Mathematics, or a related field, or 7\+ years of industry experience.
* Strong experience in data modeling, ETL development, and data warehousing with technologies such as Oracle, Redshift, PostgreSQL, etc.
* Advanced SQL skills and expertise in query performance tuning.
* Proven ability to build data products incrementally and manage data sets from multiple sources.
* Proficiency in Python programming.
**DESIRABLE CRITERIA:**
* Experience with cloud\-based data platforms and services (e.g., AWS, Azure, GCP).
* Familiarity with data governance, security, and compliance best practices.
* Knowledge of real\-time data streaming technologies (e.g., Kafka, Spark Streaming).
* Exposure to machine learning workflows and data science collaboration.
*The EOS pay range for this job is a general guideline only and not a guarantee of compensation or salary. Additional factors considered in extending an offer include (but are not limited to) responsibilities of the job, experience, education, knowledge, skills, and abilities, as well as internal equity, market data, or other laws.*
*EOS is committed to creating a diverse and inclusive work environment and is proud to be an equal opportunity employer. We invite you to consider opportunities at EOS regardless of your gender; gender identity; gender reassignment; age; religious or similar philosophical belief; race; national origin; political opinion; sexual orientation; disability; marital or civil partnership status or other non\-merit factor.*
\#LI\-MS1
\#Hybrid
\#INDHP</t>
        </is>
      </c>
    </row>
    <row r="142">
      <c r="A142" t="inlineStr">
        <is>
          <t>in-40cd690e8bff861c</t>
        </is>
      </c>
      <c r="B142" t="inlineStr">
        <is>
          <t>Data Platform Engineer - Remote</t>
        </is>
      </c>
      <c r="C142" t="inlineStr">
        <is>
          <t>DriveTime Automotive Group</t>
        </is>
      </c>
      <c r="D142" t="inlineStr">
        <is>
          <t>indeed</t>
        </is>
      </c>
      <c r="E142">
        <f>HYPERLINK("https://www.indeed.com/viewjob?jk=40cd690e8bff861c", "https://www.indeed.com/viewjob?jk=40cd690e8bff861c")</f>
        <v/>
      </c>
      <c r="F142">
        <f>HYPERLINK("https://drivetime.wd1.myworkdayjobs.com/DriveTime/job/1720-W-Rio-Salado-Pkwy-Tempe-AZ-85281/Data-Platform-Engineer---Remote_R14577", "https://drivetime.wd1.myworkdayjobs.com/DriveTime/job/1720-W-Rio-Salado-Pkwy-Tempe-AZ-85281/Data-Platform-Engineer---Remote_R14577")</f>
        <v/>
      </c>
      <c r="G142" t="inlineStr">
        <is>
          <t>Tempe, AZ, US</t>
        </is>
      </c>
      <c r="H142" s="3" t="n">
        <v>46050</v>
      </c>
      <c r="I142" t="inlineStr">
        <is>
          <t>**What’s Under the Hood**
DriveTime Family of Brands is the largest privately owned used car sales finance \&amp; servicing company in the nation. Headquartered in Tempe, Arizona and Dallas, Texas, we create opportunities and improve the lives of our customers and our employees by placing a focus on putting the right customer, in the right vehicle, on the right terms and on their path to ownership.
The DriveTime Family of Brands spans across DriveTime, Bridgecrest and SilverRock. You can find us at the intersection of technology and innovation as we use our proprietary tools and over two decades of industry knowledge to redefine the process of purchasing, financing, and protecting your vehicle.
**That’s Nice, But What’s the Job?**
**This is not a position for which sponsorship will be provided. Individuals with temporary visas or who need sponsorship now or in the future are not eligible for hire at this time.**
In short, as our remote Data Platform Engineer on the Data Platform team, you are responsible for maintaining data platforms that support data in motion, data governance, automation, self\-service, and standardizing efficient patterns. You will collaborate closely with the DBA’s, DevOps Team, and Architecture to gain developer efficiency, improve data quality and increase stability.
**What we would like to see in your Tech Stack:**
* Data Platforms (Snowflake, Microsoft SQL Server, Azure)
* Unstructured Databases (MongoDB, Cosmos)
* Scripting Languages (Python, API’s, Powershell)
* Data Integration (FiveTran, Kafka, SSIS)
* CICD Pipelines and Source Control (Azure DevOps, GitHub)
* Orchestrators (Argo, Airflow)
* Infrastructure as Code (Terraform)
* Administration and Monitoring (DataDog)
**So, What Kind of Folks Are We Looking for?**
**The Specifics.**
* 5\+ years' experience in data engineering
* Bachelor’s degree in information technology or related field
* Ability to establish cross\-functional, collaborative relationships with technology partners, engineers and architecture
* Strong engineering and data governance fundamentals; recognizes industry patterns and strategies with a focus on maintaining healthy, secure platforms
* Expert at navigating product and engineering tradeoffs within the teams
* Focused on driving what matters forward through deliberate influential action
* Communicates clearly and concisely, both orally and in writing
* Enjoys mentoring engineers and helping to remove roadblocks for them
* Data driven strategy is at the root of their approach to problem solving
* Strong analytical and problem\-solving skills, regardless of technology
**So What About the Perks? Perks matter**
* **Work From Home.** Feel free to rock the casual wear while still being camera ready. You will be working from your home office (in an approved city \&amp; state) and make sure you have a conducive and quiet workspace with no distractions and reliable and secure internet.
* **Medical, dental, and vision, oh my!** DriveTime Family of Brands covers a sizable amount of insurance premiums to ensure our employees receive top\-tier healthcare coverage.
* **But Wait, There’s More.** 401(K), Company paid life insurance policy, short and long\-term disability coverage to name a few.
* **Growth Opportunities.** You grow, I grow, we all grow! But seriously, DriveTime Family of Brands is committed to providing its employees with every opportunity to grow professionally with roughly over 1,000 employees promoted year over year.
* **Tuition Reimbursement.** We’re as passionate about your professional development as you are. With that, we’ll put our money where our mouth is.
* **Wellness Program.** Health is wealth! This program includes self\-guided coaching and journeys, cash incentives and discounts on your medical premiums through engaging in fun activities!
* **Gratitude is Green.** We offer competitive pay across the organization, because, well… money matters!
* **Paid Time Off.** Not just lip service: we work hard, to play hard! Paid time off includes (for all full\-time roles) wellness days, holidays, and good ole' fashioned YOU time! For our Part\-timers, don't fear you get some time too...vacation time is available \- the more you work, the more you earn!
**Anything Else? Absolutely.**
DriveTime Family of Brands is Great Place to Work Certified! And get this: 90% of our rockstar employees say they feel right at home here. We could spend a lot of time having you read about ALL our awards, but we’ll save time (and practice some humility) just naming a few others; Comparably Awards: Best Company for Diversity, Best Company Culture and Best Company Leadership, oh and don’t forget Phoenix Business Journal Healthiest Employers (okay, we’ll stop there)!
Hiring is contingent upon successful completion of our background and drug screening process. DriveTime is a drug\-free, tobacco\-free workplace and an Equal Opportunity Employer.
And when it comes to hiring, we don't just look for the right person for the job, we seek out the right person for DriveTime. Buckle up for plenty of opportunities to grow in a professional, fun, and high\-energy environment!</t>
        </is>
      </c>
    </row>
    <row r="143">
      <c r="A143" t="inlineStr">
        <is>
          <t>in-ec8f625b0dbad336</t>
        </is>
      </c>
      <c r="B143" t="inlineStr">
        <is>
          <t>Data Platform Engineer - Remote</t>
        </is>
      </c>
      <c r="C143" t="inlineStr">
        <is>
          <t>DriveTime Automotive Group</t>
        </is>
      </c>
      <c r="D143" t="inlineStr">
        <is>
          <t>indeed</t>
        </is>
      </c>
      <c r="E143">
        <f>HYPERLINK("https://www.indeed.com/viewjob?jk=ec8f625b0dbad336", "https://www.indeed.com/viewjob?jk=ec8f625b0dbad336")</f>
        <v/>
      </c>
      <c r="F143">
        <f>HYPERLINK("https://drivetime.wd1.myworkdayjobs.com/DriveTime/job/1720-W-Rio-Salado-Pkwy-Tempe-AZ-85281/Data-Platform-Engineer---Remote_R14577", "https://drivetime.wd1.myworkdayjobs.com/DriveTime/job/1720-W-Rio-Salado-Pkwy-Tempe-AZ-85281/Data-Platform-Engineer---Remote_R14577")</f>
        <v/>
      </c>
      <c r="G143" t="inlineStr">
        <is>
          <t>Phoenix, AZ, US</t>
        </is>
      </c>
      <c r="H143" s="3" t="n">
        <v>46050</v>
      </c>
      <c r="I143" t="inlineStr">
        <is>
          <t>**What’s Under the Hood**
DriveTime Family of Brands is the largest privately owned used car sales finance \&amp; servicing company in the nation. Headquartered in Tempe, Arizona and Dallas, Texas, we create opportunities and improve the lives of our customers and our employees by placing a focus on putting the right customer, in the right vehicle, on the right terms and on their path to ownership.
The DriveTime Family of Brands spans across DriveTime, Bridgecrest and SilverRock. You can find us at the intersection of technology and innovation as we use our proprietary tools and over two decades of industry knowledge to redefine the process of purchasing, financing, and protecting your vehicle.
**That’s Nice, But What’s the Job?**
**This is not a position for which sponsorship will be provided. Individuals with temporary visas or who need sponsorship now or in the future are not eligible for hire at this time.**
In short, as our remote Data Platform Engineer on the Data Platform team, you are responsible for maintaining data platforms that support data in motion, data governance, automation, self\-service, and standardizing efficient patterns. You will collaborate closely with the DBA’s, DevOps Team, and Architecture to gain developer efficiency, improve data quality and increase stability.
**What we would like to see in your Tech Stack:**
* Data Platforms (Snowflake, Microsoft SQL Server, Azure)
* Unstructured Databases (MongoDB, Cosmos)
* Scripting Languages (Python, API’s, Powershell)
* Data Integration (FiveTran, Kafka, SSIS)
* CICD Pipelines and Source Control (Azure DevOps, GitHub)
* Orchestrators (Argo, Airflow)
* Infrastructure as Code (Terraform)
* Administration and Monitoring (DataDog)
**So, What Kind of Folks Are We Looking for?**
**The Specifics.**
* 5\+ years' experience in data engineering
* Bachelor’s degree in information technology or related field
* Ability to establish cross\-functional, collaborative relationships with technology partners, engineers and architecture
* Strong engineering and data governance fundamentals; recognizes industry patterns and strategies with a focus on maintaining healthy, secure platforms
* Expert at navigating product and engineering tradeoffs within the teams
* Focused on driving what matters forward through deliberate influential action
* Communicates clearly and concisely, both orally and in writing
* Enjoys mentoring engineers and helping to remove roadblocks for them
* Data driven strategy is at the root of their approach to problem solving
* Strong analytical and problem\-solving skills, regardless of technology
**So What About the Perks? Perks matter**
* **Work From Home.** Feel free to rock the casual wear while still being camera ready. You will be working from your home office (in an approved city \&amp; state) and make sure you have a conducive and quiet workspace with no distractions and reliable and secure internet.
* **Medical, dental, and vision, oh my!** DriveTime Family of Brands covers a sizable amount of insurance premiums to ensure our employees receive top\-tier healthcare coverage.
* **But Wait, There’s More.** 401(K), Company paid life insurance policy, short and long\-term disability coverage to name a few.
* **Growth Opportunities.** You grow, I grow, we all grow! But seriously, DriveTime Family of Brands is committed to providing its employees with every opportunity to grow professionally with roughly over 1,000 employees promoted year over year.
* **Tuition Reimbursement.** We’re as passionate about your professional development as you are. With that, we’ll put our money where our mouth is.
* **Wellness Program.** Health is wealth! This program includes self\-guided coaching and journeys, cash incentives and discounts on your medical premiums through engaging in fun activities!
* **Gratitude is Green.** We offer competitive pay across the organization, because, well… money matters!
* **Paid Time Off.** Not just lip service: we work hard, to play hard! Paid time off includes (for all full\-time roles) wellness days, holidays, and good ole' fashioned YOU time! For our Part\-timers, don't fear you get some time too...vacation time is available \- the more you work, the more you earn!
**Anything Else? Absolutely.**
DriveTime Family of Brands is Great Place to Work Certified! And get this: 90% of our rockstar employees say they feel right at home here. We could spend a lot of time having you read about ALL our awards, but we’ll save time (and practice some humility) just naming a few others; Comparably Awards: Best Company for Diversity, Best Company Culture and Best Company Leadership, oh and don’t forget Phoenix Business Journal Healthiest Employers (okay, we’ll stop there)!
Hiring is contingent upon successful completion of our background and drug screening process. DriveTime is a drug\-free, tobacco\-free workplace and an Equal Opportunity Employer.
And when it comes to hiring, we don't just look for the right person for the job, we seek out the right person for DriveTime. Buckle up for plenty of opportunities to grow in a professional, fun, and high\-energy environment!</t>
        </is>
      </c>
    </row>
    <row r="144">
      <c r="A144" t="inlineStr">
        <is>
          <t>in-cd116617c8c3e883</t>
        </is>
      </c>
      <c r="B144" t="inlineStr">
        <is>
          <t>Senior Data Engineer</t>
        </is>
      </c>
      <c r="C144" t="inlineStr">
        <is>
          <t>Capgemini</t>
        </is>
      </c>
      <c r="D144" t="inlineStr">
        <is>
          <t>indeed</t>
        </is>
      </c>
      <c r="E144">
        <f>HYPERLINK("https://www.indeed.com/viewjob?jk=cd116617c8c3e883", "https://www.indeed.com/viewjob?jk=cd116617c8c3e883")</f>
        <v/>
      </c>
      <c r="F144">
        <f>HYPERLINK("https://www.capgemini.com/jobs/403730-en_GB+sap_btp/", "https://www.capgemini.com/jobs/403730-en_GB+sap_btp/")</f>
        <v/>
      </c>
      <c r="G144" t="inlineStr">
        <is>
          <t>Bridgewater, NJ, US</t>
        </is>
      </c>
      <c r="H144" s="3" t="n">
        <v>46050</v>
      </c>
      <c r="I144" t="inlineStr">
        <is>
          <t>Bridgewater, NJ
Senior Data Engineer
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Description* 10\+years of expereince as Datawarehouse Data Engineer.• Data Architecture Design: Develop/Modify the architecture for the EDW, including data models, data quality standards, data integration strategies, data migration and data warehousing technologies to effectively store and access data from various sources as per the requirments.
* Business Requirements Gathering: Collaborate with business stakeholders to understand their data needs, identify key performance indicators (KPIs), and translate them into data warehouse requirements.
* Data Integration and ETL Development: Design and implementation of ETL processes to extract data from various source systems,transform it into a consistent format, and load it into the EDW through Databricks. Proven track record in implementing databricks for modernization projects.
* Performance Optimization: Monitor and optimize the performance of the EDW to ensure efficient data access and query response times.
* Overall Technical Leader: Provide technical guidance on data warehouse technologies, tools, and best practices to the relevant stakeholders.
Collaboration with Stakeholders: Work closely with business users, data analysts, and application developers to understand their data needs and deliver data\-driven insights.  
* 
Skills and experience* Data Warehousing Expertise: Deep understanding of data warehousing concepts, architectures, and technologies like dimensional modeling, star schema, Databricks schema, and ETL processes.
* Database Management Systems (DBMS): Proficient in SQL's and Databricks.
* Data Integration Tools: Familiarity with data integration tools for ETL development and data cleansing.
* Communication Skills: Excellent communication skills to effectively collaborate with stakeholders from various departments
The base compensation range for this role in the posted location is: $140,000 \- $150,000\.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Ref. code
403730\-en\_GB
Posted on
29 Jan 2026
Experience level
Experienced Professionals
Contract type
Permanent
Location
Bridgewater, NJ
Business unit
I and D Global Business Line
Brand
Capgemini
Professional communities
Data \&amp; AI</t>
        </is>
      </c>
    </row>
    <row r="145">
      <c r="A145" t="inlineStr">
        <is>
          <t>in-169a84ae37a2816e</t>
        </is>
      </c>
      <c r="B145" t="inlineStr">
        <is>
          <t>ServiceNow Platform Analytics Engineer</t>
        </is>
      </c>
      <c r="C145" t="inlineStr">
        <is>
          <t>SAIC</t>
        </is>
      </c>
      <c r="D145" t="inlineStr">
        <is>
          <t>indeed</t>
        </is>
      </c>
      <c r="E145">
        <f>HYPERLINK("https://www.indeed.com/viewjob?jk=169a84ae37a2816e", "https://www.indeed.com/viewjob?jk=169a84ae37a2816e")</f>
        <v/>
      </c>
      <c r="F145">
        <f>HYPERLINK("https://jsv3.recruitics.com/redirect?rx_cid=3284&amp;rx_jobId=2600824&amp;rx_url=https%3A%2F%2Fjobs.saic.com%2Fjobs%2F17281117-servicenow-platform-analytics-engineer%3Fbid%3D336%26rx_a%3D0%26rx_c%3D%26rx_ch%3Djobp4p%26rx_group%3D116479%26rx_id%3D1f92feb8-fd30-11f0-b3ef-f3097eaf8ebb%26rx_job%3D2600824%26rx_medium%3Dcpc%26rx_r%3Dnone%26rx_source%3Dindeed%26rx_ts%3D20260130T020415Z%26rx_vp%3Dcpc%26tm_company%3D2520%26tm_event%3Dview%26tm_job%3D2600824", "https://jsv3.recruitics.com/redirect?rx_cid=3284&amp;rx_jobId=2600824&amp;rx_url=https%3A%2F%2Fjobs.saic.com%2Fjobs%2F17281117-servicenow-platform-analytics-engineer%3Fbid%3D336%26rx_a%3D0%26rx_c%3D%26rx_ch%3Djobp4p%26rx_group%3D116479%26rx_id%3D1f92feb8-fd30-11f0-b3ef-f3097eaf8ebb%26rx_job%3D2600824%26rx_medium%3Dcpc%26rx_r%3Dnone%26rx_source%3Dindeed%26rx_ts%3D20260130T020415Z%26rx_vp%3Dcpc%26tm_company%3D2520%26tm_event%3Dview%26tm_job%3D2600824")</f>
        <v/>
      </c>
      <c r="G145" t="inlineStr">
        <is>
          <t>Washington, DC, US</t>
        </is>
      </c>
      <c r="H145" s="3" t="n">
        <v>46050</v>
      </c>
      <c r="I145" t="inlineStr">
        <is>
          <t>Job ID: 2600824
**Location:** WASHINGTON, DC, US
**Date Posted:** 2026\-01\-29
**Category:** Software
**Subcategory:** SW Engineer
**Schedule:** Full\-time
**Shift:** Day Job
**Travel:** No
**Minimum Clearance Required:** Secret
**Clearance Level Must Be Able to Obtain:** None
**Potential for Remote Work:** Yes
 **Description**
We are seeking a skilled ServiceNow Platform Analytics Engineer to develop Department of State Assessment Tool (DOSAT) dashboards. The engineer will be supporting the Vendor Performance Management (VPM) initiatives within the Department of State’s Bureau of Diplomatic Technology (DT).
This role is hybrid and reports onsite in Washington, DC on Tuesday and Thursday.
**Responsibilities:**
* Data Visualization \&amp; Reporting: Create and maintain interactive dashboards, reports, and scorecards using ServiceNow Platform Analytics.
* Performance Analysis: Develop and monitor key performance indicators (KPIs) to measure feature usage, platform engagement, and system performance.
* Platform Optimization: Analyze data to identify trends, insights, and opportunities for enhancing platform functionality and user experience.
* Data Governance \&amp; Modeling: Ensure data accuracy, consistency, and integrity, including managing data models, ETL processes, and user access permissions.
* Technical Implementation: Leverage knowledge of ServiceNow table structures, data relationships, and domain separation to ensure accurate data modeling.
* Cross\-functional Collaboration: Work with Product Managers, Data Engineering, and leadership to define metrics, analyze user behavior, and support strategic decision\-making.
**Qualifications**
**Required Education \&amp; Experience:**
* BS in Computer Science, Engineering, Information Systems, or related field and 14 years or more experience; MS and 12 years or more experience; may accept additional experience in lieu of degree.
* 5 or more years in data analytics, business intelligence, or product analytics.
* Technical Skills: Proficiency in SQL and data visualization tools ServiceNow Platform Analytics – knowledge of Tableau is nice to have.
* Platform Knowledge: Familiarity with specific platforms ServiceNow Performance Analytics and/or ServiceNow Platform Analytics.
* Analytical Skills: Strong ability to conduct A/B testing, predictive modeling, and root cause analysis.
* Experience with common tools \&amp; technologies such as:
	+ Data Visualization: ServiceNow Platform and Performance Analytics.
	+ Database/Languages: SQL, JavaScript, Glide API
 **Required Clearance:**
* US Citizenship.
* Active Secret Security Clearance.
Target salary range: $200,001 \- $240,000\. The estimate displayed represents the typical salary range for this position based on experience and other factors.</t>
        </is>
      </c>
    </row>
    <row r="146">
      <c r="A146" t="inlineStr">
        <is>
          <t>in-fa642c8a28482561</t>
        </is>
      </c>
      <c r="B146" t="inlineStr">
        <is>
          <t>Lead Data Engineer - EDW</t>
        </is>
      </c>
      <c r="C146" t="inlineStr">
        <is>
          <t>Fifth Third Bank</t>
        </is>
      </c>
      <c r="D146" t="inlineStr">
        <is>
          <t>indeed</t>
        </is>
      </c>
      <c r="E146">
        <f>HYPERLINK("https://www.indeed.com/viewjob?jk=fa642c8a28482561", "https://www.indeed.com/viewjob?jk=fa642c8a28482561")</f>
        <v/>
      </c>
      <c r="F146">
        <f>HYPERLINK("https://fifththird.wd5.myworkdayjobs.com/en-US/53careers/job/Cincinnati-OH/Lead-Data-Engineer---EDW_R64675-1", "https://fifththird.wd5.myworkdayjobs.com/en-US/53careers/job/Cincinnati-OH/Lead-Data-Engineer---EDW_R64675-1")</f>
        <v/>
      </c>
      <c r="G146" t="inlineStr">
        <is>
          <t>Cincinnati, OH, US</t>
        </is>
      </c>
      <c r="H146" s="3" t="n">
        <v>46050</v>
      </c>
      <c r="I146" t="inlineStr">
        <is>
          <t>Make banking a Fifth Third better®  
We connect great people to great opportunities. Are you ready to take the next step? Discover a career in banking at Fifth Third Bank.
GENERAL FUNCTION:
The data engineer designs and builds platforms, tools, and solutions that help the bank manage, secure, and generate value from its data. The person in this role creates scalable and reusable solutions for gathering, collecting, storing, processing, and serving data on both small and very large (i.e. Big Data) scales. These solutions can include on\-premise and cloud\-based data platforms, and solutions in any of the following domains ETL, business intelligence, analytics, persistence (relational, NoSQL, data lakes), search, messaging, data warehousing, stream processing, and machine learning.
Responsible and accountable for risk by openly exchanging ideas and opinions, elevating concerns, and personally following policies and procedures as defined. Accountable for always doing the right thing for customers and colleagues, and ensures that actions and behaviors drive a positive customer experience. While operating within the Bank's risk appetite, achieves results by consistently identifying, assessing, managing, monitoring, and reporting risks of all types.
ESSENTIAL DUTIES AND RESPONSIBILITIES:* Candidate must have knowledge of 5/3 enterprise data warehouse
* Candidate must be intimate with all the following technical skills.. (dbt, Snowflake, ELevate, IBM Mainframe, DB2, DataStage, IDAA sync process)
* Must have experience leading offshore teams and being part of the hiring process for contractors.
* Understand how Power BI and BO reporting capabilities work at 5/3 bank.
* Experience with Data Warehousing
* Responsible for design, Development, and Support of data solutions, tools, and processes to enable rapid delivery of business capabilities.
* Work closely with IT application teams, Enterprise architecture, infrastructure, information security, and LOB stakeholders to translate business and technical strategies into data\-driven solutions for the Bank.
* Act as a technical Expert addressing problems related to system and application design, performance, integration, security, etc.
* Conduct research and Development based on current trends and technologies related to the banking industry, data engineering and architecture, data security, and related topics.
* Work with developers to Build CI/CD pipelines, Self\-service Build tools, and automated deployment processes.
* Evaluate software products and Provide documented recommendations as needed.
* Provide Support and troubleshooting for data platforms. Must be willing to Provide escalated on\-call Support for complicated and/or critical incidents.
* Participate in the planning process for hardware and software.
* Plan and work on internal projects as needed, including legacy system replacement, Monitoring and analytics improvements, tool Development, and technical documentation.
* Provide technical guidance and mentoring for other team members.
* Manage and prioritize multiple assignments.
MINIMUM KNOWLEDGE, SKILLS AND ABILITIES REQUIRED:* Bachelor's degree in Computer Science/Information Systems or equivalent combination of education and experience.
* Must be able to communicate ideas both verbally and in writing to management, business and IT sponsors, and technical resources in language that is appropriate for each group.
* At least 6 years of related experience, including at least 4 years in a hands\-on software development role.
* Significant experience with at least one major RDBMS product.
Experience working with and supporting Unix/Linux and Windows systems.  
* Proficient in relational database modeling concepts and techniques.
* Solid conceptual understanding of distributed computing principles.
* Working knowledge of application and data security concepts, best practices, and common vulnerabilities.
* Experience in one or more of the following disciplines preferred: big data technologies and distributions, metadata management products, commercial ETL tools, Bi and reporting tools, messaging systems, data warehousing, Java (language and run time environment), major version control systems, continuous integration/delivery tools, infrastructure automation and virtualization tools, major cloud, or rest API design and development.
* Previous experience working with offshore teams desired.
* Financial industry experience is a plus.
Technical Skills Required:* Data Stage
* IT Architecture and design
* SQL
* Database skills
* Oracle
* Teradata
* DB2
* SQL Service
* Vertica
* Denodo
* Informatica and Talend
* Agile and Lean training
* Mainframe
* Snowflake
* ELevate
Lead Data Engineer \- EDW
At Fifth Third, we understand the importance of recognizing our employees for the role they play in improving the lives of our customers, communities and each other. Our Total Rewards include comprehensive benefits and differentiated compensation offerings to give each employee the opportunity to be their best every day.
The base salary for this position is reflective of the range of salary levels for all roles within this pay grade across the U.S. Individual salaries within this range will vary based on factors such as role, relevant skillset, relevant experience, education and geographic location. In addition to the base salary, this role is eligible to participate in an incentive compensation plan, with any such payment based upon company, line of business and/or individual performance.
Our extensive benefits programs are designed to support the individual needs of our employees and their families, encompassing physical, financial, emotional and social well\-being. You can learn more about those programs on our 53\.com Careers page at: https://www.53\.com/content/fifth\-third/en/careers/benefits.html or by consulting with your talent acquisition partner.
LOCATION \- Cincinnati, Ohio 45202
Attention search firms and staffing agencies: do not submit unsolicited resumes for this posting. Fifth Third does not accept resumes from any agency that does not have an active agreement with Fifth Third. Any unsolicited resumes – no matter how they are submitted – will be considered the property of Fifth Third and Fifth Third will not be responsible for any associated fee.
Fifth Third Bank, National Association is proud to have an engaged and inclusive culture and to promote and ensure equal employment opportunity in all employment decisions regardless of race, color, gender, national origin, religion, age, disability, sexual orientation, gender identity, military status, veteran status or any other legally protected status.</t>
        </is>
      </c>
    </row>
    <row r="147">
      <c r="A147" t="inlineStr">
        <is>
          <t>in-2cd785892ef8b799</t>
        </is>
      </c>
      <c r="B147" t="inlineStr">
        <is>
          <t>Infrastructure Edge Planning, Data Engineer, Edge Strategy and Planning</t>
        </is>
      </c>
      <c r="C147" t="inlineStr">
        <is>
          <t>Amazon.com</t>
        </is>
      </c>
      <c r="D147" t="inlineStr">
        <is>
          <t>indeed</t>
        </is>
      </c>
      <c r="E147">
        <f>HYPERLINK("https://www.indeed.com/viewjob?jk=2cd785892ef8b799", "https://www.indeed.com/viewjob?jk=2cd785892ef8b799")</f>
        <v/>
      </c>
      <c r="F147">
        <f>HYPERLINK("https://www.amazon.jobs/jobs/3169655/infrastructure-edge-planning-data-engineer-edge-strategy-and-planning?cmpid=DA_INAD200785B", "https://www.amazon.jobs/jobs/3169655/infrastructure-edge-planning-data-engineer-edge-strategy-and-planning?cmpid=DA_INAD200785B")</f>
        <v/>
      </c>
      <c r="G147" t="inlineStr">
        <is>
          <t>Denver, CO, US</t>
        </is>
      </c>
      <c r="H147" s="3" t="n">
        <v>46050</v>
      </c>
      <c r="I147" t="inlineStr">
        <is>
          <t>**DESCRIPTION**
---------------
Application deadline: Feb 3, 2026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offers a broad set of global compute, storage, database, analytics, application, and deployment services that help organizations move faster, lower IT costs, and scale applications. We are growing quickly and dynamically, including in our global data center footprint. This role is part of the Infrastructure Global Strategy and Planning team, which is responsible for our strategy for data center expansion for edge infrastructure.  
In this role, you will build data automation systems to transform interconnect capacity planning across locations. You will create data pipelines and analytics frameworks for infrastructure metrics, while developing Extract, Transform, and Load (ETL) processes to integrate data from heatmaps, CloudForge, build plans, and financial systems. Your work will support both current optimization and long\-term planning through data models that connect data center architectures with network designs.  
Your main task will be building automated workflows that replace manual processes. This includes creating monitoring systems for capacity constraints, alerts for capacity thresholds, visualization dashboards, and forecasting models. Your work will improve infrastructure cost optimization and growth planning through data\-driven insights.  
The role requires collaboration with infrastructure teams to capture data requirements and with business stakeholders to convert metrics into actions. You will deliver automated data integration systems, analytics platforms for capacity monitoring, forecasting models, and infrastructure health metrics. By combining data engineering skills with infrastructure planning knowledge, you will build systems that reduce costs and enable network scalability. This role will shape how we use data for infrastructure decisions, requiring both data engineering expertise and understanding of infrastructure planning.  
Key job responsibilities  
* Build automated data pipelines to collect and analyze infrastructure metrics from multiple sources
* Design and implement ETL workflows to integrate data from heatmaps, CloudForge, build plans, and financial systems
* Develop monitoring systems and dashboards for real\-time infrastructure capacity tracking
* Create predictive models for capacity planning and cost optimization
* Automate manual data collection and analysis processes
* Partner with infrastructure teams to deliver data\-driven planning insights
* Developing data and API integrations across multiple platforms
A day in the life  
A Data Engineer in Edge Infrastructure enables data\-driven decisions for one of the world's largest edge networks, transforming raw infrastructure data into actionable insights for capacity planning and optimization. You'll monitor automated data pipelines processing metrics from hundreds of edge sites, design predictive analytics for capacity forecasting, and build machine learning models to identify cost\-saving opportunities. Working closely with infrastructure teams, you'll create visualization tools, implement automated alerts, and develop APIs for data access. Your solutions will help transform infrastructure planning from manual analysis to automated, data\-driven decision\-making, directly impacting Amazon's ability to optimize its global edge network.  
About the team  
Within AWS Networking, the Internet Edge organization is responsible for connecting Amazon to Internet. With connections to thousands of unique external networks in hundreds of locations across the world, our mission is to deliver an internet\-connectivity experience that sets the global standard for performance, availability, security, and cost, making Amazon the clear choice for customers’ needs. Our team provides high\-performing internet connectivity for a wide range of use cases, such as retail (amazon.com), video streaming (Prime Video), content delivery (CloudFront), DNS (Route53\), AWS services (such as EC2/S3\), consumer devices (such as FireTV/Kindle/Echo), and more.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3\+ years of data engineering experience
* Experience with data modeling, warehousing and building ETL pipelines
* Knowledge of data visualization tools such as Quick Sight, Tableau, Power BI or other BI packages
* Experience writing complex SQL queries
* Object oriented programming (Python Preferred)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with infrastructure metrics, capacity planning, or network data analysis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\- 132,100\.00 \- 178,800\.00 USD annually</t>
        </is>
      </c>
    </row>
    <row r="148">
      <c r="A148" t="inlineStr">
        <is>
          <t>in-8f575ee9b3709778</t>
        </is>
      </c>
      <c r="B148" t="inlineStr">
        <is>
          <t>Director of Data Engineering</t>
        </is>
      </c>
      <c r="C148" t="inlineStr">
        <is>
          <t>Alo</t>
        </is>
      </c>
      <c r="D148" t="inlineStr">
        <is>
          <t>indeed</t>
        </is>
      </c>
      <c r="E148">
        <f>HYPERLINK("https://www.indeed.com/viewjob?jk=8f575ee9b3709778", "https://www.indeed.com/viewjob?jk=8f575ee9b3709778")</f>
        <v/>
      </c>
      <c r="F148">
        <f>HYPERLINK("https://grnh.se/o25fe6ps4us", "https://grnh.se/o25fe6ps4us")</f>
        <v/>
      </c>
      <c r="G148" t="inlineStr">
        <is>
          <t>Beverly Hills, CA, US</t>
        </is>
      </c>
      <c r="H148" s="3" t="n">
        <v>46050</v>
      </c>
      <c r="I148" t="inlineStr">
        <is>
          <t>**WHY JOIN ALO?**
Mindful movement. It's at the core of why we do what we do at ALO—it's our calling. Because mindful movement in the studio leads to better living. It changes who yogis are off the mat, making their lives and their communities better. That's the real meaning of studio\-to\-street: taking the consciousness from practice on the mat and putting it into practice in life.
**OVERVIEW**
We are seeking a visionary and hands\-on Director of Data Engineering to lead our data engineering strategy and execution. This role will be responsible for building and scaling a modern data platform that supports business intelligence, personalization, supply chain optimization, and AI/ML initiatives across the organization.
**RESPONSIBILITIES**
* Lead and mentor a high\-performing team of data engineers and architects.
* Design and implement scalable, secure, and efficient data pipelines and infrastructure.
* Partner with business leaders, product managers, and data scientists to deliver data solutions that drive business impact.
* Oversee the development and maintenance of data lakes, data warehouses, and real\-time streaming systems.
* Establish best practices for data governance, quality, and compliance (e.g., GDPR, CCPA).
* Evaluate and implement modern data tools and platforms (e.g., Snowflake, Databricks, Airflow, dbt).
* Drive innovation in data architecture to support personalization, predictive analytics, and AI/ML capabilities.
* Manage vendor relationships and ensure cost\-effective use of third\-party data services.
**QUALIFICATIONS**
* 8\-10\+ years of experience in data engineering or related fields, with at least 5 years in a leadership role.
* Proven experience building and scaling cloud\-based data platforms (AWS, GCP, or Azure).
* Expertise in SQL, Python, Spark, and modern data stack tools.
* Strong understanding of data modeling, ETL/ELT processes, and real\-time data processing.
* Experience supporting e\-commerce, retail, or consumer brands is a plus.
* Excellent communication and stakeholder management skills.
* Bachelor's or Master's degree in Computer Science, Engineering, or a related field.
The base salary range for this position is $250,000\-$280,000 per year which represents the current range for the base salary for this exempt position. Please note that actual salaries will vary based on factors including but not limited to location, experience, and performance. As such, on occasion and when applicable, there is the possibility that the final, agreed\-upon base salary may be outside of the upper end of the range. Please also note the range listed is just one component of the company's total rewards package for exempt employees. Other rewards may include performance bonuses, long term incentives, a PTO policy, and many other progressive benefits.
For CA residents, Job Applicant Privacy Policy HERE.</t>
        </is>
      </c>
    </row>
    <row r="149">
      <c r="A149" t="inlineStr">
        <is>
          <t>in-67c725cb6a0a097e</t>
        </is>
      </c>
      <c r="B149" t="inlineStr">
        <is>
          <t>Senior Data Engineer</t>
        </is>
      </c>
      <c r="C149" t="inlineStr">
        <is>
          <t>Fidelity Investments</t>
        </is>
      </c>
      <c r="D149" t="inlineStr">
        <is>
          <t>indeed</t>
        </is>
      </c>
      <c r="E149">
        <f>HYPERLINK("https://www.indeed.com/viewjob?jk=67c725cb6a0a097e", "https://www.indeed.com/viewjob?jk=67c725cb6a0a097e")</f>
        <v/>
      </c>
      <c r="F149">
        <f>HYPERLINK("https://jobs.fidelity.com/en/jobs/2119692/senior-data-engineer/", "https://jobs.fidelity.com/en/jobs/2119692/senior-data-engineer/")</f>
        <v/>
      </c>
      <c r="G149" t="inlineStr">
        <is>
          <t>Merrimack, NH, US</t>
        </is>
      </c>
      <c r="H149" s="3" t="n">
        <v>46050</v>
      </c>
      <c r="I149" t="inlineStr">
        <is>
          <t>### **Job Description:**
**The Role:**
The Core Wealth Platform Financial Insights Delivery team supporting Insights and Analytics data needs across the Retail and Workplace is seeking a Principal Data Engineer to design, develop, and implement AWS data driven infrastructure and applications. This role is critical in delivering Fidelity’s promise of creating the best customer experience in the industry. Apart from cloud\-based data application development, you will get exposure to our CI/CD deployment infrastructure, Agile development tools and procedures, relational (and non\-relational) database technologies, and technology leadership opportunities.
**The Expertise and Skills You Bring:**
* 10\+ years in designing, developing, installing, and supporting Enterprise quality applications
* 5\+ years of hands\-on development experience with:
	+ Building applications on AWS using HA and DR best practices
	+ Oracle PL/SQL packages and SQL performance tuning
	+ Relational Data Modeling
	+ Python or Scala
	+ DynamoDB or other NoSQL Databases
	+ Data Streaming using Kafka, Kinesis or similar
* Proficient in Java, ideally with a micro\-services development background
* Experience with Snowflake is a plus
* Experience working in a DevOps and CI/CD environment
* Experience developing in an Agile team setting (Kanban and/or SCRUM)
* AWS Developer certification
* A Bachelor’s or Master’s degree in Computer Science, Information Technology, or equivalent experience
* Ability to think out of box and design end\-to\-end solutions
* Passion and intellectually curious to learn new technologies and implement robust, scalable solutions
* Ability to work in a fast\-paced environment
* Excellent verbal and written communication skills
* Excellent collaboration skills to work with multiple teams in the organization
### **Certifications:**
### **Category:**
Information Technology
Most roles at Fidelity are Hybrid, requiring associates to work onsite every other week (all business days, M\-F) in a Fidelity office. This does not apply to Remote or fully Onsite roles.
Please be advised that Fidelity’s business is governed by the provisions of the Securities Exchange Act of 1934, the Investment Advisers Act of 1940, the Investment Company Act of 1940, ERISA, numerous state laws governing securities, investment and retirement\-related financial activities and the rules and regulations of numerous self\-regulatory organizations, including FINRA, among others. Those laws and regulations may restrict Fidelity from hiring and/or associating with individuals with certain Criminal Histories.</t>
        </is>
      </c>
    </row>
    <row r="150">
      <c r="A150" t="inlineStr">
        <is>
          <t>in-6a22a0f3d9d1900d</t>
        </is>
      </c>
      <c r="B150" t="inlineStr">
        <is>
          <t>Analytics Engineer - Microsoft Fabric</t>
        </is>
      </c>
      <c r="C150" t="inlineStr">
        <is>
          <t>Advantive</t>
        </is>
      </c>
      <c r="D150" t="inlineStr">
        <is>
          <t>indeed</t>
        </is>
      </c>
      <c r="E150">
        <f>HYPERLINK("https://www.indeed.com/viewjob?jk=6a22a0f3d9d1900d", "https://www.indeed.com/viewjob?jk=6a22a0f3d9d1900d")</f>
        <v/>
      </c>
      <c r="F150">
        <f>HYPERLINK("http://recruit.hirebridge.com/v3/careercenter/v2/details.aspx?jid=353394&amp;cid=8115&amp;locvalue=1011", "http://recruit.hirebridge.com/v3/careercenter/v2/details.aspx?jid=353394&amp;cid=8115&amp;locvalue=1011")</f>
        <v/>
      </c>
      <c r="G150" t="inlineStr">
        <is>
          <t>Tampa, FL, US</t>
        </is>
      </c>
      <c r="H150" s="3" t="n">
        <v>46050</v>
      </c>
      <c r="I150" t="inlineStr">
        <is>
          <t>At **Advantive**, we don’t just make software—we build careers and power the manufacturing and distribution backbone of the global economy. We are growing fast, investing in AI, and building a culture where motivated, curious people rise quickly.
You will join Advantive’s Business Analytics organization as a key member of the team responsible for building, operating, and maintaining our enterprise analytics warehouse on Microsoft Fabric.
In this hands\-on role, you’ll focus on creating and running reliable data pipelines, transformations, and models that power our Power BI reporting and analytics. You’ll collaborate closely with our Principal Analytics Architect, Power BI developers, and business partners to make sure data is accurate, timely, and easy to work with.
A core part of your work will be maintaining and extending the logic we’ve migrated from Alteryx into Fabric, as well as supporting ongoing enhancements as business needs evolve.
**Why Advantive?**
* Culture of Growth: We don’t hire to fill seats—we hire to develop talent. You’ll be supported like an athlete, coached like a leader, and challenged like a builder.
* Career Acceleration: Many of our best leaders started in frontline roles like this one. We believe in moving fast and promoting from within.
* Real Impact: You’re not a cog in the machine here. Your work helps real businesses that keep supply chains, manufacturing lines, and entire industries running.
Artificial intelligence (AI) technology may be used during the hiring process to record, transcribe, analyze, and rank interview responses. By submitting your application and participating in the interview process, you acknowledge and consent to the use of AI technology in the hiring process.
**Interview Process:**
We believe in identifying a strong fit between our company and our employees and supporting a culture of creative problem solving and innovation. To that extent, if selected for next steps, you will be invited to complete a series of assessments that focus on aptitude and personality prior to a recruiter interview. Everyone at the company from early career all the way to CEO has taken these assessments. The assessment email will be coming from a no\-reply email address via our ATS (Hirebridge), so please be on the lookout!
*Advantive is an equal opportunity employer. We are committed to equal employment regardless of race, color, ethnicity, ancestry,* *religion, sex (including pregnancy, sexual orientation, or gender identity or expression), national origin, age, disability, veteran status, or other class protected by applicable law. All qualified applicants will receive consideration for employment without regard to these characteristics. We are committed to providing reasonable accommodations to individuals with disabilities and to ensuring a fair and inclusive hiring process.*
**Warning!** Advantive does not make job offers without conducting face\-to\-face (including virtual) interviews and will never ask you for money and/or personal information such as Social Security or bank information during the interview process.
Job scams have been reported against many companies. For more information, please visit: FTC Job Scams.
**Key Responsibilities**
**Data Pipelines \&amp; Transformations**
* Build and maintain Fabric data pipelines and transformations
* Support ingestion from Salesforce, NetSuite, and other systems
* Monitor pipeline health, refreshes, and performance
**Data Modeling \&amp; Maintenance**
* Implement and maintain warehouse tables and semantic models
* Partner with the architect to evolve models as requirements change
* Support historical tracking, reconciliations, and incremental loads
**Alteryx Logic Support**
* Help implement and validate Fabric\-based equivalents of Alteryx workflows
* Ensure transformed data aligns with existing business logic and reporting
**Analytics \&amp; Power BI Support**
* Support Power BI datasets sourcing from the warehouse
* Assist with data validation, metric definitions, and reconciliations
* Respond to ad\-hoc analytics and investigation requests
**Data Quality \&amp; Documentation**
* Proactively identify data quality issues and anomalies
* Maintain documentation for pipelines, transformations, and models
* Support governance, access controls, and audit requirements
**Qualifications**
* Bachelor’s degree in Information Systems, Data Analytics, Computer Science, or related field
* 3–6\+ years of experience in analytics engineering, data operations, or BI engineering
* Hands\-on experience with SQL and modern analytics platforms (Microsoft Fabric preferred)
* Experience supporting Power BI datasets and models
* Familiarity with Salesforce and/or NetSuite data a strong plus
**Location**: Tampa, FL
***While we offer flexibility, this role includes an expectation of being onsite three days a week in our Tampa office to support team alignment and cross\-functional collaboration.***
All your information will be kept confidential according to EEO guidelines.
Qualified applicants will be asked to complete a 30\-minute online assessment as a part of your application.</t>
        </is>
      </c>
    </row>
    <row r="151">
      <c r="A151" t="inlineStr">
        <is>
          <t>in-9521f8105a1b729a</t>
        </is>
      </c>
      <c r="B151" t="inlineStr">
        <is>
          <t>Senior Specialist, Federal Data Engineer</t>
        </is>
      </c>
      <c r="C151" t="inlineStr">
        <is>
          <t>KPMG</t>
        </is>
      </c>
      <c r="D151" t="inlineStr">
        <is>
          <t>indeed</t>
        </is>
      </c>
      <c r="E151">
        <f>HYPERLINK("https://www.indeed.com/viewjob?jk=9521f8105a1b729a", "https://www.indeed.com/viewjob?jk=9521f8105a1b729a")</f>
        <v/>
      </c>
      <c r="F151">
        <f>HYPERLINK("https://www.kpmguscareers.com/jobdetail/?jobId=131481&amp;srcCat=Internet&amp;specSrc=Indeed", "https://www.kpmguscareers.com/jobdetail/?jobId=131481&amp;srcCat=Internet&amp;specSrc=Indeed")</f>
        <v/>
      </c>
      <c r="G151" t="inlineStr">
        <is>
          <t>Washington, DC, US</t>
        </is>
      </c>
      <c r="H151" s="3" t="n">
        <v>46050</v>
      </c>
      <c r="I151" t="inlineStr">
        <is>
          <t>The KPMG Advisory practice is currently our fastest growing practice. We are seeing tremendous client demand, and looking forward we don't anticipate that slowing down. In this ever\-changing market environment, our professionals must be adaptable and thrive in a collaborative, team\-driven culture. At KPMG, our people are our number one priority. With a wealth of learning and career development opportunities, a world\-class training facility and leading market tools, we make sure our people continue to grow both professionally and personally. If you're looking for a firm with a strong team connection where you can be your whole self, have an impact, advance your skills, deepen your experiences, and have the flexibility and access to constantly find new areas of inspiration and expand your capabilities, then consider a career in Advisory.
KPMG is currently seeking a Senior Specialist to join our Federal Advisory practice.
### **Responsibilities:**
* Collaborate with multi\-disciplinary / cross\-functional teams to identify business opportunities, develop machine learning models, and data science solutions
* Utilize processes / best practices to plan, lead, and execute delivery of data analytics and AI engagements
* Work with engagement teams to discover data sources, create data requests; collaborate with data engineers to develop / utilize ETL process to ingest and enrich structured / unstructured data
* Perform explanatory data analyses, generate / test working hypotheses, prepare / analyze historical data and identify patterns; perform machine learning, natural language, and statistical analysis methods (such as classification, cluster analysis, collaborative filtering, sentiment analysis, language modeling, time\-series analysis, regression, statistical inference, etc.)
* Rapidly learn / develop skills in utilizing cloud compute, data storage resources, and other on\-prem / cloud\-native services for data acquisition, management, transformation, model development / deployment
* Contribute to developing dashboards, UI and interactive tools to support clients to turn their data into actionable insights / reproducible reports
### **Qualifications:**
* A minimum of three years of data analytics solutions, data engineering, or machine learning modeling experience; U.S. Federal government consulting experience preferred
* Bachelor's degree from an accredited college/university
* Ability to apply artificial intelligence / machine learning techniques to achieve business goals; ability to work with business to understand available resources and constraints around data (sources, integrity, definitions); provide assistance and resolve issues
* Proficiency with programming languages such as Python, R, Java, SQL and open\-source packages / libraries
* Design, build, operationalize, and maintain robust data pipelines, demonstrating deep SAP ERP knowledge to integrate complex financial / logistical data into the Jupiter platform using Databricks, Python, and Spark
* Experience leveraging Jupiter platform to engineer and model curated datasets from SAP ERP pipeline
* Experience in leveraging cloud services, Cloud Certifications (e.g. \- AWS Solution Architect, AWS Machine Learning, Google Data Engineering, Azure AI Engineer Associate, etc.) preferred
* Ability to travel as required to support firm engagements
* Applicant must possess a U.S. Government Secret clearance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https://kpmg.com/us/en/how\-we\-work/pay\-transparency.html/?id\=M101\_4\_25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152">
      <c r="A152" t="inlineStr">
        <is>
          <t>in-c7be3e6c9f900a39</t>
        </is>
      </c>
      <c r="B152" t="inlineStr">
        <is>
          <t>Senior Specialist, Federal Data Engineer</t>
        </is>
      </c>
      <c r="C152" t="inlineStr">
        <is>
          <t>KPMG</t>
        </is>
      </c>
      <c r="D152" t="inlineStr">
        <is>
          <t>indeed</t>
        </is>
      </c>
      <c r="E152">
        <f>HYPERLINK("https://www.indeed.com/viewjob?jk=c7be3e6c9f900a39", "https://www.indeed.com/viewjob?jk=c7be3e6c9f900a39")</f>
        <v/>
      </c>
      <c r="F152">
        <f>HYPERLINK("https://www.kpmguscareers.com/jobdetail/?jobId=131481&amp;srcCat=Internet&amp;specSrc=Indeed", "https://www.kpmguscareers.com/jobdetail/?jobId=131481&amp;srcCat=Internet&amp;specSrc=Indeed")</f>
        <v/>
      </c>
      <c r="G152" t="inlineStr">
        <is>
          <t>McLean, VA, US</t>
        </is>
      </c>
      <c r="H152" s="3" t="n">
        <v>46050</v>
      </c>
      <c r="I152" t="inlineStr">
        <is>
          <t>The KPMG Advisory practice is currently our fastest growing practice. We are seeing tremendous client demand, and looking forward we don't anticipate that slowing down. In this ever\-changing market environment, our professionals must be adaptable and thrive in a collaborative, team\-driven culture. At KPMG, our people are our number one priority. With a wealth of learning and career development opportunities, a world\-class training facility and leading market tools, we make sure our people continue to grow both professionally and personally. If you're looking for a firm with a strong team connection where you can be your whole self, have an impact, advance your skills, deepen your experiences, and have the flexibility and access to constantly find new areas of inspiration and expand your capabilities, then consider a career in Advisory.
KPMG is currently seeking a Senior Specialist to join our Federal Advisory practice.
### **Responsibilities:**
* Collaborate with multi\-disciplinary / cross\-functional teams to identify business opportunities, develop machine learning models, and data science solutions
* Utilize processes / best practices to plan, lead, and execute delivery of data analytics and AI engagements
* Work with engagement teams to discover data sources, create data requests; collaborate with data engineers to develop / utilize ETL process to ingest and enrich structured / unstructured data
* Perform explanatory data analyses, generate / test working hypotheses, prepare / analyze historical data and identify patterns; perform machine learning, natural language, and statistical analysis methods (such as classification, cluster analysis, collaborative filtering, sentiment analysis, language modeling, time\-series analysis, regression, statistical inference, etc.)
* Rapidly learn / develop skills in utilizing cloud compute, data storage resources, and other on\-prem / cloud\-native services for data acquisition, management, transformation, model development / deployment
* Contribute to developing dashboards, UI and interactive tools to support clients to turn their data into actionable insights / reproducible reports
### **Qualifications:**
* A minimum of three years of data analytics solutions, data engineering, or machine learning modeling experience; U.S. Federal government consulting experience preferred
* Bachelor's degree from an accredited college/university
* Ability to apply artificial intelligence / machine learning techniques to achieve business goals; ability to work with business to understand available resources and constraints around data (sources, integrity, definitions); provide assistance and resolve issues
* Proficiency with programming languages such as Python, R, Java, SQL and open\-source packages / libraries
* Design, build, operationalize, and maintain robust data pipelines, demonstrating deep SAP ERP knowledge to integrate complex financial / logistical data into the Jupiter platform using Databricks, Python, and Spark
* Experience leveraging Jupiter platform to engineer and model curated datasets from SAP ERP pipeline
* Experience in leveraging cloud services, Cloud Certifications (e.g. \- AWS Solution Architect, AWS Machine Learning, Google Data Engineering, Azure AI Engineer Associate, etc.) preferred
* Ability to travel as required to support firm engagements
* Applicant must possess a U.S. Government Secret clearance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https://kpmg.com/us/en/how\-we\-work/pay\-transparency.html/?id\=M101\_4\_25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153">
      <c r="A153" t="inlineStr">
        <is>
          <t>in-4062ad0549f54d44</t>
        </is>
      </c>
      <c r="B153" t="inlineStr">
        <is>
          <t>Principal Data Engineer</t>
        </is>
      </c>
      <c r="C153" t="inlineStr">
        <is>
          <t>Oshkosh Corporation</t>
        </is>
      </c>
      <c r="D153" t="inlineStr">
        <is>
          <t>indeed</t>
        </is>
      </c>
      <c r="E153">
        <f>HYPERLINK("https://www.indeed.com/viewjob?jk=4062ad0549f54d44", "https://www.indeed.com/viewjob?jk=4062ad0549f54d44")</f>
        <v/>
      </c>
      <c r="F153">
        <f>HYPERLINK("https://careers.oshkoshcorp.com/us/en/job/OCNOCKUSR43622EXTERNALENUS/Principal-Data-Engineer?utm_source=indeed&amp;utm_medium=phenom-feeds", "https://careers.oshkoshcorp.com/us/en/job/OCNOCKUSR43622EXTERNALENUS/Principal-Data-Engineer?utm_source=indeed&amp;utm_medium=phenom-feeds")</f>
        <v/>
      </c>
      <c r="G153" t="inlineStr">
        <is>
          <t>Oshkosh, WI, US</t>
        </is>
      </c>
      <c r="H153" s="3" t="n">
        <v>46050</v>
      </c>
      <c r="I153" t="inlineStr">
        <is>
          <t>**At Oshkosh, we build, serve and protect people and communities around the world by designing and manufacturing some of the toughest specialty trucks and access equipment. We employ over 18,000 team members all united by a common purpose. Our engineering and product innovation help keep soldiers and firefighters safe, is critical in building and keeping communities clean and helps people do their jobs every day.**
**SUMMARY:**
As a member of the Advanced Analytics organization, your primary responsibilities will be to support comprehensive planning and execution in providing a world\-class set of capabilities around data ingestion and transformation, as well as analytics platform and solutions architecture.
**YOUR IMPACT:**
* Plan, architect, design and develop scalable data and analytics solutions to deliver quantifiable value to our business teams.
* Own the architecture and user access patterns for analytics and data platforms.
* Collaborate with cross\-functional teams (e.g. data engineers, data analysts, scientists, architects, business stakeholders, application owners) on analytics product development and data requirements.
* Provide guidance and leadership for end\-to\-end testing, system integration testing, and validation to support the accuracy of data transformations and data verifications used.
* Possesses extensive understanding of ETL pipelines, SQL, programming, relational databases, data modeling, transactional and BI databases, and networking.
* Significant experience with tools such as Terraform, Spark, Databricks, Snowflake, Git, and Azure infrastructure management (ADLS Gen2, Azure Compute, Azure Data Factory, AI Foundry, AKS, VPC’s, Storage Accounts, and others).
* Build and maintain documentation, such as version\-controlled work instructions, detailed design documents and architecture documentation.
* Direct data engineering assignments, job scheduling, performance\-tuning data processes, and troubleshooting data processing issues (including root cause resolution).
* Set standards for data governance (quality, security, etc.) within the Azure data lake.
* Familiarity with ITIL methodology and ticketing software to track and manage incidents, changes, problems, tasks, and demand.
* Lead coaching and mentoring and serve as a Subject Matter Expert (SME) on new technologies and best practices across data engineering (i.e. data modeling, database design, ETL design, job scheduling and monitoring, etc.)
* Possesses advanced understanding of data structure, data processing, and overall landscape of source/ERP systems.
* Possesses strong critical thinking, analytical, problem\-solving, organizational, multitasking, interpersonal, and presentation skills.
* Designs the strategic roadmap and forward analysis for data engineering, including proof of concepts and vendor management.
* Direct feasibility studies and project estimates for proposed projects.
* Analyzes trends, emerging technologies, and version updates to optimize data engineering's vendor relationships, technical solutions, and improve customer experience.
* Partners across technology SMEs for process, policy, and procedure best practices and design.
* Proficiency in Excel skills and programming skills
* Develop process improvement strategies based on pattern recognition with the business for proactive solutions.
**MINIMUM QUALIFICATIONS:**
* Bachelors degree with seven (7\) or more years of experience in the field or in a related area.
**STANDOUT QUALIFICATIONS:**
* Masters or doctorate degree
**Pay Range:**
$136,500\.00 \- $241,500\.00
The above pay range reflects the minimum and maximum target pay for the position across all U.S. locations. Within this range, individual pay is determined by various factors, including the scope and responsibilities of the role, the candidate's experience, education and skills, as well as the equity of pay among team members in similar positions. Beyond offering a competitive total rewards package, we prioritize a people\-first culture and offer various opportunities to support team member growth and success.
Oshkosh is committed to working with and offering reasonable accommodation to job applicants with disabilities. If you need assistance or an accommodation due to disability for any part of the employment process, please contact us at corporatetalentacquisition@oshkoshcorp.com.
Oshkosh Corporation is a merit\-based Equal Opportunity Employer. Job opportunities are open for application to all qualified individuals and selection decisions are made without regard to race, color, religion, sex, national origin, age, disability, veteran status, or other protected characteristic. To the extent that information is provided or collected regarding categories as provided by law it will in no way affect the decision regarding an employment application.
Oshkosh Corporation will not discharge or in any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Oshkosh Corporation's legal duty to furnish information.
Certain positions with Oshkosh Corporation require access to controlled goods and technologies subject to the International Traffic in Arms Regulations or the Export Administration Regulations. Applicants for these positions may need to be "U.S. Persons," as defined in these regulations. Generally, a "U.S. Person" is a U.S. citizen, lawful permanent resident, or an individual who has been admitted as a refugee or granted asylum.</t>
        </is>
      </c>
    </row>
    <row r="154">
      <c r="A154" t="inlineStr">
        <is>
          <t>in-cea4c0db2d244047</t>
        </is>
      </c>
      <c r="B154" t="inlineStr">
        <is>
          <t>Data Engineer</t>
        </is>
      </c>
      <c r="C154" t="inlineStr">
        <is>
          <t>Intuitive Machines</t>
        </is>
      </c>
      <c r="D154" t="inlineStr">
        <is>
          <t>indeed</t>
        </is>
      </c>
      <c r="E154">
        <f>HYPERLINK("https://www.indeed.com/viewjob?jk=cea4c0db2d244047", "https://www.indeed.com/viewjob?jk=cea4c0db2d244047")</f>
        <v/>
      </c>
      <c r="F154">
        <f>HYPERLINK("https://workforcenow.adp.com/mascsr/default/mdf/recruitment/recruitment.html?cid=b0e24f83-6e4d-492d-9d6a-bc0fea197d6a&amp;ccId=19000101_000001&amp;jobId=560007&amp;source=IN&amp;lang=en_US", "https://workforcenow.adp.com/mascsr/default/mdf/recruitment/recruitment.html?cid=b0e24f83-6e4d-492d-9d6a-bc0fea197d6a&amp;ccId=19000101_000001&amp;jobId=560007&amp;source=IN&amp;lang=en_US")</f>
        <v/>
      </c>
      <c r="G154" t="inlineStr">
        <is>
          <t>TX, US</t>
        </is>
      </c>
      <c r="H154" s="3" t="n">
        <v>46049</v>
      </c>
      <c r="I154" t="inlineStr">
        <is>
          <t>**Data Engineer**
Remote \- US
**About Intuitive Machines:**
Intuitive Machines is an innovative and cutting\-edge space company making cislunar space accessible to both public and private customers. Our mission is to further science and exploration, communications, and economic progress from the Earth to the Moon and beyond. With multiple NASA lunar missions in development and additional private missions on our manifest, we pride ourselves in supporting NASA, our customers, and the nation in paving the way to return humans to the surface of the Moon. Our world\-class team includes experts in all aspects of spacecraft subsystems design, development, and test, on\-orbit operations, and safety.
**About the Position:**
Intuitive Machines is seeking an experienced Data Engineer to lead the aggregation, integration, and administration of data across our enterprise manufacturing technology stack.This position will play a pivotal role in unifying data from our critical manufacturing systems—including CREO, TeamCenter, Solumina, SAP, and IFS—to enable analytics, reporting, and operational insights that drive spacecraft manufacturing excellence.
We're looking for a hands\-on expert who can design and implement data pipelines, establish database operational standards, optimize enterprise system performance, and ensure data integrity across our manufacturing ecosystem. If you have deep expertise in PLM, MES, and ERP systems, with a strong background in database administration and data engineering, we want to hear from you.
**Responsibilities:**
***Data Integration and Pipeline Development***
* Design and implement data aggregation pipelines from CREO,TeamCenter,Solumina, SAP, and IFS into centralized data repositories.
* Establishdata integration standards, processes, and documentation for enterprise manufacturing systems.
* Develop ETL/ELT workflows to enable real\-time and batch data synchronization across platforms.
***Database Administration***
* Administer and optimized databases supporting TeamCenter,Solumina, SAP, and IFS environments.
* Manage database performance tuning, backup and recovery procedures, and disaster recovery planning.
* Monitor database health, implement security controls, and ensure high availability of manufacturing systems.
***Enterprise Manufacturing Systems Support***
* Serve as technical DBA for PLM (TeamCenter), MES (Solumina), and ERP (SAP, IFS) platforms.
* Configure and maintaindatabase connections, user access controls, and system integrations.
* Collaborate with application administrators to support system upgrades, patches, and migrations.
***Data Architecture and Governance***
* Design data models and schemas that support manufacturing analytics and business intelligence initiatives.
* Establish data quality standards, validation rules, and master data management practices.
* Implement data governance aligned with aerospace manufacturing compliance requirements (AS9100, ITAR, etc.).
***Analytics and Reporting Infrastructure***
* Build data warehouses or data lakes to enable cross\-system reporting and analytics.
* Create data marts optimized for manufacturing KPIs, production metrics, and supply chain visibility.
* Partner with business analysts and engineering teams to define reporting requirements and deliver actionable insights.
***Monitoring and Continuous Improvement***
* Implement monitoring and alerting for data pipeline health and database performance.
* Continually evaluate data infrastructure for modernization, automation, and scalability improvements.
* Document technical procedures, runbooks, and system architecture diagrams.
**General Requirements:**
* Must be a US Citizen or US Permanent Resident (ITAR requirement)
* Bachelor's Degree in Computer Science, Data Engineering, Information Systems, or related field. Four additional years of experience may be substituted for a degree.
* Minimum of 5 years of hands\-on experience in data engineering or database administration roles.
* Experience with PLM systems (TeamCenter, Windchill, or similar) and understanding of CAD data structures.
* Experience with MES platforms (Solumina,Camstar, or similar) and manufacturing execution workflows.
* Experience with ERP systems (SAP, IFS, Oracle EBS, or similar) and enterprise data models.
* Proficiency in SQL and database technologies (Oracle, SQL Server, PostgreSQL).
* Experience with ETL tools (Informatica, Talend, SSIS, or similar) or custom data pipeline development.
* Experience in scripting languages (Python, PowerShell, or similar) for data automation.
**Preferred Qualifications:**
* Experience in aerospace, defense, or highly regulated manufacturing environments.
* Knowledge of CREO Parametric and its data management integration withTeamCenter.
* Experience with cloud data platforms (AWS Redshift/Glue, Azure Synapse, Snowflake, or Databricks).
* Familiarity with data visualization tools (Tableau, Power BI, or similar).
* Understanding of manufacturing data standards (MTConnect, ISA\-95, or similar).
* Experience with Agile development methodologies and DevOps practices for data infrastructure.
* Professional certifications such as Oracle DBA, Microsoft Certified: Azure Data Engineer Associate, AWS Certified Database – Specialty, or similar.
**US EEO Statement:**
Intuitive Machines is an Equal Opportunity employer. All qualified applicants will receive consideration for employment without regard to sex, gender identity, sexual orientation, race, color, religion, national origin, disability, protected veteran status, age, or any other characteristic protected by law.</t>
        </is>
      </c>
    </row>
    <row r="155">
      <c r="A155" t="inlineStr">
        <is>
          <t>in-3c0a689e5ada6ddb</t>
        </is>
      </c>
      <c r="B155" t="inlineStr">
        <is>
          <t>Data Engineer</t>
        </is>
      </c>
      <c r="C155" t="inlineStr">
        <is>
          <t>Intuitive Machines</t>
        </is>
      </c>
      <c r="D155" t="inlineStr">
        <is>
          <t>indeed</t>
        </is>
      </c>
      <c r="E155">
        <f>HYPERLINK("https://www.indeed.com/viewjob?jk=3c0a689e5ada6ddb", "https://www.indeed.com/viewjob?jk=3c0a689e5ada6ddb")</f>
        <v/>
      </c>
      <c r="F155">
        <f>HYPERLINK("https://workforcenow.adp.com/mascsr/default/mdf/recruitment/recruitment.html?cid=b0e24f83-6e4d-492d-9d6a-bc0fea197d6a&amp;ccId=19000101_000001&amp;jobId=560007&amp;source=IN&amp;lang=en_US", "https://workforcenow.adp.com/mascsr/default/mdf/recruitment/recruitment.html?cid=b0e24f83-6e4d-492d-9d6a-bc0fea197d6a&amp;ccId=19000101_000001&amp;jobId=560007&amp;source=IN&amp;lang=en_US")</f>
        <v/>
      </c>
      <c r="G155" t="inlineStr">
        <is>
          <t>WV, US</t>
        </is>
      </c>
      <c r="H155" s="3" t="n">
        <v>46049</v>
      </c>
      <c r="I155" t="inlineStr">
        <is>
          <t>**Data Engineer**
Remote \- US
**About Intuitive Machines:**
Intuitive Machines is an innovative and cutting\-edge space company making cislunar space accessible to both public and private customers. Our mission is to further science and exploration, communications, and economic progress from the Earth to the Moon and beyond. With multiple NASA lunar missions in development and additional private missions on our manifest, we pride ourselves in supporting NASA, our customers, and the nation in paving the way to return humans to the surface of the Moon. Our world\-class team includes experts in all aspects of spacecraft subsystems design, development, and test, on\-orbit operations, and safety.
**About the Position:**
Intuitive Machines is seeking an experienced Data Engineer to lead the aggregation, integration, and administration of data across our enterprise manufacturing technology stack.This position will play a pivotal role in unifying data from our critical manufacturing systems—including CREO, TeamCenter, Solumina, SAP, and IFS—to enable analytics, reporting, and operational insights that drive spacecraft manufacturing excellence.
We're looking for a hands\-on expert who can design and implement data pipelines, establish database operational standards, optimize enterprise system performance, and ensure data integrity across our manufacturing ecosystem. If you have deep expertise in PLM, MES, and ERP systems, with a strong background in database administration and data engineering, we want to hear from you.
**Responsibilities:**
***Data Integration and Pipeline Development***
* Design and implement data aggregation pipelines from CREO,TeamCenter,Solumina, SAP, and IFS into centralized data repositories.
* Establishdata integration standards, processes, and documentation for enterprise manufacturing systems.
* Develop ETL/ELT workflows to enable real\-time and batch data synchronization across platforms.
***Database Administration***
* Administer and optimized databases supporting TeamCenter,Solumina, SAP, and IFS environments.
* Manage database performance tuning, backup and recovery procedures, and disaster recovery planning.
* Monitor database health, implement security controls, and ensure high availability of manufacturing systems.
***Enterprise Manufacturing Systems Support***
* Serve as technical DBA for PLM (TeamCenter), MES (Solumina), and ERP (SAP, IFS) platforms.
* Configure and maintaindatabase connections, user access controls, and system integrations.
* Collaborate with application administrators to support system upgrades, patches, and migrations.
***Data Architecture and Governance***
* Design data models and schemas that support manufacturing analytics and business intelligence initiatives.
* Establish data quality standards, validation rules, and master data management practices.
* Implement data governance aligned with aerospace manufacturing compliance requirements (AS9100, ITAR, etc.).
***Analytics and Reporting Infrastructure***
* Build data warehouses or data lakes to enable cross\-system reporting and analytics.
* Create data marts optimized for manufacturing KPIs, production metrics, and supply chain visibility.
* Partner with business analysts and engineering teams to define reporting requirements and deliver actionable insights.
***Monitoring and Continuous Improvement***
* Implement monitoring and alerting for data pipeline health and database performance.
* Continually evaluate data infrastructure for modernization, automation, and scalability improvements.
* Document technical procedures, runbooks, and system architecture diagrams.
**General Requirements:**
* Must be a US Citizen or US Permanent Resident (ITAR requirement)
* Bachelor's Degree in Computer Science, Data Engineering, Information Systems, or related field. Four additional years of experience may be substituted for a degree.
* Minimum of 5 years of hands\-on experience in data engineering or database administration roles.
* Experience with PLM systems (TeamCenter, Windchill, or similar) and understanding of CAD data structures.
* Experience with MES platforms (Solumina,Camstar, or similar) and manufacturing execution workflows.
* Experience with ERP systems (SAP, IFS, Oracle EBS, or similar) and enterprise data models.
* Proficiency in SQL and database technologies (Oracle, SQL Server, PostgreSQL).
* Experience with ETL tools (Informatica, Talend, SSIS, or similar) or custom data pipeline development.
* Experience in scripting languages (Python, PowerShell, or similar) for data automation.
**Preferred Qualifications:**
* Experience in aerospace, defense, or highly regulated manufacturing environments.
* Knowledge of CREO Parametric and its data management integration withTeamCenter.
* Experience with cloud data platforms (AWS Redshift/Glue, Azure Synapse, Snowflake, or Databricks).
* Familiarity with data visualization tools (Tableau, Power BI, or similar).
* Understanding of manufacturing data standards (MTConnect, ISA\-95, or similar).
* Experience with Agile development methodologies and DevOps practices for data infrastructure.
* Professional certifications such as Oracle DBA, Microsoft Certified: Azure Data Engineer Associate, AWS Certified Database – Specialty, or similar.
**US EEO Statement:**
Intuitive Machines is an Equal Opportunity employer. All qualified applicants will receive consideration for employment without regard to sex, gender identity, sexual orientation, race, color, religion, national origin, disability, protected veteran status, age, or any other characteristic protected by law.</t>
        </is>
      </c>
    </row>
    <row r="156">
      <c r="A156" t="inlineStr">
        <is>
          <t>in-af7c7e6988918101</t>
        </is>
      </c>
      <c r="B156" t="inlineStr">
        <is>
          <t>Data Engineer</t>
        </is>
      </c>
      <c r="C156" t="inlineStr">
        <is>
          <t>Intuitive Machines</t>
        </is>
      </c>
      <c r="D156" t="inlineStr">
        <is>
          <t>indeed</t>
        </is>
      </c>
      <c r="E156">
        <f>HYPERLINK("https://www.indeed.com/viewjob?jk=af7c7e6988918101", "https://www.indeed.com/viewjob?jk=af7c7e6988918101")</f>
        <v/>
      </c>
      <c r="F156">
        <f>HYPERLINK("https://workforcenow.adp.com/mascsr/default/mdf/recruitment/recruitment.html?cid=b0e24f83-6e4d-492d-9d6a-bc0fea197d6a&amp;ccId=19000101_000001&amp;jobId=560007&amp;source=IN&amp;lang=en_US", "https://workforcenow.adp.com/mascsr/default/mdf/recruitment/recruitment.html?cid=b0e24f83-6e4d-492d-9d6a-bc0fea197d6a&amp;ccId=19000101_000001&amp;jobId=560007&amp;source=IN&amp;lang=en_US")</f>
        <v/>
      </c>
      <c r="G156" t="inlineStr">
        <is>
          <t>WI, US</t>
        </is>
      </c>
      <c r="H156" s="3" t="n">
        <v>46049</v>
      </c>
      <c r="I156" t="inlineStr">
        <is>
          <t>**Data Engineer**
Remote \- US
**About Intuitive Machines:**
Intuitive Machines is an innovative and cutting\-edge space company making cislunar space accessible to both public and private customers. Our mission is to further science and exploration, communications, and economic progress from the Earth to the Moon and beyond. With multiple NASA lunar missions in development and additional private missions on our manifest, we pride ourselves in supporting NASA, our customers, and the nation in paving the way to return humans to the surface of the Moon. Our world\-class team includes experts in all aspects of spacecraft subsystems design, development, and test, on\-orbit operations, and safety.
**About the Position:**
Intuitive Machines is seeking an experienced Data Engineer to lead the aggregation, integration, and administration of data across our enterprise manufacturing technology stack.This position will play a pivotal role in unifying data from our critical manufacturing systems—including CREO, TeamCenter, Solumina, SAP, and IFS—to enable analytics, reporting, and operational insights that drive spacecraft manufacturing excellence.
We're looking for a hands\-on expert who can design and implement data pipelines, establish database operational standards, optimize enterprise system performance, and ensure data integrity across our manufacturing ecosystem. If you have deep expertise in PLM, MES, and ERP systems, with a strong background in database administration and data engineering, we want to hear from you.
**Responsibilities:**
***Data Integration and Pipeline Development***
* Design and implement data aggregation pipelines from CREO,TeamCenter,Solumina, SAP, and IFS into centralized data repositories.
* Establishdata integration standards, processes, and documentation for enterprise manufacturing systems.
* Develop ETL/ELT workflows to enable real\-time and batch data synchronization across platforms.
***Database Administration***
* Administer and optimized databases supporting TeamCenter,Solumina, SAP, and IFS environments.
* Manage database performance tuning, backup and recovery procedures, and disaster recovery planning.
* Monitor database health, implement security controls, and ensure high availability of manufacturing systems.
***Enterprise Manufacturing Systems Support***
* Serve as technical DBA for PLM (TeamCenter), MES (Solumina), and ERP (SAP, IFS) platforms.
* Configure and maintaindatabase connections, user access controls, and system integrations.
* Collaborate with application administrators to support system upgrades, patches, and migrations.
***Data Architecture and Governance***
* Design data models and schemas that support manufacturing analytics and business intelligence initiatives.
* Establish data quality standards, validation rules, and master data management practices.
* Implement data governance aligned with aerospace manufacturing compliance requirements (AS9100, ITAR, etc.).
***Analytics and Reporting Infrastructure***
* Build data warehouses or data lakes to enable cross\-system reporting and analytics.
* Create data marts optimized for manufacturing KPIs, production metrics, and supply chain visibility.
* Partner with business analysts and engineering teams to define reporting requirements and deliver actionable insights.
***Monitoring and Continuous Improvement***
* Implement monitoring and alerting for data pipeline health and database performance.
* Continually evaluate data infrastructure for modernization, automation, and scalability improvements.
* Document technical procedures, runbooks, and system architecture diagrams.
**General Requirements:**
* Must be a US Citizen or US Permanent Resident (ITAR requirement)
* Bachelor's Degree in Computer Science, Data Engineering, Information Systems, or related field. Four additional years of experience may be substituted for a degree.
* Minimum of 5 years of hands\-on experience in data engineering or database administration roles.
* Experience with PLM systems (TeamCenter, Windchill, or similar) and understanding of CAD data structures.
* Experience with MES platforms (Solumina,Camstar, or similar) and manufacturing execution workflows.
* Experience with ERP systems (SAP, IFS, Oracle EBS, or similar) and enterprise data models.
* Proficiency in SQL and database technologies (Oracle, SQL Server, PostgreSQL).
* Experience with ETL tools (Informatica, Talend, SSIS, or similar) or custom data pipeline development.
* Experience in scripting languages (Python, PowerShell, or similar) for data automation.
**Preferred Qualifications:**
* Experience in aerospace, defense, or highly regulated manufacturing environments.
* Knowledge of CREO Parametric and its data management integration withTeamCenter.
* Experience with cloud data platforms (AWS Redshift/Glue, Azure Synapse, Snowflake, or Databricks).
* Familiarity with data visualization tools (Tableau, Power BI, or similar).
* Understanding of manufacturing data standards (MTConnect, ISA\-95, or similar).
* Experience with Agile development methodologies and DevOps practices for data infrastructure.
* Professional certifications such as Oracle DBA, Microsoft Certified: Azure Data Engineer Associate, AWS Certified Database – Specialty, or similar.
**US EEO Statement:**
Intuitive Machines is an Equal Opportunity employer. All qualified applicants will receive consideration for employment without regard to sex, gender identity, sexual orientation, race, color, religion, national origin, disability, protected veteran status, age, or any other characteristic protected by law.</t>
        </is>
      </c>
    </row>
    <row r="157">
      <c r="A157" t="inlineStr">
        <is>
          <t>in-3a0252fbc1f2bb49</t>
        </is>
      </c>
      <c r="B157" t="inlineStr">
        <is>
          <t>Data Engineer</t>
        </is>
      </c>
      <c r="C157" t="inlineStr">
        <is>
          <t>Intuitive Machines</t>
        </is>
      </c>
      <c r="D157" t="inlineStr">
        <is>
          <t>indeed</t>
        </is>
      </c>
      <c r="E157">
        <f>HYPERLINK("https://www.indeed.com/viewjob?jk=3a0252fbc1f2bb49", "https://www.indeed.com/viewjob?jk=3a0252fbc1f2bb49")</f>
        <v/>
      </c>
      <c r="F157">
        <f>HYPERLINK("https://workforcenow.adp.com/mascsr/default/mdf/recruitment/recruitment.html?cid=b0e24f83-6e4d-492d-9d6a-bc0fea197d6a&amp;ccId=19000101_000001&amp;jobId=560007&amp;source=IN&amp;lang=en_US", "https://workforcenow.adp.com/mascsr/default/mdf/recruitment/recruitment.html?cid=b0e24f83-6e4d-492d-9d6a-bc0fea197d6a&amp;ccId=19000101_000001&amp;jobId=560007&amp;source=IN&amp;lang=en_US")</f>
        <v/>
      </c>
      <c r="G157" t="inlineStr">
        <is>
          <t>UT, US</t>
        </is>
      </c>
      <c r="H157" s="3" t="n">
        <v>46049</v>
      </c>
      <c r="I157" t="inlineStr">
        <is>
          <t>**Data Engineer**
Remote \- US
**About Intuitive Machines:**
Intuitive Machines is an innovative and cutting\-edge space company making cislunar space accessible to both public and private customers. Our mission is to further science and exploration, communications, and economic progress from the Earth to the Moon and beyond. With multiple NASA lunar missions in development and additional private missions on our manifest, we pride ourselves in supporting NASA, our customers, and the nation in paving the way to return humans to the surface of the Moon. Our world\-class team includes experts in all aspects of spacecraft subsystems design, development, and test, on\-orbit operations, and safety.
**About the Position:**
Intuitive Machines is seeking an experienced Data Engineer to lead the aggregation, integration, and administration of data across our enterprise manufacturing technology stack.This position will play a pivotal role in unifying data from our critical manufacturing systems—including CREO, TeamCenter, Solumina, SAP, and IFS—to enable analytics, reporting, and operational insights that drive spacecraft manufacturing excellence.
We're looking for a hands\-on expert who can design and implement data pipelines, establish database operational standards, optimize enterprise system performance, and ensure data integrity across our manufacturing ecosystem. If you have deep expertise in PLM, MES, and ERP systems, with a strong background in database administration and data engineering, we want to hear from you.
**Responsibilities:**
***Data Integration and Pipeline Development***
* Design and implement data aggregation pipelines from CREO,TeamCenter,Solumina, SAP, and IFS into centralized data repositories.
* Establishdata integration standards, processes, and documentation for enterprise manufacturing systems.
* Develop ETL/ELT workflows to enable real\-time and batch data synchronization across platforms.
***Database Administration***
* Administer and optimized databases supporting TeamCenter,Solumina, SAP, and IFS environments.
* Manage database performance tuning, backup and recovery procedures, and disaster recovery planning.
* Monitor database health, implement security controls, and ensure high availability of manufacturing systems.
***Enterprise Manufacturing Systems Support***
* Serve as technical DBA for PLM (TeamCenter), MES (Solumina), and ERP (SAP, IFS) platforms.
* Configure and maintaindatabase connections, user access controls, and system integrations.
* Collaborate with application administrators to support system upgrades, patches, and migrations.
***Data Architecture and Governance***
* Design data models and schemas that support manufacturing analytics and business intelligence initiatives.
* Establish data quality standards, validation rules, and master data management practices.
* Implement data governance aligned with aerospace manufacturing compliance requirements (AS9100, ITAR, etc.).
***Analytics and Reporting Infrastructure***
* Build data warehouses or data lakes to enable cross\-system reporting and analytics.
* Create data marts optimized for manufacturing KPIs, production metrics, and supply chain visibility.
* Partner with business analysts and engineering teams to define reporting requirements and deliver actionable insights.
***Monitoring and Continuous Improvement***
* Implement monitoring and alerting for data pipeline health and database performance.
* Continually evaluate data infrastructure for modernization, automation, and scalability improvements.
* Document technical procedures, runbooks, and system architecture diagrams.
**General Requirements:**
* Must be a US Citizen or US Permanent Resident (ITAR requirement)
* Bachelor's Degree in Computer Science, Data Engineering, Information Systems, or related field. Four additional years of experience may be substituted for a degree.
* Minimum of 5 years of hands\-on experience in data engineering or database administration roles.
* Experience with PLM systems (TeamCenter, Windchill, or similar) and understanding of CAD data structures.
* Experience with MES platforms (Solumina,Camstar, or similar) and manufacturing execution workflows.
* Experience with ERP systems (SAP, IFS, Oracle EBS, or similar) and enterprise data models.
* Proficiency in SQL and database technologies (Oracle, SQL Server, PostgreSQL).
* Experience with ETL tools (Informatica, Talend, SSIS, or similar) or custom data pipeline development.
* Experience in scripting languages (Python, PowerShell, or similar) for data automation.
**Preferred Qualifications:**
* Experience in aerospace, defense, or highly regulated manufacturing environments.
* Knowledge of CREO Parametric and its data management integration withTeamCenter.
* Experience with cloud data platforms (AWS Redshift/Glue, Azure Synapse, Snowflake, or Databricks).
* Familiarity with data visualization tools (Tableau, Power BI, or similar).
* Understanding of manufacturing data standards (MTConnect, ISA\-95, or similar).
* Experience with Agile development methodologies and DevOps practices for data infrastructure.
* Professional certifications such as Oracle DBA, Microsoft Certified: Azure Data Engineer Associate, AWS Certified Database – Specialty, or similar.
**US EEO Statement:**
Intuitive Machines is an Equal Opportunity employer. All qualified applicants will receive consideration for employment without regard to sex, gender identity, sexual orientation, race, color, religion, national origin, disability, protected veteran status, age, or any other characteristic protected by law.</t>
        </is>
      </c>
    </row>
    <row r="158">
      <c r="A158" t="inlineStr">
        <is>
          <t>in-7afb5360303500d9</t>
        </is>
      </c>
      <c r="B158" t="inlineStr">
        <is>
          <t>Data Engineer</t>
        </is>
      </c>
      <c r="C158" t="inlineStr">
        <is>
          <t>Intuitive Machines</t>
        </is>
      </c>
      <c r="D158" t="inlineStr">
        <is>
          <t>indeed</t>
        </is>
      </c>
      <c r="E158">
        <f>HYPERLINK("https://www.indeed.com/viewjob?jk=7afb5360303500d9", "https://www.indeed.com/viewjob?jk=7afb5360303500d9")</f>
        <v/>
      </c>
      <c r="F158">
        <f>HYPERLINK("https://workforcenow.adp.com/mascsr/default/mdf/recruitment/recruitment.html?cid=b0e24f83-6e4d-492d-9d6a-bc0fea197d6a&amp;ccId=19000101_000001&amp;jobId=560007&amp;source=IN&amp;lang=en_US", "https://workforcenow.adp.com/mascsr/default/mdf/recruitment/recruitment.html?cid=b0e24f83-6e4d-492d-9d6a-bc0fea197d6a&amp;ccId=19000101_000001&amp;jobId=560007&amp;source=IN&amp;lang=en_US")</f>
        <v/>
      </c>
      <c r="G158" t="inlineStr">
        <is>
          <t>TN, US</t>
        </is>
      </c>
      <c r="H158" s="3" t="n">
        <v>46049</v>
      </c>
      <c r="I158" t="inlineStr">
        <is>
          <t>**Data Engineer**
Remote \- US
**About Intuitive Machines:**
Intuitive Machines is an innovative and cutting\-edge space company making cislunar space accessible to both public and private customers. Our mission is to further science and exploration, communications, and economic progress from the Earth to the Moon and beyond. With multiple NASA lunar missions in development and additional private missions on our manifest, we pride ourselves in supporting NASA, our customers, and the nation in paving the way to return humans to the surface of the Moon. Our world\-class team includes experts in all aspects of spacecraft subsystems design, development, and test, on\-orbit operations, and safety.
**About the Position:**
Intuitive Machines is seeking an experienced Data Engineer to lead the aggregation, integration, and administration of data across our enterprise manufacturing technology stack.This position will play a pivotal role in unifying data from our critical manufacturing systems—including CREO, TeamCenter, Solumina, SAP, and IFS—to enable analytics, reporting, and operational insights that drive spacecraft manufacturing excellence.
We're looking for a hands\-on expert who can design and implement data pipelines, establish database operational standards, optimize enterprise system performance, and ensure data integrity across our manufacturing ecosystem. If you have deep expertise in PLM, MES, and ERP systems, with a strong background in database administration and data engineering, we want to hear from you.
**Responsibilities:**
***Data Integration and Pipeline Development***
* Design and implement data aggregation pipelines from CREO,TeamCenter,Solumina, SAP, and IFS into centralized data repositories.
* Establishdata integration standards, processes, and documentation for enterprise manufacturing systems.
* Develop ETL/ELT workflows to enable real\-time and batch data synchronization across platforms.
***Database Administration***
* Administer and optimized databases supporting TeamCenter,Solumina, SAP, and IFS environments.
* Manage database performance tuning, backup and recovery procedures, and disaster recovery planning.
* Monitor database health, implement security controls, and ensure high availability of manufacturing systems.
***Enterprise Manufacturing Systems Support***
* Serve as technical DBA for PLM (TeamCenter), MES (Solumina), and ERP (SAP, IFS) platforms.
* Configure and maintaindatabase connections, user access controls, and system integrations.
* Collaborate with application administrators to support system upgrades, patches, and migrations.
***Data Architecture and Governance***
* Design data models and schemas that support manufacturing analytics and business intelligence initiatives.
* Establish data quality standards, validation rules, and master data management practices.
* Implement data governance aligned with aerospace manufacturing compliance requirements (AS9100, ITAR, etc.).
***Analytics and Reporting Infrastructure***
* Build data warehouses or data lakes to enable cross\-system reporting and analytics.
* Create data marts optimized for manufacturing KPIs, production metrics, and supply chain visibility.
* Partner with business analysts and engineering teams to define reporting requirements and deliver actionable insights.
***Monitoring and Continuous Improvement***
* Implement monitoring and alerting for data pipeline health and database performance.
* Continually evaluate data infrastructure for modernization, automation, and scalability improvements.
* Document technical procedures, runbooks, and system architecture diagrams.
**General Requirements:**
* Must be a US Citizen or US Permanent Resident (ITAR requirement)
* Bachelor's Degree in Computer Science, Data Engineering, Information Systems, or related field. Four additional years of experience may be substituted for a degree.
* Minimum of 5 years of hands\-on experience in data engineering or database administration roles.
* Experience with PLM systems (TeamCenter, Windchill, or similar) and understanding of CAD data structures.
* Experience with MES platforms (Solumina,Camstar, or similar) and manufacturing execution workflows.
* Experience with ERP systems (SAP, IFS, Oracle EBS, or similar) and enterprise data models.
* Proficiency in SQL and database technologies (Oracle, SQL Server, PostgreSQL).
* Experience with ETL tools (Informatica, Talend, SSIS, or similar) or custom data pipeline development.
* Experience in scripting languages (Python, PowerShell, or similar) for data automation.
**Preferred Qualifications:**
* Experience in aerospace, defense, or highly regulated manufacturing environments.
* Knowledge of CREO Parametric and its data management integration withTeamCenter.
* Experience with cloud data platforms (AWS Redshift/Glue, Azure Synapse, Snowflake, or Databricks).
* Familiarity with data visualization tools (Tableau, Power BI, or similar).
* Understanding of manufacturing data standards (MTConnect, ISA\-95, or similar).
* Experience with Agile development methodologies and DevOps practices for data infrastructure.
* Professional certifications such as Oracle DBA, Microsoft Certified: Azure Data Engineer Associate, AWS Certified Database – Specialty, or similar.
**US EEO Statement:**
Intuitive Machines is an Equal Opportunity employer. All qualified applicants will receive consideration for employment without regard to sex, gender identity, sexual orientation, race, color, religion, national origin, disability, protected veteran status, age, or any other characteristic protected by law.</t>
        </is>
      </c>
    </row>
    <row r="159">
      <c r="A159" t="inlineStr">
        <is>
          <t>in-b7513f7df98886a6</t>
        </is>
      </c>
      <c r="B159" t="inlineStr">
        <is>
          <t>Data Engineer</t>
        </is>
      </c>
      <c r="C159" t="inlineStr">
        <is>
          <t>Intuitive Machines</t>
        </is>
      </c>
      <c r="D159" t="inlineStr">
        <is>
          <t>indeed</t>
        </is>
      </c>
      <c r="E159">
        <f>HYPERLINK("https://www.indeed.com/viewjob?jk=b7513f7df98886a6", "https://www.indeed.com/viewjob?jk=b7513f7df98886a6")</f>
        <v/>
      </c>
      <c r="F159">
        <f>HYPERLINK("https://workforcenow.adp.com/mascsr/default/mdf/recruitment/recruitment.html?cid=b0e24f83-6e4d-492d-9d6a-bc0fea197d6a&amp;ccId=19000101_000001&amp;jobId=560007&amp;source=IN&amp;lang=en_US", "https://workforcenow.adp.com/mascsr/default/mdf/recruitment/recruitment.html?cid=b0e24f83-6e4d-492d-9d6a-bc0fea197d6a&amp;ccId=19000101_000001&amp;jobId=560007&amp;source=IN&amp;lang=en_US")</f>
        <v/>
      </c>
      <c r="G159" t="inlineStr">
        <is>
          <t>CA, US</t>
        </is>
      </c>
      <c r="H159" s="3" t="n">
        <v>46049</v>
      </c>
      <c r="I159" t="inlineStr">
        <is>
          <t>**Data Engineer**
Remote \- US
**About Intuitive Machines:**
Intuitive Machines is an innovative and cutting\-edge space company making cislunar space accessible to both public and private customers. Our mission is to further science and exploration, communications, and economic progress from the Earth to the Moon and beyond. With multiple NASA lunar missions in development and additional private missions on our manifest, we pride ourselves in supporting NASA, our customers, and the nation in paving the way to return humans to the surface of the Moon. Our world\-class team includes experts in all aspects of spacecraft subsystems design, development, and test, on\-orbit operations, and safety.
**About the Position:**
Intuitive Machines is seeking an experienced Data Engineer to lead the aggregation, integration, and administration of data across our enterprise manufacturing technology stack.This position will play a pivotal role in unifying data from our critical manufacturing systems—including CREO, TeamCenter, Solumina, SAP, and IFS—to enable analytics, reporting, and operational insights that drive spacecraft manufacturing excellence.
We're looking for a hands\-on expert who can design and implement data pipelines, establish database operational standards, optimize enterprise system performance, and ensure data integrity across our manufacturing ecosystem. If you have deep expertise in PLM, MES, and ERP systems, with a strong background in database administration and data engineering, we want to hear from you.
**Responsibilities:**
***Data Integration and Pipeline Development***
* Design and implement data aggregation pipelines from CREO,TeamCenter,Solumina, SAP, and IFS into centralized data repositories.
* Establishdata integration standards, processes, and documentation for enterprise manufacturing systems.
* Develop ETL/ELT workflows to enable real\-time and batch data synchronization across platforms.
***Database Administration***
* Administer and optimized databases supporting TeamCenter,Solumina, SAP, and IFS environments.
* Manage database performance tuning, backup and recovery procedures, and disaster recovery planning.
* Monitor database health, implement security controls, and ensure high availability of manufacturing systems.
***Enterprise Manufacturing Systems Support***
* Serve as technical DBA for PLM (TeamCenter), MES (Solumina), and ERP (SAP, IFS) platforms.
* Configure and maintaindatabase connections, user access controls, and system integrations.
* Collaborate with application administrators to support system upgrades, patches, and migrations.
***Data Architecture and Governance***
* Design data models and schemas that support manufacturing analytics and business intelligence initiatives.
* Establish data quality standards, validation rules, and master data management practices.
* Implement data governance aligned with aerospace manufacturing compliance requirements (AS9100, ITAR, etc.).
***Analytics and Reporting Infrastructure***
* Build data warehouses or data lakes to enable cross\-system reporting and analytics.
* Create data marts optimized for manufacturing KPIs, production metrics, and supply chain visibility.
* Partner with business analysts and engineering teams to define reporting requirements and deliver actionable insights.
***Monitoring and Continuous Improvement***
* Implement monitoring and alerting for data pipeline health and database performance.
* Continually evaluate data infrastructure for modernization, automation, and scalability improvements.
* Document technical procedures, runbooks, and system architecture diagrams.
**General Requirements:**
* Must be a US Citizen or US Permanent Resident (ITAR requirement)
* Bachelor's Degree in Computer Science, Data Engineering, Information Systems, or related field. Four additional years of experience may be substituted for a degree.
* Minimum of 5 years of hands\-on experience in data engineering or database administration roles.
* Experience with PLM systems (TeamCenter, Windchill, or similar) and understanding of CAD data structures.
* Experience with MES platforms (Solumina,Camstar, or similar) and manufacturing execution workflows.
* Experience with ERP systems (SAP, IFS, Oracle EBS, or similar) and enterprise data models.
* Proficiency in SQL and database technologies (Oracle, SQL Server, PostgreSQL).
* Experience with ETL tools (Informatica, Talend, SSIS, or similar) or custom data pipeline development.
* Experience in scripting languages (Python, PowerShell, or similar) for data automation.
**Preferred Qualifications:**
* Experience in aerospace, defense, or highly regulated manufacturing environments.
* Knowledge of CREO Parametric and its data management integration withTeamCenter.
* Experience with cloud data platforms (AWS Redshift/Glue, Azure Synapse, Snowflake, or Databricks).
* Familiarity with data visualization tools (Tableau, Power BI, or similar).
* Understanding of manufacturing data standards (MTConnect, ISA\-95, or similar).
* Experience with Agile development methodologies and DevOps practices for data infrastructure.
* Professional certifications such as Oracle DBA, Microsoft Certified: Azure Data Engineer Associate, AWS Certified Database – Specialty, or similar.
**US EEO Statement:**
Intuitive Machines is an Equal Opportunity employer. All qualified applicants will receive consideration for employment without regard to sex, gender identity, sexual orientation, race, color, religion, national origin, disability, protected veteran status, age, or any other characteristic protected by law.</t>
        </is>
      </c>
    </row>
    <row r="160">
      <c r="A160" t="inlineStr">
        <is>
          <t>in-f50dbbc8007b100b</t>
        </is>
      </c>
      <c r="B160" t="inlineStr">
        <is>
          <t>Data Engineer</t>
        </is>
      </c>
      <c r="C160" t="inlineStr">
        <is>
          <t>Intuitive Machines</t>
        </is>
      </c>
      <c r="D160" t="inlineStr">
        <is>
          <t>indeed</t>
        </is>
      </c>
      <c r="E160">
        <f>HYPERLINK("https://www.indeed.com/viewjob?jk=f50dbbc8007b100b", "https://www.indeed.com/viewjob?jk=f50dbbc8007b100b")</f>
        <v/>
      </c>
      <c r="F160">
        <f>HYPERLINK("https://workforcenow.adp.com/mascsr/default/mdf/recruitment/recruitment.html?cid=b0e24f83-6e4d-492d-9d6a-bc0fea197d6a&amp;ccId=19000101_000001&amp;jobId=560007&amp;source=IN&amp;lang=en_US", "https://workforcenow.adp.com/mascsr/default/mdf/recruitment/recruitment.html?cid=b0e24f83-6e4d-492d-9d6a-bc0fea197d6a&amp;ccId=19000101_000001&amp;jobId=560007&amp;source=IN&amp;lang=en_US")</f>
        <v/>
      </c>
      <c r="G160" t="inlineStr">
        <is>
          <t>MI, US</t>
        </is>
      </c>
      <c r="H160" s="3" t="n">
        <v>46049</v>
      </c>
      <c r="I160" t="inlineStr">
        <is>
          <t>**Data Engineer**
Remote \- US
**About Intuitive Machines:**
Intuitive Machines is an innovative and cutting\-edge space company making cislunar space accessible to both public and private customers. Our mission is to further science and exploration, communications, and economic progress from the Earth to the Moon and beyond. With multiple NASA lunar missions in development and additional private missions on our manifest, we pride ourselves in supporting NASA, our customers, and the nation in paving the way to return humans to the surface of the Moon. Our world\-class team includes experts in all aspects of spacecraft subsystems design, development, and test, on\-orbit operations, and safety.
**About the Position:**
Intuitive Machines is seeking an experienced Data Engineer to lead the aggregation, integration, and administration of data across our enterprise manufacturing technology stack.This position will play a pivotal role in unifying data from our critical manufacturing systems—including CREO, TeamCenter, Solumina, SAP, and IFS—to enable analytics, reporting, and operational insights that drive spacecraft manufacturing excellence.
We're looking for a hands\-on expert who can design and implement data pipelines, establish database operational standards, optimize enterprise system performance, and ensure data integrity across our manufacturing ecosystem. If you have deep expertise in PLM, MES, and ERP systems, with a strong background in database administration and data engineering, we want to hear from you.
**Responsibilities:**
***Data Integration and Pipeline Development***
* Design and implement data aggregation pipelines from CREO,TeamCenter,Solumina, SAP, and IFS into centralized data repositories.
* Establishdata integration standards, processes, and documentation for enterprise manufacturing systems.
* Develop ETL/ELT workflows to enable real\-time and batch data synchronization across platforms.
***Database Administration***
* Administer and optimized databases supporting TeamCenter,Solumina, SAP, and IFS environments.
* Manage database performance tuning, backup and recovery procedures, and disaster recovery planning.
* Monitor database health, implement security controls, and ensure high availability of manufacturing systems.
***Enterprise Manufacturing Systems Support***
* Serve as technical DBA for PLM (TeamCenter), MES (Solumina), and ERP (SAP, IFS) platforms.
* Configure and maintaindatabase connections, user access controls, and system integrations.
* Collaborate with application administrators to support system upgrades, patches, and migrations.
***Data Architecture and Governance***
* Design data models and schemas that support manufacturing analytics and business intelligence initiatives.
* Establish data quality standards, validation rules, and master data management practices.
* Implement data governance aligned with aerospace manufacturing compliance requirements (AS9100, ITAR, etc.).
***Analytics and Reporting Infrastructure***
* Build data warehouses or data lakes to enable cross\-system reporting and analytics.
* Create data marts optimized for manufacturing KPIs, production metrics, and supply chain visibility.
* Partner with business analysts and engineering teams to define reporting requirements and deliver actionable insights.
***Monitoring and Continuous Improvement***
* Implement monitoring and alerting for data pipeline health and database performance.
* Continually evaluate data infrastructure for modernization, automation, and scalability improvements.
* Document technical procedures, runbooks, and system architecture diagrams.
**General Requirements:**
* Must be a US Citizen or US Permanent Resident (ITAR requirement)
* Bachelor's Degree in Computer Science, Data Engineering, Information Systems, or related field. Four additional years of experience may be substituted for a degree.
* Minimum of 5 years of hands\-on experience in data engineering or database administration roles.
* Experience with PLM systems (TeamCenter, Windchill, or similar) and understanding of CAD data structures.
* Experience with MES platforms (Solumina,Camstar, or similar) and manufacturing execution workflows.
* Experience with ERP systems (SAP, IFS, Oracle EBS, or similar) and enterprise data models.
* Proficiency in SQL and database technologies (Oracle, SQL Server, PostgreSQL).
* Experience with ETL tools (Informatica, Talend, SSIS, or similar) or custom data pipeline development.
* Experience in scripting languages (Python, PowerShell, or similar) for data automation.
**Preferred Qualifications:**
* Experience in aerospace, defense, or highly regulated manufacturing environments.
* Knowledge of CREO Parametric and its data management integration withTeamCenter.
* Experience with cloud data platforms (AWS Redshift/Glue, Azure Synapse, Snowflake, or Databricks).
* Familiarity with data visualization tools (Tableau, Power BI, or similar).
* Understanding of manufacturing data standards (MTConnect, ISA\-95, or similar).
* Experience with Agile development methodologies and DevOps practices for data infrastructure.
* Professional certifications such as Oracle DBA, Microsoft Certified: Azure Data Engineer Associate, AWS Certified Database – Specialty, or similar.
**US EEO Statement:**
Intuitive Machines is an Equal Opportunity employer. All qualified applicants will receive consideration for employment without regard to sex, gender identity, sexual orientation, race, color, religion, national origin, disability, protected veteran status, age, or any other characteristic protected by law.</t>
        </is>
      </c>
    </row>
    <row r="161">
      <c r="A161" t="inlineStr">
        <is>
          <t>in-80484b9889734797</t>
        </is>
      </c>
      <c r="B161" t="inlineStr">
        <is>
          <t>Data Engineer</t>
        </is>
      </c>
      <c r="C161" t="inlineStr">
        <is>
          <t>Intuitive Machines</t>
        </is>
      </c>
      <c r="D161" t="inlineStr">
        <is>
          <t>indeed</t>
        </is>
      </c>
      <c r="E161">
        <f>HYPERLINK("https://www.indeed.com/viewjob?jk=80484b9889734797", "https://www.indeed.com/viewjob?jk=80484b9889734797")</f>
        <v/>
      </c>
      <c r="F161">
        <f>HYPERLINK("https://workforcenow.adp.com/mascsr/default/mdf/recruitment/recruitment.html?cid=b0e24f83-6e4d-492d-9d6a-bc0fea197d6a&amp;ccId=19000101_000001&amp;jobId=560007&amp;source=IN&amp;lang=en_US", "https://workforcenow.adp.com/mascsr/default/mdf/recruitment/recruitment.html?cid=b0e24f83-6e4d-492d-9d6a-bc0fea197d6a&amp;ccId=19000101_000001&amp;jobId=560007&amp;source=IN&amp;lang=en_US")</f>
        <v/>
      </c>
      <c r="G161" t="inlineStr">
        <is>
          <t>NJ, US</t>
        </is>
      </c>
      <c r="H161" s="3" t="n">
        <v>46049</v>
      </c>
      <c r="I161" t="inlineStr">
        <is>
          <t>**Data Engineer**
Remote \- US
**About Intuitive Machines:**
Intuitive Machines is an innovative and cutting\-edge space company making cislunar space accessible to both public and private customers. Our mission is to further science and exploration, communications, and economic progress from the Earth to the Moon and beyond. With multiple NASA lunar missions in development and additional private missions on our manifest, we pride ourselves in supporting NASA, our customers, and the nation in paving the way to return humans to the surface of the Moon. Our world\-class team includes experts in all aspects of spacecraft subsystems design, development, and test, on\-orbit operations, and safety.
**About the Position:**
Intuitive Machines is seeking an experienced Data Engineer to lead the aggregation, integration, and administration of data across our enterprise manufacturing technology stack.This position will play a pivotal role in unifying data from our critical manufacturing systems—including CREO, TeamCenter, Solumina, SAP, and IFS—to enable analytics, reporting, and operational insights that drive spacecraft manufacturing excellence.
We're looking for a hands\-on expert who can design and implement data pipelines, establish database operational standards, optimize enterprise system performance, and ensure data integrity across our manufacturing ecosystem. If you have deep expertise in PLM, MES, and ERP systems, with a strong background in database administration and data engineering, we want to hear from you.
**Responsibilities:**
***Data Integration and Pipeline Development***
* Design and implement data aggregation pipelines from CREO,TeamCenter,Solumina, SAP, and IFS into centralized data repositories.
* Establishdata integration standards, processes, and documentation for enterprise manufacturing systems.
* Develop ETL/ELT workflows to enable real\-time and batch data synchronization across platforms.
***Database Administration***
* Administer and optimized databases supporting TeamCenter,Solumina, SAP, and IFS environments.
* Manage database performance tuning, backup and recovery procedures, and disaster recovery planning.
* Monitor database health, implement security controls, and ensure high availability of manufacturing systems.
***Enterprise Manufacturing Systems Support***
* Serve as technical DBA for PLM (TeamCenter), MES (Solumina), and ERP (SAP, IFS) platforms.
* Configure and maintaindatabase connections, user access controls, and system integrations.
* Collaborate with application administrators to support system upgrades, patches, and migrations.
***Data Architecture and Governance***
* Design data models and schemas that support manufacturing analytics and business intelligence initiatives.
* Establish data quality standards, validation rules, and master data management practices.
* Implement data governance aligned with aerospace manufacturing compliance requirements (AS9100, ITAR, etc.).
***Analytics and Reporting Infrastructure***
* Build data warehouses or data lakes to enable cross\-system reporting and analytics.
* Create data marts optimized for manufacturing KPIs, production metrics, and supply chain visibility.
* Partner with business analysts and engineering teams to define reporting requirements and deliver actionable insights.
***Monitoring and Continuous Improvement***
* Implement monitoring and alerting for data pipeline health and database performance.
* Continually evaluate data infrastructure for modernization, automation, and scalability improvements.
* Document technical procedures, runbooks, and system architecture diagrams.
**General Requirements:**
* Must be a US Citizen or US Permanent Resident (ITAR requirement)
* Bachelor's Degree in Computer Science, Data Engineering, Information Systems, or related field. Four additional years of experience may be substituted for a degree.
* Minimum of 5 years of hands\-on experience in data engineering or database administration roles.
* Experience with PLM systems (TeamCenter, Windchill, or similar) and understanding of CAD data structures.
* Experience with MES platforms (Solumina,Camstar, or similar) and manufacturing execution workflows.
* Experience with ERP systems (SAP, IFS, Oracle EBS, or similar) and enterprise data models.
* Proficiency in SQL and database technologies (Oracle, SQL Server, PostgreSQL).
* Experience with ETL tools (Informatica, Talend, SSIS, or similar) or custom data pipeline development.
* Experience in scripting languages (Python, PowerShell, or similar) for data automation.
**Preferred Qualifications:**
* Experience in aerospace, defense, or highly regulated manufacturing environments.
* Knowledge of CREO Parametric and its data management integration withTeamCenter.
* Experience with cloud data platforms (AWS Redshift/Glue, Azure Synapse, Snowflake, or Databricks).
* Familiarity with data visualization tools (Tableau, Power BI, or similar).
* Understanding of manufacturing data standards (MTConnect, ISA\-95, or similar).
* Experience with Agile development methodologies and DevOps practices for data infrastructure.
* Professional certifications such as Oracle DBA, Microsoft Certified: Azure Data Engineer Associate, AWS Certified Database – Specialty, or similar.
**US EEO Statement:**
Intuitive Machines is an Equal Opportunity employer. All qualified applicants will receive consideration for employment without regard to sex, gender identity, sexual orientation, race, color, religion, national origin, disability, protected veteran status, age, or any other characteristic protected by law.</t>
        </is>
      </c>
    </row>
    <row r="162">
      <c r="A162" t="inlineStr">
        <is>
          <t>in-f43ccaccc2171799</t>
        </is>
      </c>
      <c r="B162" t="inlineStr">
        <is>
          <t>Data Engineer</t>
        </is>
      </c>
      <c r="C162" t="inlineStr">
        <is>
          <t>Intuitive Machines</t>
        </is>
      </c>
      <c r="D162" t="inlineStr">
        <is>
          <t>indeed</t>
        </is>
      </c>
      <c r="E162">
        <f>HYPERLINK("https://www.indeed.com/viewjob?jk=f43ccaccc2171799", "https://www.indeed.com/viewjob?jk=f43ccaccc2171799")</f>
        <v/>
      </c>
      <c r="F162">
        <f>HYPERLINK("https://workforcenow.adp.com/mascsr/default/mdf/recruitment/recruitment.html?cid=b0e24f83-6e4d-492d-9d6a-bc0fea197d6a&amp;ccId=19000101_000001&amp;jobId=560007&amp;source=IN&amp;lang=en_US", "https://workforcenow.adp.com/mascsr/default/mdf/recruitment/recruitment.html?cid=b0e24f83-6e4d-492d-9d6a-bc0fea197d6a&amp;ccId=19000101_000001&amp;jobId=560007&amp;source=IN&amp;lang=en_US")</f>
        <v/>
      </c>
      <c r="G162" t="inlineStr">
        <is>
          <t>CO, US</t>
        </is>
      </c>
      <c r="H162" s="3" t="n">
        <v>46049</v>
      </c>
      <c r="I162" t="inlineStr">
        <is>
          <t>**Data Engineer**
Remote \- US
**About Intuitive Machines:**
Intuitive Machines is an innovative and cutting\-edge space company making cislunar space accessible to both public and private customers. Our mission is to further science and exploration, communications, and economic progress from the Earth to the Moon and beyond. With multiple NASA lunar missions in development and additional private missions on our manifest, we pride ourselves in supporting NASA, our customers, and the nation in paving the way to return humans to the surface of the Moon. Our world\-class team includes experts in all aspects of spacecraft subsystems design, development, and test, on\-orbit operations, and safety.
**About the Position:**
Intuitive Machines is seeking an experienced Data Engineer to lead the aggregation, integration, and administration of data across our enterprise manufacturing technology stack.This position will play a pivotal role in unifying data from our critical manufacturing systems—including CREO, TeamCenter, Solumina, SAP, and IFS—to enable analytics, reporting, and operational insights that drive spacecraft manufacturing excellence.
We're looking for a hands\-on expert who can design and implement data pipelines, establish database operational standards, optimize enterprise system performance, and ensure data integrity across our manufacturing ecosystem. If you have deep expertise in PLM, MES, and ERP systems, with a strong background in database administration and data engineering, we want to hear from you.
**Responsibilities:**
***Data Integration and Pipeline Development***
* Design and implement data aggregation pipelines from CREO,TeamCenter,Solumina, SAP, and IFS into centralized data repositories.
* Establishdata integration standards, processes, and documentation for enterprise manufacturing systems.
* Develop ETL/ELT workflows to enable real\-time and batch data synchronization across platforms.
***Database Administration***
* Administer and optimized databases supporting TeamCenter,Solumina, SAP, and IFS environments.
* Manage database performance tuning, backup and recovery procedures, and disaster recovery planning.
* Monitor database health, implement security controls, and ensure high availability of manufacturing systems.
***Enterprise Manufacturing Systems Support***
* Serve as technical DBA for PLM (TeamCenter), MES (Solumina), and ERP (SAP, IFS) platforms.
* Configure and maintaindatabase connections, user access controls, and system integrations.
* Collaborate with application administrators to support system upgrades, patches, and migrations.
***Data Architecture and Governance***
* Design data models and schemas that support manufacturing analytics and business intelligence initiatives.
* Establish data quality standards, validation rules, and master data management practices.
* Implement data governance aligned with aerospace manufacturing compliance requirements (AS9100, ITAR, etc.).
***Analytics and Reporting Infrastructure***
* Build data warehouses or data lakes to enable cross\-system reporting and analytics.
* Create data marts optimized for manufacturing KPIs, production metrics, and supply chain visibility.
* Partner with business analysts and engineering teams to define reporting requirements and deliver actionable insights.
***Monitoring and Continuous Improvement***
* Implement monitoring and alerting for data pipeline health and database performance.
* Continually evaluate data infrastructure for modernization, automation, and scalability improvements.
* Document technical procedures, runbooks, and system architecture diagrams.
**General Requirements:**
* Must be a US Citizen or US Permanent Resident (ITAR requirement)
* Bachelor's Degree in Computer Science, Data Engineering, Information Systems, or related field. Four additional years of experience may be substituted for a degree.
* Minimum of 5 years of hands\-on experience in data engineering or database administration roles.
* Experience with PLM systems (TeamCenter, Windchill, or similar) and understanding of CAD data structures.
* Experience with MES platforms (Solumina,Camstar, or similar) and manufacturing execution workflows.
* Experience with ERP systems (SAP, IFS, Oracle EBS, or similar) and enterprise data models.
* Proficiency in SQL and database technologies (Oracle, SQL Server, PostgreSQL).
* Experience with ETL tools (Informatica, Talend, SSIS, or similar) or custom data pipeline development.
* Experience in scripting languages (Python, PowerShell, or similar) for data automation.
**Preferred Qualifications:**
* Experience in aerospace, defense, or highly regulated manufacturing environments.
* Knowledge of CREO Parametric and its data management integration withTeamCenter.
* Experience with cloud data platforms (AWS Redshift/Glue, Azure Synapse, Snowflake, or Databricks).
* Familiarity with data visualization tools (Tableau, Power BI, or similar).
* Understanding of manufacturing data standards (MTConnect, ISA\-95, or similar).
* Experience with Agile development methodologies and DevOps practices for data infrastructure.
* Professional certifications such as Oracle DBA, Microsoft Certified: Azure Data Engineer Associate, AWS Certified Database – Specialty, or similar.
**US EEO Statement:**
Intuitive Machines is an Equal Opportunity employer. All qualified applicants will receive consideration for employment without regard to sex, gender identity, sexual orientation, race, color, religion, national origin, disability, protected veteran status, age, or any other characteristic protected by law.</t>
        </is>
      </c>
    </row>
    <row r="163">
      <c r="A163" t="inlineStr">
        <is>
          <t>in-2495701e101b718e</t>
        </is>
      </c>
      <c r="B163" t="inlineStr">
        <is>
          <t>Data Engineer</t>
        </is>
      </c>
      <c r="C163" t="inlineStr">
        <is>
          <t>Intuitive Machines</t>
        </is>
      </c>
      <c r="D163" t="inlineStr">
        <is>
          <t>indeed</t>
        </is>
      </c>
      <c r="E163">
        <f>HYPERLINK("https://www.indeed.com/viewjob?jk=2495701e101b718e", "https://www.indeed.com/viewjob?jk=2495701e101b718e")</f>
        <v/>
      </c>
      <c r="F163">
        <f>HYPERLINK("https://workforcenow.adp.com/mascsr/default/mdf/recruitment/recruitment.html?cid=b0e24f83-6e4d-492d-9d6a-bc0fea197d6a&amp;ccId=19000101_000001&amp;jobId=560007&amp;source=IN&amp;lang=en_US", "https://workforcenow.adp.com/mascsr/default/mdf/recruitment/recruitment.html?cid=b0e24f83-6e4d-492d-9d6a-bc0fea197d6a&amp;ccId=19000101_000001&amp;jobId=560007&amp;source=IN&amp;lang=en_US")</f>
        <v/>
      </c>
      <c r="G163" t="inlineStr">
        <is>
          <t>OH, US</t>
        </is>
      </c>
      <c r="H163" s="3" t="n">
        <v>46049</v>
      </c>
      <c r="I163" t="inlineStr">
        <is>
          <t>**Data Engineer**
Remote \- US
**About Intuitive Machines:**
Intuitive Machines is an innovative and cutting\-edge space company making cislunar space accessible to both public and private customers. Our mission is to further science and exploration, communications, and economic progress from the Earth to the Moon and beyond. With multiple NASA lunar missions in development and additional private missions on our manifest, we pride ourselves in supporting NASA, our customers, and the nation in paving the way to return humans to the surface of the Moon. Our world\-class team includes experts in all aspects of spacecraft subsystems design, development, and test, on\-orbit operations, and safety.
**About the Position:**
Intuitive Machines is seeking an experienced Data Engineer to lead the aggregation, integration, and administration of data across our enterprise manufacturing technology stack.This position will play a pivotal role in unifying data from our critical manufacturing systems—including CREO, TeamCenter, Solumina, SAP, and IFS—to enable analytics, reporting, and operational insights that drive spacecraft manufacturing excellence.
We're looking for a hands\-on expert who can design and implement data pipelines, establish database operational standards, optimize enterprise system performance, and ensure data integrity across our manufacturing ecosystem. If you have deep expertise in PLM, MES, and ERP systems, with a strong background in database administration and data engineering, we want to hear from you.
**Responsibilities:**
***Data Integration and Pipeline Development***
* Design and implement data aggregation pipelines from CREO,TeamCenter,Solumina, SAP, and IFS into centralized data repositories.
* Establishdata integration standards, processes, and documentation for enterprise manufacturing systems.
* Develop ETL/ELT workflows to enable real\-time and batch data synchronization across platforms.
***Database Administration***
* Administer and optimized databases supporting TeamCenter,Solumina, SAP, and IFS environments.
* Manage database performance tuning, backup and recovery procedures, and disaster recovery planning.
* Monitor database health, implement security controls, and ensure high availability of manufacturing systems.
***Enterprise Manufacturing Systems Support***
* Serve as technical DBA for PLM (TeamCenter), MES (Solumina), and ERP (SAP, IFS) platforms.
* Configure and maintaindatabase connections, user access controls, and system integrations.
* Collaborate with application administrators to support system upgrades, patches, and migrations.
***Data Architecture and Governance***
* Design data models and schemas that support manufacturing analytics and business intelligence initiatives.
* Establish data quality standards, validation rules, and master data management practices.
* Implement data governance aligned with aerospace manufacturing compliance requirements (AS9100, ITAR, etc.).
***Analytics and Reporting Infrastructure***
* Build data warehouses or data lakes to enable cross\-system reporting and analytics.
* Create data marts optimized for manufacturing KPIs, production metrics, and supply chain visibility.
* Partner with business analysts and engineering teams to define reporting requirements and deliver actionable insights.
***Monitoring and Continuous Improvement***
* Implement monitoring and alerting for data pipeline health and database performance.
* Continually evaluate data infrastructure for modernization, automation, and scalability improvements.
* Document technical procedures, runbooks, and system architecture diagrams.
**General Requirements:**
* Must be a US Citizen or US Permanent Resident (ITAR requirement)
* Bachelor's Degree in Computer Science, Data Engineering, Information Systems, or related field. Four additional years of experience may be substituted for a degree.
* Minimum of 5 years of hands\-on experience in data engineering or database administration roles.
* Experience with PLM systems (TeamCenter, Windchill, or similar) and understanding of CAD data structures.
* Experience with MES platforms (Solumina,Camstar, or similar) and manufacturing execution workflows.
* Experience with ERP systems (SAP, IFS, Oracle EBS, or similar) and enterprise data models.
* Proficiency in SQL and database technologies (Oracle, SQL Server, PostgreSQL).
* Experience with ETL tools (Informatica, Talend, SSIS, or similar) or custom data pipeline development.
* Experience in scripting languages (Python, PowerShell, or similar) for data automation.
**Preferred Qualifications:**
* Experience in aerospace, defense, or highly regulated manufacturing environments.
* Knowledge of CREO Parametric and its data management integration withTeamCenter.
* Experience with cloud data platforms (AWS Redshift/Glue, Azure Synapse, Snowflake, or Databricks).
* Familiarity with data visualization tools (Tableau, Power BI, or similar).
* Understanding of manufacturing data standards (MTConnect, ISA\-95, or similar).
* Experience with Agile development methodologies and DevOps practices for data infrastructure.
* Professional certifications such as Oracle DBA, Microsoft Certified: Azure Data Engineer Associate, AWS Certified Database – Specialty, or similar.
**US EEO Statement:**
Intuitive Machines is an Equal Opportunity employer. All qualified applicants will receive consideration for employment without regard to sex, gender identity, sexual orientation, race, color, religion, national origin, disability, protected veteran status, age, or any other characteristic protected by law.</t>
        </is>
      </c>
    </row>
    <row r="164">
      <c r="A164" t="inlineStr">
        <is>
          <t>in-7600ba3c695769f5</t>
        </is>
      </c>
      <c r="B164" t="inlineStr">
        <is>
          <t>Data Engineer</t>
        </is>
      </c>
      <c r="C164" t="inlineStr">
        <is>
          <t>Intuitive Machines</t>
        </is>
      </c>
      <c r="D164" t="inlineStr">
        <is>
          <t>indeed</t>
        </is>
      </c>
      <c r="E164">
        <f>HYPERLINK("https://www.indeed.com/viewjob?jk=7600ba3c695769f5", "https://www.indeed.com/viewjob?jk=7600ba3c695769f5")</f>
        <v/>
      </c>
      <c r="F164">
        <f>HYPERLINK("https://workforcenow.adp.com/mascsr/default/mdf/recruitment/recruitment.html?cid=b0e24f83-6e4d-492d-9d6a-bc0fea197d6a&amp;ccId=19000101_000001&amp;jobId=560007&amp;source=IN&amp;lang=en_US", "https://workforcenow.adp.com/mascsr/default/mdf/recruitment/recruitment.html?cid=b0e24f83-6e4d-492d-9d6a-bc0fea197d6a&amp;ccId=19000101_000001&amp;jobId=560007&amp;source=IN&amp;lang=en_US")</f>
        <v/>
      </c>
      <c r="G164" t="inlineStr">
        <is>
          <t>NC, US</t>
        </is>
      </c>
      <c r="H164" s="3" t="n">
        <v>46049</v>
      </c>
      <c r="I164" t="inlineStr">
        <is>
          <t>**Data Engineer**
Remote \- US
**About Intuitive Machines:**
Intuitive Machines is an innovative and cutting\-edge space company making cislunar space accessible to both public and private customers. Our mission is to further science and exploration, communications, and economic progress from the Earth to the Moon and beyond. With multiple NASA lunar missions in development and additional private missions on our manifest, we pride ourselves in supporting NASA, our customers, and the nation in paving the way to return humans to the surface of the Moon. Our world\-class team includes experts in all aspects of spacecraft subsystems design, development, and test, on\-orbit operations, and safety.
**About the Position:**
Intuitive Machines is seeking an experienced Data Engineer to lead the aggregation, integration, and administration of data across our enterprise manufacturing technology stack.This position will play a pivotal role in unifying data from our critical manufacturing systems—including CREO, TeamCenter, Solumina, SAP, and IFS—to enable analytics, reporting, and operational insights that drive spacecraft manufacturing excellence.
We're looking for a hands\-on expert who can design and implement data pipelines, establish database operational standards, optimize enterprise system performance, and ensure data integrity across our manufacturing ecosystem. If you have deep expertise in PLM, MES, and ERP systems, with a strong background in database administration and data engineering, we want to hear from you.
**Responsibilities:**
***Data Integration and Pipeline Development***
* Design and implement data aggregation pipelines from CREO,TeamCenter,Solumina, SAP, and IFS into centralized data repositories.
* Establishdata integration standards, processes, and documentation for enterprise manufacturing systems.
* Develop ETL/ELT workflows to enable real\-time and batch data synchronization across platforms.
***Database Administration***
* Administer and optimized databases supporting TeamCenter,Solumina, SAP, and IFS environments.
* Manage database performance tuning, backup and recovery procedures, and disaster recovery planning.
* Monitor database health, implement security controls, and ensure high availability of manufacturing systems.
***Enterprise Manufacturing Systems Support***
* Serve as technical DBA for PLM (TeamCenter), MES (Solumina), and ERP (SAP, IFS) platforms.
* Configure and maintaindatabase connections, user access controls, and system integrations.
* Collaborate with application administrators to support system upgrades, patches, and migrations.
***Data Architecture and Governance***
* Design data models and schemas that support manufacturing analytics and business intelligence initiatives.
* Establish data quality standards, validation rules, and master data management practices.
* Implement data governance aligned with aerospace manufacturing compliance requirements (AS9100, ITAR, etc.).
***Analytics and Reporting Infrastructure***
* Build data warehouses or data lakes to enable cross\-system reporting and analytics.
* Create data marts optimized for manufacturing KPIs, production metrics, and supply chain visibility.
* Partner with business analysts and engineering teams to define reporting requirements and deliver actionable insights.
***Monitoring and Continuous Improvement***
* Implement monitoring and alerting for data pipeline health and database performance.
* Continually evaluate data infrastructure for modernization, automation, and scalability improvements.
* Document technical procedures, runbooks, and system architecture diagrams.
**General Requirements:**
* Must be a US Citizen or US Permanent Resident (ITAR requirement)
* Bachelor's Degree in Computer Science, Data Engineering, Information Systems, or related field. Four additional years of experience may be substituted for a degree.
* Minimum of 5 years of hands\-on experience in data engineering or database administration roles.
* Experience with PLM systems (TeamCenter, Windchill, or similar) and understanding of CAD data structures.
* Experience with MES platforms (Solumina,Camstar, or similar) and manufacturing execution workflows.
* Experience with ERP systems (SAP, IFS, Oracle EBS, or similar) and enterprise data models.
* Proficiency in SQL and database technologies (Oracle, SQL Server, PostgreSQL).
* Experience with ETL tools (Informatica, Talend, SSIS, or similar) or custom data pipeline development.
* Experience in scripting languages (Python, PowerShell, or similar) for data automation.
**Preferred Qualifications:**
* Experience in aerospace, defense, or highly regulated manufacturing environments.
* Knowledge of CREO Parametric and its data management integration withTeamCenter.
* Experience with cloud data platforms (AWS Redshift/Glue, Azure Synapse, Snowflake, or Databricks).
* Familiarity with data visualization tools (Tableau, Power BI, or similar).
* Understanding of manufacturing data standards (MTConnect, ISA\-95, or similar).
* Experience with Agile development methodologies and DevOps practices for data infrastructure.
* Professional certifications such as Oracle DBA, Microsoft Certified: Azure Data Engineer Associate, AWS Certified Database – Specialty, or similar.
**US EEO Statement:**
Intuitive Machines is an Equal Opportunity employer. All qualified applicants will receive consideration for employment without regard to sex, gender identity, sexual orientation, race, color, religion, national origin, disability, protected veteran status, age, or any other characteristic protected by law.</t>
        </is>
      </c>
    </row>
    <row r="165">
      <c r="A165" t="inlineStr">
        <is>
          <t>in-52ec1c149c2a176d</t>
        </is>
      </c>
      <c r="B165" t="inlineStr">
        <is>
          <t>Data Engineer</t>
        </is>
      </c>
      <c r="C165" t="inlineStr">
        <is>
          <t>Intuitive Machines</t>
        </is>
      </c>
      <c r="D165" t="inlineStr">
        <is>
          <t>indeed</t>
        </is>
      </c>
      <c r="E165">
        <f>HYPERLINK("https://www.indeed.com/viewjob?jk=52ec1c149c2a176d", "https://www.indeed.com/viewjob?jk=52ec1c149c2a176d")</f>
        <v/>
      </c>
      <c r="F165">
        <f>HYPERLINK("https://workforcenow.adp.com/mascsr/default/mdf/recruitment/recruitment.html?cid=b0e24f83-6e4d-492d-9d6a-bc0fea197d6a&amp;ccId=19000101_000001&amp;jobId=560007&amp;source=IN&amp;lang=en_US", "https://workforcenow.adp.com/mascsr/default/mdf/recruitment/recruitment.html?cid=b0e24f83-6e4d-492d-9d6a-bc0fea197d6a&amp;ccId=19000101_000001&amp;jobId=560007&amp;source=IN&amp;lang=en_US")</f>
        <v/>
      </c>
      <c r="G165" t="inlineStr">
        <is>
          <t>KS, US</t>
        </is>
      </c>
      <c r="H165" s="3" t="n">
        <v>46049</v>
      </c>
      <c r="I165" t="inlineStr">
        <is>
          <t>**Data Engineer**
Remote \- US
**About Intuitive Machines:**
Intuitive Machines is an innovative and cutting\-edge space company making cislunar space accessible to both public and private customers. Our mission is to further science and exploration, communications, and economic progress from the Earth to the Moon and beyond. With multiple NASA lunar missions in development and additional private missions on our manifest, we pride ourselves in supporting NASA, our customers, and the nation in paving the way to return humans to the surface of the Moon. Our world\-class team includes experts in all aspects of spacecraft subsystems design, development, and test, on\-orbit operations, and safety.
**About the Position:**
Intuitive Machines is seeking an experienced Data Engineer to lead the aggregation, integration, and administration of data across our enterprise manufacturing technology stack.This position will play a pivotal role in unifying data from our critical manufacturing systems—including CREO, TeamCenter, Solumina, SAP, and IFS—to enable analytics, reporting, and operational insights that drive spacecraft manufacturing excellence.
We're looking for a hands\-on expert who can design and implement data pipelines, establish database operational standards, optimize enterprise system performance, and ensure data integrity across our manufacturing ecosystem. If you have deep expertise in PLM, MES, and ERP systems, with a strong background in database administration and data engineering, we want to hear from you.
**Responsibilities:**
***Data Integration and Pipeline Development***
* Design and implement data aggregation pipelines from CREO,TeamCenter,Solumina, SAP, and IFS into centralized data repositories.
* Establishdata integration standards, processes, and documentation for enterprise manufacturing systems.
* Develop ETL/ELT workflows to enable real\-time and batch data synchronization across platforms.
***Database Administration***
* Administer and optimized databases supporting TeamCenter,Solumina, SAP, and IFS environments.
* Manage database performance tuning, backup and recovery procedures, and disaster recovery planning.
* Monitor database health, implement security controls, and ensure high availability of manufacturing systems.
***Enterprise Manufacturing Systems Support***
* Serve as technical DBA for PLM (TeamCenter), MES (Solumina), and ERP (SAP, IFS) platforms.
* Configure and maintaindatabase connections, user access controls, and system integrations.
* Collaborate with application administrators to support system upgrades, patches, and migrations.
***Data Architecture and Governance***
* Design data models and schemas that support manufacturing analytics and business intelligence initiatives.
* Establish data quality standards, validation rules, and master data management practices.
* Implement data governance aligned with aerospace manufacturing compliance requirements (AS9100, ITAR, etc.).
***Analytics and Reporting Infrastructure***
* Build data warehouses or data lakes to enable cross\-system reporting and analytics.
* Create data marts optimized for manufacturing KPIs, production metrics, and supply chain visibility.
* Partner with business analysts and engineering teams to define reporting requirements and deliver actionable insights.
***Monitoring and Continuous Improvement***
* Implement monitoring and alerting for data pipeline health and database performance.
* Continually evaluate data infrastructure for modernization, automation, and scalability improvements.
* Document technical procedures, runbooks, and system architecture diagrams.
**General Requirements:**
* Must be a US Citizen or US Permanent Resident (ITAR requirement)
* Bachelor's Degree in Computer Science, Data Engineering, Information Systems, or related field. Four additional years of experience may be substituted for a degree.
* Minimum of 5 years of hands\-on experience in data engineering or database administration roles.
* Experience with PLM systems (TeamCenter, Windchill, or similar) and understanding of CAD data structures.
* Experience with MES platforms (Solumina,Camstar, or similar) and manufacturing execution workflows.
* Experience with ERP systems (SAP, IFS, Oracle EBS, or similar) and enterprise data models.
* Proficiency in SQL and database technologies (Oracle, SQL Server, PostgreSQL).
* Experience with ETL tools (Informatica, Talend, SSIS, or similar) or custom data pipeline development.
* Experience in scripting languages (Python, PowerShell, or similar) for data automation.
**Preferred Qualifications:**
* Experience in aerospace, defense, or highly regulated manufacturing environments.
* Knowledge of CREO Parametric and its data management integration withTeamCenter.
* Experience with cloud data platforms (AWS Redshift/Glue, Azure Synapse, Snowflake, or Databricks).
* Familiarity with data visualization tools (Tableau, Power BI, or similar).
* Understanding of manufacturing data standards (MTConnect, ISA\-95, or similar).
* Experience with Agile development methodologies and DevOps practices for data infrastructure.
* Professional certifications such as Oracle DBA, Microsoft Certified: Azure Data Engineer Associate, AWS Certified Database – Specialty, or similar.
**US EEO Statement:**
Intuitive Machines is an Equal Opportunity employer. All qualified applicants will receive consideration for employment without regard to sex, gender identity, sexual orientation, race, color, religion, national origin, disability, protected veteran status, age, or any other characteristic protected by law.</t>
        </is>
      </c>
    </row>
    <row r="166">
      <c r="A166" t="inlineStr">
        <is>
          <t>in-703752adf06c65aa</t>
        </is>
      </c>
      <c r="B166" t="inlineStr">
        <is>
          <t>Data Engineer</t>
        </is>
      </c>
      <c r="C166" t="inlineStr">
        <is>
          <t>Intuitive Machines</t>
        </is>
      </c>
      <c r="D166" t="inlineStr">
        <is>
          <t>indeed</t>
        </is>
      </c>
      <c r="E166">
        <f>HYPERLINK("https://www.indeed.com/viewjob?jk=703752adf06c65aa", "https://www.indeed.com/viewjob?jk=703752adf06c65aa")</f>
        <v/>
      </c>
      <c r="F166">
        <f>HYPERLINK("https://workforcenow.adp.com/mascsr/default/mdf/recruitment/recruitment.html?cid=b0e24f83-6e4d-492d-9d6a-bc0fea197d6a&amp;ccId=19000101_000001&amp;jobId=560007&amp;source=IN&amp;lang=en_US", "https://workforcenow.adp.com/mascsr/default/mdf/recruitment/recruitment.html?cid=b0e24f83-6e4d-492d-9d6a-bc0fea197d6a&amp;ccId=19000101_000001&amp;jobId=560007&amp;source=IN&amp;lang=en_US")</f>
        <v/>
      </c>
      <c r="G166" t="inlineStr">
        <is>
          <t>VA, US</t>
        </is>
      </c>
      <c r="H166" s="3" t="n">
        <v>46049</v>
      </c>
      <c r="I166" t="inlineStr">
        <is>
          <t>**Data Engineer**
Remote \- US
**About Intuitive Machines:**
Intuitive Machines is an innovative and cutting\-edge space company making cislunar space accessible to both public and private customers. Our mission is to further science and exploration, communications, and economic progress from the Earth to the Moon and beyond. With multiple NASA lunar missions in development and additional private missions on our manifest, we pride ourselves in supporting NASA, our customers, and the nation in paving the way to return humans to the surface of the Moon. Our world\-class team includes experts in all aspects of spacecraft subsystems design, development, and test, on\-orbit operations, and safety.
**About the Position:**
Intuitive Machines is seeking an experienced Data Engineer to lead the aggregation, integration, and administration of data across our enterprise manufacturing technology stack.This position will play a pivotal role in unifying data from our critical manufacturing systems—including CREO, TeamCenter, Solumina, SAP, and IFS—to enable analytics, reporting, and operational insights that drive spacecraft manufacturing excellence.
We're looking for a hands\-on expert who can design and implement data pipelines, establish database operational standards, optimize enterprise system performance, and ensure data integrity across our manufacturing ecosystem. If you have deep expertise in PLM, MES, and ERP systems, with a strong background in database administration and data engineering, we want to hear from you.
**Responsibilities:**
***Data Integration and Pipeline Development***
* Design and implement data aggregation pipelines from CREO,TeamCenter,Solumina, SAP, and IFS into centralized data repositories.
* Establishdata integration standards, processes, and documentation for enterprise manufacturing systems.
* Develop ETL/ELT workflows to enable real\-time and batch data synchronization across platforms.
***Database Administration***
* Administer and optimized databases supporting TeamCenter,Solumina, SAP, and IFS environments.
* Manage database performance tuning, backup and recovery procedures, and disaster recovery planning.
* Monitor database health, implement security controls, and ensure high availability of manufacturing systems.
***Enterprise Manufacturing Systems Support***
* Serve as technical DBA for PLM (TeamCenter), MES (Solumina), and ERP (SAP, IFS) platforms.
* Configure and maintaindatabase connections, user access controls, and system integrations.
* Collaborate with application administrators to support system upgrades, patches, and migrations.
***Data Architecture and Governance***
* Design data models and schemas that support manufacturing analytics and business intelligence initiatives.
* Establish data quality standards, validation rules, and master data management practices.
* Implement data governance aligned with aerospace manufacturing compliance requirements (AS9100, ITAR, etc.).
***Analytics and Reporting Infrastructure***
* Build data warehouses or data lakes to enable cross\-system reporting and analytics.
* Create data marts optimized for manufacturing KPIs, production metrics, and supply chain visibility.
* Partner with business analysts and engineering teams to define reporting requirements and deliver actionable insights.
***Monitoring and Continuous Improvement***
* Implement monitoring and alerting for data pipeline health and database performance.
* Continually evaluate data infrastructure for modernization, automation, and scalability improvements.
* Document technical procedures, runbooks, and system architecture diagrams.
**General Requirements:**
* Must be a US Citizen or US Permanent Resident (ITAR requirement)
* Bachelor's Degree in Computer Science, Data Engineering, Information Systems, or related field. Four additional years of experience may be substituted for a degree.
* Minimum of 5 years of hands\-on experience in data engineering or database administration roles.
* Experience with PLM systems (TeamCenter, Windchill, or similar) and understanding of CAD data structures.
* Experience with MES platforms (Solumina,Camstar, or similar) and manufacturing execution workflows.
* Experience with ERP systems (SAP, IFS, Oracle EBS, or similar) and enterprise data models.
* Proficiency in SQL and database technologies (Oracle, SQL Server, PostgreSQL).
* Experience with ETL tools (Informatica, Talend, SSIS, or similar) or custom data pipeline development.
* Experience in scripting languages (Python, PowerShell, or similar) for data automation.
**Preferred Qualifications:**
* Experience in aerospace, defense, or highly regulated manufacturing environments.
* Knowledge of CREO Parametric and its data management integration withTeamCenter.
* Experience with cloud data platforms (AWS Redshift/Glue, Azure Synapse, Snowflake, or Databricks).
* Familiarity with data visualization tools (Tableau, Power BI, or similar).
* Understanding of manufacturing data standards (MTConnect, ISA\-95, or similar).
* Experience with Agile development methodologies and DevOps practices for data infrastructure.
* Professional certifications such as Oracle DBA, Microsoft Certified: Azure Data Engineer Associate, AWS Certified Database – Specialty, or similar.
**US EEO Statement:**
Intuitive Machines is an Equal Opportunity employer. All qualified applicants will receive consideration for employment without regard to sex, gender identity, sexual orientation, race, color, religion, national origin, disability, protected veteran status, age, or any other characteristic protected by law.</t>
        </is>
      </c>
    </row>
    <row r="167">
      <c r="A167" t="inlineStr">
        <is>
          <t>in-d905144a3fa60f43</t>
        </is>
      </c>
      <c r="B167" t="inlineStr">
        <is>
          <t>Data Engineer</t>
        </is>
      </c>
      <c r="C167" t="inlineStr">
        <is>
          <t>Intuitive Machines</t>
        </is>
      </c>
      <c r="D167" t="inlineStr">
        <is>
          <t>indeed</t>
        </is>
      </c>
      <c r="E167">
        <f>HYPERLINK("https://www.indeed.com/viewjob?jk=d905144a3fa60f43", "https://www.indeed.com/viewjob?jk=d905144a3fa60f43")</f>
        <v/>
      </c>
      <c r="F167">
        <f>HYPERLINK("https://workforcenow.adp.com/mascsr/default/mdf/recruitment/recruitment.html?cid=b0e24f83-6e4d-492d-9d6a-bc0fea197d6a&amp;ccId=19000101_000001&amp;jobId=560007&amp;source=IN&amp;lang=en_US", "https://workforcenow.adp.com/mascsr/default/mdf/recruitment/recruitment.html?cid=b0e24f83-6e4d-492d-9d6a-bc0fea197d6a&amp;ccId=19000101_000001&amp;jobId=560007&amp;source=IN&amp;lang=en_US")</f>
        <v/>
      </c>
      <c r="G167" t="inlineStr">
        <is>
          <t>IN, US</t>
        </is>
      </c>
      <c r="H167" s="3" t="n">
        <v>46049</v>
      </c>
      <c r="I167" t="inlineStr">
        <is>
          <t>**Data Engineer**
Remote \- US
**About Intuitive Machines:**
Intuitive Machines is an innovative and cutting\-edge space company making cislunar space accessible to both public and private customers. Our mission is to further science and exploration, communications, and economic progress from the Earth to the Moon and beyond. With multiple NASA lunar missions in development and additional private missions on our manifest, we pride ourselves in supporting NASA, our customers, and the nation in paving the way to return humans to the surface of the Moon. Our world\-class team includes experts in all aspects of spacecraft subsystems design, development, and test, on\-orbit operations, and safety.
**About the Position:**
Intuitive Machines is seeking an experienced Data Engineer to lead the aggregation, integration, and administration of data across our enterprise manufacturing technology stack.This position will play a pivotal role in unifying data from our critical manufacturing systems—including CREO, TeamCenter, Solumina, SAP, and IFS—to enable analytics, reporting, and operational insights that drive spacecraft manufacturing excellence.
We're looking for a hands\-on expert who can design and implement data pipelines, establish database operational standards, optimize enterprise system performance, and ensure data integrity across our manufacturing ecosystem. If you have deep expertise in PLM, MES, and ERP systems, with a strong background in database administration and data engineering, we want to hear from you.
**Responsibilities:**
***Data Integration and Pipeline Development***
* Design and implement data aggregation pipelines from CREO,TeamCenter,Solumina, SAP, and IFS into centralized data repositories.
* Establishdata integration standards, processes, and documentation for enterprise manufacturing systems.
* Develop ETL/ELT workflows to enable real\-time and batch data synchronization across platforms.
***Database Administration***
* Administer and optimized databases supporting TeamCenter,Solumina, SAP, and IFS environments.
* Manage database performance tuning, backup and recovery procedures, and disaster recovery planning.
* Monitor database health, implement security controls, and ensure high availability of manufacturing systems.
***Enterprise Manufacturing Systems Support***
* Serve as technical DBA for PLM (TeamCenter), MES (Solumina), and ERP (SAP, IFS) platforms.
* Configure and maintaindatabase connections, user access controls, and system integrations.
* Collaborate with application administrators to support system upgrades, patches, and migrations.
***Data Architecture and Governance***
* Design data models and schemas that support manufacturing analytics and business intelligence initiatives.
* Establish data quality standards, validation rules, and master data management practices.
* Implement data governance aligned with aerospace manufacturing compliance requirements (AS9100, ITAR, etc.).
***Analytics and Reporting Infrastructure***
* Build data warehouses or data lakes to enable cross\-system reporting and analytics.
* Create data marts optimized for manufacturing KPIs, production metrics, and supply chain visibility.
* Partner with business analysts and engineering teams to define reporting requirements and deliver actionable insights.
***Monitoring and Continuous Improvement***
* Implement monitoring and alerting for data pipeline health and database performance.
* Continually evaluate data infrastructure for modernization, automation, and scalability improvements.
* Document technical procedures, runbooks, and system architecture diagrams.
**General Requirements:**
* Must be a US Citizen or US Permanent Resident (ITAR requirement)
* Bachelor's Degree in Computer Science, Data Engineering, Information Systems, or related field. Four additional years of experience may be substituted for a degree.
* Minimum of 5 years of hands\-on experience in data engineering or database administration roles.
* Experience with PLM systems (TeamCenter, Windchill, or similar) and understanding of CAD data structures.
* Experience with MES platforms (Solumina,Camstar, or similar) and manufacturing execution workflows.
* Experience with ERP systems (SAP, IFS, Oracle EBS, or similar) and enterprise data models.
* Proficiency in SQL and database technologies (Oracle, SQL Server, PostgreSQL).
* Experience with ETL tools (Informatica, Talend, SSIS, or similar) or custom data pipeline development.
* Experience in scripting languages (Python, PowerShell, or similar) for data automation.
**Preferred Qualifications:**
* Experience in aerospace, defense, or highly regulated manufacturing environments.
* Knowledge of CREO Parametric and its data management integration withTeamCenter.
* Experience with cloud data platforms (AWS Redshift/Glue, Azure Synapse, Snowflake, or Databricks).
* Familiarity with data visualization tools (Tableau, Power BI, or similar).
* Understanding of manufacturing data standards (MTConnect, ISA\-95, or similar).
* Experience with Agile development methodologies and DevOps practices for data infrastructure.
* Professional certifications such as Oracle DBA, Microsoft Certified: Azure Data Engineer Associate, AWS Certified Database – Specialty, or similar.
**US EEO Statement:**
Intuitive Machines is an Equal Opportunity employer. All qualified applicants will receive consideration for employment without regard to sex, gender identity, sexual orientation, race, color, religion, national origin, disability, protected veteran status, age, or any other characteristic protected by law.</t>
        </is>
      </c>
    </row>
    <row r="168">
      <c r="A168" t="inlineStr">
        <is>
          <t>in-0f53ae5f33e3aa09</t>
        </is>
      </c>
      <c r="B168" t="inlineStr">
        <is>
          <t>Data Engineer</t>
        </is>
      </c>
      <c r="C168" t="inlineStr">
        <is>
          <t>Intuitive Machines</t>
        </is>
      </c>
      <c r="D168" t="inlineStr">
        <is>
          <t>indeed</t>
        </is>
      </c>
      <c r="E168">
        <f>HYPERLINK("https://www.indeed.com/viewjob?jk=0f53ae5f33e3aa09", "https://www.indeed.com/viewjob?jk=0f53ae5f33e3aa09")</f>
        <v/>
      </c>
      <c r="F168">
        <f>HYPERLINK("https://workforcenow.adp.com/mascsr/default/mdf/recruitment/recruitment.html?cid=b0e24f83-6e4d-492d-9d6a-bc0fea197d6a&amp;ccId=19000101_000001&amp;jobId=560007&amp;source=IN&amp;lang=en_US", "https://workforcenow.adp.com/mascsr/default/mdf/recruitment/recruitment.html?cid=b0e24f83-6e4d-492d-9d6a-bc0fea197d6a&amp;ccId=19000101_000001&amp;jobId=560007&amp;source=IN&amp;lang=en_US")</f>
        <v/>
      </c>
      <c r="G168" t="inlineStr">
        <is>
          <t>PA, US</t>
        </is>
      </c>
      <c r="H168" s="3" t="n">
        <v>46049</v>
      </c>
      <c r="I168" t="inlineStr">
        <is>
          <t>**Data Engineer**
Remote \- US
**About Intuitive Machines:**
Intuitive Machines is an innovative and cutting\-edge space company making cislunar space accessible to both public and private customers. Our mission is to further science and exploration, communications, and economic progress from the Earth to the Moon and beyond. With multiple NASA lunar missions in development and additional private missions on our manifest, we pride ourselves in supporting NASA, our customers, and the nation in paving the way to return humans to the surface of the Moon. Our world\-class team includes experts in all aspects of spacecraft subsystems design, development, and test, on\-orbit operations, and safety.
**About the Position:**
Intuitive Machines is seeking an experienced Data Engineer to lead the aggregation, integration, and administration of data across our enterprise manufacturing technology stack.This position will play a pivotal role in unifying data from our critical manufacturing systems—including CREO, TeamCenter, Solumina, SAP, and IFS—to enable analytics, reporting, and operational insights that drive spacecraft manufacturing excellence.
We're looking for a hands\-on expert who can design and implement data pipelines, establish database operational standards, optimize enterprise system performance, and ensure data integrity across our manufacturing ecosystem. If you have deep expertise in PLM, MES, and ERP systems, with a strong background in database administration and data engineering, we want to hear from you.
**Responsibilities:**
***Data Integration and Pipeline Development***
* Design and implement data aggregation pipelines from CREO,TeamCenter,Solumina, SAP, and IFS into centralized data repositories.
* Establishdata integration standards, processes, and documentation for enterprise manufacturing systems.
* Develop ETL/ELT workflows to enable real\-time and batch data synchronization across platforms.
***Database Administration***
* Administer and optimized databases supporting TeamCenter,Solumina, SAP, and IFS environments.
* Manage database performance tuning, backup and recovery procedures, and disaster recovery planning.
* Monitor database health, implement security controls, and ensure high availability of manufacturing systems.
***Enterprise Manufacturing Systems Support***
* Serve as technical DBA for PLM (TeamCenter), MES (Solumina), and ERP (SAP, IFS) platforms.
* Configure and maintaindatabase connections, user access controls, and system integrations.
* Collaborate with application administrators to support system upgrades, patches, and migrations.
***Data Architecture and Governance***
* Design data models and schemas that support manufacturing analytics and business intelligence initiatives.
* Establish data quality standards, validation rules, and master data management practices.
* Implement data governance aligned with aerospace manufacturing compliance requirements (AS9100, ITAR, etc.).
***Analytics and Reporting Infrastructure***
* Build data warehouses or data lakes to enable cross\-system reporting and analytics.
* Create data marts optimized for manufacturing KPIs, production metrics, and supply chain visibility.
* Partner with business analysts and engineering teams to define reporting requirements and deliver actionable insights.
***Monitoring and Continuous Improvement***
* Implement monitoring and alerting for data pipeline health and database performance.
* Continually evaluate data infrastructure for modernization, automation, and scalability improvements.
* Document technical procedures, runbooks, and system architecture diagrams.
**General Requirements:**
* Must be a US Citizen or US Permanent Resident (ITAR requirement)
* Bachelor's Degree in Computer Science, Data Engineering, Information Systems, or related field. Four additional years of experience may be substituted for a degree.
* Minimum of 5 years of hands\-on experience in data engineering or database administration roles.
* Experience with PLM systems (TeamCenter, Windchill, or similar) and understanding of CAD data structures.
* Experience with MES platforms (Solumina,Camstar, or similar) and manufacturing execution workflows.
* Experience with ERP systems (SAP, IFS, Oracle EBS, or similar) and enterprise data models.
* Proficiency in SQL and database technologies (Oracle, SQL Server, PostgreSQL).
* Experience with ETL tools (Informatica, Talend, SSIS, or similar) or custom data pipeline development.
* Experience in scripting languages (Python, PowerShell, or similar) for data automation.
**Preferred Qualifications:**
* Experience in aerospace, defense, or highly regulated manufacturing environments.
* Knowledge of CREO Parametric and its data management integration withTeamCenter.
* Experience with cloud data platforms (AWS Redshift/Glue, Azure Synapse, Snowflake, or Databricks).
* Familiarity with data visualization tools (Tableau, Power BI, or similar).
* Understanding of manufacturing data standards (MTConnect, ISA\-95, or similar).
* Experience with Agile development methodologies and DevOps practices for data infrastructure.
* Professional certifications such as Oracle DBA, Microsoft Certified: Azure Data Engineer Associate, AWS Certified Database – Specialty, or similar.
**US EEO Statement:**
Intuitive Machines is an Equal Opportunity employer. All qualified applicants will receive consideration for employment without regard to sex, gender identity, sexual orientation, race, color, religion, national origin, disability, protected veteran status, age, or any other characteristic protected by law.</t>
        </is>
      </c>
    </row>
    <row r="169">
      <c r="A169" t="inlineStr">
        <is>
          <t>in-1421edd3f95232bf</t>
        </is>
      </c>
      <c r="B169" t="inlineStr">
        <is>
          <t>Data Engineer</t>
        </is>
      </c>
      <c r="C169" t="inlineStr">
        <is>
          <t>Intuitive Machines</t>
        </is>
      </c>
      <c r="D169" t="inlineStr">
        <is>
          <t>indeed</t>
        </is>
      </c>
      <c r="E169">
        <f>HYPERLINK("https://www.indeed.com/viewjob?jk=1421edd3f95232bf", "https://www.indeed.com/viewjob?jk=1421edd3f95232bf")</f>
        <v/>
      </c>
      <c r="F169">
        <f>HYPERLINK("https://workforcenow.adp.com/mascsr/default/mdf/recruitment/recruitment.html?cid=b0e24f83-6e4d-492d-9d6a-bc0fea197d6a&amp;ccId=19000101_000001&amp;jobId=560007&amp;source=IN&amp;lang=en_US", "https://workforcenow.adp.com/mascsr/default/mdf/recruitment/recruitment.html?cid=b0e24f83-6e4d-492d-9d6a-bc0fea197d6a&amp;ccId=19000101_000001&amp;jobId=560007&amp;source=IN&amp;lang=en_US")</f>
        <v/>
      </c>
      <c r="G169" t="inlineStr">
        <is>
          <t>MD, US</t>
        </is>
      </c>
      <c r="H169" s="3" t="n">
        <v>46049</v>
      </c>
      <c r="I169" t="inlineStr">
        <is>
          <t>**Data Engineer**
Remote \- US
**About Intuitive Machines:**
Intuitive Machines is an innovative and cutting\-edge space company making cislunar space accessible to both public and private customers. Our mission is to further science and exploration, communications, and economic progress from the Earth to the Moon and beyond. With multiple NASA lunar missions in development and additional private missions on our manifest, we pride ourselves in supporting NASA, our customers, and the nation in paving the way to return humans to the surface of the Moon. Our world\-class team includes experts in all aspects of spacecraft subsystems design, development, and test, on\-orbit operations, and safety.
**About the Position:**
Intuitive Machines is seeking an experienced Data Engineer to lead the aggregation, integration, and administration of data across our enterprise manufacturing technology stack.This position will play a pivotal role in unifying data from our critical manufacturing systems—including CREO, TeamCenter, Solumina, SAP, and IFS—to enable analytics, reporting, and operational insights that drive spacecraft manufacturing excellence.
We're looking for a hands\-on expert who can design and implement data pipelines, establish database operational standards, optimize enterprise system performance, and ensure data integrity across our manufacturing ecosystem. If you have deep expertise in PLM, MES, and ERP systems, with a strong background in database administration and data engineering, we want to hear from you.
**Responsibilities:**
***Data Integration and Pipeline Development***
* Design and implement data aggregation pipelines from CREO,TeamCenter,Solumina, SAP, and IFS into centralized data repositories.
* Establishdata integration standards, processes, and documentation for enterprise manufacturing systems.
* Develop ETL/ELT workflows to enable real\-time and batch data synchronization across platforms.
***Database Administration***
* Administer and optimized databases supporting TeamCenter,Solumina, SAP, and IFS environments.
* Manage database performance tuning, backup and recovery procedures, and disaster recovery planning.
* Monitor database health, implement security controls, and ensure high availability of manufacturing systems.
***Enterprise Manufacturing Systems Support***
* Serve as technical DBA for PLM (TeamCenter), MES (Solumina), and ERP (SAP, IFS) platforms.
* Configure and maintaindatabase connections, user access controls, and system integrations.
* Collaborate with application administrators to support system upgrades, patches, and migrations.
***Data Architecture and Governance***
* Design data models and schemas that support manufacturing analytics and business intelligence initiatives.
* Establish data quality standards, validation rules, and master data management practices.
* Implement data governance aligned with aerospace manufacturing compliance requirements (AS9100, ITAR, etc.).
***Analytics and Reporting Infrastructure***
* Build data warehouses or data lakes to enable cross\-system reporting and analytics.
* Create data marts optimized for manufacturing KPIs, production metrics, and supply chain visibility.
* Partner with business analysts and engineering teams to define reporting requirements and deliver actionable insights.
***Monitoring and Continuous Improvement***
* Implement monitoring and alerting for data pipeline health and database performance.
* Continually evaluate data infrastructure for modernization, automation, and scalability improvements.
* Document technical procedures, runbooks, and system architecture diagrams.
**General Requirements:**
* Must be a US Citizen or US Permanent Resident (ITAR requirement)
* Bachelor's Degree in Computer Science, Data Engineering, Information Systems, or related field. Four additional years of experience may be substituted for a degree.
* Minimum of 5 years of hands\-on experience in data engineering or database administration roles.
* Experience with PLM systems (TeamCenter, Windchill, or similar) and understanding of CAD data structures.
* Experience with MES platforms (Solumina,Camstar, or similar) and manufacturing execution workflows.
* Experience with ERP systems (SAP, IFS, Oracle EBS, or similar) and enterprise data models.
* Proficiency in SQL and database technologies (Oracle, SQL Server, PostgreSQL).
* Experience with ETL tools (Informatica, Talend, SSIS, or similar) or custom data pipeline development.
* Experience in scripting languages (Python, PowerShell, or similar) for data automation.
**Preferred Qualifications:**
* Experience in aerospace, defense, or highly regulated manufacturing environments.
* Knowledge of CREO Parametric and its data management integration withTeamCenter.
* Experience with cloud data platforms (AWS Redshift/Glue, Azure Synapse, Snowflake, or Databricks).
* Familiarity with data visualization tools (Tableau, Power BI, or similar).
* Understanding of manufacturing data standards (MTConnect, ISA\-95, or similar).
* Experience with Agile development methodologies and DevOps practices for data infrastructure.
* Professional certifications such as Oracle DBA, Microsoft Certified: Azure Data Engineer Associate, AWS Certified Database – Specialty, or similar.
**US EEO Statement:**
Intuitive Machines is an Equal Opportunity employer. All qualified applicants will receive consideration for employment without regard to sex, gender identity, sexual orientation, race, color, religion, national origin, disability, protected veteran status, age, or any other characteristic protected by law.</t>
        </is>
      </c>
    </row>
    <row r="170">
      <c r="A170" t="inlineStr">
        <is>
          <t>in-b15760ddf7e825e8</t>
        </is>
      </c>
      <c r="B170" t="inlineStr">
        <is>
          <t>Data Engineer</t>
        </is>
      </c>
      <c r="C170" t="inlineStr">
        <is>
          <t>Intuitive Machines</t>
        </is>
      </c>
      <c r="D170" t="inlineStr">
        <is>
          <t>indeed</t>
        </is>
      </c>
      <c r="E170">
        <f>HYPERLINK("https://www.indeed.com/viewjob?jk=b15760ddf7e825e8", "https://www.indeed.com/viewjob?jk=b15760ddf7e825e8")</f>
        <v/>
      </c>
      <c r="F170">
        <f>HYPERLINK("https://workforcenow.adp.com/mascsr/default/mdf/recruitment/recruitment.html?cid=b0e24f83-6e4d-492d-9d6a-bc0fea197d6a&amp;ccId=19000101_000001&amp;jobId=560007&amp;source=IN&amp;lang=en_US", "https://workforcenow.adp.com/mascsr/default/mdf/recruitment/recruitment.html?cid=b0e24f83-6e4d-492d-9d6a-bc0fea197d6a&amp;ccId=19000101_000001&amp;jobId=560007&amp;source=IN&amp;lang=en_US")</f>
        <v/>
      </c>
      <c r="G170" t="inlineStr">
        <is>
          <t>AZ, US</t>
        </is>
      </c>
      <c r="H170" s="3" t="n">
        <v>46049</v>
      </c>
      <c r="I170" t="inlineStr">
        <is>
          <t>**Data Engineer**
Remote \- US
**About Intuitive Machines:**
Intuitive Machines is an innovative and cutting\-edge space company making cislunar space accessible to both public and private customers. Our mission is to further science and exploration, communications, and economic progress from the Earth to the Moon and beyond. With multiple NASA lunar missions in development and additional private missions on our manifest, we pride ourselves in supporting NASA, our customers, and the nation in paving the way to return humans to the surface of the Moon. Our world\-class team includes experts in all aspects of spacecraft subsystems design, development, and test, on\-orbit operations, and safety.
**About the Position:**
Intuitive Machines is seeking an experienced Data Engineer to lead the aggregation, integration, and administration of data across our enterprise manufacturing technology stack.This position will play a pivotal role in unifying data from our critical manufacturing systems—including CREO, TeamCenter, Solumina, SAP, and IFS—to enable analytics, reporting, and operational insights that drive spacecraft manufacturing excellence.
We're looking for a hands\-on expert who can design and implement data pipelines, establish database operational standards, optimize enterprise system performance, and ensure data integrity across our manufacturing ecosystem. If you have deep expertise in PLM, MES, and ERP systems, with a strong background in database administration and data engineering, we want to hear from you.
**Responsibilities:**
***Data Integration and Pipeline Development***
* Design and implement data aggregation pipelines from CREO,TeamCenter,Solumina, SAP, and IFS into centralized data repositories.
* Establishdata integration standards, processes, and documentation for enterprise manufacturing systems.
* Develop ETL/ELT workflows to enable real\-time and batch data synchronization across platforms.
***Database Administration***
* Administer and optimized databases supporting TeamCenter,Solumina, SAP, and IFS environments.
* Manage database performance tuning, backup and recovery procedures, and disaster recovery planning.
* Monitor database health, implement security controls, and ensure high availability of manufacturing systems.
***Enterprise Manufacturing Systems Support***
* Serve as technical DBA for PLM (TeamCenter), MES (Solumina), and ERP (SAP, IFS) platforms.
* Configure and maintaindatabase connections, user access controls, and system integrations.
* Collaborate with application administrators to support system upgrades, patches, and migrations.
***Data Architecture and Governance***
* Design data models and schemas that support manufacturing analytics and business intelligence initiatives.
* Establish data quality standards, validation rules, and master data management practices.
* Implement data governance aligned with aerospace manufacturing compliance requirements (AS9100, ITAR, etc.).
***Analytics and Reporting Infrastructure***
* Build data warehouses or data lakes to enable cross\-system reporting and analytics.
* Create data marts optimized for manufacturing KPIs, production metrics, and supply chain visibility.
* Partner with business analysts and engineering teams to define reporting requirements and deliver actionable insights.
***Monitoring and Continuous Improvement***
* Implement monitoring and alerting for data pipeline health and database performance.
* Continually evaluate data infrastructure for modernization, automation, and scalability improvements.
* Document technical procedures, runbooks, and system architecture diagrams.
**General Requirements:**
* Must be a US Citizen or US Permanent Resident (ITAR requirement)
* Bachelor's Degree in Computer Science, Data Engineering, Information Systems, or related field. Four additional years of experience may be substituted for a degree.
* Minimum of 5 years of hands\-on experience in data engineering or database administration roles.
* Experience with PLM systems (TeamCenter, Windchill, or similar) and understanding of CAD data structures.
* Experience with MES platforms (Solumina,Camstar, or similar) and manufacturing execution workflows.
* Experience with ERP systems (SAP, IFS, Oracle EBS, or similar) and enterprise data models.
* Proficiency in SQL and database technologies (Oracle, SQL Server, PostgreSQL).
* Experience with ETL tools (Informatica, Talend, SSIS, or similar) or custom data pipeline development.
* Experience in scripting languages (Python, PowerShell, or similar) for data automation.
**Preferred Qualifications:**
* Experience in aerospace, defense, or highly regulated manufacturing environments.
* Knowledge of CREO Parametric and its data management integration withTeamCenter.
* Experience with cloud data platforms (AWS Redshift/Glue, Azure Synapse, Snowflake, or Databricks).
* Familiarity with data visualization tools (Tableau, Power BI, or similar).
* Understanding of manufacturing data standards (MTConnect, ISA\-95, or similar).
* Experience with Agile development methodologies and DevOps practices for data infrastructure.
* Professional certifications such as Oracle DBA, Microsoft Certified: Azure Data Engineer Associate, AWS Certified Database – Specialty, or similar.
**US EEO Statement:**
Intuitive Machines is an Equal Opportunity employer. All qualified applicants will receive consideration for employment without regard to sex, gender identity, sexual orientation, race, color, religion, national origin, disability, protected veteran status, age, or any other characteristic protected by law.</t>
        </is>
      </c>
    </row>
    <row r="171">
      <c r="A171" t="inlineStr">
        <is>
          <t>in-b2f0c00e116fa0f5</t>
        </is>
      </c>
      <c r="B171" t="inlineStr">
        <is>
          <t>Data Engineer</t>
        </is>
      </c>
      <c r="C171" t="inlineStr">
        <is>
          <t>Intuitive Machines</t>
        </is>
      </c>
      <c r="D171" t="inlineStr">
        <is>
          <t>indeed</t>
        </is>
      </c>
      <c r="E171">
        <f>HYPERLINK("https://www.indeed.com/viewjob?jk=b2f0c00e116fa0f5", "https://www.indeed.com/viewjob?jk=b2f0c00e116fa0f5")</f>
        <v/>
      </c>
      <c r="F171">
        <f>HYPERLINK("https://workforcenow.adp.com/mascsr/default/mdf/recruitment/recruitment.html?cid=b0e24f83-6e4d-492d-9d6a-bc0fea197d6a&amp;ccId=19000101_000001&amp;jobId=560007&amp;source=IN&amp;lang=en_US", "https://workforcenow.adp.com/mascsr/default/mdf/recruitment/recruitment.html?cid=b0e24f83-6e4d-492d-9d6a-bc0fea197d6a&amp;ccId=19000101_000001&amp;jobId=560007&amp;source=IN&amp;lang=en_US")</f>
        <v/>
      </c>
      <c r="G171" t="inlineStr">
        <is>
          <t>FL, US</t>
        </is>
      </c>
      <c r="H171" s="3" t="n">
        <v>46049</v>
      </c>
      <c r="I171" t="inlineStr">
        <is>
          <t>**Data Engineer**
Remote \- US
**About Intuitive Machines:**
Intuitive Machines is an innovative and cutting\-edge space company making cislunar space accessible to both public and private customers. Our mission is to further science and exploration, communications, and economic progress from the Earth to the Moon and beyond. With multiple NASA lunar missions in development and additional private missions on our manifest, we pride ourselves in supporting NASA, our customers, and the nation in paving the way to return humans to the surface of the Moon. Our world\-class team includes experts in all aspects of spacecraft subsystems design, development, and test, on\-orbit operations, and safety.
**About the Position:**
Intuitive Machines is seeking an experienced Data Engineer to lead the aggregation, integration, and administration of data across our enterprise manufacturing technology stack.This position will play a pivotal role in unifying data from our critical manufacturing systems—including CREO, TeamCenter, Solumina, SAP, and IFS—to enable analytics, reporting, and operational insights that drive spacecraft manufacturing excellence.
We're looking for a hands\-on expert who can design and implement data pipelines, establish database operational standards, optimize enterprise system performance, and ensure data integrity across our manufacturing ecosystem. If you have deep expertise in PLM, MES, and ERP systems, with a strong background in database administration and data engineering, we want to hear from you.
**Responsibilities:**
***Data Integration and Pipeline Development***
* Design and implement data aggregation pipelines from CREO,TeamCenter,Solumina, SAP, and IFS into centralized data repositories.
* Establishdata integration standards, processes, and documentation for enterprise manufacturing systems.
* Develop ETL/ELT workflows to enable real\-time and batch data synchronization across platforms.
***Database Administration***
* Administer and optimized databases supporting TeamCenter,Solumina, SAP, and IFS environments.
* Manage database performance tuning, backup and recovery procedures, and disaster recovery planning.
* Monitor database health, implement security controls, and ensure high availability of manufacturing systems.
***Enterprise Manufacturing Systems Support***
* Serve as technical DBA for PLM (TeamCenter), MES (Solumina), and ERP (SAP, IFS) platforms.
* Configure and maintaindatabase connections, user access controls, and system integrations.
* Collaborate with application administrators to support system upgrades, patches, and migrations.
***Data Architecture and Governance***
* Design data models and schemas that support manufacturing analytics and business intelligence initiatives.
* Establish data quality standards, validation rules, and master data management practices.
* Implement data governance aligned with aerospace manufacturing compliance requirements (AS9100, ITAR, etc.).
***Analytics and Reporting Infrastructure***
* Build data warehouses or data lakes to enable cross\-system reporting and analytics.
* Create data marts optimized for manufacturing KPIs, production metrics, and supply chain visibility.
* Partner with business analysts and engineering teams to define reporting requirements and deliver actionable insights.
***Monitoring and Continuous Improvement***
* Implement monitoring and alerting for data pipeline health and database performance.
* Continually evaluate data infrastructure for modernization, automation, and scalability improvements.
* Document technical procedures, runbooks, and system architecture diagrams.
**General Requirements:**
* Must be a US Citizen or US Permanent Resident (ITAR requirement)
* Bachelor's Degree in Computer Science, Data Engineering, Information Systems, or related field. Four additional years of experience may be substituted for a degree.
* Minimum of 5 years of hands\-on experience in data engineering or database administration roles.
* Experience with PLM systems (TeamCenter, Windchill, or similar) and understanding of CAD data structures.
* Experience with MES platforms (Solumina,Camstar, or similar) and manufacturing execution workflows.
* Experience with ERP systems (SAP, IFS, Oracle EBS, or similar) and enterprise data models.
* Proficiency in SQL and database technologies (Oracle, SQL Server, PostgreSQL).
* Experience with ETL tools (Informatica, Talend, SSIS, or similar) or custom data pipeline development.
* Experience in scripting languages (Python, PowerShell, or similar) for data automation.
**Preferred Qualifications:**
* Experience in aerospace, defense, or highly regulated manufacturing environments.
* Knowledge of CREO Parametric and its data management integration withTeamCenter.
* Experience with cloud data platforms (AWS Redshift/Glue, Azure Synapse, Snowflake, or Databricks).
* Familiarity with data visualization tools (Tableau, Power BI, or similar).
* Understanding of manufacturing data standards (MTConnect, ISA\-95, or similar).
* Experience with Agile development methodologies and DevOps practices for data infrastructure.
* Professional certifications such as Oracle DBA, Microsoft Certified: Azure Data Engineer Associate, AWS Certified Database – Specialty, or similar.
**US EEO Statement:**
Intuitive Machines is an Equal Opportunity employer. All qualified applicants will receive consideration for employment without regard to sex, gender identity, sexual orientation, race, color, religion, national origin, disability, protected veteran status, age, or any other characteristic protected by law.</t>
        </is>
      </c>
    </row>
    <row r="172">
      <c r="A172" t="inlineStr">
        <is>
          <t>in-1ade913de476b10b</t>
        </is>
      </c>
      <c r="B172" t="inlineStr">
        <is>
          <t>Data Engineer, PAR</t>
        </is>
      </c>
      <c r="C172" t="inlineStr">
        <is>
          <t>Meta</t>
        </is>
      </c>
      <c r="D172" t="inlineStr">
        <is>
          <t>indeed</t>
        </is>
      </c>
      <c r="E172">
        <f>HYPERLINK("https://www.indeed.com/viewjob?jk=1ade913de476b10b", "https://www.indeed.com/viewjob?jk=1ade913de476b10b")</f>
        <v/>
      </c>
      <c r="F172">
        <f>HYPERLINK("https://jsv3.recruitics.com/redirect?rx_cid=3239&amp;rx_jobId=a1KDp00000CZLTBMA5&amp;rx_url=https%3A%2F%2Fwww.metacareers.com%2Fjobs%2F1174703701121475%2F%3Frx_campaign%3Dindeed0%26rx_ch%3Dvp%26rx_group%3D187943%26rx_id%3D3101bc4d-fd30-11f0-be34-d19582f5168f%26rx_job%3Da1KDp00000CZLTBMA5%26rx_medium%3Dcpc%26rx_r%3Dnone%26rx_source%3Dindeed%26rx_ts%3D20260130T001202Z%26rx_vp%3Dcpc%26utm_campaign%3DJob%252Bboard%26utm_medium%3Djobs%26utm_source%3Dindeedorganic", "https://jsv3.recruitics.com/redirect?rx_cid=3239&amp;rx_jobId=a1KDp00000CZLTBMA5&amp;rx_url=https%3A%2F%2Fwww.metacareers.com%2Fjobs%2F1174703701121475%2F%3Frx_campaign%3Dindeed0%26rx_ch%3Dvp%26rx_group%3D187943%26rx_id%3D3101bc4d-fd30-11f0-be34-d19582f5168f%26rx_job%3Da1KDp00000CZLTBMA5%26rx_medium%3Dcpc%26rx_r%3Dnone%26rx_source%3Dindeed%26rx_ts%3D20260130T001202Z%26rx_vp%3Dcpc%26utm_campaign%3DJob%252Bboard%26utm_medium%3Djobs%26utm_source%3Dindeedorganic")</f>
        <v/>
      </c>
      <c r="G172" t="inlineStr">
        <is>
          <t>Menlo Park, CA, US</t>
        </is>
      </c>
      <c r="H172" s="3" t="n">
        <v>46048</v>
      </c>
      <c r="I172" t="inlineStr">
        <is>
          <t>Meta’s Products \&amp; Applied Research (PAR) team is where product\-focused research meets real\-world impact, taking breakthrough AI research and transforming it into products that reach billions. As part of Meta Superintelligence Labs (MSL), we’re driving the transformation of Meta’s core experiences—across Facebook, Instagram, WhatsApp, Threads, and beyond—by applying cutting\-edge research to real\-world products at massive scale.We are looking for a Data Engineer to join our PAR organization where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 **Data Engineer, PAR Responsibilities:**
* Conceptualize and own the data architecture for multiple large\-scale projects, while evaluating design and operational cost\-benefit tradeoffs within systems
* Create and contribute to frameworks that improve the efficacy of logging data, while working with data infrastructure to triage issues and resolve
* Collaborate with engineers, product managers, and data scientists to understand data needs, representing key data insights visually in a meaningful way
* Define and manage Service Level Agreements for all data sets in allocated areas of ownership
* Determine and implement the security model based on privacy requirements, confirm safeguards are followed, address data quality issues, and evolve governance processes within allocated areas of ownership
* Design, build, and launch collections of sophisticated data models and visualizations that support multiple use cases across different products or domains
* Solve our most challenging data integration problems, utilizing optimal Extract, Transform, Load (ETL) patterns, frameworks, query techniques, sourcing from structured and unstructured data sources
* Assist in owning existing processes running in production, optimizing complex code through advanced algorithmic concepts
* Optimize pipelines, dashboards, frameworks, and systems to facilitate easier development of data artifacts
* Influence product and cross\-functional teams to identify data opportunities to drive impact
* Mentor team members by giving/receiving actionable feedback
### **Minimum Qualifications:**
* Bachelor's degree in Computer Science, Computer Engineering, relevant technical field, or equivalent practical experience
* 7\+ years of experience where the primary responsibility involves working with data. This could include roles such as data analyst, data scientist, data engineer, or similar positions
* 7\+ years of experience with SQL, ETL, data modeling, and at least one programming language (e.g., Python, C\+\+, C\#, Scala or others.)
### **Preferred Qualifications:**
* Master's or Ph.D degree in a STEM field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73">
      <c r="A173" t="inlineStr">
        <is>
          <t>in-db316727ded5c498</t>
        </is>
      </c>
      <c r="B173" t="inlineStr">
        <is>
          <t>Sr. AI Platform Data Engineer, Ring Decision Science, Ring Decision Science</t>
        </is>
      </c>
      <c r="C173" t="inlineStr">
        <is>
          <t>Amazon.com</t>
        </is>
      </c>
      <c r="D173" t="inlineStr">
        <is>
          <t>indeed</t>
        </is>
      </c>
      <c r="E173">
        <f>HYPERLINK("https://www.indeed.com/viewjob?jk=db316727ded5c498", "https://www.indeed.com/viewjob?jk=db316727ded5c498")</f>
        <v/>
      </c>
      <c r="F173">
        <f>HYPERLINK("https://www.amazon.jobs/jobs/3169815/sr-ai-platform-data-engineer-ring-decision-science-ring-decision-science?cmpid=DA_INAD200785B", "https://www.amazon.jobs/jobs/3169815/sr-ai-platform-data-engineer-ring-decision-science-ring-decision-science?cmpid=DA_INAD200785B")</f>
        <v/>
      </c>
      <c r="G173" t="inlineStr">
        <is>
          <t>Hawthorne, CA, US</t>
        </is>
      </c>
      <c r="H173" s="3" t="n">
        <v>46043</v>
      </c>
      <c r="I173" t="inlineStr">
        <is>
          <t>**DESCRIPTION**
---------------
We seek an AI Platform Builder—a Data Engineer focused on developing Platforms and Agentic AI solution—who embraces prompt\-driven development with strong technical, analytical, communication, and stakeholder management skills. This role sits at the intersection of data engineering, business intelligence, and platform engineering—requiring partnership with software development engineers, scientists, data analysts, and business stakeholders across various verticals. You will design, evangelize, and implement platform features and curated datasets that power Artificial Intelligence/Machine Learning (AI/ML) initiatives and self\-service analytics, helping us provide a great neighbor experience at greater velocity.  
This role requires a first\-principles approach to leveraging AI at every layer of the data stack—from using AI agents to write and optimize code, to building AI\-powered platforms that serve AI models, to deploying intelligent agents that make data accessible. You will use AI to build AI infrastructure, automate the automation, and create self\-improving systems that continuously enhance data quality, discoverability, and usability.  
Key job responsibilities  
You will build and maintain efficient, scalable, and privacy/security\-compliant data pipelines, curated datasets for AI/ML consumption, and AI\-native self\-service data platforms using an AI\-first development methodology. As a trusted technical partner to business stakeholders and data science teams, you'll deliver well\-modeled, easily discoverable data optimized for specific use cases while leveraging AI\-powered solutions and agentic frameworks to build continuously improving systems.  
A day in the life  
* Lead AI\-assisted stakeholder engagement sessions across verticals like Subscriptions, Security, Sales, and Marketing
* Design and build curated datasets leveraging AI code generation and Agentic AI tools
* Build and maintain data pipelines using AI\-assisted development with AWS services and internal Amazon tools
This Role will:  
* Implement AI\-powered self\-service platforms with natural language interfaces
* Create intelligent governance systems for data classification, PII detection, and lineage tracking
* Facilitate AI\-augmented workshops for stakeholders to explore data capabilities collaboratively
About the team  
The Analytics \&amp; Science team for Decision Sciences is at the forefront of Ring's transformation into an AI\-powered organization. We address cross\-organizational data models, develop governance frameworks, provide direct Business Intelligence (BI) support across multiple teams, and build customer\-facing and internal AI tools that fundamentally improve how effectively and quickly the organization makes decisions.**BASIC QUALIFICATIONS**
------------------------
* Experience mentoring team members on best practices
* Experience with data modeling, warehousing and building Extract, Transform, and Load (ETL) pipelines for both analytics and ML use cases
* Experience building datasets or features for machine learning models or self\-service analytics
* Extensive hands\-on experience with Generative AI (GenAI) enhanced development pipelines, AI coding assistants, and prompt engineering
* Demonstrated ability to build tools, frameworks, or platforms that enable others
**PREFERRED QUALIFICATIONS**
----------------------------
* Experience operating large data warehouses
* Experience building multi\-agent systems, LangChain/LangGraph applications, or custom AI agent frameworks
* Experience with prompt engineering, Retrieval\-Augmented Generation (RAG) systems, and Large Language Model (LLM) fine\-tuning
* Experience with BI tools (QuickSight, Tableau, Looker) and designing datasets for analytical consumption
* Experience building or contributing to AI\-native self\-service data platforms, feature stores, or intelligent data cataloging 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Hawthorne \- 154,600\.00 \- 209,100\.00 USD annually</t>
        </is>
      </c>
    </row>
    <row r="174">
      <c r="A174" t="inlineStr">
        <is>
          <t>in-a061ac5098c1bb3b</t>
        </is>
      </c>
      <c r="B174" t="inlineStr">
        <is>
          <t>Data Engineer, Global Planning, Amazon Leo</t>
        </is>
      </c>
      <c r="C174" t="inlineStr">
        <is>
          <t>Amazon.com</t>
        </is>
      </c>
      <c r="D174" t="inlineStr">
        <is>
          <t>indeed</t>
        </is>
      </c>
      <c r="E174">
        <f>HYPERLINK("https://www.indeed.com/viewjob?jk=a061ac5098c1bb3b", "https://www.indeed.com/viewjob?jk=a061ac5098c1bb3b")</f>
        <v/>
      </c>
      <c r="F174">
        <f>HYPERLINK("https://www.amazon.jobs/jobs/3169773/data-engineer-global-planning-amazon-leo?cmpid=DA_INAD200785B", "https://www.amazon.jobs/jobs/3169773/data-engineer-global-planning-amazon-leo?cmpid=DA_INAD200785B")</f>
        <v/>
      </c>
      <c r="G174" t="inlineStr">
        <is>
          <t>Arlington, VA, US</t>
        </is>
      </c>
      <c r="H174" s="3" t="n">
        <v>46037</v>
      </c>
      <c r="I174" t="inlineStr">
        <is>
          <t>**DESCRIPTION**
---------------
Amazon Leo is an initiative to increase global broadband access through a constellation of 3,236 satellites in low Earth orbit.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We are looking for a Data Engineer in Leo's Global Planning team to build enterprise\-grade data infrastructure and data assets that will support Leo's Demand Science \&amp; Forecasting models and capacity planning \&amp; simulation systems. You will be responsible to design and implement Data Architecture, using latest AWS services and to develop production level ETL pipelines from external and internal sources / APIs. This role will be instrumental in helping Leo execute on its business plans globally and requires high level of operational excellence with a relentless focus on delivering results.  
Key job responsibilities  
In this role, you will:  
* Develop Leo data products, infrastructure and ETL pipelines to ingest, parse and transform Geospatial datasets from external \&amp; internal APIs using AWS big data technologies (Glue, S3, Redshift, MWAA, EMR, Data Zone, Lambda, etc.)
* Work alongside Data Scientists, Applied Scientists, Software Engineers and Simulation Engineers to develop appropriate data assets for statistical modeling, system integration and capacity simulations
* Improve existing solutions and come up with next generation Leo's Data Architecture to improve scale, quality and performance
* Implement data governance best practices to ensure data accuracy, consistency, and compliance with security and privacy regulations.
* Develop and maintain scripts to automate processes to generate structured datasets for forecasting POR and system inputs, with focus on efficiency and scalability
* Build data dictionary, catalog and governance plan and manage and audit all of the registered data via internal mechanisms
* Provide technical guidance and support to data consumers to leverage Global Planning data assets
Export Control Requirement:  
Due to applicable export control laws and regulations, candidates must be a U.S. citizen or national, U.S. permanent resident (i.e., current Green Card holder), or lawfully admitted into the U.S. as a refugee or granted asylum.  
About the team  
Amazon Leo Global Planning team designs and builds systems that support forecasting, management and optimization of Leo's demand, bandwidth capacity and physical inventory across customer segments and channels, worldwide.**BASIC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\- 132,100\.00 \- 178,800\.00 USD annually  
USA, WA, Bellevue \- 132,100\.00 \- 178,800\.00 USD annually</t>
        </is>
      </c>
    </row>
    <row r="175">
      <c r="A175" t="inlineStr">
        <is>
          <t>in-9f7c54f9490c1605</t>
        </is>
      </c>
      <c r="B175" t="inlineStr">
        <is>
          <t>Data Engineer, Global Planning, Amazon Leo</t>
        </is>
      </c>
      <c r="C175" t="inlineStr">
        <is>
          <t>Amazon.com</t>
        </is>
      </c>
      <c r="D175" t="inlineStr">
        <is>
          <t>indeed</t>
        </is>
      </c>
      <c r="E175">
        <f>HYPERLINK("https://www.indeed.com/viewjob?jk=9f7c54f9490c1605", "https://www.indeed.com/viewjob?jk=9f7c54f9490c1605")</f>
        <v/>
      </c>
      <c r="F175">
        <f>HYPERLINK("https://www.amazon.jobs/jobs/3169773/data-engineer-global-planning-amazon-leo?cmpid=DA_INAD200785B", "https://www.amazon.jobs/jobs/3169773/data-engineer-global-planning-amazon-leo?cmpid=DA_INAD200785B")</f>
        <v/>
      </c>
      <c r="G175" t="inlineStr">
        <is>
          <t>Bellevue, WA, US</t>
        </is>
      </c>
      <c r="H175" s="3" t="n">
        <v>46037</v>
      </c>
      <c r="I175" t="inlineStr">
        <is>
          <t>**DESCRIPTION**
---------------
Amazon Leo is an initiative to increase global broadband access through a constellation of 3,236 satellites in low Earth orbit.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We are looking for a Data Engineer in Leo's Global Planning team to build enterprise\-grade data infrastructure and data assets that will support Leo's Demand Science \&amp; Forecasting models and capacity planning \&amp; simulation systems. You will be responsible to design and implement Data Architecture, using latest AWS services and to develop production level ETL pipelines from external and internal sources / APIs. This role will be instrumental in helping Leo execute on its business plans globally and requires high level of operational excellence with a relentless focus on delivering results.  
Key job responsibilities  
In this role, you will:  
* Develop Leo data products, infrastructure and ETL pipelines to ingest, parse and transform Geospatial datasets from external \&amp; internal APIs using AWS big data technologies (Glue, S3, Redshift, MWAA, EMR, Data Zone, Lambda, etc.)
* Work alongside Data Scientists, Applied Scientists, Software Engineers and Simulation Engineers to develop appropriate data assets for statistical modeling, system integration and capacity simulations
* Improve existing solutions and come up with next generation Leo's Data Architecture to improve scale, quality and performance
* Implement data governance best practices to ensure data accuracy, consistency, and compliance with security and privacy regulations.
* Develop and maintain scripts to automate processes to generate structured datasets for forecasting POR and system inputs, with focus on efficiency and scalability
* Build data dictionary, catalog and governance plan and manage and audit all of the registered data via internal mechanisms
* Provide technical guidance and support to data consumers to leverage Global Planning data assets
Export Control Requirement:  
Due to applicable export control laws and regulations, candidates must be a U.S. citizen or national, U.S. permanent resident (i.e., current Green Card holder), or lawfully admitted into the U.S. as a refugee or granted asylum.  
About the team  
Amazon Leo Global Planning team designs and builds systems that support forecasting, management and optimization of Leo's demand, bandwidth capacity and physical inventory across customer segments and channels, worldwide.**BASIC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\- 132,100\.00 \- 178,800\.00 USD annually  
USA, WA, Bellevue \- 132,100\.00 \- 178,800\.00 USD annually</t>
        </is>
      </c>
    </row>
    <row r="176">
      <c r="A176" t="inlineStr">
        <is>
          <t>in-77fef723693e1c0f</t>
        </is>
      </c>
      <c r="B176" t="inlineStr">
        <is>
          <t>Senior Data Engineer</t>
        </is>
      </c>
      <c r="C176" t="inlineStr">
        <is>
          <t>Valvoline Global Operations</t>
        </is>
      </c>
      <c r="D176" t="inlineStr">
        <is>
          <t>indeed</t>
        </is>
      </c>
      <c r="E176">
        <f>HYPERLINK("https://www.indeed.com/viewjob?jk=77fef723693e1c0f", "https://www.indeed.com/viewjob?jk=77fef723693e1c0f")</f>
        <v/>
      </c>
      <c r="F176">
        <f>HYPERLINK("https://jobs.valvolineglobal.com/job/Senior-Data-Engineer-KY/1316654400/?feedId=414400&amp;utm_source=Indeed&amp;utm_campaign=Valvoline_Indeed", "https://jobs.valvolineglobal.com/job/Senior-Data-Engineer-KY/1316654400/?feedId=414400&amp;utm_source=Indeed&amp;utm_campaign=Valvoline_Indeed")</f>
        <v/>
      </c>
      <c r="G176" t="inlineStr">
        <is>
          <t>KY, US</t>
        </is>
      </c>
      <c r="H176" s="3" t="n">
        <v>46031</v>
      </c>
      <c r="I176" t="inlineStr">
        <is>
          <t>**Why Valvoline Global Operations?**  
At **Valvoline Global Operations**, we’re proud to be **The Original Motor Oil**, but we’ve never rested on being first. Founded in 1866, we introduced the world’s first branded motor oil, staking our claim as a pioneer in the automotive and industrial solutions industry. Today, as an affiliate of **Aramco**, one of the world’s largest integrated energy and chemicals companies, we are driven by innovation and committed to creating sustainable solutions for a better future.
With a global presence, we develop **future\-ready products** and provide **best\-in\-class services** for our partners around the world. For us, originality isn’t just about where we began; it’s about where we’re headed and how we’ll lead the way. **We are originality in motion.**
Our corporate values—**Care, Integrity, Passion, Unity, and Excellence**—are at the heart of everything we do. These values define how we operate, how we treat one another, and how we engage with our partners, customers, and the communities we serve. At Valvoline Global, we are united in our commitment to:
* Treating everyone with care.
* Acting with unwavering integrity.
* Striving for excellence in all endeavors.
* Delivering on our commitments with passion.
* Collaborating as one unified team.
When you join **Valvoline Global**, you’ll become part of a culture that celebrates creativity, innovation, and excellence. Together, we’re shaping the future of automotive and industrial solutions.
 **Job Purpose**
We are seeking a highly skilled and motivated Data Engineer to join our growing data and analytics team. The ideal candidate will have strong experience designing and developing scalable data pipelines, integrating complex systems, and optimizing data workflows. Proficiency in Databricks and SAP Datasphere is preferred, as these platforms are central to our data ecosystem. However, demonstration of aptitude to quickly adapt to new technologies from past experience is also highly valued. This role will play a critical part in ensuring the accessibility, reliability, and performance of our enterprise data infrastructure to enable impactful business intelligence and data science initiatives.
 **How You Make an Impact (Job Accountabilities)**
* Design, build, and maintain robust, scalable, and high\-performance data pipelines using Databricks and SAP Datasphere.
* Collaborate with data architects, analysts, data scientists, and business stakeholders to gather requirements and deliver data solutions aligned with stakeholders’ goals.
* Integrate diverse data sources (e.g., SAP, APIs, flat files, cloud storage) into the enterprise data platforms
* Ensure high standards of data quality and implement data governance practices. Stay current with emerging trends and technologies in cloud computing, big data, and data engineering.
* Provide ongoing support for the platform, troubleshoot any issues that arise, and ensure high availability and reliability of data infrastructure.
* Create documentation for the platform infrastructure and processes, and train other team members or users in platform effectively.
 **What You Bring to the Role (Job Qualifications / Education / Skills / Requirements / Capabilities)**
* Bachelor's or Master’s degree in Computer Science, Data Engineering, Information Systems, or a related field.
* 5\-7\+ years of experience in a data engineering or related role.
* Strong knowledge of data engineering principles, data warehousing concepts, and modern data architecture.
* Proficiency in SQL and at least one programming language (e.g., Python, Scala).
* Experience with cloud platforms (e.g., Azure, AWS, or GCP), particularly in data services.
* Familiarity with data orchestration tools (e.g., PySpark, Airflow, Azure Data Factory) and CI/CD pipelines.
 **Competencies Desired**
* Hands\-on experience with Databricks (including Spark/PySpark, Delta Lake, MLflow, Unity Catalog, etc.).
* Practical experience working with SAP Datasphere (or SAP Data Warehouse Cloud) in data modeling and data integration scenarios.
* SAP BW or SAP HANA experience is a plus.
* Experience with BI tools like Power BI or Tableau.
* Understanding of data governance frameworks and data security best practices.
* Exposure to data lakehouse architecture and real\-time streaming data pipelines.
* Certifications in Databricks, SAP, or cloud platforms are advantageous.
 **Working Conditions / Physical Requirements / Travel Requirements**
* *Working Conditions / Physical Requirements*:
* + Normal Office environment.
	+ Prolonged periods of computer use and frequent participation in meetings
	+ Occasional walking, standing, and light lifting (up to 10 lbs)
* *Travel Requirements: Minimal*
Valvoline Global is an **equal opportunity employer**. We are dedicated to fostering an environment where every individual feels valued, respected, and empowered to contribute their unique perspectives and skills. We strictly prohibit discrimination and harassment of any kind, regardless of race, color, religion, age, sex, national origin, disability, genetics, veteran status, sexual orientation, gender identity, or any other legally protected characteristic.
We are committed to ensuring accessibility throughout our recruitment process. If you require a reasonable accommodation to participate in any stage of the recruitment or selection process, please contact us at:.
* **Email**: Valvolineglobalcareers@valvolineglobal.com
This contact information is solely for accommodation requests. For inquiries about application status, please use the appropriate channels listed in your application materials.
 **Are You Ready to Make an Impact?**
At Valvoline Global, we’re looking for passionate and talented individuals to join our journey of innovation and excellence. **Are you ready to shape the future with us? Apply today.**
Requisition ID: 1687</t>
        </is>
      </c>
    </row>
    <row r="177">
      <c r="A177" t="inlineStr">
        <is>
          <t>in-1e63b1f400aa8e9e</t>
        </is>
      </c>
      <c r="B177" t="inlineStr">
        <is>
          <t>Data Engineer, Denied Party Screening, AWS Compliance &amp; Security Assurance</t>
        </is>
      </c>
      <c r="C177" t="inlineStr">
        <is>
          <t>Amazon.com</t>
        </is>
      </c>
      <c r="D177" t="inlineStr">
        <is>
          <t>indeed</t>
        </is>
      </c>
      <c r="E177">
        <f>HYPERLINK("https://www.indeed.com/viewjob?jk=1e63b1f400aa8e9e", "https://www.indeed.com/viewjob?jk=1e63b1f400aa8e9e")</f>
        <v/>
      </c>
      <c r="F177">
        <f>HYPERLINK("https://www.amazon.jobs/jobs/3160403/data-engineer-denied-party-screening-aws-compliance--security-assurance?cmpid=DA_INAD200785B", "https://www.amazon.jobs/jobs/3160403/data-engineer-denied-party-screening-aws-compliance--security-assurance?cmpid=DA_INAD200785B")</f>
        <v/>
      </c>
      <c r="G177" t="inlineStr">
        <is>
          <t>Dallas, TX, US</t>
        </is>
      </c>
      <c r="H177" s="3" t="n">
        <v>46029</v>
      </c>
      <c r="I177"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178">
      <c r="A178" t="inlineStr">
        <is>
          <t>in-56599992d5a83913</t>
        </is>
      </c>
      <c r="B178" t="inlineStr">
        <is>
          <t>Data Engineer, Denied Party Screening, AWS Compliance &amp; Security Assurance</t>
        </is>
      </c>
      <c r="C178" t="inlineStr">
        <is>
          <t>Amazon.com</t>
        </is>
      </c>
      <c r="D178" t="inlineStr">
        <is>
          <t>indeed</t>
        </is>
      </c>
      <c r="E178">
        <f>HYPERLINK("https://www.indeed.com/viewjob?jk=56599992d5a83913", "https://www.indeed.com/viewjob?jk=56599992d5a83913")</f>
        <v/>
      </c>
      <c r="F178">
        <f>HYPERLINK("https://www.amazon.jobs/jobs/3160403/data-engineer-denied-party-screening-aws-compliance--security-assurance?cmpid=DA_INAD200785B", "https://www.amazon.jobs/jobs/3160403/data-engineer-denied-party-screening-aws-compliance--security-assurance?cmpid=DA_INAD200785B")</f>
        <v/>
      </c>
      <c r="G178" t="inlineStr">
        <is>
          <t>Seattle, WA, US</t>
        </is>
      </c>
      <c r="H178" s="3" t="n">
        <v>46029</v>
      </c>
      <c r="I178"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179">
      <c r="A179" t="inlineStr">
        <is>
          <t>in-cc058726b6dc8004</t>
        </is>
      </c>
      <c r="B179" t="inlineStr">
        <is>
          <t>Data Engineer</t>
        </is>
      </c>
      <c r="C179" t="inlineStr">
        <is>
          <t>Amazon.com</t>
        </is>
      </c>
      <c r="D179" t="inlineStr">
        <is>
          <t>indeed</t>
        </is>
      </c>
      <c r="E179">
        <f>HYPERLINK("https://www.indeed.com/viewjob?jk=cc058726b6dc8004", "https://www.indeed.com/viewjob?jk=cc058726b6dc8004")</f>
        <v/>
      </c>
      <c r="F179">
        <f>HYPERLINK("https://www.amazon.jobs/jobs/3141339/data-engineer?cmpid=DA_INAD200785B", "https://www.amazon.jobs/jobs/3141339/data-engineer?cmpid=DA_INAD200785B")</f>
        <v/>
      </c>
      <c r="G179" t="inlineStr">
        <is>
          <t>San Francisco, CA, US</t>
        </is>
      </c>
      <c r="H179" s="3" t="n">
        <v>46001</v>
      </c>
      <c r="I17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0">
      <c r="A180" t="inlineStr">
        <is>
          <t>in-0ec90f100d9944ff</t>
        </is>
      </c>
      <c r="B180" t="inlineStr">
        <is>
          <t>Data Engineer</t>
        </is>
      </c>
      <c r="C180" t="inlineStr">
        <is>
          <t>Amazon.com</t>
        </is>
      </c>
      <c r="D180" t="inlineStr">
        <is>
          <t>indeed</t>
        </is>
      </c>
      <c r="E180">
        <f>HYPERLINK("https://www.indeed.com/viewjob?jk=0ec90f100d9944ff", "https://www.indeed.com/viewjob?jk=0ec90f100d9944ff")</f>
        <v/>
      </c>
      <c r="F180">
        <f>HYPERLINK("https://www.amazon.jobs/jobs/3141339/data-engineer?cmpid=DA_INAD200785B", "https://www.amazon.jobs/jobs/3141339/data-engineer?cmpid=DA_INAD200785B")</f>
        <v/>
      </c>
      <c r="G180" t="inlineStr">
        <is>
          <t>Seattle, WA, US</t>
        </is>
      </c>
      <c r="H180" s="3" t="n">
        <v>46001</v>
      </c>
      <c r="I18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1">
      <c r="A181" t="inlineStr">
        <is>
          <t>in-85d56f175a9faa34</t>
        </is>
      </c>
      <c r="B181" t="inlineStr">
        <is>
          <t>Delivery Consultant - Data Engineer, Data and Machine Learning, WWPS US Federal</t>
        </is>
      </c>
      <c r="C181" t="inlineStr">
        <is>
          <t>Amazon Web Services</t>
        </is>
      </c>
      <c r="D181" t="inlineStr">
        <is>
          <t>indeed</t>
        </is>
      </c>
      <c r="E181">
        <f>HYPERLINK("https://www.indeed.com/viewjob?jk=85d56f175a9faa34", "https://www.indeed.com/viewjob?jk=85d56f175a9faa34")</f>
        <v/>
      </c>
      <c r="F181">
        <f>HYPERLINK("https://www.amazon.jobs/jobs/3134583/delivery-consultant--data-engineer-data-and-machine-learning-wwps-us-federal?cmpid=DA_INAD200785B", "https://www.amazon.jobs/jobs/3134583/delivery-consultant--data-engineer-data-and-machine-learning-wwps-us-federal?cmpid=DA_INAD200785B")</f>
        <v/>
      </c>
      <c r="G181" t="inlineStr">
        <is>
          <t>Arlington, VA, US</t>
        </is>
      </c>
      <c r="H181" s="3" t="n">
        <v>45991</v>
      </c>
      <c r="I181"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2">
      <c r="A182" t="inlineStr">
        <is>
          <t>in-e88c0eabdf81bd64</t>
        </is>
      </c>
      <c r="B182" t="inlineStr">
        <is>
          <t>Delivery Consultant - Data Engineer, Data and Machine Learning, WWPS US Federal</t>
        </is>
      </c>
      <c r="C182" t="inlineStr">
        <is>
          <t>Amazon Web Services</t>
        </is>
      </c>
      <c r="D182" t="inlineStr">
        <is>
          <t>indeed</t>
        </is>
      </c>
      <c r="E182">
        <f>HYPERLINK("https://www.indeed.com/viewjob?jk=e88c0eabdf81bd64", "https://www.indeed.com/viewjob?jk=e88c0eabdf81bd64")</f>
        <v/>
      </c>
      <c r="F182">
        <f>HYPERLINK("https://www.amazon.jobs/jobs/3134583/delivery-consultant--data-engineer-data-and-machine-learning-wwps-us-federal?cmpid=DA_INAD200785B", "https://www.amazon.jobs/jobs/3134583/delivery-consultant--data-engineer-data-and-machine-learning-wwps-us-federal?cmpid=DA_INAD200785B")</f>
        <v/>
      </c>
      <c r="G182" t="inlineStr">
        <is>
          <t>Herndon, VA, US</t>
        </is>
      </c>
      <c r="H182" s="3" t="n">
        <v>45991</v>
      </c>
      <c r="I182"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3">
      <c r="A183" t="inlineStr">
        <is>
          <t>in-91b03b9b0f1a5fb6</t>
        </is>
      </c>
      <c r="B183" t="inlineStr">
        <is>
          <t>Data Engineering Manager, Analytics</t>
        </is>
      </c>
      <c r="C183" t="inlineStr">
        <is>
          <t>Meta</t>
        </is>
      </c>
      <c r="D183" t="inlineStr">
        <is>
          <t>indeed</t>
        </is>
      </c>
      <c r="E183">
        <f>HYPERLINK("https://www.indeed.com/viewjob?jk=91b03b9b0f1a5fb6", "https://www.indeed.com/viewjob?jk=91b03b9b0f1a5fb6")</f>
        <v/>
      </c>
      <c r="F183">
        <f>HYPERLINK("https://jsv3.recruitics.com/redirect?rx_cid=3239&amp;rx_jobId=a1KDp00000CZL3wMAH_1001&amp;rx_url=https%3A%2F%2Fwww.metacareers.com%2Fjobs%2F2102795143864876%2F%3Frx_campaign%3Dindeed0%26rx_ch%3Dvp%26rx_group%3D187943%26rx_id%3D3072c227-fd30-11f0-be34-73774da9d6ed%26rx_job%3Da1KDp00000CZL3wMAH_1001%26rx_medium%3Dcpc%26rx_r%3Dnone%26rx_source%3Dindeed%26rx_ts%3D20260130T001202Z%26rx_vp%3Dcpc%26utm_campaign%3DJob%252Bboard%26utm_medium%3Djobs%26utm_source%3Dindeedorganic", "https://jsv3.recruitics.com/redirect?rx_cid=3239&amp;rx_jobId=a1KDp00000CZL3wMAH_1001&amp;rx_url=https%3A%2F%2Fwww.metacareers.com%2Fjobs%2F2102795143864876%2F%3Frx_campaign%3Dindeed0%26rx_ch%3Dvp%26rx_group%3D187943%26rx_id%3D3072c227-fd30-11f0-be34-73774da9d6ed%26rx_job%3Da1KDp00000CZL3wMAH_1001%26rx_medium%3Dcpc%26rx_r%3Dnone%26rx_source%3Dindeed%26rx_ts%3D20260130T001202Z%26rx_vp%3Dcpc%26utm_campaign%3DJob%252Bboard%26utm_medium%3Djobs%26utm_source%3Dindeedorganic")</f>
        <v/>
      </c>
      <c r="G183" t="inlineStr">
        <is>
          <t>Menlo Park, CA, US</t>
        </is>
      </c>
      <c r="H183" s="3" t="n">
        <v>46035</v>
      </c>
      <c r="I183" t="inlineStr">
        <is>
          <t>We're looking for a leader in our Data Engineering team to work closely with Product Managers, Data Scientists and Software Engineers to support product launches and roadmaps by building the data architecture that informs and drives insight. In this role, there will be a direct link between your work, company growth, and user satisfaction. You'll work with some of the brightest minds in the industry, work with one of the richest data sets in the world, use cutting edge technology, and see your efforts affect products and people on a regular basis.  
### **Data Engineering Manager, Analytics Responsibilities:**
* Drive the mission and strategy for Business Intelligence (BI) and Data Warehousing across a product vertical
* Build and lead a high\-quality BI and Data Warehousing team, designing it to scale
* Develop cross\-functional relationships with stakeholders to understand data needs and deliver on those needs
* Manage data warehouse plans, drive data quality, and ensure operational efficiency
* Design, build, and launch new data models and pipelines in production
* Deliver high\-impact dashboards and data visualizations
* Define and manage Service Level Agreements (SLAs) for all data sets and processes running in production
* Drive efficiency and speed, project management leadership, and a vision for how BI can proactively improve companies
### **Minimum Qualifications:**
* A minimum of 4 years of work experience (2\+ years with a Ph.D.) in applied analytics, including a minimum of 2 years of experience managing analytics teams
* 8\+ years of experience in BI and Data Warehousing
* 2\+ years of experience managing people with experience scaling and managing 3\+ person teams
* Bachelor of Arts/Bachelor of Science in Computer Science, Math, Physics, or other technical fields
* Experience initiating and completing BI, data warehousing and/or analytical projects with minimal guidance
* Experience communicating results of analysis to executive leadership
* Project management experience
* Data architecture experience
* Experience with data querying languages (e.g. SQL) and development experience in at least one object\-oriented language (Python, Java, etc.)
* Experience working closely on cross\-functional teams, including Data Engineering, Data Science, Software Engineering, and Product Management
### **Preferred Qualifications:**
* Experience working closely on cross\-functional teams, including Data Engineering, Data Science, Software Engineering, and Product Management
* Experience with Big Data, Hadoop, and Data visualization tools
* Advanced degree (e.g.: Master of Science, PhD)
* Experience working with user facing Products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84">
      <c r="A184" t="inlineStr">
        <is>
          <t>in-36cf6144c22454f2</t>
        </is>
      </c>
      <c r="B184" t="inlineStr">
        <is>
          <t>Data Engineering Manager, Analytics</t>
        </is>
      </c>
      <c r="C184" t="inlineStr">
        <is>
          <t>Meta</t>
        </is>
      </c>
      <c r="D184" t="inlineStr">
        <is>
          <t>indeed</t>
        </is>
      </c>
      <c r="E184">
        <f>HYPERLINK("https://www.indeed.com/viewjob?jk=36cf6144c22454f2", "https://www.indeed.com/viewjob?jk=36cf6144c22454f2")</f>
        <v/>
      </c>
      <c r="F184">
        <f>HYPERLINK("https://jsv3.recruitics.com/redirect?rx_cid=3239&amp;rx_jobId=a1KDp00000CZL3wMAH_1002&amp;rx_url=https%3A%2F%2Fwww.metacareers.com%2Fjobs%2F2102795143864876%2F%3Frx_campaign%3Dindeed0%26rx_ch%3Dvp%26rx_group%3D187943%26rx_id%3D2abfb70f-fd30-11f0-be34-6767834c78fb%26rx_job%3Da1KDp00000CZL3wMAH_1002%26rx_medium%3Dcpc%26rx_r%3Dnone%26rx_source%3Dindeed%26rx_ts%3D20260130T001202Z%26rx_vp%3Dcpc%26utm_campaign%3DJob%252Bboard%26utm_medium%3Djobs%26utm_source%3Dindeedorganic", "https://jsv3.recruitics.com/redirect?rx_cid=3239&amp;rx_jobId=a1KDp00000CZL3wMAH_1002&amp;rx_url=https%3A%2F%2Fwww.metacareers.com%2Fjobs%2F2102795143864876%2F%3Frx_campaign%3Dindeed0%26rx_ch%3Dvp%26rx_group%3D187943%26rx_id%3D2abfb70f-fd30-11f0-be34-6767834c78fb%26rx_job%3Da1KDp00000CZL3wMAH_1002%26rx_medium%3Dcpc%26rx_r%3Dnone%26rx_source%3Dindeed%26rx_ts%3D20260130T001202Z%26rx_vp%3Dcpc%26utm_campaign%3DJob%252Bboard%26utm_medium%3Djobs%26utm_source%3Dindeedorganic")</f>
        <v/>
      </c>
      <c r="G184" t="inlineStr">
        <is>
          <t>Seattle, WA, US</t>
        </is>
      </c>
      <c r="H184" s="3" t="n">
        <v>46035</v>
      </c>
      <c r="I184" t="inlineStr">
        <is>
          <t>We're looking for a leader in our Data Engineering team to work closely with Product Managers, Data Scientists and Software Engineers to support product launches and roadmaps by building the data architecture that informs and drives insight. In this role, there will be a direct link between your work, company growth, and user satisfaction. You'll work with some of the brightest minds in the industry, work with one of the richest data sets in the world, use cutting edge technology, and see your efforts affect products and people on a regular basis.  
### **Data Engineering Manager, Analytics Responsibilities:**
* Drive the mission and strategy for Business Intelligence (BI) and Data Warehousing across a product vertical
* Build and lead a high\-quality BI and Data Warehousing team, designing it to scale
* Develop cross\-functional relationships with stakeholders to understand data needs and deliver on those needs
* Manage data warehouse plans, drive data quality, and ensure operational efficiency
* Design, build, and launch new data models and pipelines in production
* Deliver high\-impact dashboards and data visualizations
* Define and manage Service Level Agreements (SLAs) for all data sets and processes running in production
* Drive efficiency and speed, project management leadership, and a vision for how BI can proactively improve companies
### **Minimum Qualifications:**
* A minimum of 4 years of work experience (2\+ years with a Ph.D.) in applied analytics, including a minimum of 2 years of experience managing analytics teams
* 8\+ years of experience in BI and Data Warehousing
* 2\+ years of experience managing people with experience scaling and managing 3\+ person teams
* Bachelor of Arts/Bachelor of Science in Computer Science, Math, Physics, or other technical fields
* Experience initiating and completing BI, data warehousing and/or analytical projects with minimal guidance
* Experience communicating results of analysis to executive leadership
* Project management experience
* Data architecture experience
* Experience with data querying languages (e.g. SQL) and development experience in at least one object\-oriented language (Python, Java, etc.)
* Experience working closely on cross\-functional teams, including Data Engineering, Data Science, Software Engineering, and Product Management
### **Preferred Qualifications:**
* Experience working closely on cross\-functional teams, including Data Engineering, Data Science, Software Engineering, and Product Management
* Experience with Big Data, Hadoop, and Data visualization tools
* Advanced degree (e.g.: Master of Science, PhD)
* Experience working with user facing Products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li-4367308505</t>
        </is>
      </c>
      <c r="B2" t="inlineStr">
        <is>
          <t>Data Engineer</t>
        </is>
      </c>
      <c r="C2" t="inlineStr">
        <is>
          <t>Largeton Group</t>
        </is>
      </c>
      <c r="D2" t="inlineStr">
        <is>
          <t>linkedin</t>
        </is>
      </c>
      <c r="E2" t="inlineStr"/>
      <c r="F2" t="inlineStr"/>
      <c r="G2" t="inlineStr">
        <is>
          <t>Orlando, FL</t>
        </is>
      </c>
      <c r="H2" t="inlineStr"/>
      <c r="I2" t="inlineStr">
        <is>
          <t>**Client: Travel \+ Leisure Co.
 Duration \- 6 Month Contract to Hire
 Location \- Orlando, FL \- Hybrid (Monday \- Wednesday on site T\&amp;F remote) \- Locals Only
 LinkedIn required**
 We’re seeking a skilled and motivated
 **Data Engineer** 
 to join our team and help drive data\-driven decision\-making across the organization. This role is ideal for someone passionate about building scalable data solutions and collaborating cross\-functionally to deliver impactful analytics.
**Technical Skills \&amp; Experience**
* Strong working knowledge of SQL, including relational databases, query development, and database design. \* Must Have
* Experience building and optimizing data pipelines and datasets using scripting languages and ETL tools.
* Proven ability in data modeling and data warehouse management.
* Experience processing and analyzing large, disparate datasets.
* Strong analytical skills, including working with structured and unstructured data.
* Experience building and consuming APIs to exchange data between systems. \*Must have
* Ability to perform root cause analysis to answer business questions and identify improvement opportunities.
**Required Experience**
* 3\+ years of relevant experience in data engineering or related IT roles.
* 1\+ year of experience with big data and cloud technologies (e.g., Spark, Hadoop, Python, or similar) and cloud architectures.
* 1\+ year of experience developing applications using modern programming frameworks (e.g., C\#/.NET or similar) for web or desktop \*Must have environments.
* 2\+ years of experience in data modeling and database development using enterprise database platforms (e.g., SQL\-based systems or cloud data warehouses). \*Must have
* 1\+ year of experience building data pipelines and ETL workflows in cloud and on\-premises environments using common integration or orchestration tools (e.g., Airflow, Informatica, Kafka, or similar). \* Must have</t>
        </is>
      </c>
    </row>
    <row r="3">
      <c r="A3" t="inlineStr">
        <is>
          <t>li-4356636621</t>
        </is>
      </c>
      <c r="B3" t="inlineStr">
        <is>
          <t>Data Engineer</t>
        </is>
      </c>
      <c r="C3" t="inlineStr">
        <is>
          <t>Outdoorsy</t>
        </is>
      </c>
      <c r="D3" t="inlineStr">
        <is>
          <t>linkedin</t>
        </is>
      </c>
      <c r="E3" t="inlineStr"/>
      <c r="F3" t="inlineStr"/>
      <c r="G3" t="inlineStr">
        <is>
          <t>Austin, TX</t>
        </is>
      </c>
      <c r="H3" t="inlineStr"/>
      <c r="I3" t="inlineStr">
        <is>
          <t>**About The Outdoorsy Group**
 Founded in 2015, Outdoorsy Group pioneered access to the outdoors by building the world's leading outdoor travel ecosystem. Millions of guests trust Outdoorsy to create lifelong family memories, while hosts rely on its products and innovations to grow their businesses and unlock life\-changing sources of income. Outdoorsy Group's portfolio includes Outdoorsy.com, the largest outdoor travel and hospitality marketplace; the
 **Destination Network** 
 , a growing collection of campgrounds and glamping retreats set in some of the country's most iconic landscapes; and
 **Roamly,** 
 its proprietary insurtech platform powering Outdoorsy.com and enabling insurance infrastructure for global marketplaces. Together, Outdoorsy Group's businesses are united by a long\-term mission: to restore our relationship with the outdoors—and with one another.
**About Outdoorsy**
 Outdoorsy is the world's largest RV rental and outdoor travel marketplace. Our platform has facilitated over
 **9 million nights spent outdoors** 
 across almost
 **2 million trips** 
 , establishing us as the leader in experiential travel through RV rentals that are available in 4,800 cities across North America. Outdoorsy's marketplace, insurance, and retreats provide life\-changing financial benefits for RV hosts and retreat communities and offer guests the trust and guidance they need to enjoy memorable rustic travel experiences. Outdoorsy's team is inspired by a mission to restore our relationship with the outdoors and each other by inviting guests to Live Outdoorsy.
**About Roamly**
 Roamly is a leading provider of innovative, specialty insurance solutions purpose\-built for the modern mobility and marketplace travel economy. As a Lloyd's Coverholder and AI\-first insurance innovator, Roamly delivers a robust platform, deep carrier partnerships, and an expanding ecosystem that empowers consumers, professional fleet owners, and marketplaces to unlock new revenue streams while reducing risk. Our technology harnesses AI, advanced automation, and embedded distribution to power tailored coverages for recreational vehicles, carsharing, and other emerging mobility models—covering everything from underwriting and claims to compliance, data analytics, and real\-time risk management. Learn more at www.roamly.com.
**About the Role:**
 The Outdoorsy Group is seeking an experienced Data Engineer to drive two business critical functions: the synthesis of data sources to develop a Customer 360 view across our suite of products, and achieving AI readiness by creating real\-time data flows that connect to AI agents. To date, our data has been siloed across different products and tools, each with their own identifiers and structures. The ideal candidate will be able to show a track record of success building scalable data pipelines that solve Identity Resolution challenges, as well as experience building infrastructure for LLM\-based applications. If you're self\-driven and looking to make an impact in a fast\-paced environment, then we'd love to have you!
**Requirements**
**Key Responsibilities \&amp; Deliverables**
* Enhance Identity Resolution such that there is a source\-of\-truth Customer 360 view that links users across our RV marketplace, internal insurance products, and 3rd\-party insurance partners.
* Develop fuzzy matching algorithms to triangulate single users across data that lacks common IDs
* Build and maintain scalable ELT/ETL pipelines (using tools like dbt, Airflow, FiveTran) that sync siloed SQL databases, external CRM data, and 3rd\-party insurance and claims data into a unified warehouse (Redshift/BigQuery)
* Architect real\-time data flows to feed an AI agent, achieving AI Readiness. Through Knowledge Graphs, Vector Databases, and Retrieval\-Automated Generation, ensure agents can access e.g. latest policy status, upsell propensity scores, and customer history in near real\-time
* Own all aspects of data governance between our operational systems and the AI agent to ensure privacy, security and high\-fidelity responses
**Who You Are (Candidate Profile)**
* Industry Expert: 3\+ years data engineering experience building production\-grade data warehouses and pipelines. Travel, marketplace, or insurance experience is a bonus, but not essential
* Technically Proficient: Advanced expertise in SQL and Python, with the ability to write complex transformations and fuzzy matching algorithms, and handle messy 3rd\-party data formats
* Identity Resolution Experience: Direct experience with ‘Customer 360' or ‘Golden Rule' projects that establish source\-of\-truth customer profiles across disparate products and data sources
* Real\-Time LLM Context: Experience with streaming technologies (Kafka, Pub/Sub) or building infrastructure for LLM\-based applications (Knowledge Graphs, Vector Databases, RAG)
* Collaborative Team Player: You work effectively across departments, e.g. Product, Engineering, and Finance, and understand that great products come from diverse perspectives
* Velocity\-Focused: You thrive in fast\-paced environments where priorities shift quickly, and you're energized by solving real customer problems
* Academic Background: Degree in a technical quantitative field like computer science, data science, and engineering, or equivalent practical experience
* Candidates in Austin, Texas will be prioritized
**Benefits**
**Why You'll Love Working Here**
* Competitive Compensation: Base salary of $140k\-$200k DOE
* Growth Opportunity: Join a company in its early stages and help build its foundation for success
* Equity: Opportunity to earn equity compensation
* Comprehensive Benefits: 100% company\-paid medical premiums for employees, 401(k) \[Match], and Flexible PTO
* Vibrant Culture: Lively Austin HQ with catered lunches, Happy Hours, and team\-building events
* Work\-Life Balance: Enjoy RV rental discounts and a company culture that values a healthy balance between work and adventure</t>
        </is>
      </c>
    </row>
    <row r="4">
      <c r="A4" t="inlineStr">
        <is>
          <t>li-4366879646</t>
        </is>
      </c>
      <c r="B4" t="inlineStr">
        <is>
          <t>Senior Analytics Engineer</t>
        </is>
      </c>
      <c r="C4" t="inlineStr">
        <is>
          <t>BetterUp</t>
        </is>
      </c>
      <c r="D4" t="inlineStr">
        <is>
          <t>linkedin</t>
        </is>
      </c>
      <c r="E4" t="inlineStr"/>
      <c r="F4" t="inlineStr"/>
      <c r="G4" t="inlineStr">
        <is>
          <t>San Francisco, CA</t>
        </is>
      </c>
      <c r="H4" t="inlineStr"/>
      <c r="I4" t="inlineStr">
        <is>
          <t>**Let’s face it, a company whose mission is human transformation better have some fresh thinking about the employer/employee relationship.**
 We do. We can’t cram it all in here, but you’ll start noticing it from the first interview.
 Even our candidate experience is different. And when you get an offer from us (and accept it), you get way more than a paycheck. You get a personal BetterUp Coach, a development plan, a trained and coached manager, the most amazing team you’ve ever met (yes, each with their own personal BetterUp Coach), and most importantly, work that matters.
 This makes for a remarkably focused and fulfilling work experience. Frankly, it’s not for everyone. But for people with fire in their belly, it’s a game\-changing, career\-defining, soul\-lifting move.
**Join us and we promise you the most intense and fulfilling years of your career, doing life\-changing work in a fun, inventive, soulful culture.**
 If that sounds exciting—and the job description below feels like a fit—we really should start talking.
 We are looking for a
 **Senior Analytics Engineer** 
 with experience building data modeling systems within a modern data stack, supported by intelligent data warehousing and adaptable business intelligence systems, to join our team. At BetterUp we believe data is critical to our success and this role on the Analytics Engineering team will be crucial to this strategy of delivering exceptional data products that will drive key business decisions. If you are passionate about helping people reach their potential, thrive in a fast\-paced startup environment where you get to build the future, and love data then this is the role for you.
**What You’ll Do**
* Architect, build and maintain efficient and reliable data products (dbt models, pipelines, Looker explores, visualizations, etc.) that enable data driven decision making.
* Build and maintain ELT pipelines from source systems to data warehouses.
* Influence strategy and drive execution of our analytical roadmap delivering self\-service business intelligence at scale.
* Provide leadership and mentorship to other engineers fostering collaboration, knowledge sharing and a high bar for quality.
* Improve end users trust and confidence by driving best practices with regards to data discoverability, observability, lineage and stewardship.
* Contribute towards a robust data security strategy protecting sensitive information and content.
* Solve critical business problems through the application of programming, optimization, automation, and analytical skills.
**If you have some or** 
**all of the following, please apply:**
* Minimum 5\+ years of relevant experience in data engineering and/or analytics engineering
* Advanced SQL skills with 5\+ years of deep experience with Snowflake or similar DB
* Expertise with data modeling and ETL/ELT (DBT preferred, pipeline development a plus)
* Seasoned developer (5\+ years) within a modern business intelligence tool (Looker preferred)
* Experience applying software engineering principles (testing, version control, code reviews, CI/CD, etc.) in your working process, to scale analytical development
* Proven track record of working with data teams in a fast\-paced, startup environment
* Proven track record of successfully working cross\-functionally with both technical and non\-technical stakeholders
* Solutions\-driven and thrives when given ambiguous, open\-ended problems
* Proven success driving projects through implementation to completion, including stakeholder education and onboarding
* Obsessed with data protections and privacy (i.e. PII, GDPR, FedRAMP, FIPS, etc.)
**AI at BetterUp**
 Our team thrives at the intersection of human expertise and AI capability. As an AI\-forward company, adaptation and continuous learning are part of our daily work. We're looking for teammates who are excited to evolve alongside technology – people who experiment boldly, share their discoveries openly, and help define best practices for AI\-augmented work. These professionals thoughtfully integrate AI into their work to deliver exceptional results while maintaining the human judgment and creativity that drives real innovation. During our interview process, you’ll have opportunities to showcase how you harness AI to learn, iterate, and amplify your impact.
**Benefits**
 At BetterUp, we are committed to living out our mission every day and that starts with providing benefits that allow our employees to care for themselves, support their families, and give back to their community.
* Access to BetterUp coaching; one for you and one for a friend or family member
* A competitive compensation plan with opportunity for advancement
* Medical, dental, and vision insurance
* Flexible paid time off
* Per year:
+ All federal/statutory holidays observed
+ 4 BetterUp Inner Workdays (https://www.betterup.co/inner\-work)
+ 5 Volunteer Days to give back
+ Learning and Development stipend
+ Company wide Summer \&amp; Winter breaks
* Year\-round charitable contribution of your choice on behalf of BetterUp
* 401(k) self contribution
 We are dedicated to building diverse teams that fuel an authentic workplace and sense of belonging for each and every employee. We know applying for a job can be intimidating, please don’t hesitate to reach out — we encourage everyone interested in joining us to apply.
 BetterUp Inc. provides equal employment opportunities (EEO) to all employees and applicants for employment without regard to race, color, religion, sex, national origin, disability, genetics, gender, sexual orientation, age, marital status, veteran status. In addition to federal law requirements, BetterUp Inc.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At BetterUp, we compensate our employees fairly for their work. Base salary is determined by job\-related experience, education/training, residence location, as well as market indicators. The range below is representative of base salary only and does not include equity, sales bonus plans (when applicable) and benefits. This range may be modified in the future.
 The base salary range for this role is as follows:
 New York City and San Francisco:
 **$176,000 \- $242,000**
 Austin and Arlington:
 **$158,000 \- 217,000**
*Protecting your privacy and treating your personal information with care is very important to us, and central to the entire BetterUp family. By submitting your application, you acknowledge that your personal information will be processed in accordance with our* 
*Applicant Privacy Notice* 
*. If you have any questions about the privacy of your personal information or your rights with regards to your personal information, please reach out to support@betterup.co*</t>
        </is>
      </c>
    </row>
    <row r="5">
      <c r="A5" t="inlineStr">
        <is>
          <t>li-4367013626</t>
        </is>
      </c>
      <c r="B5" t="inlineStr">
        <is>
          <t>Data Engineer</t>
        </is>
      </c>
      <c r="C5" t="inlineStr">
        <is>
          <t>Apple</t>
        </is>
      </c>
      <c r="D5" t="inlineStr">
        <is>
          <t>linkedin</t>
        </is>
      </c>
      <c r="E5" t="inlineStr"/>
      <c r="F5" t="inlineStr"/>
      <c r="G5" t="inlineStr">
        <is>
          <t>Austin, TX</t>
        </is>
      </c>
      <c r="H5" t="inlineStr"/>
      <c r="I5" t="inlineStr">
        <is>
          <t>**Summary**
 Imagine what you can do here. Apple is a place where extraordinary people gather to do their lives best work. Together we create products and experiences people once couldn’t have imagined, and now, can’t imagine living without. It’s the diversity of those people and their ideas that inspires the innovation that runs through everything we do.
**Description**
 APPLE INC has the following available in Austin, Texas. Gather and communicate data capture requirements for business and marketing platforms that enables the technology teams to build data systems that capture the appropriate data, enabling key insights for Product Managers to manage their platforms. Conduct end\-to\-end analysis across all AppleCare touch points, including data gathering from large and complex datasets to support recommendations for action. Drive the generation of insights from raw, unstructured data to improve existing features and explore future directions. This includes cross linking of multiple data assets and driving cross platform analysis. Develop extensive knowledge of existing business and operational metrics that enable the organization to monitor and track performance across fiscal periods. Create new metrics for performance measurement and advocate for changes to existing metrics where needed to ensure the accurate development of reporting solutions across key areas of sales, service, repair and digital assets. Develop and maintain complex Tableau dashboards, aggregating data from multiple data sources to enable real\-time trend visibility of operational metrics for business stakeholders. Support Tableau developers by writing complex SQL queries and providing easily queryable datasets in the form of Tableau extracts and database views to ensure error free and scalable daily data pulls from the base datasystems. Interface with technical teams—including DBA \&amp; engineering—to ensure proper functioning of all data pipelines and health of data warehouse. 40 hours/week.
**Minimum Qualifications**
* Master's degree or foreign equivalent in Analytics, Data Science, Computer Science, Engineering (any), or a related field and 5 years of prior work experience.
* 5 years of experience with each of the following skills is required:
* Performing data engineering for conceptualizing, developing and maintaining data pipelines across digital platforms.
* Performing data visualization and creating business dashboards using tools such as Tableau for business teams to enable easy consumption of complex data trends.
* Using SQL for pulling key data, join information from multiple data systems, and develop a single view of key events across the Digital landscape.
* Using Python for aggregating very large datasets, running daily data jobs and using advanced packages to handle data.
* Identifying, defining, and creating business metrics, measures and Key Performance Indicators (KPIs) for Business teams that enable them to assess the impact of their initiatives and move towards meeting their annual goals.
* Additionally, experience and/or education must include:
* Building and deploying statistical models using cloud\-based tools and infrastructure.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6">
      <c r="A6" t="inlineStr">
        <is>
          <t>li-4367304513</t>
        </is>
      </c>
      <c r="B6" t="inlineStr">
        <is>
          <t>Senior Data Engineer</t>
        </is>
      </c>
      <c r="C6" t="inlineStr">
        <is>
          <t>Largeton Group</t>
        </is>
      </c>
      <c r="D6" t="inlineStr">
        <is>
          <t>linkedin</t>
        </is>
      </c>
      <c r="E6" t="inlineStr"/>
      <c r="F6" t="inlineStr"/>
      <c r="G6" t="inlineStr">
        <is>
          <t>Orlando, FL</t>
        </is>
      </c>
      <c r="H6" t="inlineStr"/>
      <c r="I6" t="inlineStr">
        <is>
          <t>**Sr. Data Engineer
 Duration \- 12\+ month Contract
 Location \- Orlando FL,Hybrid (3 days on site)
 LinkedIn required**
**Responsibilities / What You Will Do**
* Plan and lead research and development for advanced analytical data solutions, including the use of generative AI.
* Partner with business and technical stakeholders to gather requirements, understand data sources, and design and build effective data pipelines.
* Collaborate with project team members, lead design reviews, contribute hands\-on development, and communicate progress and solutions to stakeholders.
**Requirements**
* 7\+ years of data engineering experience across multiple environments (e.g., Dev, QA, Production) with DevOps practices for code deployment.
* Experience working with a range of generative AI models, tools, and concepts. \* Must Have
* 5\+ years of proven experience using SQL and Python. \* Must Have
* 3\+ years of experience designing and building relational databases (e.g., Snowflake, PostgreSQL, or similar). \* Must have
* Experience translating high\-level requirements into technical data engineering tasks.
* Experience developing solutions for complex data engineering challenges that support advanced analytics.
* Familiarity with concepts such as Knowledge Graphs, Data Mesh, and data\-sharing platforms.
* 3\+ years of experience managing and deploying code with source control tools (e.g., Git\-based platforms).
* 2\+ years of experience with job scheduling and orchestration tools (e.g., Airflow or similar).
* Several years of experience building and maintaining ELT/ETL data pipelines. \*Must Have
* Experience with containerization technologies (e.g., Docker, Kubernetes). \*Must Have
**Education**
* Bachelor’s degree in Computer Science, Mathematics, Software Engineering, or a related field, or equivalent practical experience.
* 15\+ Years of IT experience if no Bachelor's degree</t>
        </is>
      </c>
    </row>
    <row r="7">
      <c r="A7" t="inlineStr">
        <is>
          <t>li-4367349157</t>
        </is>
      </c>
      <c r="B7" t="inlineStr">
        <is>
          <t>Data Engineer</t>
        </is>
      </c>
      <c r="C7" t="inlineStr">
        <is>
          <t>Wolverine Trading</t>
        </is>
      </c>
      <c r="D7" t="inlineStr">
        <is>
          <t>linkedin</t>
        </is>
      </c>
      <c r="E7" t="inlineStr"/>
      <c r="F7" t="inlineStr"/>
      <c r="G7" t="inlineStr">
        <is>
          <t>Chicago, IL</t>
        </is>
      </c>
      <c r="H7" t="inlineStr"/>
      <c r="I7" t="inlineStr">
        <is>
          <t>**Department:** 
 Technology
**Location:** 
 Chicago, IL
**Description**
 We are seeking a motivated, self\-directed, and technically outstanding data engineer to join our team of engineers responsible for designing, building, and maintaining the data pipelines that are critical to our business. The ideal candidate enjoys optimizing data systems and building them from the ground up. You should be comfortable supporting our developers, data analysts, and traders to ensure data delivery is consistent, high\-quality, and secure.
**Hours** 
* Hours for this position will be 5:30 AM CST to 2:30 initially and are expected to shift to the evening at a later date.
**Location** 
* Our office is in Chicago, and a Chicago based employee is preferred. However, due to the non\-standard working hours required, we will consider a remote employee with the right experience and skillset
**What You’ll Do**
* Pipeline Development: Design, construct, and manage scalable data pipelines.
* Architecture: Build the infrastructure required for optimal extraction, transformation, and loading of data from a wide variety of data sources.
* Optimization: Identify, design, and implement internal process improvements: automating manual processes, optimizing data delivery, and re\-designing infrastructure for greater scalability.
* Data Modeling: Create and maintain optimal data pipeline architecture and database schemas
* Gather requirements, design solutions, iterate on implementations with peers and business partners, participate in code reviews, and deliver products in a timely manner
* Troubleshoot and solve the most complex problems escalated by support staff, developers, or traders
* Provide insights on and help prioritize tasks to optimize, modernize, and simplify our system on your own initiative, as well as ways to improve usability and scalability
* Document the requirements and usage of tools and systems
* Keep abreast of emerging technologies, new language features, and new APIs or tools
**What We’re Looking For**
* Have 3\+ years of experience in a data engineering role
* Languages: Expert\-level SQL and proficiency in Python, C\#/.Net, or some other programming language
* Broad technical knowledge with strong conceptual understanding of Linux sysadmin (bash)
* Be organized, self\-directed, and dependable. Be able to manage your own workload and provide reasonable estimates for task completion
* Have superb analytical and problem\-solving skills
* Have excellent verbal and written communication skills, able to convey design decisions in both technical and layman’s terms
* Familiarity with data pipeline workflow tools like Apache Airflow or similar
* Background in performance tuning for data systems, including caching, indexing, and database optimization
**Why Join Us**
 Our flat organizational structure promotes teamwork across the Firm and offers easy access to senior staff. While we work exceptionally well as a team in the office, our bonds are further strengthened through company events, activities and giving back. Volleyball, soccer, hockey, 5K runs, picnic, parties, and trivia nights provide friendly competition and build better relationships. By getting out of our usual environment and doing out\-of\-the\-ordinary things together, we foster creativity and broaden our imaginations to accomplish new challenges.
**Benefits:** 
* Highly competitive salary \&amp; bonus opportunity
* Generous paid time off and flexible scheduling
* 100% coverage of medical, dental, vision, life, and disability benefits for single coverage
* Generous Paid Parental Leave
* Retirement Plans: 401K and Roth 401K
* Profit sharing plan
* Long\- and short\-term disability
**Additional Perks:** 
* Free breakfast and lunch from our in\-house kitchen with rotating menus (including snacks!)
* On\-site gym with a subsidized membership
* Frequent company outings
* Opportunity to give back to organizations that help individuals in need in the Chicagoland area
**Professional Development:** 
* In\-house education team – classes and resources are offered for continuous learning opportunities
* Mentorship Program through your first six months of employment
 The base compensation range for this role is approximately $80,000\-$120,000 contingent on experience. Wolverine Trading's total compensation model includes base salary and an annual discretionary bonus.</t>
        </is>
      </c>
    </row>
    <row r="8">
      <c r="A8" t="inlineStr">
        <is>
          <t>li-4356646629</t>
        </is>
      </c>
      <c r="B8" t="inlineStr">
        <is>
          <t>Sr. Data Engineer I (6382)</t>
        </is>
      </c>
      <c r="C8" t="inlineStr">
        <is>
          <t>MetroStar</t>
        </is>
      </c>
      <c r="D8" t="inlineStr">
        <is>
          <t>linkedin</t>
        </is>
      </c>
      <c r="E8" t="inlineStr"/>
      <c r="F8" t="inlineStr"/>
      <c r="G8" t="inlineStr">
        <is>
          <t>Washington, DC</t>
        </is>
      </c>
      <c r="H8" t="inlineStr"/>
      <c r="I8" t="inlineStr">
        <is>
          <t>**As a Sr. Data Engineer (Splunk),** 
 you’ll deliver Splunk data engineering and platform operations for continuous monitoring and analysis with the goal to make an impact across the federal government.
 **Our team** 
 is responsible for operating and evolving mission\-critical SIEM and monitoring platforms, and you’ll ensure reliable, secure, and scalable Splunk capabilities that directly support mission operations and decision\-making from day one.
 We know that you can’t have great technology services without amazing people. At MetroStar, we are
 **obsessed** 
 with
 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Design and manage Splunk data ingestion pipelines and dashboards supporting mission\-critical use cases.
* Operate and maintain Splunk Enterprise in a secure, high\-availability environment.
* Support security monitoring, detection, and incident response operations.
* Participate actively in Agile execution and team delivery cadence.
* Optimize data pipelines, performance, and data quality across the platform.
* Communicate technical insights, risks, and issues clearly to both technical and non\-technical stakeholders.
* Establish and maintain a high level of customer trust and confidence through technical excellence and reliable delivery.
* Apply creativity and sound engineering judgment to deliver innovative solutions aligned to customer needs.
**What you’ll need to succeed:** 
* An active Top\-Secret clearance with SCI eligibility required.
* Bachelor’s degree in a technical field is preferred (relevant experience may substitute).
* 5\+ years of experience in data management or systems administration, including at least 3 years of hands\-on Splunk GA experience.
* Demonstrated expertise in data onboarding, parsing, indexing, and dashboard development.
* Experience operating Splunk Enterprise in regulated or high\-security environments.
* Holds Splunk Certified Core Consultant or Splunk Certified Enterprise Security Admin certification.
* Meets DoD 8140 DCWF Role 521 – Cyber Defense Infrastructure Support Specialist requirements with certifications such as GMON, GRID, CEH, Cloud\+, CySA\+, GSEC, PenTest\+, Security\+, or SSCP.
* Ability to contribute immediately with minimal ramp\-up.
 SALARY RANGE:  $170,000 \- $239,000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 This role may also be eligible for bonuses and/or additional incentives based on individual and company performance.
**Benefits** 
 :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9">
      <c r="A9" t="inlineStr">
        <is>
          <t>li-4367014673</t>
        </is>
      </c>
      <c r="B9" t="inlineStr">
        <is>
          <t>Data Engineer</t>
        </is>
      </c>
      <c r="C9" t="inlineStr">
        <is>
          <t>Neighborly Software</t>
        </is>
      </c>
      <c r="D9" t="inlineStr">
        <is>
          <t>linkedin</t>
        </is>
      </c>
      <c r="E9" t="inlineStr"/>
      <c r="F9" t="inlineStr"/>
      <c r="G9" t="inlineStr">
        <is>
          <t>Atlanta, GA</t>
        </is>
      </c>
      <c r="H9" t="inlineStr"/>
      <c r="I9" t="inlineStr">
        <is>
          <t>At
 **Neighborly Software** 
 , we are on a mission to improve the lives of the communities we serve by delivering cutting\-edge SaaS solutions.
 The Data Engineer will work on the Data/Analytics technology team and be responsible for designing and developing
 **data pipelines, structures, and imports,** 
 as well as the creation of
 **data\-empowered dashboards, reports, and analytics** 
 in order to provide actionable insights for stakeholders.
 In addition to collaborating with the Data/Analytics team, you will regularly engage with Product Management and Client Success, and occasionally with external partners to define and deliver on their needs. This role will also assist in projects that address data reporting needs at Neighborly Software, build components of data engineering foundations, and power many aspects of our product and software offerings.
**Job Duties and Responsibilities:** 
* Build and maintain datasets and pipelines within our data warehouse technology,
 **Snowflake**
* Design/Develop data pipelines leveraging Azure Data Factory (ADF) Tools
* Develop SQL in Azure\-SQL and Snowflake technologies
* Utilize technologies such as Kafka, Databricks, SnowSQL, and Snowpipe
* Add to and maintain data streaming services, such as Kafka and Kafka Connect
* Use programming languages such as Python and C\# for data management, analysis, import, and export pipelines
* Assist in data acquisition from 3rd party sources and datasets
* Collaboratively identify ways to improve data reliability, governance, monitoring, efficiency, and quality
* Use large data sets to address business issues, such as client reporting requests and internal insights
* Troubleshoot SQL queries against multiple data sources
* Deploy sophisticated analytics programs, machine learning, and statistical methods
* Prepare data for predictive and prescriptive modeling
* Find hidden patterns using data for trends such as productivity workflows, and user insights
* Use data to reduce redundancies and inefficiencies using automation
* Deliver updates to stakeholders based on analytics
* Assist in the development of Power BI report/dashboard
**Qualification:** 
* 2\-4 years of experience in data/analytics and ETL/ELT best practices
* 2\-4 years of experience of working with data warehouse technologies, specifically Snowflake, Azure Synapse or AWS Redshift
* 2\-4 years of experience in SQL
* 2\-4 years of experience using the Python programming language
* 1\-2 years of BI Reporting tool such as PowerBI or Tableau
* 1\-2 years of experience in data pipeline development
**Nice to have Experience:** 
* API creation and usage experience
* Familiarity with Azure Data Factory
* Familiarity with Kafka and Kafka Connect
* Familiarity with Spark/Databricks
* Familiarity with OOP programming languages
* Familiarity with Azure Services like Logic Apps, Power Apps
* Familiarity with monitoring or logging technologies
* Familiarity with Azure DevOps CICD, SDLC Tools like JIRA/Confluence
**Additional Requirements:** 
* This role is not eligible for Visa sponsorship at this time
* The successful candidate must not be subject to employment restrictions from a former employer (non\-compete) that would prevent the candidate from performing the job responsibilities as described
* This role is Atlanta\-based, with a hybrid schedule working from our Atlanta Tech Village office in Buckhead
**Working at Neighborly Software: Perks \&amp; Benefits** 
 25 days of Paid Time Off \+ 3 days of Volunteer Time Off
 9 paid holidays
 Comprehensive health insurance package
 401k match with immediate vesting
 Bonus program
 Professional development stipend \+ LinkedIn Learning access
 Hybrid work environment (1 day in office/week)</t>
        </is>
      </c>
    </row>
    <row r="10">
      <c r="A10" t="inlineStr">
        <is>
          <t>li-4367316784</t>
        </is>
      </c>
      <c r="B10" t="inlineStr">
        <is>
          <t>Senior Data Engineer, Marketing Enablement &amp; Technology</t>
        </is>
      </c>
      <c r="C10" t="inlineStr">
        <is>
          <t>Instacart</t>
        </is>
      </c>
      <c r="D10" t="inlineStr">
        <is>
          <t>linkedin</t>
        </is>
      </c>
      <c r="E10" t="inlineStr"/>
      <c r="F10" t="inlineStr"/>
      <c r="G10" t="inlineStr"/>
      <c r="H10" t="inlineStr"/>
      <c r="I10"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The Marketing Enablement \&amp; Technology (MET) team sits natively within Instacart's Marketing organization owning the data foundations that power Paid Marketing, SEO, and Retailer Marketing attribution. These datasets directly inform how we allocate hundreds of millions of dollars in marketing spend and how we measure growth.
 We're hiring a Senior Data Engineer to own and evolve the marketing analytics data foundation. In this role, you'll design high\-quality, business\-aware data models that Data Scientists and Analysts trust, while also providing technical leadership across marketing data pipelines — setting standards, guiding execution, and raising the bar for how data is built, validated, and delivered.
**About The Job**
* Marketing Analytics Data Development: Design, build, and maintain high\-quality dimensional data models and ELT pipelines that support marketing analytics across Paid Marketing, SEO, and Retailer Marketing, and attribution.
* Cross\-functional Partnership: Work closely with Data Scientists, Analysts, Data Engineers, and Marketing stakeholders to understand analytical needs, translate business questions into data requirements, and deliver trusted, decision\-ready data assets.
* Data Strategy \&amp; Quality Ownership: Lead efforts in data modeling, metric definition, testing, and documentation, owning data quality and resolving issues at their root cause across critical marketing workflows.
* Technical Leadership \&amp; Execution: Set standards and guide execution for marketing data pipelines, reviewing designs and implementations to ensure reliability, scalability, and analytical usability.
* Pipeline Evolution \&amp; Optimization: Improve and evolve existing marketing data pipelines and workflows to reduce manual effort, improve performance, and increase the speed and confidence of analysis.
* Scalable Analytics Infrastructure: Develop scalable analytics engineering patterns, including dimensional models, testing frameworks, and monitoring approaches, to support evolving marketing measurement needs.
**About You**
 Minimum Qualifications
* 5\+ years of experience in Analytics Engineering, Data Engineering, or closely related roles, with clear ownership of production data systems.
* Advanced SQL skills and deep experience designing well\-architected dimensional data models (star schemas, fact/dimension tables, SCDs).
* Hands\-on experience with the modern data stack, including dbt, Snowflake, and Airflow.
* Strong understanding of marketing data and metrics, including paid media performance, attribution concepts, and channel\-level measurement.
* Demonstrated experience providing technical leadership on complex data projects, including setting standards, guiding execution, and supporting the growth of other engineers.
* Excellent judgment and product thinking — you know how to balance speed, correctness, and long\-term maintainability.
**Preferred Qualifications**
* Experience working directly with Data Scientists on experimentation, attribution, or incrementality measurement.
* Familiarity with marketing platforms (ie Google Ads, Meta, Google Analytics, SEO tooling).
* Python experience for automation or advanced transformations.
* Experience introducing analytics engineering best practices in an organization that didn't previously have them.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Offers may vary based on many factors, such as candidate experience and skills required for the role. Additionally, this role is eligible for a new hire equity grant as well as annual refresh grants. Please read more about our benefits offerings here.
 For US based candidates, the base pay ranges for a successful candidate are listed below.
 CA, NY, CT, NJ
 $191,000—$201,500 USD
 WA
 $183,000—$193,000 USD
 OR, DE, ME, MA, MD, NH, RI, VT, DC, PA, VA, CO, TX, IL, HI
 $175,000—$184,500 USD
 All other states
 $159,000—$168,000 USD</t>
        </is>
      </c>
    </row>
    <row r="11">
      <c r="A11" t="inlineStr">
        <is>
          <t>li-4344499272</t>
        </is>
      </c>
      <c r="B11" t="inlineStr">
        <is>
          <t>Analytics Engineer 5 - Identity</t>
        </is>
      </c>
      <c r="C11" t="inlineStr">
        <is>
          <t>Netflix</t>
        </is>
      </c>
      <c r="D11" t="inlineStr">
        <is>
          <t>linkedin</t>
        </is>
      </c>
      <c r="E11" t="inlineStr"/>
      <c r="F11" t="inlineStr"/>
      <c r="G11" t="inlineStr"/>
      <c r="H11" t="inlineStr"/>
      <c r="I11"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Data is at the heart of our commerce strategy. Our Commerce Data Science and Engineering team works with a broad range of collaborators and stakeholders, including Product, Engineering, and Finance to inform commerce strategy and data\-informed decision\-making through analysis, metrics research, experimentation, causal inference, and modeling, but also through exceptional judgment, partnership, and business acumen.
 As part of our investment in next\-generation commerce and identity capabilities, the Identity team is responsible for building a unified, individual\-level identity platform that will serve as the core foundation for future product experiences. This cross\-functional, cross\-domain effort will transform our understanding of users and how identity signals are captured, connected, and utilized across the Netflix ecosystem. Our mission is to deliver a more consistent, accurate, and personalized experience for every individual who interacts with Netflix.
 We are hiring a founding Analytics Engineer to help define this space from the ground up and develop the analytical frameworks that will power new commerce experiences at a global scale. As an Analytics Engineer, you will join a team of other stunning Analytics Engineers, Data Scientists, Machine Learning Scientists, and Research Engineers. You will utilize data to identify opportunities and inform product decisions within the identity space. You will collaborate with the commerce team, data engineers, and analysts to provide insights and tooling to scale data\-driven decision\-making for Netflix.
**In This Role, You Will**
* Partner directly with our cross\-functional stakeholders on data, metrics \&amp; analytics initiatives
* Proactively identify and perform data exploration and deep dives to influence future product directions
* Develop and validate the appropriate metrics to measure success in the identity space
* Improve foundational data models while designing, owning, and implementing analytical layers and visualizations for scalable analytics
* Collaborate with the data engineering and data science teams to ensure data quality, integrity, and availability for analysis
* Contribute to the excellence of the Netflix analytics engineering community
* Live Netflix values while bringing a new perspective to continue improving our culture
**To Be Successful In This Role, You Have**
* 5\+ years of industry experience in a data analytics or data science function
* Expertise in SQL, programming skills (e.g., Python or R, Scala), and some exposure to ETL and data warehousing concepts
* A proven track record of data analysis, maintaining analytical layers, reporting, and visualization (e.g., Plotly Dash, Streamlit, Tableau)
* Exceptional communication, storytelling, and collaboration skills coupled with strong business curiosity and acumen
* Comfort with ambiguity; able to take ownership, and thrive with minimal oversight and process
* Experience managing expectations and relationships across a variety of stakeholders
* An interest in Netflix culture
* Familiarity with applied A/B testing experimentation fundamentals is a plus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$330,000\.00 \- $566,000\.00\.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12">
      <c r="A12" t="inlineStr">
        <is>
          <t>li-4317203984</t>
        </is>
      </c>
      <c r="B12" t="inlineStr">
        <is>
          <t>Data Engineer</t>
        </is>
      </c>
      <c r="C12" t="inlineStr">
        <is>
          <t>Carrot</t>
        </is>
      </c>
      <c r="D12" t="inlineStr">
        <is>
          <t>linkedin</t>
        </is>
      </c>
      <c r="E12" t="inlineStr"/>
      <c r="F12" t="inlineStr"/>
      <c r="G12" t="inlineStr"/>
      <c r="H12" t="inlineStr"/>
      <c r="I12" t="inlineStr">
        <is>
          <t>**About Carrot:** 
 Carrot is a global, comprehensive fertility and family care platform, supporting members and their families through many of life's most memorable moments. Trusted by many of the world’s leading multinational employers, health plans, and health systems, Carrot’s proven clinical program delivers exceptional outcomes and experiences for members and industry\-leading cost\-savings for employers. Its award\-winning products serve all populations, from preconception care through pregnancy, IVF, male factor infertility, adoption, gestational carrier care, and menopause. Carrot offers localized support in over 170 countries and 25 languages. With a comprehensive program that prioritizes clinical excellence and human\-centered care, Carrot supports members and their families through many of the most meaningful moments of their lives. Learn more at get\-carrot.com.
 Role overview
 The Data Engineer helps evolve the reliability and scalability of Carrot’s modern data platform across analytics, reporting, and business intelligence. They build and maintain robust, automated data pipelines and partner with cross\-functional stakeholders to deliver secure, compliant, high\-quality data solutions.
 This role is hands\-on across the data lifecycle—contributing to resilient ETL/ELT pipelines, real\-time and batch integrations, and workflow orchestration—while steadily improving automation, cost efficiency, and documentation quality.
 You will improve the reliability and scalability of Carrot’s data platform, reduce manual operational risk through automation, and enable stakeholders with secure, high\-quality data—while growing your scope toward deeper ownership and technical leadership over time.
 Key responsibilities
 * Data pipeline development and operations: Build, test, deploy, monitor, and iterate on scalable ETL/ELT pipelines using platforms such as dbt and Fivetran; contribute to standard workflows (e.g., member engagement, finance/billing reports) and support ad hoc reporting needs.
* Warehouse and lake stewardship: Contribute to the design and continuous improvement of Snowflake and related cloud data platforms (AWS/GCP), including source integrations, performance tuning, and cost optimizations.
* Workflow orchestration and integrations: Develop auditable orchestration flows with tools like Prefect or Airflow; integrate with services such as S3, SFTP, APIs, and Files.com: Next\-Generation MFT, SFTP \&amp; File Sharing ; implement robust alerting, retries, and monitoring.
* Infrastructure optimization: Identify opportunities to improve pipeline speed, reliability, and cost; help refactor legacy processes, reduce manual steps, and document changes for scale and reuse.
* Partner\- and stakeholder\-facing deliverables: Support automated data integrations and exports (e.g., eligibility feeds, payroll/tax/billing files) with finance, product, legal, and commercial teams; help enforce data specs and secure handling of sensitive information.
* Change management and auditability: Follow best practices for Git/GitHub, code reviews, testing, Jira workflows, audit\-trail documentation, and exception logging; uphold InfoSec and compliance standards across the data lifecycle.
* Analytics enablement: Help design modular, well\-documented data models and marts (dbt/Snowflake) that enable BI and data science use cases (e.g., segmentation, provider matching, engagement analytics).
* Incident participation and support: Participate in on\-call or escalation routines for high\-impact data incidents; assist with root\-cause analysis, remediation, and clear stakeholder communications.
* Process automation: Codify business rules and automate recurring cycles (e.g., monthly finance handoffs, audit logs) to reduce manual intervention and operational risk.
* Data security and governance: Implement privacy\-conscious practices such as masking and de\-identification; contribute to safe, compliant access across the stack and external data exchanges.
 Minimum qualifications
 * Proficiency with Snowflake, dbt, and Python for data modeling, transformations, and pipeline development in production environments.
* Strong SQL skills for complex querying and performance optimization across large datasets.
* Experience building and maintaining automated ETL/ELT pipelines using orchestration tools such as Prefect or Airflow, including alerting, dependency management, and retries.
* Hands\-on exposure to cloud data platforms (e.g., Snowflake, AWS S3/Redshift, Google Cloud) and integrating new data sources at scale.
* Understanding of secure external data flows via SFTP, Files.com: Next\-Generation MFT, SFTP \&amp; File Sharing, and APIs, with attention to reliability and compliance requirements.
* Comfort with Git/GitHub and Jira for version control, code reviews, and operational transparency in a team setting.
* Track record of automating manual workflows and creating reusable components that reduce operational overhead.
* Collaborative, dependable working style with adaptability in dynamic environments and clear communication with technical and non\-technical partners.
 Preferred qualifications
 * Experience in fast\-paced or growth environments delivering data solutions under shifting priorities and timelines.
* Background enabling BI and data science teams via scalable integrations, data marts, and documentation that supports multi\-tenant reporting or advanced analytics.
* Familiarity with batch and event\-driven paradigms, including near\-real\-time pipelines using Snowflake, dbt, and Python.
* Experience automating operational, financial, or compliance\-driven workflows in cloud data environments.
* Exposure to audit, privacy, and compliance frameworks (e.g., SOC, HIPAA, GDPR, ISO, SOX) and role\-based access controls in regulated or healthtech contexts.
**Compensation:** 
 Carrot offers a comprehensive Total Rewards package designed to support our employees in all aspects of their lives both inside and outside of work. This includes health and wellness benefits, retirement savings plans, short\- and long\-term incentives, parental leave, family\-forming assistance, and a competitive compensation package. The starting base salary for this position will range from $104,000\.00 to $130,000\.00\. Actual compensation may differ from the listed base salary based on your specific skills and experience. 
 Fraud and Security Notice: Please note that all communication regarding job opportunities at Carrot will come exclusively from an @get\-carrot.com email address. If you receive messages from any other domain, please disregard them and report the incident to: securityreporting@get\-carrot.com
**Why Carrot?** 
 Carrot has received national and international recognition for its pioneering work, including Fast Company's Most Innovative Companies and World Changing Ideas, Inc. Power Partners, and Modern Healthcare’s Innovators. Carrot’s global workforce has been acknowledged with several accolades, including Fortune’s Best Workplaces in Healthcare, Great Place to Work, and Age\-Friendly Employer certifications. Carrot is regularly featured in media reporting on issues related to the future of work, women in leadership, and healthcare innovation, including MSNBC, The Economist, Bloomberg, The Wall Street Journal, CNBC, National Public Radio, Harvard Business Review, and more. Learn more at carrotfertility.com.</t>
        </is>
      </c>
    </row>
    <row r="13">
      <c r="A13" t="inlineStr">
        <is>
          <t>li-4366898530</t>
        </is>
      </c>
      <c r="B13" t="inlineStr">
        <is>
          <t>Sr Data Engineer</t>
        </is>
      </c>
      <c r="C13" t="inlineStr">
        <is>
          <t>Saika Technologies Inc</t>
        </is>
      </c>
      <c r="D13" t="inlineStr">
        <is>
          <t>linkedin</t>
        </is>
      </c>
      <c r="E13" t="inlineStr"/>
      <c r="F13" t="inlineStr"/>
      <c r="G13" t="inlineStr">
        <is>
          <t>Houston, TX</t>
        </is>
      </c>
      <c r="H13" t="inlineStr"/>
      <c r="I13" t="inlineStr">
        <is>
          <t>**Saika Technologies looking for Sr Data Engineer for Houston, TX location on a w2 position** 
 The ideal candidate will have experience with
**Top Skills** 
1. **Snowflake** 
 – Strong hands‑on development (building pipelines, transformations, objects).
2. **Databricks** 
 – Production\-level engineering (jobs, notebooks, workflows).
3. **Python \&amp; Advanced SQL** 
 – Core scripting \+ performance optimization.
4. **High‑Frequency / Time‑Series Data** 
 – Experience with telemetry, SCADA, or well data.
5. **CI/CD Automation** 
 – Enhancing and improving existing deployment automation.
**Responsibilities** 
* Build, enhance, and maintain production‑grade pipelines in Snowflake and Databricks.
* Engineer solutions for high‑volume, high‑frequency well and sensor data.
* Improve data quality, reliability, and performance across complex datasets.
* Contribute to CI/CD pipeline automation and Git‑based deployment workflows.
* Work with Azure cloud services and support Terraform‑based IaC when needed.
* Partner with product owners, developers, analysts, and engineering stakeholders in an Agile environment.
* Ramp quickly into ongoing workstreams, including Ignition historian data, compressor/sensor feeds, and Unconventional well data landscape.
**Additional Skills** 
* Experience with Ignition, OSI PI, SCADA systems, or upstream production data.
* Exposure to Delta Lake.
* Familiarity with AI/ML concepts or ML‑adjacent data workflows.</t>
        </is>
      </c>
    </row>
    <row r="14">
      <c r="A14" t="inlineStr">
        <is>
          <t>li-4367330240</t>
        </is>
      </c>
      <c r="B14" t="inlineStr">
        <is>
          <t>Data Engineer</t>
        </is>
      </c>
      <c r="C14" t="inlineStr">
        <is>
          <t>TPA technologies</t>
        </is>
      </c>
      <c r="D14" t="inlineStr">
        <is>
          <t>linkedin</t>
        </is>
      </c>
      <c r="E14" t="inlineStr"/>
      <c r="F14" t="inlineStr"/>
      <c r="G14" t="inlineStr">
        <is>
          <t>Boston, MA</t>
        </is>
      </c>
      <c r="H14" t="inlineStr"/>
      <c r="I14" t="inlineStr">
        <is>
          <t>**There are multiple positions at different levels so that is why the pay scale is wide ranging.** 
 Our Quantitative Investment Science group is looking for a motivated Data Engineer to help produce innovative applications that create competitive advantage for the company in the Private Equity space. This engineer will contribute to this effort through their focus on application and data quality as well as process automation.
 This position will be a hybrid work arrangement. You will receive 18 remote workdays per quarter to use at your discretion, subject to manager approval. For example, you may choose to work in the office 4 days per week and take one remote day weekly (typically 13 weeks per quarter), leaving 5 additional remote days to be used as needed.
**The ideal candidate is someone who is:** 
* A self\-starter with a love for technology, software application delivery, and mathematical applications!
* Excellent interpersonal and team collaboration capabilities
* Strong analytical, organizational, and problem\-solving skills coupled with outstanding attention to detail
* A passion for finance and financial markets
**What you bring:** 
* Demonstrated ability in Data Engineering and Analysis
* Proven experience with data\-centric testing and deployment of FinTech based applications, data analysis, data pipelines and ETL for large datasets
* Proficiency in MSSQL or equivalent SQL RDBMS
* Proficiency in Python
* Familiarity working in a scrum/agile SDLC environment
* Experience with DBT
* Experience with Azure resources like ADF, App services
* Experience with MS Synapse and Snowflake desired
* Preferred but not vital: Business Intelligence and experience in Analytics applications
**Education Preferred** 
* Bachelor of Science (B.S) or equivalent experience
* Master of Science (M.S) or equivalent experience</t>
        </is>
      </c>
    </row>
    <row r="15">
      <c r="A15" t="inlineStr">
        <is>
          <t>li-4301890430</t>
        </is>
      </c>
      <c r="B15" t="inlineStr">
        <is>
          <t>Senior Data Platform Engineer</t>
        </is>
      </c>
      <c r="C15" t="inlineStr">
        <is>
          <t>Samsara</t>
        </is>
      </c>
      <c r="D15" t="inlineStr">
        <is>
          <t>linkedin</t>
        </is>
      </c>
      <c r="E15" t="inlineStr"/>
      <c r="F15" t="inlineStr"/>
      <c r="G15" t="inlineStr"/>
      <c r="H15" t="inlineStr"/>
      <c r="I15"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The Integrations, Data Engineering and AI (IDEA) team within Samsara’s Business Technology organization is looking for a Senior Data Platform Engineer to join our team. We enable various teams at Samsara to leverage GenAI and data to glean insights and make data\-driven decisions by delivering a reliable data platform and trustworthy data and analytics. We are a team that are passionate about leveraging quality data and AI to deliver a great customer experience. Our team promotes an agile, collaborative, supportive environment where diverse thinking, innovative design, and experimentation is welcomed and encouraged.
**This role is open to candidates residing in the US except Alaska, Austin Metro, Boulder Metro, California, Chicago Metro, Connecticut, Dallas Metro, Denver Metro, Houston Metro, Maryland, Massachusetts, New Jersey, New York, Rhode Island, Seattle Metro, and Washington, D.C.**
**You should apply if:**
* You want to impact the industries that run our world: Your efforts will result in real\-world impact—helping to keep the lights on, get food into grocery stores, reduce emissions, and most importantly, ensure workers return home safely.
* You are the architect of your own career: If you put in the work, this role won’t be your last at Samsara. We set up our employees for success and have built a culture that encourages rapid career development, countless opportunities to experiment and master your craft in a hyper growth environment.
* You’re energized by our opportunity: The vision we have to digitize large sectors of the global economy requires your full focus and best efforts to bring forth creative, ambitious ideas for our customers.
* You want to be with the best: At Samsara, we win together, celebrate together and support each other. You will be surrounded by a high\-calibre team that will encourage you to do your best.
**In this role, you will:**
 Databricks
* Administer and monitor Databricks workspaces and underlying AWS Infra: develop platform admin tools and capabilities to effectively administer, monitor, track and troubleshoot various platform resources: (clusters, catalogs, users, groups, databases, storage and security).
* Act as the primary Databricks SME, assisting and guiding teams on platform features and best practices.
* Collaborate with data engineers, analysts, and data scientists to operationalize and optimize workflows and data pipelines.
 Infrastructure \&amp; DevOps
* Oversee data\-engineering dev ecosystem, including dev\-tooling, CI/CD pipelines, and monitoring frameworks.
* Own implementation and management of IaaC (Terraform, CloudFormation) and CI/CD automation for Databricks and AWS resources.
* Ensure security, high availability, disaster recovery, and compliance across data services.
* Incorporate DevOps best practices including automated testing, deployment, observability, and monitoring.
 Cross\-Functional Collaboration \&amp; Enablement
* Engage directly with internal cross\-functional stakeholders to understand their data needs and design scalable solutions.
* Collaborate with engineers, managers, and vendor representatives in evaluating new features and solutions. Lead rapid prototyping and proof\-of\-concepts to evaluate for performance, cost, security, scalability, observability.
* Provide mentorship to junior team members, and provide technical guidance, training, and knowledge\-sharing across teams.
**Minimum requirements for this role:**
* Bachelor's or Master's degree in Computer Sciences, Software Engineering, Electrical Engineering, Computer Engineering, or related discipline.
* 10\+ years experience in a Software Engineering, Platform Engineering, Data Engineering, DevOps/DataOps or similar technical role, including at least 2\+ years experience in data infrastructure or platform focused role.
* Experience building, delivery and administering large\-scale production\-grade data platforms and services to data engineering, business analyst and data\-science teams.
* Solid knowledge of Databricks features and administration, including Unity Catalog, cluster management, security, conducting troubleshooting and root\-cause analysis, and performance optimization.
* Experience and familiarity with AWS services and Cloud Infrastructure provisioning, management, monitoring, and security (e.g., S3, IAM, RDS, Lambda, API\-Gateway, VPC, EC2, ECS/EKS).
* Strong knowledge of SQL and Python, and hands\-on data\-engineering experience in designing and developing data pipelines and ETL routines from a variety of sources (SaaS corporate systems, APIs, RDBMS).
* Skilled with change\-data capture, incremental and batch loading techniques. Experienced in troubleshooting underlying issues and translating them into technical solutions.
* Excellent problem\-solving, communication, and stakeholder management skills.
**An ideal candidate also has:**
* Experience delivering and managing Databricks and AWS Infra for 100s of users.
* Experience as a technical lead.
* Knowledge of DevOps tools and practices: GitHub/GitLab, CI/CD systems, Terraform, monitoring/logging tools (e.g., Datadog, CloudWatch).
* Experience implementing robust data governance and security measures to ensure data integrity and compliance.
**Samsara’s Compensation Philosophy:** 
 Samsara’s compensation program is designed to deliver Total Direct Compensation (based on role, level, and geography) that is at or above market. We do this through our base salary \+ bonus/variable \+ restricted stock unit awards (RSUs) for eligible roles. For eligible roles, a new hire RSU award may be awarded at the time of hire, and additional RSU refresh grants may be awarded annually.
 We pay for performance, and top performers in eligible roles may receive above\-market equity refresh awards which allow employees to achieve higher market.
 The range of annual base salary for full\-time employees for this position is below. Please note that base pay offered may vary depending on factors including your city of residence, job\-related knowledge, skills, and experience.
 $125,545—$168,800 USD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**Benefits**
 Full time employees receive a competitive total compensation package along with employee\-led remote and flexible working, health benefits,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t>
        </is>
      </c>
    </row>
    <row r="16">
      <c r="A16" t="inlineStr">
        <is>
          <t>li-4367005832</t>
        </is>
      </c>
      <c r="B16" t="inlineStr">
        <is>
          <t>Data Engineer</t>
        </is>
      </c>
      <c r="C16" t="inlineStr">
        <is>
          <t>DraftKings Inc.</t>
        </is>
      </c>
      <c r="D16" t="inlineStr">
        <is>
          <t>linkedin</t>
        </is>
      </c>
      <c r="E16" t="inlineStr"/>
      <c r="F16" t="inlineStr"/>
      <c r="G16" t="inlineStr">
        <is>
          <t>Boston, MA</t>
        </is>
      </c>
      <c r="H16" t="inlineStr"/>
      <c r="I16" t="inlineStr">
        <is>
          <t>At DraftKings, AI is becoming an integral part of both our present and future, powering how work gets done today, guiding smarter decisions, and sparking bold ideas. It’s transforming how we enhance customer experiences, streamline operations, and unlock new possibilities. Our teams are energized by innovation and readily embrace emerging technology. We’re not waiting for the future to arrive. We’re shaping it, one bold step at a time. To those who see AI as a driver of progress, come build the future together.
 The Crown Is Yours
 As a Data Engineer on the Data Enablement team, you’ll help build the infrastructure that powers how teams across DraftKings discover, understand, and trust their data. You’ll design scalable solutions to improve metadata accuracy, data quality, and governance ensuring analytics and reporting are not only reliable but impactful. This role sits at the intersection of data engineering and usability, giving you the chance to shape how data is documented, monitored, and accessed across the business. You’ll collaborate with engineering and business partners alike to unlock new ways of delivering trusted data at scale.
 What You’ll Do
* Build and support scripts, APIs, and data integrations that connect internal tools and data sources.
* Partner with Data Engineering, IT, and business teams to help implement data quality rules, monitoring, and alerting processes.
* Contribute to the curation and maintenance of the enterprise data catalog, helping ensure metadata is accurate, discoverable, and useful for end users.
* Support data governance efforts focused on protecting customer personal information, helping ensure data is handled, documented, and used responsibly across data platforms.
* Help define and implement reusable patterns for collecting, validating, and maintaining metadata across data platforms.
* Contribute to foundational work that supports DraftKings’ Semantic Data Layer, including consistent definitions, lineage, and metadata that can be leveraged by analytics tools and AI\-powered experiences.
 What You’ll Bring
* Bachelor’s Degree in Computer Science or any suitable combination of education, experience, and training.
* At least one year of working with data pipelines and integrations using Python.
* Familiarity with analyzing data flows and dependencies, and contributing to reliable data solutions.
* Exposure to modern data platforms and tools such as Snowflake, Databricks, Kafka, Terraform, PagerDuty, Datadog, Jira, Confluence, and Bitbucket.
* Working knowledge of data warehousing concepts, data lakes, and basic data modeling principles.
* Familiarity with ETL/ELT concepts and data pipeline development.
* Interest in how metadata, semantics, and governance enable AI\-driven analytics and intelligent data discovery.
 Join Our Team
 We’re a publicly traded (NASDAQ: DKNG) technology company headquartered in Boston. As a regulated gaming company, you may be required to obtain a gaming license issued by the appropriate state agency as a condition of employment. Don’t worry, we’ll guide you through the process if this is relevant to your role.
 The US base salary range for this full\-time position is 101,600\.00 USD \- 127,000\.00 USD, plus bonus, equity, and benefits as applicable. Our ranges are determined by role, level, and location. The compensation information displayed on each job posting reflects the range for new hire pay rates for the position across all US locations. Within the range, individual pay is determined by work location and additional factors, including job\-related skills, experience, and relevant education or training. Your recruiter can share more about the specific pay range and how that was determined during the hiring process. It is unlawful in Massachusetts to require or administer a lie detector test as a condition of employment or continued employment. An employer who violates this law shall be subject to criminal penalties and civil liability.</t>
        </is>
      </c>
    </row>
    <row r="17">
      <c r="A17" t="inlineStr">
        <is>
          <t>li-4367305601</t>
        </is>
      </c>
      <c r="B17" t="inlineStr">
        <is>
          <t>Data Engineer</t>
        </is>
      </c>
      <c r="C17" t="inlineStr">
        <is>
          <t>Workerbee</t>
        </is>
      </c>
      <c r="D17" t="inlineStr">
        <is>
          <t>linkedin</t>
        </is>
      </c>
      <c r="E17" t="inlineStr"/>
      <c r="F17" t="inlineStr"/>
      <c r="G17" t="inlineStr"/>
      <c r="H17" t="inlineStr"/>
      <c r="I17" t="inlineStr">
        <is>
          <t>**Title:** 
 Associate Data Engineer
**Location:** 
 Dallas, TX \- Hybrid
*C2C not available \| No third\-party suppliers* 
**About Workerbee** 
 Workerbee is the AI\-powered platform for trusted, modern hiring.
 We connect companies with the right mix of enterprise\-proven experts and AI\-savvy specialists; full\-time, part\-time, or project\-based.
 Our intelligent, multi\-agent system deeply understands each specialist and every customer need, enabling better\-fit matches and faster results.
 We bring together people and intelligent systems to make hiring faster, smarter, and more human.
**We have customers in need of \[Insert Job Title HERE] talent.** 
***By joining Workerbee you can be matched for project\-based, contract, or permanent opportunities with leading organizations.***
**As a Workerbee:** 
 You will help companies build and maintain data pipelines and infrastructure that enable reliable analytics, reporting, and data\-driven decision\-making.
**What our customers need help with:** 
* Developing and maintaining ETL/ELT pipelines using tools such as Python, SQL, dbt, or Airflow.
* Supporting data integration from multiple sources including APIs, cloud platforms, and databases.
* Ensuring data quality, reliability, and documentation across systems.
* Partnering with analytics and product teams to support reporting and insights.
* Assisting with cloud data environments such as AWS, GCP, or Azure.
**What stands out amongst top talent:** 
* Strong foundational knowledge of data engineering concepts and best practices.
* Comfort working with structured and semi\-structured data.
* Attention to detail and passion for clean, reliable data.
* Willingness to learn and adapt to evolving data tools and platforms.
* Collaborative mindset with strong problem\-solving skills.
**Why Join Workerbee** 
* **Access:** 
 Work on high\-impact projects with leading companies across North America
* **Community:** 
 Join a trusted network of specialists and professionals in your field
* **Growth:** 
 Expand your skills through exclusive learning and development opportunities
* **Flexibility:** 
 Choose projects that fit your schedule and work style
 Workerbee Terms of Service</t>
        </is>
      </c>
    </row>
    <row r="18">
      <c r="A18" t="inlineStr">
        <is>
          <t>li-4367306732</t>
        </is>
      </c>
      <c r="B18" t="inlineStr">
        <is>
          <t>Data Engineer</t>
        </is>
      </c>
      <c r="C18" t="inlineStr">
        <is>
          <t>Bank of Utah</t>
        </is>
      </c>
      <c r="D18" t="inlineStr">
        <is>
          <t>linkedin</t>
        </is>
      </c>
      <c r="E18" t="inlineStr"/>
      <c r="F18" t="inlineStr"/>
      <c r="G18" t="inlineStr">
        <is>
          <t>Salt Lake City, UT</t>
        </is>
      </c>
      <c r="H18" t="inlineStr"/>
      <c r="I18" t="inlineStr">
        <is>
          <t>Thanks for your interest in applying to the Bank of Utah. My name is Ron Ross, and I work as VP of Advanced Analytics \&amp; AI. As an introduction to our company, the Bank of Utah was founded in 1952, and is one of Utah’s largest privately owned community banks. We were named Nasdaq’s Best Bank in Utah for 2025 and a Top 100 Fastest Growing Company.
**Our Mission Statement:**
 We strive to unlock the potential of our team members, clients, and community. We act with integrity in every decision, build trust through every interaction, and exceed expectations at every opportunity. We seek to responsibly create lasting prosperity today and for generations to come.
**Job Opening Details:**
 If our mission statement piques your interest, we encourage you to apply for the currently open position of
 **Data Engineer** 
 to work Monday \- Friday at our Branch located at 50 South 200 East Salt Lake City, UT. This
 **Data Engineer** 
 is responsible for the aggregation, transformation, and engineering of Bank data. Will serve as a Subject Matter Expert (SME) for data processing and reporting applications, ensuring the integrity and usability of data for further analysis and visualization. Primary tasks will include engineering data pipelines, coordinating with various business units on data projects, and leveraging data analytic and RPA tools to gather and organize reliable data
**Job Qualifications:**
* Education: Associate or Bachelor’s degree in Computer Science, Information Systems, Data Engineering, or a related field.
* Technical Skills: Proficiency in data visualization tools such as Tableau and experience with Snowflake are preferred. Coding skills in SQL is also preferred.
* Data Analytics: Ability to perform exploratory data analysis and develop analytical models.
* Passion: Enthusiasm for data engineering, technology, and the banking industry.
* Communication: Strong communication skills with the ability to provide and receive feedback effectively.
* Organization: Excellent organizational skills, with a focus on detail and follow\-through.
* Career Goals: Aiming to pursue a career in data engineering and business intelligence.
* Data Skills: Competence in data gathering, cleaning, and transformation techniques.
* Learning Orientation: Eagerness to learn and apply new skills in data engineering and analytics.
**Benefits of Working with Us:**
 Bank of Utah's comprehensive benefits package includes:
* Great work\-life balance, with a Monday\-Friday schedule
* Competitive pay and benefits, including medical, dental and vision plans
* 401(k) plan and match up to 5 percent in our employee stock ownership program (eligibility requirements must be met)
* 12 paid bank holidays \+ paid time off, including paid parental leave
* Volunteer opportunities to make a difference in the communities where you work and live
* Awards and recognition to celebrate you and your colleagues for living the bank's values
**Job Description:**
* Data Engineering: Design, build, and maintain data pipelines to facilitate the extraction, transformation, and loading (ETL) of data. Ensure that data flows are efficient, accurate, and timely.
* Data Aggregation: Aggregate data from multiple sources, ensuring consistency and accuracy in the data used for analysis and reporting.
* Data Transformation: Clean, filter, and transform data to prepare it for analysis. Identify and resolve data integrity issues.
* Data Analytics: Perform exploratory data analysis (EDA) to uncover patterns, trends, and insights from complex datasets. Develop and implement analytical models to support business decisions.
* Reporting: Assist in generating and maintaining reports from primary reporting applications, providing insights and analysis as required.
* Tool Utilization: Use data analytic tools and RPA tools to automate and streamline data collection and processing tasks. Experience with Tableau and Snowflake is preferred.
* Collaboration: Work closely with different business units to support data\-driven projects, ensuring alignment and coordination across teams.</t>
        </is>
      </c>
    </row>
    <row r="19">
      <c r="A19" t="inlineStr">
        <is>
          <t>li-4367328354</t>
        </is>
      </c>
      <c r="B19" t="inlineStr">
        <is>
          <t>Analytics Engineer</t>
        </is>
      </c>
      <c r="C19" t="inlineStr">
        <is>
          <t>Relay</t>
        </is>
      </c>
      <c r="D19" t="inlineStr">
        <is>
          <t>linkedin</t>
        </is>
      </c>
      <c r="E19" t="inlineStr"/>
      <c r="F19" t="inlineStr"/>
      <c r="G19" t="inlineStr"/>
      <c r="H19" t="inlineStr"/>
      <c r="I19" t="inlineStr">
        <is>
          <t>**About Us**
 Relay is a cross\-chain payments protocol that provides instant low cost cross\-chain bridging, swaps, and transactions. We're the fastest and cheapest way to bridge and transact across chains, serving over 5 million users who have completed 59\+ million transactions with $6\+ billion in volume across 85\+ chains.
 Our company mission is to make transacting across chains as fast, cheap, and reliable as online payments. We are building the core infrastructure to abstract chains from end user payments, enabling the next billion users to experience the benefits of blockchain without the UX burdens. We are bringing the Relay Network to market through our consumer app (relay.link) and major ecosystem partners, including Opensea, Alchemy, LiFi, Metamask, Coinbase, and more.
**About The Role**
 We're looking for an Analytics Engineer to help us make sense of cross\-chain data at scale. You'll build the data models and pipelines that power decisions across our organization, from daily metrics to strategic insights.
**What You'll Do**
**Build the data foundation**
* Transform raw blockchain and production data into clean, reliable datasets
* Own core analytics models across our medallion architecture
* Partner with data engineering on ingestion pipelines
**Work with blockchain data**
* Model transaction data across dozens of chains (swaps, bridges, fees, capital flows)
* Integrate pricing feeds and partner data for competitive analysis
**Enable analysis**
* Gather requirements from product, business, and operations teams
* Design and standardize key metrics
* Build dashboards and enable self\-service analytics
**About You**
* You care a lot about data quality and metric consistency
* You know when to ask questions and how to analyze what's actually needed
* You proactively find opportunities to explore and use data
* You can translate technical concepts easily for non\-technical stakeholders
* You're excited about blockchain and on\-chain data
* You're comfortable with ambiguity and good at pivoting when needed
**Skills And Abilities**
* You have 3\-5\+ years in data analytics roles
* You have very strong SQL and data modeling experience
* You have experience with modern tools (e.g., dbt, Airflow, Dagster, or similar)
* You're comfortable with large, complex datasets and semi\-structured data
**What we offer**
* Competitive base salary
* Equity package
* Comprehensive health benefits
* Unlimited PTO policy with encouraged minimum
* Remote\-first culture with emphasis on collaboration, communication and flexibility</t>
        </is>
      </c>
    </row>
    <row r="20">
      <c r="A20" t="inlineStr">
        <is>
          <t>li-4367011914</t>
        </is>
      </c>
      <c r="B20" t="inlineStr">
        <is>
          <t>Data Engineer (AWS &amp; PySpark Focus)</t>
        </is>
      </c>
      <c r="C20" t="inlineStr">
        <is>
          <t>Ucovy Connects</t>
        </is>
      </c>
      <c r="D20" t="inlineStr">
        <is>
          <t>linkedin</t>
        </is>
      </c>
      <c r="E20" t="inlineStr"/>
      <c r="F20" t="inlineStr"/>
      <c r="G20" t="inlineStr">
        <is>
          <t>Charlotte, NC</t>
        </is>
      </c>
      <c r="H20" t="inlineStr"/>
      <c r="I20" t="inlineStr">
        <is>
          <t>Ucovy Connects Inc. is one of the fastest\-growing US staffing firms based out of Missouri (MO), delivering top IT talent to Fortune and government clients across the USA.
 🌟Role Overview
 We’re looking for a hands\-on Data Engineer to build and optimize scalable data pipelines in Amazon Web Services. If you enjoy transforming raw data into analytics\-ready datasets and working with modern data lake architectures, this role is for you.
 🔧 What You’ll Work On
  • Building ETL pipelines to move data across bronze, silver, and gold layers
  • Processing and transforming large CSV datasets
  • Implementing data cleansing, validation, and quality checks
  • Supporting architect\-designed data models
  • Optimizing workflows for performance and cost efficiency
  • Collaborating with Senior Data Engineers and Data Architects
 🎯 What We’re Looking For
  • 3–5 years of experience in data engineering
  • Strong hands\-on experience in AWS\-based data environments
  • Proficiency in PySpark and SQL
  • Experience with AWS Glue and S3
  • Experience handling large datasets and ETL pipelines
  • Strong problem\-solving skills and attention to detail
 🎓 Nice to Have
  • Experience with data lake and layered architecture
  • Performance tuning and optimization experience
  • Agile/Scrum environment exposure</t>
        </is>
      </c>
    </row>
    <row r="21">
      <c r="A21" t="inlineStr">
        <is>
          <t>li-4367305700</t>
        </is>
      </c>
      <c r="B21" t="inlineStr">
        <is>
          <t>Data Engineer</t>
        </is>
      </c>
      <c r="C21" t="inlineStr">
        <is>
          <t>CoreAi Consulting</t>
        </is>
      </c>
      <c r="D21" t="inlineStr">
        <is>
          <t>linkedin</t>
        </is>
      </c>
      <c r="E21" t="inlineStr"/>
      <c r="F21" t="inlineStr"/>
      <c r="G21" t="inlineStr">
        <is>
          <t>Phoenix, AZ</t>
        </is>
      </c>
      <c r="H21" t="inlineStr"/>
      <c r="I21" t="inlineStr">
        <is>
          <t>**Job Summary** 
 We are seeking a skilled Data Engineer with 5\+ years of hands\-on experience designing, building, and maintaining scalable data pipelines and data platforms. The ideal candidate has strong experience working with DAG\-based orchestration, cloud technologies (preferably Google Cloud Platform), SQL\-driven data processing, Apache Spark, and Python\-based API development using Fast API. You will play a key role in enabling reliable data ingestion, transformation, and quality assurance across enterprise systems.
**Key Responsibilities** 
* Design, develop, and maintain DAG\-based data pipelines (Airflow or similar orchestration tools).
* Build and optimize SQL\-based data transformations for analytics and reporting.
* Develop and manage batch and streaming data pipelines using Apache Spark.
* Implement Python\-based REST APIs using FastAPI for data services and integrations.
* Perform data quality checks, validation, reconciliation, and anomaly detection.
* Work with cloud platforms (preferably Google Cloud Platform) for storage, compute, and orchestration.
* Architect and implement cloud\-native data platforms on GCP, leveraging services such as BigQuery, BigTable, Dataflow, Dataproc, Pub/Sub, and Cloud Storage.
* Monitor pipeline performance, troubleshoot failures, and optimize processing efficiency.
* Collaborate with analytics, application, and business teams to understand data requirements.
* Ensure best practices around security, scalability, and maintainability.
* Ensure data quality, reliability, security, governance, and compliance with enterprise standards
**Required Skills \&amp; Experience** 
* 5 \+ years of experience as a Data Engineer or similar role.
* Strong experience with DAG orchestration (e.g., Apache Airflow).
* Solid understanding of cloud technologies, preferably Google Cloud Platform (GCP).
* Advanced proficiency in SQL for data processing and transformations.
* Hands\-on experience running and tuning Apache Spark jobs.
* Experience developing APIs using Python and FastAPI.
* Strong understanding of data quality frameworks, checks, and validation techniques.
* Proficiency in Python, Java, Scala, or PySpark, with strong SQL expertise.
* Hands\-on experience with GCP data services, including BigQuery, BigTable, Dataproc, Dataflow, and cloud\-native ETL patterns.
* Experience with software delivery methodologies such as Agile, Scrum, and CI/CD practices.
* Strong analytical and problem\-solving skills.
* Ability to work independently and in cross\-functional teams.
* Good communication and documentation skills.</t>
        </is>
      </c>
    </row>
    <row r="22">
      <c r="A22" t="inlineStr">
        <is>
          <t>li-4367311853</t>
        </is>
      </c>
      <c r="B22" t="inlineStr">
        <is>
          <t>Data Engineer- HSV, AL (Contingent upon Award)</t>
        </is>
      </c>
      <c r="C22" t="inlineStr">
        <is>
          <t>Davidson Technologies</t>
        </is>
      </c>
      <c r="D22" t="inlineStr">
        <is>
          <t>linkedin</t>
        </is>
      </c>
      <c r="E22" t="inlineStr"/>
      <c r="F22" t="inlineStr"/>
      <c r="G22" t="inlineStr">
        <is>
          <t>Huntsville, AL</t>
        </is>
      </c>
      <c r="H22" t="inlineStr"/>
      <c r="I22" t="inlineStr">
        <is>
          <t>Davidson is distinguished in the aerospace and missile defense industry, in part, because of its excellence in hiring exceptional experts, engineers and software developers dedicated to delivering advanced, intelligent technology solutions in defense of our nation.
 Davidson is seeking a
 **Data Engineer** 
 to support the SCALE (Supply Chain Analytics and Logistics Environment) development program in Huntsville, AL. This role is an integral part of a high\-visibility, cross\-functional team driving data transformation for defense supply chain analytics. The successful candidate will help design, develop, and operationalize data pipelines, visual analytics, and reporting systems that enhance decision\-making across procurement, logistics, and forecasting operations.
 The SCALE program integrates Power BI, SQL\-based databases, and advanced data modeling to enable real\-time visibility, predictive insights, and AI\-ready analytics. The ideal candidate will have a strong background in data visualization, data integration, and database design within an Agile environment.
**Job Responsibilities**
* Develop, maintain, and optimize Power BI dashboards and data models to deliver actionable insights for internal and external stakeholders.
* Design and manage relational databases and data pipelines to integrate data from multiple sources, ensuring integrity, consistency, and traceability.
* Collaborate with the product team, software developers, and cybersecurity personnel to define data schemas and align reporting with system architecture
* Perform ETL (Extract, Transform, Load) operations and automate data refresh processing using Power Query, SQL and related tools.
* Conduct exploratory data analysis (EDA) to identify trends, anomalies, and optimization opportunities across procurement and logistics data.
* Support the design of data governance standards, ensuring compliance with IL5/CUI and DOD data security requirements.
* Participate in Agile ceremonies (backlog refinement, sprint planning, reviews, retrospectives) to ensure data tasks are properly scoped and aligned with product goals.
**Job Qualifications**
* Bachelor's degree in Data Analytics, Computer Science, Information Systems, Mathematics, or related discipline.
* Minimum of 4 years of experience as a Data Analyst/Engineer, ideally in a DOD, logistics, or supply chain environment.
* Strong proficiency in Power BI (including DAX, Power Query, and data modeling)
* Proficiency with SQL for data extraction, transformation, and relational schema design.
* Experience with database systems such as SQL Server, PostgreSQL, and Amazon RDS
* Experience with Python or similar languages
* Ability to derive meaningful insights from large, complex datasets and communicate them visually and verbally.
* Strong understanding of data lifecycle management, version control, and collaborative development practices.
**Desired Competencies**
* Experience building star schemas and fact/dimension models to support BI reporting.
* Familiarity with data engineering workflows, including ETL orchestration and API\-based data integration.
* Experience working with AWS, Azure, or other cloud\-based analytics platforms.
* Familiarity with machine learning pipelines and preparing data for AI/ML analytics.
* Experience applying Agile and Scrum methodologies in data analytics projects.
* Familiarity with DOD data classification and cybersecurity frameworks (CUI, ILs, RMF)
**Clearance**
* Must currently hold or be able to obtain a Secret security clearance (not required to start)
***Job Posted by ApplicantPro***</t>
        </is>
      </c>
    </row>
    <row r="23">
      <c r="A23" t="inlineStr">
        <is>
          <t>li-4356476833</t>
        </is>
      </c>
      <c r="B23" t="inlineStr">
        <is>
          <t>Data Engineer</t>
        </is>
      </c>
      <c r="C23" t="inlineStr">
        <is>
          <t>Leonardo DRS</t>
        </is>
      </c>
      <c r="D23" t="inlineStr">
        <is>
          <t>linkedin</t>
        </is>
      </c>
      <c r="E23" t="inlineStr"/>
      <c r="F23" t="inlineStr"/>
      <c r="G23" t="inlineStr">
        <is>
          <t>Germantown, MD</t>
        </is>
      </c>
      <c r="H23" t="inlineStr"/>
      <c r="I23" t="inlineStr">
        <is>
          <t>**Job ID:** 
 113671
 DRS RADA Technologies, a subsidiary of Leonardo DRS, is focused on proprietary radar solutions and legacy avionics systems supporting the defense industry globally. The company is a global pioneer of AESA tactical radars for active military protection, counter\-drone applications, critical infrastructure protection, and border surveillance.
**Job Summary**
 Join our dynamic radar defense company as a Data Engineer and launch your career at the forefront of mission\-critical systems development. We are seeking a motivated early\-career engineer who is eager to learn, collaborate, and contribute to meaningful, real\-world solutions.
 In this role, you will work alongside experienced developers and data scientists who will mentor you in the preparation, validation, and documentation of time\-series and geospatial datasets for cutting\-edge AI/ML applications. You will operate within a collaborative, ego\-free culture that values technical rigor, clear communication, and results over hierarchy.
 Working at the intersection of radar technology and defense applications, you will have the opportunity to rapidly expand your skills as our company evolves from startup\-level agility to enterprise\-grade processes. You will gain hands\-on experience with modern data science practices and learn how to work effectively with major defense contractors—while making a tangible impact in a highly consequential domain.
 The ideal candidate has a strong foundation in Python, is comfortable working with scientific or engineering data, and can read legacy MATLAB code and re\-implement algorithms in Python or other languages. This is an excellent opportunity for an early\-career STEM graduate to work closely with ML engineers in a technically rigorous environment.
**Job Responsibilities**
* Prepare, clean, and structure time\-series and geospatial datasets for machine learning workflows
* Perform feature preparation including temporal alignment, resampling, lag features, and spatial associations
* Ensure datasets are free from common ML issues such as misaligned timestamps, or invalid labels
* Validate data quality through consistency checks, anomaly detection, and edge\-case analysis
* Document dataset assumptions, preprocessing steps, and known limitations for ML handoff
* Support ML engineers during model development, assessment, and deployment
* Collaborate with team members using notebooks and version\-controlled workflows
**Qualifications**
* Bachelor’s or Master’s degree in a STEM discipline (e.g., engineering, computer science, physics, applied mathematics, statistics, geoscience, or related field)
* Strong proficiency in Python, particularly for data analysis and preprocessing
* Ability to reason through data problems using a structured, analytical approach
* Clear written and verbal communication skills
**Preferred Qualifications**
* Experience or be willing to learn: Matlab, R, SQL, or Redis
* Exposure to geospatial data concepts
* Prior use of notebooks or collaborative data environments
* Familiarity with Databricks and/or Azure
 U.S. Citizenship required.
*The salary range for this position is $75,956/year \- $108,617/year. This range reflects the good faith estimate of pay the employer is willing to offer at the time of posting. Several factors can influence the pay scale, including but not limited to: Federal contract labor categories and contract wage rates, collective bargaining agreements, geographic location, business considerations, scope, and responsibilities of the position, local or other applicable market conditions, and internal equity. Other factors include the candidate’s qualifications such as prior work experience, specific skills and competencies, education/training, and certifications. In addition to base pay, employees may be eligible for: annual performance\-based bonuses, equity awards, and overtime pay (for non\-exempt employees as applicable. Our benefits package includes comprehensive health insurance (medical, dental, vision), employer matching 401(k) retirement plan, paid time off including vacation, holidays, and sick leave (including ant state\-mandated paid sick leave), parental leave benefits, tuition reimbursement, professional development support, and life and disability insurance coverage.*
 Taking care of our people is a top priority at Leonardo DRS. We are proud to offer competitive salaries and comprehensive benefits, including medical, dental, and vision coverage, a company contribution to a health savings account, telemedicine, life and disability insurance, legal insurance, and a 401(k) savings plan. We champion wellness programs that focus on physical, emotional, and financial well\-being. We develop our talent by offering programs and activities to support career\-growth, professional development, and skill enhancement. And we understand there is more to life than work, and the importance of offering flexible work schedules with our 9/80 program, competitive vacation, health/emergency leave, paid parental leave, and community service hours.
* Some employees are eligible for limited benefits only
*Leonardo DRS, Inc. and its subsidiaries provide equal opportunities to all employees and applicants for employment and prohibit discrimination and harassment of any type without regard to race, color, religion, age, sex, national origin, disability status, protected veteran status, or any other characteristic protected by federal, state, or local laws.*</t>
        </is>
      </c>
    </row>
    <row r="24">
      <c r="A24" t="inlineStr">
        <is>
          <t>li-4367350130</t>
        </is>
      </c>
      <c r="B24" t="inlineStr">
        <is>
          <t>Senior Data Engineer</t>
        </is>
      </c>
      <c r="C24" t="inlineStr">
        <is>
          <t>Valvoline Global Operations</t>
        </is>
      </c>
      <c r="D24" t="inlineStr">
        <is>
          <t>linkedin</t>
        </is>
      </c>
      <c r="E24" t="inlineStr"/>
      <c r="F24" t="inlineStr"/>
      <c r="G24" t="inlineStr">
        <is>
          <t>Kentucky, United States</t>
        </is>
      </c>
      <c r="H24" t="inlineStr"/>
      <c r="I24" t="inlineStr">
        <is>
          <t>**Why Valvoline Global Operations?**
 At
 **Valvoline Global Operations** 
 , we’re proud to be
 **The Original Motor Oil** 
 , but we’ve never rested on being first. Founded in 1866, we introduced the world’s first branded motor oil, staking our claim as a pioneer in the automotive and industrial solutions industry. Today, as an affiliate of
 **Aramco** 
 , one of the world’s largest integrated energy and chemicals companies, we are driven by innovation and committed to creating sustainable solutions for a better future.
 With a global presence, we develop
 **future\-ready products** 
 and provide
 **best\-in\-class services** 
 for our partners around the world. For us, originality isn’t just about where we began; it’s about where we’re headed and how we’ll lead the way.
 **We are originality in motion.**
 Our Corporate Values—Care, Integrity, Passion, Unity, And Excellence—are At The Heart Of Everything We Do. These Values Define How We Operate, How We Treat One Another, And How We Engage With Our Partners, Customers, And The Communities We Serve. At Valvoline Global, We Are United In Our Commitment To
* Treating everyone with care.
* Acting with unwavering integrity.
* Striving for excellence in all endeavors.
* Delivering on our commitments with passion.
* Collaborating as one unified team.
 When you join
 **Valvoline Global** 
 , you’ll become part of a culture that celebrates creativity, innovation, and excellence. Together, we’re shaping the future of automotive and industrial solutions.
**Job Purpose**
 We are seeking a highly skilled and motivated Data Engineer to join our growing data and analytics team. The ideal candidate will have strong experience designing and developing scalable data pipelines, integrating complex systems, and optimizing data workflows. Proficiency in Databricks and SAP Datasphere is preferred, as these platforms are central to our data ecosystem. However, demonstration of aptitude to quickly adapt to new technologies from past experience is also highly valued. This role will play a critical part in ensuring the accessibility, reliability, and performance of our enterprise data infrastructure to enable impactful business intelligence and data science initiatives.
**How You Make An Impact (Job Accountabilities)**
* Design, build, and maintain robust, scalable, and high\-performance data pipelines using Databricks and SAP Datasphere.
* Collaborate with data architects, analysts, data scientists, and business stakeholders to gather requirements and deliver data solutions aligned with stakeholders’ goals.
* Integrate diverse data sources (e.g., SAP, APIs, flat files, cloud storage) into the enterprise data platforms
* Ensure high standards of data quality and implement data governance practices. Stay current with emerging trends and technologies in cloud computing, big data, and data engineering.
* Provide ongoing support for the platform, troubleshoot any issues that arise, and ensure high availability and reliability of data infrastructure.
* Create documentation for the platform infrastructure and processes, and train other team members or users in platform effectively.
**What You Bring to the Role (Job Qualifications / Education / Skills / Requirements / Capabilities)**
* Bachelor's or Master’s degree in Computer Science, Data Engineering, Information Systems, or a related field.
* 5\-7\+ years of experience in a data engineering or related role.
* Strong knowledge of data engineering principles, data warehousing concepts, and modern data architecture.
* Proficiency in SQL and at least one programming language (e.g., Python, Scala).
* Experience with cloud platforms (e.g., Azure, AWS, or GCP), particularly in data services.
* Familiarity with data orchestration tools (e.g., PySpark, Airflow, Azure Data Factory) and CI/CD pipelines.
**Competencies Desired**
* Hands\-on experience with Databricks (including Spark/PySpark, Delta Lake, MLflow, Unity Catalog, etc.).
* Practical experience working with SAP Datasphere (or SAP Data Warehouse Cloud) in data modeling and data integration scenarios.
* SAP BW or SAP HANA experience is a plus.
* Experience with BI tools like Power BI or Tableau.
* Understanding of data governance frameworks and data security best practices.
* Exposure to data lakehouse architecture and real\-time streaming data pipelines.
* Certifications in Databricks, SAP, or cloud platforms are advantageous.
**Working Conditions / Physical Requirements / Travel Requirements**
* Working Conditions / Physical Requirements:
+ Normal Office environment.
+ Prolonged periods of computer use and frequent participation in meetings
+ Occasional walking, standing, and light lifting (up to 10 lbs)
* Travel Requirements: Minimal
 Valvoline Global is an
 **equal opportunity employer** 
 . We are dedicated to fostering an environment where every individual feels valued, respected, and empowered to contribute their unique perspectives and skills. We strictly prohibit discrimination and harassment of any kind, regardless of race, color, religion, age, sex, national origin, disability, genetics, veteran status, sexual orientation, gender identity, or any other legally protected characteristic.
 We are committed to ensuring accessibility throughout our recruitment process. If you require a reasonable accommodation to participate in any stage of the recruitment or selection process, please contact us at:.
* Email: Valvolineglobalcareers@valvolineglobal.com
 This contact information is solely for accommodation requests. For inquiries about application status, please use the appropriate channels listed in your application materials.
**Are You Ready to Make an Impact?**
 At Valvoline Global, we’re looking for passionate and talented individuals to join our journey of innovation and excellence.
 **Are you ready to shape the future with us? Apply today.**
 Requisition ID: 1687</t>
        </is>
      </c>
    </row>
    <row r="25">
      <c r="A25" t="inlineStr">
        <is>
          <t>li-4356597813</t>
        </is>
      </c>
      <c r="B25" t="inlineStr">
        <is>
          <t>Data Engineer</t>
        </is>
      </c>
      <c r="C25" t="inlineStr">
        <is>
          <t>NextDeavor</t>
        </is>
      </c>
      <c r="D25" t="inlineStr">
        <is>
          <t>linkedin</t>
        </is>
      </c>
      <c r="E25" t="inlineStr"/>
      <c r="F25" t="inlineStr"/>
      <c r="G25" t="inlineStr">
        <is>
          <t>San Jose, CA</t>
        </is>
      </c>
      <c r="H25" t="inlineStr"/>
      <c r="I25" t="inlineStr">
        <is>
          <t>**You’ll be joining Adobe on a contract opportunity, employed through NextDeavor.** 
**Benefits You’ll Love** 
* NextDeavor offers health, vision and dental benefits for contract employees
* Paid sick leave eligibility is contingent on state of residence
* Optional 401k Plan (excludes employer match)
* Opportunity to get your foot in the door at a well\-established corporation, with potential for extended or permanent full\-time employment
**Become a Key Player as a Data Engineer** 
 As a Data Engineer, you will help the client identify and measure its non\-genuine software base and translate those insights into conversion opportunities for senior stakeholders. You will apply Big Data best practices and statistical methods to large datasets and deliver executive\-ready dashboards and recommendations. Work model: Onsite in San Jose, CA.
**Here’s How You’ll Make an Impact on the Team** 
* Write complex SQL queries to identify and measure the non\-genuine software base
* Apply business logic to categorize the non\-genuine base into conversion opportunities
* Use Hadoop ecosystem tools (Hive, Pig) and Big Data practices to scale the piracy conversion program
* Create dashboards in Tableau and Excel to communicate performance and insights
* Apply statistical methodologies and data mining techniques to large volumes of data
* Analyze data and deliver clear insights to senior executives
**Here’s What You’ll Need to Be Successful in This Role** 
* 6–9 years of experience in data engineering or related roles
* Expertise in SQL
* Experience with the Hadoop ecosystem, including Hive and Pig
* Proficiency building dashboards in Tableau and Excel
* Strong Excel modeling skills; Power Pivot expertise is a must
* Solid understanding of statistical concepts and data mining techniques
* Excellent written and verbal communication skills
**Pay Range** 
 $81\.13 \- $101\.41/hour
**Ready to Make Your Mark?** 
 This role may fill quickly. Submit your resume to be considered.</t>
        </is>
      </c>
    </row>
    <row r="26">
      <c r="A26" t="inlineStr">
        <is>
          <t>li-4367314761</t>
        </is>
      </c>
      <c r="B26" t="inlineStr">
        <is>
          <t>Senior Data Engineer with CI/ CD</t>
        </is>
      </c>
      <c r="C26" t="inlineStr">
        <is>
          <t>Interon IT Solutions</t>
        </is>
      </c>
      <c r="D26" t="inlineStr">
        <is>
          <t>linkedin</t>
        </is>
      </c>
      <c r="E26" t="inlineStr"/>
      <c r="F26" t="inlineStr"/>
      <c r="G26" t="inlineStr">
        <is>
          <t>New York, United States</t>
        </is>
      </c>
      <c r="H26" t="inlineStr"/>
      <c r="I26" t="inlineStr">
        <is>
          <t>Our client is seeking a
 **Senior Data Engineer with CI/ CD \- Finance (Regulatory)** 
 to join our team in
 **New York, NY (Need Onsite day 1, hybrid 3 days from office)** 
 .
**Job Description**
 We are seeking a skilled Data Engineer with expertise in Databricks, Snowflake, Python, Pyspark, SQL, and Release Management to join our dynamic team. The ideal candidate will have a strong background in the banking domain and will be responsible for designing, developing, and maintaining robust data pipelines and systems to support our banking operations and analytics.
**Responsibilities**
* Design, develop, and maintain scalable and efficient data pipelines using Snowflake, Pyspark, and SQL.
* Write optimized and complex SQL queries to extract, transform, and load data.
* Develop and implement data models, schemas, and architecture that support banking domain requirements.
* Collaborate with data analysts, data scientists, and business stakeholders to gather data requirements.
* Automate data workflows and ensure data quality, accuracy, and integrity.
* Manage and coordinate release processes for data pipelines and analytics solutions.
* Monitor, troubleshoot, and optimize the performance of data systems.
* Ensure compliance with data governance, security, and privacy standards within the banking domain.
* Maintain documentation of data architecture, pipelines, and processes.
* Stay updated with the latest industry trends and incorporate best practices.
**Requirements**
* Proven experience as a Data Engineer or in a similar role with a focus on Snowflake, Python, Pyspark, and SQL.
* Strong understanding of data warehousing concepts and cloud data platforms, especially Snowflake.
* Hands\-on experience with release management, deployment, and version control practices.
* Solid understanding of banking and financial services industry data and compliance requirements.
* Proficiency in Python scripting and Pyspark for data processing and automation.
* Experience with ETL/ELT processes and tools.
* Knowledge of data governance, security, and privacy standards.
* Excellent problem\-solving and analytical skills.
* Strong communication and collaboration abilities.
* Expertise in CI/CD practices and implementation.
* Strong financial background experience with regulatory knowledge and compliance requirements.
**Preferred Qualifications**
* Good Knowledge in Azure and Databricks in highly preferred.
* Knowledge of Apache Kafka or other streaming technologies.
* Familiarity with DevOps practices and CI/CD pipelines.
* Prior experience working in the banking or financial services industry.</t>
        </is>
      </c>
    </row>
    <row r="27">
      <c r="A27" t="inlineStr">
        <is>
          <t>li-4366895544</t>
        </is>
      </c>
      <c r="B27" t="inlineStr">
        <is>
          <t>Senior Data Engineer</t>
        </is>
      </c>
      <c r="C27" t="inlineStr">
        <is>
          <t>OSI Engineering</t>
        </is>
      </c>
      <c r="D27" t="inlineStr">
        <is>
          <t>linkedin</t>
        </is>
      </c>
      <c r="E27" t="inlineStr"/>
      <c r="F27" t="inlineStr"/>
      <c r="G27" t="inlineStr">
        <is>
          <t>Sunnyvale, CA</t>
        </is>
      </c>
      <c r="H27" t="inlineStr"/>
      <c r="I27" t="inlineStr">
        <is>
          <t>A globally leading consumer device company based in Sunnyvale, CA is looking for Data Engineer to join their team.
**Job Responsibilities:** 
* Data Pipeline Engineering: Building efficient and scalable data pipelines to process multimodal data on cloud platform and local clusters
* Data Modeling and Database Design: Identifying entities, data, and their relationships within the application, considering the constraints of the stack (e.g. SQL, vector, and unstructured data). This is needed to support applications, query, analytics, and reporting.
* ML model deployment and application development for data curation and annotation based on state of the art multimodal models.
* **Candidate Requirements:** 
 6 years of SW development on data modeling, scalable data pipeline to process image \&amp; video data, and full\-stack development using Python, SQL.
* 5 years of development on data processing pipeline on cloud platform. Demonstrated software development skills using Python.
* 3 years of development on multimodal machine learning development for data curation and annotation, including deploying machine learning training and inference for large data processing on cloud platform, ML prompt engineering, ML feature learning, and/or video and 3d data understanding, etc.
* Bachelor's or Master's degree or above in a relevant field of Computer science and Software.
**Type:** 
 Contract
**Duration:** 
 12 months with extension
**Schedule:** 
 Sunnyvale, CA (hybrid)
**Pay range:** 
 $ 73\.00 \- $ 88\.00 (DOE)</t>
        </is>
      </c>
    </row>
    <row r="28">
      <c r="A28" t="inlineStr">
        <is>
          <t>li-4367000925</t>
        </is>
      </c>
      <c r="B28" t="inlineStr">
        <is>
          <t>Analytics Engineer - Microsoft Fabric</t>
        </is>
      </c>
      <c r="C28" t="inlineStr">
        <is>
          <t>Advantive</t>
        </is>
      </c>
      <c r="D28" t="inlineStr">
        <is>
          <t>linkedin</t>
        </is>
      </c>
      <c r="E28" t="inlineStr"/>
      <c r="F28" t="inlineStr"/>
      <c r="G28" t="inlineStr">
        <is>
          <t>Tampa, FL</t>
        </is>
      </c>
      <c r="H28" t="inlineStr"/>
      <c r="I28" t="inlineStr">
        <is>
          <t>At
 **Advantive** 
 , we don’t just make software—we build careers and power the manufacturing and distribution backbone of the global economy. We are growing fast, investing in AI, and building a culture where motivated, curious people rise quickly.
 You will join Advantive’s Business Analytics organization as a key member of the team responsible for building, operating, and maintaining our enterprise analytics warehouse on Microsoft Fabric.
 In this hands\-on role, you’ll focus on creating and running reliable data pipelines, transformations, and models that power our Power BI reporting and analytics. You’ll collaborate closely with our Principal Analytics Architect, Power BI developers, and business partners to make sure data is accurate, timely, and easy to work with.
 A core part of your work will be maintaining and extending the logic we’ve migrated from Alteryx into Fabric, as well as supporting ongoing enhancements as business needs evolve.
**Key Responsibilities**
**Data Pipelines \&amp; Transformations**
* Build and maintain Fabric data pipelines and transformations
* Support ingestion from Salesforce, NetSuite, and other systems
* Monitor pipeline health, refreshes, and performance
**Data Modeling \&amp; Maintenance**
* Implement and maintain warehouse tables and semantic models
* Partner with the architect to evolve models as requirements change
* Support historical tracking, reconciliations, and incremental loads
**Alteryx Logic Support**
* Help implement and validate Fabric\-based equivalents of Alteryx workflows
* Ensure transformed data aligns with existing business logic and reporting
**Analytics \&amp; Power BI Support**
* Support Power BI datasets sourcing from the warehouse
* Assist with data validation, metric definitions, and reconciliations
* Respond to ad\-hoc analytics and investigation requests
**Data Quality \&amp; Documentation**
* Proactively identify data quality issues and anomalies
* Maintain documentation for pipelines, transformations, and models
* Support governance, access controls, and audit requirements
**Qualifications**
* Bachelor’s degree in Information Systems, Data Analytics, Computer Science, or related field
* 3\-6\+ years of experience in analytics engineering, data operations, or BI engineering
* Hands\-on experience with SQL and modern analytics platforms (Microsoft Fabric preferred)
* Experience supporting Power BI datasets and models
* Familiarity with Salesforce and/or NetSuite data a strong plus
**Location** 
 : Tampa, FL
***While we offer flexibility, this role includes an expectation of being onsite three days a week in our Tampa office to support team alignment and cross\-functional collaboration.***</t>
        </is>
      </c>
    </row>
    <row r="29">
      <c r="A29" t="inlineStr">
        <is>
          <t>li-4367174304</t>
        </is>
      </c>
      <c r="B29" t="inlineStr">
        <is>
          <t>Data Engineer, Sr.</t>
        </is>
      </c>
      <c r="C29" t="inlineStr">
        <is>
          <t>Centene Corporation</t>
        </is>
      </c>
      <c r="D29" t="inlineStr">
        <is>
          <t>linkedin</t>
        </is>
      </c>
      <c r="E29" t="inlineStr"/>
      <c r="F29" t="inlineStr"/>
      <c r="G29" t="inlineStr"/>
      <c r="H29" t="inlineStr"/>
      <c r="I29" t="inlineStr">
        <is>
          <t>**About The Company** 
 Centene Corporation is a diversified, national organization committed to transforming the health of our communities by using innovative technology solutions to improve health outcomes across the globe. Serving over 28 million members, Centene is dedicated to providing accessible, high\-quality healthcare services through a broad network of healthcare providers. The organization emphasizes a culture of inclusion, diversity, and continuous improvement, offering its technology professionals a dynamic work environment with flexible workplace options. With a focus on leveraging data and technology, Centene aims to lead the industry in health innovation, ensuring better care and healthier lives for the populations it serves.
**About The Role** 
 We are seeking a highly skilled Data Engineer to join our team and play a pivotal role in developing and operationalizing data pipelines that support our analytics and reporting needs. The successful candidate will be responsible for designing, building, and maintaining complex data structures and real\-time processing applications, ensuring the seamless flow and high quality of data across various environments. This role involves collaborating closely with DevSecOps engineers during continuous integration and deployment cycles, guiding data management procedures, and optimizing data pipelines for performance and reliability. The ideal candidate will bring extensive experience in data ingestion, transformation, validation, and automation, contributing to the organization’s goal of leveraging data for strategic decision\-making and operational excellence.
**Qualifications** 
* Bachelor's degree in statistics, mathematics, engineering, computer science, or a related quantitative or business field.
* 4 to 6 years of relevant experience in data engineering, data management, or related roles.
* Proficiency in Python programming language.
* Strong SQL skills for data querying and manipulation.
* Experience with Snowflake data platform or similar cloud\-based data warehouses.
* Knowledge of data pipeline orchestration, automation, and optimization techniques.
* Understanding of DevSecOps principles and CI/CD processes.
* Ability to design high\-performance, large\-scale data structures for analytics.
* Excellent problem\-solving skills and attention to detail.
* Strong communication skills to collaborate effectively with cross\-functional teams.
**Responsibilities** 
* Develop and operationalize data pipelines to facilitate data ingestion, transformation, validation, and provisioning for analytics and reporting.
* Engage with DevSecOps engineers during continuous integration and deployment processes to ensure seamless delivery of data solutions.
* Guide the design and implementation of complex data management procedures, including data staging, ingestion, preparation, and destruction.
* Provide technical guidance to data engineers in developing high\-performance, scalable data structures for business intelligence.
* Design, develop, and maintain real\-time data processing applications and pipelines to support live analytics.
* Ensure data quality and integrity as data moves across various environments within the organization.
* Offer senior\-level insights into evolving data environments, processing techniques, and storage solutions, driving innovative and efficient data strategies.
* Develop, test, and maintain architectures using advanced programming tools and languages.
* Identify opportunities to improve data reliability, efficiency, and automation, employing data\-driven approaches to optimize workflows.
* Perform additional duties as assigned, ensuring compliance with organizational policies and standards.
**Benefits** 
* Competitive salary range from $87,000 to $161,300 annually.
* Comprehensive health insurance plans.
* 401(k) and stock purchase plans to support your financial future.
* Tuition reimbursement programs to promote continuous learning and development.
* Paid time off and holidays for work\-life balance.
* Flexible work arrangements including remote, hybrid, field, or office\-based schedules.
* Access to a supportive and inclusive workplace culture that values diversity and innovation.
 Equal Opportunity
 Centene Corporation is an equal opportunity employer committed to fostering an inclusive environment. We celebrate diversity and are dedicated to ensuring all qualified applicants receive fair consideration for employment regardless of race, color, religion, sex, sexual orientation, gender identity, national origin, disability, veteran status, or any other characteristic protected by law.</t>
        </is>
      </c>
    </row>
    <row r="30">
      <c r="A30" t="inlineStr">
        <is>
          <t>li-4356497883</t>
        </is>
      </c>
      <c r="B30" t="inlineStr">
        <is>
          <t>Data Engineer - Enterprise Products</t>
        </is>
      </c>
      <c r="C30" t="inlineStr">
        <is>
          <t>PreSales Collective</t>
        </is>
      </c>
      <c r="D30" t="inlineStr">
        <is>
          <t>linkedin</t>
        </is>
      </c>
      <c r="E30" t="inlineStr"/>
      <c r="F30" t="inlineStr"/>
      <c r="G30" t="inlineStr">
        <is>
          <t>New York, United States</t>
        </is>
      </c>
      <c r="H30" t="inlineStr"/>
      <c r="I30" t="inlineStr">
        <is>
          <t>Position: Data Engineer \- Enterprise Products
 Location: New York, NY (Hybrid)
 Department: Digital Experience
 Reports To: Technology Lead, Enterprise Products
 About Lincoln Center: Lincoln Center for the Performing Arts is a global home for music, dance, theater, film, and culture. We steward a 16\-acre campus in New York City, collaborate with world\-renowned Resident Arts Organizations, and bring the arts to millions each year.
 We are building a modern digital ecosystem that expands access to culture, strengthens audience relationships, and supports long\-term sustainability. A unified, trusted data platform is foundational to this work enabling Lincoln Center to operate as a connected campus while respecting the autonomy, privacy, and unique missions of our partner organizations.
 Role Overview: Lincoln Center is seeking a Data Engineer to help design, build, and operate an enterprise data platform that powers analytics, reporting, personalization, and future AI initiatives across the campus.
 Sitting within the Enterprise Products area, this role focuses on shared platforms and systems that serve the entire organization. You will be responsible for building secure, scalable, and cost\-efficient data pipelines and datasets on AWS that unify information from ticketing, CRM, fundraising, marketing, finance, and digital engagement systems.
 You’ll collaborate closely with product, business development, marketing, finance, and external partners to ensure the data platform is reliable, governed, observable, and trusted across the institution.
**What You’ll Do**
* Design, build, and operate scalable ETL/ELT pipelines on AWS supporting batch and near\-real\-time data use cases.
* Ingest and process data using AWS\-native services such as S3, Glue, Lambda, Step Functions, and CloudWatch, alongside modern data tooling.
* Integrate data from enterprise systems including ticketing, CRM, fundraising, finance, marketing platforms, and web/app analytics.
* Develop dimensional and semantic data models in the warehouse that serve as trusted sources of truth across departments.
* Optimize data workflows for performance, reliability, and cost, including partitioning strategies, orchestration schedules, and compute usage.
* Implement data governance standards using AWS IAM and warehouse controls, including role\-based access, masking, tagging, and metadata management.
* Partner with teams across Marketing, Business Development, Finance, and Programming to deliver high\-impact data products such as cohorts, funnels, donor analytics, and event performance insights.
* Improve data quality and reliability through automated testing, monitoring, alerting, and clear data ownership.
* Reduce technical debt by automating manual processes, deprecating legacy pipelines, and standardizing data access patterns.
* Contribute to enterprise\-wide data standards, documentation, and cloud best practices as the platform evolves.
**Who You Are**
* A pragmatic, cloud\-oriented data engineer who values reliability, clarity, and long\-term maintainability.
* Comfortable designing and operating data systems in AWS production environments.
* Fluent in SQL and Python, with strong instincts for data modeling, performance tuning, and cost awareness.
* Deeply invested in data quality, security, and governance.
* Comfortable collaborating across teams and explaining technical concepts to non\-technical partners.
* Motivated by building foundational platforms that enable teams to move faster and make better decisions.
* Energized by applying modern data practices in a multi\-stakeholder, mission\-driven environment.
**Qualifications**
* Minimum 5 years of experience in data engineering or closely related roles.
* Strong SQL skills (CTEs, window functions, performance tuning) and solid Python experience for data processing and testing.
* Hands\-on experience with AWS data services, including S3, Glue, Lambda, IAM, and CloudWatch.
* Experience working with modern data warehouses and transformation tools such as Snowflake and dbt.
* Experience designing dimensional and semantic models, incremental pipelines, and slowly changing dimensions.
* Working knowledge of data governance concepts including RBAC/ABAC, masking, tagging, and PII handling (GDPR/CCPA).
* Familiarity with workflow orchestration tools (Airflow or AWS\-native equivalents).
* Experience with CI/CD pipelines, Git\-based version control, and infrastructure\-as\-code (Terraform or similar).
**Success Looks Like**
* Trusted, well\-documented datasets adopted across Enterprise and departmental teams as sources of truth.
* High data reliability with strong test coverage, monitoring, and improving mean time to resolution.
* Measurable improvements in AWS data pipeline and warehouse cost efficiency.
* Faster time\-to\-insight enabled by standardized, governed data models.
* Clear contribution to audience growth, engagement, and fundraising effectiveness.
 What is Lincoln Center for the Performing Arts?
 Lincoln Center for the Performing Arts, Inc. (LCPA) is a cultural and civic cornerstone of New York City. We believe the arts play an important role in our lives: they nourish our hearts and minds, teach us valuable lessons and critical skills, and help us create community. We are resolved not to lose sight of what connects us, and we hope you will consider joining our talented, diverse team.
 We are:
* The manager of the 16\-acre Lincoln Center campus
* We are one of eleven amazing resident arts organizations
* A leading Arts Presenter.
* We curate numerous programs and performances, showcasing music, dance, and more
* An Education Hub.
* We have reached 20 million students, educators, principals, and community members
 Who are our people?
 LCPA is a team of dreamers, collaborators, and entrepreneurs who use unique platforms in the heart of New York City and beyond to advocate for the transformative impact of artistic experiences.
 Lincoln Center People imagine and create in concert with this mission by founding President John D. Rockefeller III \- "The arts are not for the privileged few, but for the many. Their place is not on the periphery of daily life, but at its center."
 We welcome applicants from all sectors who agilely solve problems, show up as they are, and can't stop innovating.
 What’s the news?
 Recent and Upcoming Programming
* Lincoln Center Reveals 25/26 Season Featuring Jeanine Tesori as Visionary Artist
* Kyle Abraham's 20 Years of Urgency at Lincoln Center Rose Theatre
 Campus Happenings
* Lincoln Center Gets $50 Million Gift to Promote Contemporary Dance
* The new JFK terminal will show iconic artworks from MoMA, the Met and Lincoln Center
 Legacies of San Juan Hill
* WNYC: Lincoln Center Celebrates 'Legacies of San Juan Hill
* Lincoln Center Launches San Juan Hill Project Digital Hub To Remember the Lost Urban Neighborhood
 Who is our President and CEO?
 Dr. Mariko Silver
 Join us!
 It is the policy of Lincoln Center for the Performing Arts, Inc., to ensure equal employment opportunity without discrimination or harassment on the basis of race, creed, color, national origin, sex, age, religion, disability, marital or civil partnership/union status, familial or caregiver status, alienage or citizenship status, sexual orientation, gender identity or expression, pregnancy, military or veteran status, genetic information, predisposition, or carrier status, unemployment status, domestic violence, sexual violence, or stalking victim status, or any other characteristic protected by federal, state, or local law. LCPA is committed to creating a dynamic work environment that values diversity and inclusion, respect and integrity, customer focus, and innovation.
 If you require reasonable accommodation in locating open positions, completing this application, interviewing, completing any pre\-employment testing, or otherwise participating in the employee selection process, please direct your inquiries to Abigail Worsnip at (212\) 875–5324\.</t>
        </is>
      </c>
    </row>
    <row r="31">
      <c r="A31" t="inlineStr">
        <is>
          <t>li-4367333008</t>
        </is>
      </c>
      <c r="B31" t="inlineStr">
        <is>
          <t>Senior Analytics Engineer</t>
        </is>
      </c>
      <c r="C31" t="inlineStr">
        <is>
          <t>Talently</t>
        </is>
      </c>
      <c r="D31" t="inlineStr">
        <is>
          <t>linkedin</t>
        </is>
      </c>
      <c r="E31" t="inlineStr"/>
      <c r="F31" t="inlineStr"/>
      <c r="G31" t="inlineStr">
        <is>
          <t>South San Francisco, CA</t>
        </is>
      </c>
      <c r="H31" t="inlineStr"/>
      <c r="I31" t="inlineStr">
        <is>
          <t>**Job Title:** 
 Senior Analytics Engineer
**Location:** 
 On Site \- South San Francisco, California, United States
**Salary:** 
 $140,000\-$175,000
**Skills:** 
 Analytics Engineering, Data Warehousing, SQL, Dimensional Data Modeling, Business Intelligence
**About the Transportation, Logistics, Supply Chain and Storage Company / The Opportunity:** 
 Join an innovative leader in the transportation, logistics, supply chain, and storage industry, focused on leveraging cutting\-edge technology to transform the delivery and availability of critical goods worldwide. As a Senior Analytics Engineer, you will become a trusted partner across business and operations teams, driving impactful analytics solutions that enable rapid, data\-driven decision making. This is a unique opportunity to work on high\-impact projects that connect business data and strategy, supporting essential operations across supply chain, manufacturing, maintenance, and fulfillment.
**Responsibilities:** 
* Bridge the gap between complex business challenges and the data required to address them.
* Develop and maintain scalable data pipelines to ensure stability, accuracy, and seamless data flow across operational systems.
* Partner with engineering teams to improve data quality at the source, shaping how analytics infrastructure is built and scaled.
* Design, develop, and optimize data models to transform and consolidate raw data into clean, reusable datasets for analytics.
* Define, track, and operationalize key business metrics and KPIs to inform strategic decisions.
* Collaborate with stakeholders to build intuitive dashboards, reports, and self\-service analytics tools that unlock actionable insights across the organization.
* Apply advanced statistical methods and experimental design to uncover trends, drive product and operational progress, and support marketing initiatives.
* Balance centralized and distributed reporting needs by building resources and models that empower teams to act independently.
**Must\-Have Skills:** 
* Bachelor’s degree in a related field and 7\+ years of relevant industry experience.
* Expertise in Analytics Engineering, including designing and building robust data pipelines and models.
* Proficiency in writing complex and efficient SQL queries.
* Hands\-on experience with modern data warehousing (preferably Snowflake) and dimensional data modeling (preferably using dbt).
* Experience with Business Intelligence tools, such as Mode and ThoughtSpot.
* Proven ability to translate business requirements into technical solutions.
* Excellent analytical and problem\-solving skills, with the ability to visualize and present complex results clearly.
* Strong communication and stakeholder management skills, explaining technical topics to diverse audiences.
**Nice\-to\-Have Skills:** 
* Familiarity with Python or R for advanced statistical analysis, experimental design, or predictive modeling.
* Experience working with finance, e\-commerce, and product data within supply chain or logistics contexts.
* Expertise in data storytelling and executive reporting to support high\-level decision making.
* Demonstrated ability to triage analytics requests and balance multiple projects and deadlines.
* Previous involvement in operational analytics for inventory, maintenance, engineering, or fulfillment operations.</t>
        </is>
      </c>
    </row>
    <row r="32">
      <c r="A32" t="inlineStr">
        <is>
          <t>li-4367000612</t>
        </is>
      </c>
      <c r="B32" t="inlineStr">
        <is>
          <t>Data Engineer - (2600002I) - Irvine, CA</t>
        </is>
      </c>
      <c r="C32" t="inlineStr">
        <is>
          <t>VetJobs</t>
        </is>
      </c>
      <c r="D32" t="inlineStr">
        <is>
          <t>linkedin</t>
        </is>
      </c>
      <c r="E32" t="inlineStr"/>
      <c r="F32" t="inlineStr"/>
      <c r="G32" t="inlineStr">
        <is>
          <t>Irvine, CA</t>
        </is>
      </c>
      <c r="H32" t="inlineStr"/>
      <c r="I32" t="inlineStr">
        <is>
          <t>**Job Description**
***ATTENTION MILITARY AFFILIATED JOB SEEKERS***
 \- Our organization works with partner companies to source qualified talent for their open roles. The following position is available to
 *Veterans, Transitioning Military, National Guard and Reserve Members, Military Spouses, Wounded Warriors, and their Caregivers* 
 . If you have the required skill set, education requirements, and experience, please click the submit button and follow the next steps. Unless specifically stated otherwise, this role is "On\-Site" at the location detailed in the job post.
 Through our service brands Hyundai Motor Finance, Genesis Finance, and Kia Finance, Hyundai Capital America offers a wide range of financial products tailored to meet the needs of Hyundai, Genesis, and Kia customers and dealerships. We provide vehicle financing, leasing, subscription, and insurance solutions to over 2 million consumers and businesses. Embodying our commitment to grow, innovate, and diversify, we strive to reimagine the customer and dealer experience and launch innovative new products that broaden our market reach. We believe that success comes from within and are proud to support our team members through skill development and career advancement. Hyundai Capital America is an Equal Opportunity Employer committed to creating a diverse and inclusive culture for our workforce. We are a values\-driven company dedicated to supporting both internal and external communities through volunteering, philanthropy, and the empowerment of our Employee Resource Groups. Together, we strive to be the leader in financing freedom of movement.
 We Take Care of Our People
 Along with competitive pay, as an employee of HCA, you are eligible for the following benefits:
* Medical, Dental and Vision plans that include no\-cost and low\-cost plan options
* Immediate 401(k) matching and vesting
* Vehicle purchase and lease discounts plus monthly vehicle allowances
* Paid Volunteer Time Off with company donation to a charity of your choice
* Tuition reimbursement
 What to Expect
 The Data Engineer is responsible for designing and developing data pipelines and information assets utilizing modern technology approaches to ensure alignment with reference architecture, data requirements, time frames are iterative delivery of data pipeline artifacts.
 What You Will Do
* Solutions Delivery – Analysis, Design, and Development
* Create and maintain optimal data pipeline architecture.
* Build the infrastructure required for optimal extraction, transformation, and loading of data from a wide variety of data sources using SQL and AWS big\-data technologies.
* Build data pipelines, ELT optimization, data mappings, and ETL progress design to provide actionable insights into customer acquisition, operational efficiency and other key business performance metrics.
* Responsible for ensuring that the technical output of the Data Engineering team conforms to best practices and standards .
* Draft technical design and specifications, and data lineage.
* Participate on other related assessments such as Data Analysis, Root Cause Analysis, Impact Analysis, As\-Is solution assessment and ToBe solution recommendation, etc.
* Test and Maintenance
* Implement improvements to application performance for potential bottlenecks.
* Update process documentation to keep system library up to date.
* Validate system developed according to requirement by testing.
* Solutions Delivery Management
* Follow processes and practices to enable the delivery of data engineering artifacts.
* Execute plans to drive higher solution efficiency and delivery velocity of Data Services solution.
**Auto req ID**
 464434BR
**Minimum Education Required**
 Bachelors
**Job\_Category**
 Engineering
**Qualifications**
**Additional Qualifications/Responsibilities**
 What You Will Bring
* Minimum 5\-7 years’ progressive experience in data analytics, computer systems engineering, or software engineering.
* Proven experience with Data Integration tools such as Informatica, AWS Glue, AWS Redshift, AWS S3, and languages such as Stored Procedures, Python, Spark, etc.
* Auto\-finance experience and specifically Cassiopeia product experience required.
* SQL and Oracle knowledge required.
* Bachelor’s degree required.
* Advanced degree preferred.
* Experience in building and optimizing relational and structured data pipelines, architectures and data sets.
* Strong analytic skills to work with unstructured datasets.
* Has in\-depth functional expertise and broad business knowledge of data domains.
* Ability to find solutions on data requirements and issues.
* Ability to conduct code reviews to ensure that the technical output conforms to best practices and standards.
* Ability to communicate and influence Business and IT in terms of understanding the data. requirements, respective data solutions, and technical decisions.
* Strong collaboration and motivation skills.
* Strong communication skills (verbal and written).
 Work Environment
 Employees in this class are subject to extended periods of sitting, standing, and walking, vision to monitor and moderate noise levels. Work is performed in an at home and office environment.
 The posted salary range for this job takes into account the wide range of factors that are considered in making compensation decisions including but not limited to skill sets; experience and training; licensure and certifications; geographic location, and other business and organizational needs. Successful candidates may be hired anywhere in the salary range based on these factors. It is uncommon to hire candidates at or near the top of the range.
 Minimum Salary: $100,000\.00
 Maximum Salary: $155,000\.00
**Certificates/Security Clearances/Other**
**City\***
 Irvine
**State\***
 California
**Job Code**
 Manufacturing Manufacturing
**Affiliate Sponsor**
 Hyundai
**Salary Range**
 \&gt;$100,000</t>
        </is>
      </c>
    </row>
    <row r="33">
      <c r="A33" t="inlineStr">
        <is>
          <t>li-4341952989</t>
        </is>
      </c>
      <c r="B33" t="inlineStr">
        <is>
          <t>Senior Data Engineer</t>
        </is>
      </c>
      <c r="C33" t="inlineStr">
        <is>
          <t>Akkodis</t>
        </is>
      </c>
      <c r="D33" t="inlineStr">
        <is>
          <t>linkedin</t>
        </is>
      </c>
      <c r="E33" t="inlineStr"/>
      <c r="F33" t="inlineStr"/>
      <c r="G33" t="inlineStr">
        <is>
          <t>Omaha, NE</t>
        </is>
      </c>
      <c r="H33" t="inlineStr"/>
      <c r="I33" t="inlineStr">
        <is>
          <t>Akkodis is searching for a Senior Data Engineer who has extensive experience with Databricks, Python, and PySpark. Any Data Engineer who has experience working with SAP data would be a tremendous fit for this client! If you are looking for an opportunity to
**Pay/Salary Range:** 
 60\.00/HR to $85\.00/HR; The rate may be negotiable based on experience, education, geographic location, and other factors.
**What You’ll Do:** 
* Experience with cloud\-based technologies like
 **Databricks** 
 , Snowflake and Palantir.
* Deep experience (5\+ years) in writing and debugging complex SQL on RDBMS platforms like Snowflake, SQL Server, and Oracle.
* Experience working within an
 **SAP** 
 Data environment
* Proficient in
 **Python** 
 and
 **PySpark** 
 for data processing and transformation.
* Experience with DevOps frameworks and source control.
* Proficient in using ETL tools like Informatica IICS, Talend, Data Services, and SSIS.
 If you are interested in this position, then please click APPLY NOW. For other opportunities available at Akkodis go to www.akkodis.com.
*Equal Opportunity Employer/Veterans/Disabled* 
 Benefit offerings available for our associates include medical, dental, vision, life insurance, short\-term disability, additional voluntary benefits, an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*Disclaimer: These benefit offerings do not apply to client\-recruited jobs and jobs that are direct hires to a client.* 
*To read our Candidate Privacy Information Statement, which explains how we will use your information, please visit https://www.akkodis.com/en/privacy\-policy.*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t>
        </is>
      </c>
    </row>
    <row r="34">
      <c r="A34" t="inlineStr">
        <is>
          <t>li-4367338676</t>
        </is>
      </c>
      <c r="B34" t="inlineStr">
        <is>
          <t>Senior Analytics Engineer, VM</t>
        </is>
      </c>
      <c r="C34" t="inlineStr">
        <is>
          <t>Valon</t>
        </is>
      </c>
      <c r="D34" t="inlineStr">
        <is>
          <t>linkedin</t>
        </is>
      </c>
      <c r="E34" t="inlineStr"/>
      <c r="F34" t="inlineStr"/>
      <c r="G34" t="inlineStr"/>
      <c r="H34" t="inlineStr"/>
      <c r="I34" t="inlineStr">
        <is>
          <t>**About The Company**
 Valon is transforming both mortgage servicing and consumer direct lending with a technology\-first approach. Backed by Andreessen Horowitz (a16z) and managing over $130 billion in loans, we’ve built our platforms from the ground up—not on outdated legacy systems—so homeowners, lenders, and investors experience greater transparency, efficiency, and care. By unifying processes into a modern, AI\-native operating system, we’re leading the way in automation, compliance, and continuous improvement across our servicing and lending businesses.
 Our mission is to empower every homeowner by making the mortgage experience simple, secure, and financially empowering. To achieve this, we bring together world\-class engineers, servicing experts, lending professionals, and operations leaders who share a passion for improving the homeowner journey. We’re not only reshaping what servicing and lending look like today—we’re creating opportunities for talented people to help drive the future of the industry.
 As we continue to grow, Valon is expanding its footprint across multiple states, opening the door to exciting new roles and career paths. Joining Valon means becoming part of a fast\-scaling company where innovation, collaboration, and customer impact go hand in hand. Mortgage is just the beginning—we’re building the future of regulated finance, and we want you to be part of it.
**About The Role**
 We are seeking a
 **Senior Analytics Engineer** 
 to take ownership of our external client reporting pipelines. This crucial role involves managing the layer of our data platform responsible for transforming raw data into reliable, structured, and performant assets for reporting, analysis, and AI initiatives. This role sits at the intersection of engineering and analytics, ensuring data is production\-grade, auditable, and easily accessible across the organization.
 You will own client reporting, standardize our data modeling practices, manage the orchestration of analytical workflows, and provide hands\-on analytical support for high\-stakes operational business functions, including reporting and performance management.
**Responsibilities**
* Client Reporting \&amp; Infrastructure: Scope and develop new client reports, while also maintaining and enhancing existing reporting pipelines. Collaborate with external clients and our internal client success team to effectively manage and triage inbound requests. Partner with Valon Technologies' data team to improve the underlying infrastructure for client reporting.
* Data Modeling \&amp; Transformation: Design, build, and maintain the production\-grade data models and analytical layers using our existing stack of dbt Cloud and Airflow to ensure reliability and structure at scale.
* Data Governance \&amp; Quality: Partner with engineering and product teams to define and implement data contracts and observability frameworks (e.g., Great Expectations) to guarantee data quality and auditability for a regulated environment.
* Analytical Support: Write complex SQL queries, build dashboards (in tools like Hex or Looker), and conduct ad hoc analysis to empower operational leaders and provide deep root\-cause insights into business performance.
* Compliance \&amp; Reporting: Own and fulfill third\-party audit, exam, and regulatory reporting requirements, managing timelines and delivering clear, defensible outputs to clients and regulators.
**Ideal Background \&amp; Qualifications**
* Experience: 7\+ years of combined experience in data engineering, analytics engineering, or a highly technical data analytics role, ideally at a mortgage servicer or financial institution (Series B–E startup experience is a plus).
* Technical Stack: Expertise in SQL (required), strong proficiency in Python, and proven experience with core modern data stack tools like dbt and Airflow.
* Communication: Communicate effectively with external clients, clearly synthesizing their requests, establishing realistic timelines, and proactively managing expectations, including pushing back when necessary to ensure successful outcomes.
* Architecture \&amp; Quality: Deep understanding of data architecture patterns (e.g. medallion architecture) and experience implementing data quality frameworks, observability tools, or data contracts at scale.
* Analytical Tools: Experience with data visualization tools (Hex, Looker, or equivalent) and proficiency in Google Sheets/Microsoft Excel.
* Mindset: A strong product mindset, focusing on the usability, reliability, and developer experience of the data systems you build.
* Problem\-Solving: Proven ability to solve complex problems independently and build repeatable processes around novel situations.
**Minimum Qualifications**
* Bachelor’s Degree or equivalent professional experience in Computer Science, Data Analytics, or a similar field.
**Benefits**
* Compensation: competitive salary and 401(k) plan
* Health \&amp; well\-being: we’ll invest in your physical and mental well\-being with comprehensive medical, dental, \&amp; vision benefits
* Grow together: Company\-wide orientation for you to successfully onboard and other learning \&amp; development opportunities, including regular review cycles that feature 360\-degree feedback
* Generous time off: 17 days paid time off, sick days, and 11 company holidays
* Baby bonding time!: 12 weeks off for both birthing and non\-birthing parents \- fully paid so you can focus your energy on your newest addition
*Throughout the interview process, please remember that emails will only be from* 
*valon.com* 
*email addresses. We will never ask for any personally identifiable information during the interview process itself. Please reach out to talent@valon.com if you have any requests to verify the authenticity of an outreach.*
*Valon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Valon makes hiring decisions based solely on qualifications, merit, and business needs at the time.*</t>
        </is>
      </c>
    </row>
    <row r="35">
      <c r="A35" t="inlineStr">
        <is>
          <t>li-4367016370</t>
        </is>
      </c>
      <c r="B35" t="inlineStr">
        <is>
          <t>Sr. Analytics Engineer</t>
        </is>
      </c>
      <c r="C35" t="inlineStr">
        <is>
          <t>RemoteHunter</t>
        </is>
      </c>
      <c r="D35" t="inlineStr">
        <is>
          <t>linkedin</t>
        </is>
      </c>
      <c r="E35" t="inlineStr"/>
      <c r="F35" t="inlineStr"/>
      <c r="G35" t="inlineStr"/>
      <c r="H35" t="inlineStr"/>
      <c r="I35" t="inlineStr">
        <is>
          <t>About the Opportunity:
 The organization leads in Real\-Time Care Intelligence solutions aimed at improving outcomes for individuals facing physical and behavioral health challenges. The Senior Analytics Engineer role involves working with the Analytics and Visualization team and internal stakeholders to develop reporting solutions using a unique data pipeline. This position requires creative problem\-solving, cross\-team collaboration, and independent thinking to leverage data and enhance healthcare delivery.
 Responsibilities:
 • Design and manage data pipelines supporting reporting solutions
 • Develop dashboards and reporting features to improve user satisfaction
 • Serve as the technical authority on reporting components of the product suite
 • Foster collaboration across Agile teams and functions to implement solutions
 • Use data and advanced analytics to provide actionable insights to stakeholders
 • Support business\-aligned projects to meet organizational goals
 • Identify repetitive tasks and partner to implement scalable automation
 • Stay informed on emerging AI tools to enhance work within the function
 Requirements:
 • Bachelor’s Degree in a quantitative or technical discipline; advanced degree is a plus
 • 5\+ years of professional experience in data analytics
 • Experience designing user\-friendly analytics solutions with Tableau, Looker, or similar software
 • Proficiency in SQL for data collection, cleaning, and aggregation
 • Solid understanding of database technologies (PostgreSQL, MySQL, DynamoDB) and coding for data collection
 • Knowledge of data warehousing concepts and experience with platforms such as Amazon Redshift
 • Working knowledge of Tableau for creating user\-facing analytics solutions
 • Proficiency with Python, GitHub, and standard development tools
 • Comfort using or learning AI\-supported tools such as ChatGPT or CoPilot
 • Strong analytical and problem\-solving skills with creativity in solution design
 • Ability to thrive in fast\-paced, evolving environments
 • Effective remote work skills with high\-quality virtual interactions
 • Ability to travel periodically for work
 Benefits \&amp; Perks:
 • Opportunity to work with an innovative healthcare technology team
 • Freedom to create within a highly supportive environment
 • Exposure to strategic priorities and learning from top investors and advisors
 • Competitive compensation including health, dental, vision, and other benefits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6">
      <c r="A36" t="inlineStr">
        <is>
          <t>li-4367347388</t>
        </is>
      </c>
      <c r="B36" t="inlineStr">
        <is>
          <t>Analytics Engineer</t>
        </is>
      </c>
      <c r="C36" t="inlineStr">
        <is>
          <t>FDH Aero</t>
        </is>
      </c>
      <c r="D36" t="inlineStr">
        <is>
          <t>linkedin</t>
        </is>
      </c>
      <c r="E36" t="inlineStr"/>
      <c r="F36" t="inlineStr"/>
      <c r="G36" t="inlineStr">
        <is>
          <t>Oklahoma City, OK</t>
        </is>
      </c>
      <c r="H36" t="inlineStr"/>
      <c r="I36" t="inlineStr">
        <is>
          <t>**Who Are We?**
**FDH Aero** 
 is a trusted global supply chain partner for aerospace and defense companies, providing end\-to\-end supply chain solutions for OEM and aftermarket customers.
 With more than 55\+ years of experience and operations in 14 countries, we bring expertise across Commercial, Defense, Space, Business Aviation and Cargo through our specialized business divisions,
 **Electronics** 
 ,
 **Hardware** 
 ,
 **Commercial Aftermarket, and Defense Aftermarket** 
 .
 For more information, please visit the FDH Aero website .
**Why Work Here?**
**Fast\-paced \&amp; Impactful Work –** 
 Every decision helps keep aircraft flying and missions moving
**Driven Team \&amp; Culture –** 
 Supportive, driven colleagues who support you every step of the way
**High\-Growth Opportunities** 
**–** 
 We invest in your success with training and development
**Competitive Benefits Package –** 
 Includes medical, dental, vision insurance, Flexible Spending Accounts (FSA) 401k matching, wellness activities and more
 At FDH Aero, we understand that the strength of our brand comes from our people, and our culture empowers every team member to contribute and grow. As a global team, our culture is rooted in five (5\) core values that begin with the words “ We are ” and include: service\-first, respectful, amplifiers, open\-minded and accountable.
**We Are Looking For**
 The Analytics Engineer is responsible for designing, building, and maintaining scalable data pipelines and models that transform raw data into trusted, analytics\-ready assets for FDH Electronic’s operations. This role owns the accuracy, reliability, and performance of curated datasets across the organization and ensures business teams have access to consistent, governed insights to support critical functions. The Analytics Engineer collaborates closely with analysts and business teams to translate complex business needs into efficient data solutions while driving continuous improvement in data quality, pipeline efficiency, and self\-service analytics capabilities. This position serves as a key technical bridge between IT and the business, enabling faster, data\-driven decision\-making in a high\-stakes global aerospace supply chain environment.
**What You’ll Do**
 As an Analytics Engineer you will:
* Build scalable, modular data models to support advanced analytics, reporting, and forecasting across the aerospace supply chain
* Transform raw data into clean, reliable, analytics\-ready tables that enable real\-time visibility into component availability, traceability, and production status
* Develop and maintain robust SQL pipelines for curated, business\-ready datasets, incorporating incremental processing and error\-handling logic to ensure consistent data freshness and minimal downtime
* Integrate and harmonize data to deliver accurate, unified reporting on key performance indicators
* Define and document reusable business metrics, KPIs, and semantic models within BI tools (Power BI), ensuring consistency and governance across all self\-service reporting and dashboards
* Enable secure, governed self\-service analytics capabilities for business, allowing them to explore performance data independently while maintaining strict data security, access controls, and compliance with aerospace industry standards
* Implement comprehensive validation frameworks, automated testing suites, and real\-time anomaly detection mechanisms to monitor data pipelines and proactively surface potential quality issues
* Proactively identify, investigate, and resolve data integrity problems to uphold traceability requirements and regulatory compliance
* Improve overall pipeline efficiency, reduce processing costs, and enhance scalability to support growing data usage
* Tune complex data models, SQL queries, and transformation logic to handle increasing data volumes and velocity driven by business growth
* Partner closely with analysts and business teams to gather and refine requirements for data products
**What You Bring**
* Bachelor's degree in Computer Science, Data Engineering, Information Systems, or a related field
* 3\+ years of experience in analytics engineering, data modeling, or a similar role, preferably in supply chain, manufacturing, or aerospace industries.
* Proven track record working with large\-scale datasets in cloud and familiarity with ETL processes
* Strong SQL skills and experience with data warehouses
* Expertise in BI platforms and semantic modeling, with a focus on enabling user\-friendly analytics
* Analytical mindset with excellent problem\-solving skills, capable of identifying data anomalies and optimizing performance in high\-volume environments
* Collaborative communicator who can bridge technical and business teams, translating requirements into effective data solutions
* Commitment to data governance, quality assurance, and continuous improvement
* Adaptability to fast\-paced settings, with a proactive approach to innovation in analytics
**Special Requirements**
* U.S. Citizen, U.S. Permanent Resident (Green Card holder) or asylee/refugee status as defined by 8 U.S.C. 1324b(a)(3\) required.
* ITAR Requirement
* 120\.15\. Some positions will require current U.S. Citizenship due to contract requirements.
 This position requires access to information that is subject to compliance with the International Traffic Arms Regulations (“ITAR”) and/or the Export Administration Regulations (“EAR”). In order to comply with the requirements of the ITAR and/or the EAR, applicants will be asked to provide specific documentation to verify U.S. person status under the ITAR and the EAR. A “U.S. person” according to their definition is a U.S. citizen, U.S. lawful permanent resident (green card holder), or protected individual such as a refugee, or asylee. See 22 CFR
 Job Type: Full Time
**FDH Aero** 
 is an Equal Opportunity Employer and all qualified applicants will receive consideration for employment without regard to race, color, religion, sex, national origin, sexual orientation, gender identity, disability status, protected veteran status, or any other characteristic protected by law.</t>
        </is>
      </c>
    </row>
    <row r="37">
      <c r="A37" t="inlineStr">
        <is>
          <t>li-4367304962</t>
        </is>
      </c>
      <c r="B37" t="inlineStr">
        <is>
          <t>Senior Data Engineer with CI/ CD - Finance (Regulatory)</t>
        </is>
      </c>
      <c r="C37" t="inlineStr">
        <is>
          <t>Accord Technologies Inc</t>
        </is>
      </c>
      <c r="D37" t="inlineStr">
        <is>
          <t>linkedin</t>
        </is>
      </c>
      <c r="E37" t="inlineStr"/>
      <c r="F37" t="inlineStr"/>
      <c r="G37" t="inlineStr">
        <is>
          <t>New York, NY</t>
        </is>
      </c>
      <c r="H37" t="inlineStr"/>
      <c r="I37" t="inlineStr">
        <is>
          <t>**Senior Data Engineer with CI/ CD \- Finance (Regulatory)
 New York, NY (Need Onsite day 1, hybrid 3 days from office).
 Position type: W2 contract**
**Job Description**
 We are seeking a skilled Data Engineer with expertise in Databricks, Snowflake, Python, Pyspark, SQL, and Release Management to join our dynamic team. The ideal candidate will have a strong background in the banking domain and will be responsible for designing, developing, and maintaining robust data pipelines and systems to support our banking operations and analytics.
**Responsibilities**
* Design, develop, and maintain scalable and efficient data pipelines using Snowflake, Pyspark, and SQL.
* Write optimized and complex SQL queries to extract, transform, and load data.
* Develop and implement data models, schemas, and architecture that support banking domain requirements.
* Collaborate with data analysts, data scientists, and business stakeholders to gather data requirements.
* Automate data workflows and ensure data quality, accuracy, and integrity.
* Manage and coordinate release processes for data pipelines and analytics solutions.
* Monitor, troubleshoot, and optimize the performance of data systems.
* Ensure compliance with data governance, security, and privacy standards within the banking domain.
* Maintain documentation of data architecture, pipelines, and processes.
* Stay updated with the latest industry trends and incorporate best practices.
**Requirements:**
* Proven experience as a Data Engineer or in a similar role with a focus on Snowflake, Python, Pyspark, and SQL.
* Strong understanding of data warehousing concepts and cloud data platforms, especially Snowflake.
* Hands\-on experience with release management, deployment, and version control practices.
* Solid understanding of banking and financial services industry data and compliance requirements.
* Proficiency in Python scripting and Pyspark for data processing and automation.
* Experience with ETL/ELT processes and tools.
* Knowledge of data governance, security, and privacy standards.
* Excellent problem\-solving and analytical skills.
* Strong communication and collaboration abilities.
* Expertise in CI/CD practices and implementation.
* Strong financial background experience with regulatory knowledge and compliance requirements.
**Preferred Qualifications:**
* Good Knowledge in Azure and Databricks in highly preferred.
* Knowledge of Apache Kafka or other streaming technologies.
* Familiarity with DevOps practices and CI/CD pipelines.
* Prior experience working in the banking or financial services industry.</t>
        </is>
      </c>
    </row>
    <row r="38">
      <c r="A38" t="inlineStr">
        <is>
          <t>li-4367013070</t>
        </is>
      </c>
      <c r="B38" t="inlineStr">
        <is>
          <t>Senior / Lead Data Developer (Analytics Engineering)</t>
        </is>
      </c>
      <c r="C38" t="inlineStr">
        <is>
          <t>DazzleTek Inc</t>
        </is>
      </c>
      <c r="D38" t="inlineStr">
        <is>
          <t>linkedin</t>
        </is>
      </c>
      <c r="E38" t="inlineStr"/>
      <c r="F38" t="inlineStr"/>
      <c r="G38" t="inlineStr">
        <is>
          <t>Ridgefield, CT</t>
        </is>
      </c>
      <c r="H38" t="inlineStr"/>
      <c r="I38" t="inlineStr">
        <is>
          <t>Senior / Lead Data Developer (Analytics Engineering)
 Location: Ridgefield, CT/Hybrid
 Full Time
 Visa\-USC/GC
 Role Overview
 We are seeking a highly skilled Data Developer / Analytics Engineer to design, build, and maintain modern, cloud\-based data platforms that power analytics, visualization, and business intelligence solutions.
 This role is backend\-heavy with a strong focus on ETL/ELT pipelines, data warehousing, AWS services, and analytics engineering, paired with front\-end visualization using Tableau and Power BI. You will work across the full data lifecycle—from ingestion and transformation to visualization and release management—delivering secure, scalable, high\-performance data solutions.
 You will collaborate closely with product, analytics, and business stakeholders in an agile environment to deliver data\-driven applications that support healthcare, pharmaceutical, biotech, and consulting use cases. Experience working in regulated environments or with large healthcare systems is strongly preferred.
 Key Responsibilities
 Data Platform \&amp; Pipeline Development
 • Design, build, and maintain robust ETL/ELT pipelines using tools such as AWS Glue, Databricks, and DBT.
 • Develop and manage scalable backend services using AWS Lambda, API Gateway, and serverless architectures.
 • Ensure high data quality, reliability, performance, and security across all pipelines and platforms.
 • Support data warehousing and business intelligence initiatives.
 Data Visualization \&amp; Analytics
 • Develop and maintain interactive dashboards and reporting solutions using Tableau and Power BI.
 • Partner with business users to translate analytical needs into actionable insights and visualizations.
 • Enable self\-service analytics through well\-designed data models and semantic layers.
 Architecture \&amp; Integration
 • Design API\-enabled backend integrations and data services aligned with enterprise architecture standards.
 • Implement secure, compliant, and maintainable solutions that meet healthcare and regulatory requirements.
 DevOps, Release Management \&amp; Operations
 • Support development and production environments across DEV, QA, STAGING, and PROD.
 • Build and maintain CI/CD pipelines using Git, Jenkins, Docker, Kubernetes, and related tools.
 • Implement monitoring, automation, and operational best practices to ensure system reliability.
 Agile Collaboration
 • Work within an agile development environment, partnering with product owners and cross\-functional teams.
 • Participate in sprint planning, backlog grooming, release management, and continuous improvement efforts.
 Testing \&amp; Quality
 • Design and implement automated testing frameworks and data validation strategies.
 • Ensure software quality, data accuracy, and operational reliability.
 Leadership (Lead / Principal / Sr. Principal Levels)
 • Provide technical leadership, mentorship, and best\-practice guidance to junior engineers.
 • Drive innovation, architectural improvements, and analytics modernization initiatives.
 • Collaborate with stakeholders to align data engineering efforts with business goals.
 Required Qualifications
 • Experience in pharmaceutical, biotech, healthcare, or healthcare consulting environments, or experience working with large healthcare systems or regulated industries – MUST HAVE
 • AWS Cloud
 • Data pipeline development (ETL / ELT): AWS Glue, Databricks, DBT
 • Serverless backend development: AWS Lambda, API Gateway
 • Data warehousing \&amp; Business Intelligence (BI)
 • Frontend visualization: Tableau, Power BI
 • Agile development methodologies
 • CI/CD \&amp; DevOps tools: Git, Jenkins, Docker, Kubernetes
 • IT security best practices and data compliance
 • CRM platform experience
 • Release management experience
 Education \&amp; Experience
 • Associate degree in Computer Science, MIS, or related field with 11\+ years of relevant experience
 • Bachelor’s degree in Computer Science, MIS, or related field with 9\+ years of experience
 • Master’s degree in Computer Science, MIS, or related field with 7\+ years of experience
 • Or 11\+ years of equivalent business or IT experience
 • Minimum 6\+ years of hands\-on programming experience preferred
 Preferred / Nice\-to\-Have Skills
 • Familiarity with machine learning or advanced analytics integration
 • Functional programming experience
 Soft Skills \&amp; Attributes
 • Strong communication and cross\-functional collaboration skills
 • Analytical mindset with attention to data quality and reliability
 • Adaptable, growth\-oriented, and eager to expand technical and leadership skills
 • Comfortable mentoring and guiding other engineers
 • Thrives in a collaborative, agile environment
 Thanks \&amp; Regards,
 Anjar Ansari
 Senior Technical Recruiter
 Phone: (347\) 427\-9945 EXT 105
 anjara@dazzletek.com
 https://www.linkedin.com/in/anjar\-ansari\-871424174/
 H.O: 100 Ave, Queens Village, NY 11429</t>
        </is>
      </c>
    </row>
    <row r="39">
      <c r="A39" t="inlineStr">
        <is>
          <t>li-4367023454</t>
        </is>
      </c>
      <c r="B39" t="inlineStr">
        <is>
          <t>Principal Data Engineer</t>
        </is>
      </c>
      <c r="C39" t="inlineStr">
        <is>
          <t>EmpiRx Health</t>
        </is>
      </c>
      <c r="D39" t="inlineStr">
        <is>
          <t>linkedin</t>
        </is>
      </c>
      <c r="E39" t="inlineStr"/>
      <c r="F39" t="inlineStr"/>
      <c r="G39" t="inlineStr"/>
      <c r="H39" t="inlineStr"/>
      <c r="I39" t="inlineStr">
        <is>
          <t>**Principal Data Engineer** 
 EmpiRx Health is the leading clinically\-driven pharmacy benefits management company. As the pioneer in value\-based pharmacy care, EmpiRx Health puts its customers and members first by enabling them to take control of their pharmacy benefits, healthcare outcomes, and financial results.
 We place more emphasis on member care than any other PBM by focusing on health outcomes first. Our pharmacists and clinicians are at the center of everything we do―and our population health solution delivers tailored strategies for our clients. Leveraging our newly launched, AI\-powered pharmacy care platform, Clinically
 *™* 
 , EmpiRx Health’s pharmacists and client experience teams provide the highest quality pharmacy care to our clients and their members. This enables benefits plan sponsors to keep their members healthy, happy, and productive, while substantially reducing prescription drug spending, which has been on an explosive growth trajectory in recent years.
 EmpiRx Health is in unprecedented growth The Principal Data Engineer is a senior, hands\-on technical leader responsible for designing, building, and evolving EmpiRx Health’s finance\-critical data ecosystem. This role works cross\-functionally with engineering, finance, product, and business leaders while remaining deeply embedded within a small, agile delivery team supporting our Finance organization. The role plays a key part in improving team agility, delivery discipline, and overall execution effectiveness.
 This position balances direct technical ownership of mission\-critical financial data pipelines while collaborating with cross\-functional leadership to define data architecture, establish engineering standards, and drive engineering excellence, ensuring data solutions are accurate, scalable, reliable, and tightly aligned with business outcomes.
**Key Responsibilities:** 
**Rec Technical Leadership \&amp; Architecture** 
* Own the technical direction of finance\-centric data engineering solutions, with deep responsibility for Databricks and Oracle based integrations.
* Lead the design and evolution of scalable ELT/ETL pipelines and data platforms using Databricks and Python.
* Help define and uphold data engineering standards, patterns, and best practices across the organization.
* Make architectural decisions that balance long\-term platform health with practical delivery constraints.
* Advance organizational data maturity through improvements in reliability, observability, and platform discipline.
**Delivery \&amp; Execution** 
* Operate as a senior individual contributor, leading by example through daily hands\-on design, implementation, problem solving, and technical decision\-making.
* Actively contributes to improving team agility, delivery flow, and execution discipline by strengthening engineering practices, technical hygiene, and collaboration.
* Partner with Product Owners and Scrum Masters to identify delivery impediments, reduce friction, and continuously improve how the team plans, executes, and ships work.
* Own the end\-to\-end lifecycle of finance\-critical data pipelines, including ingestion, transformation, validation, delivery, and operational support.
* Design and build robust, scalable integrations between Databricks, Oracle, and downstream platforms supporting finance, operations, and client deliverables.
* Ensure the production of high\-quality, compliant data extracts for internal teams, clients, vendors, and partners.
* Continuously monitor data reliability, performance, and quality; proactively identify risks and drive corrective actions.
* Serve as a primary technical partner to Finance and business stakeholders, translating complex requirements into effective, maintainable solutions.
* Contribute directly to sprint execution within a small agile delivery team while also shaping broader data engineering practices across the organization.
**Collaboration \&amp; Influence** 
* Work closely with Finance leadership and business partners to understand requirements, translate needs into technical solutions, and drive adoption.
* Collaborate with data engineering leadership, application engineering, analytics, and product teams to ensure data solutions are aligned with platform strategy and business goals.
* Mentor and guide engineers through technical leadership, knowledge sharing, and architectural coaching (without direct people management responsibility).
* Contribute to cross\-team alignment on data modeling, integration patterns, and platform evolution.
**Required Qualifications \&amp; Experience:** 
* Bachelor’s degree in computer science or related field.
* 10\+ years of professional experience in data engineering or related roles.
* 3\+ years of hands\-on experience building solutions in Databricks using Python and notebooks.
* Strong experience integrating with Oracle and other RDBMS platforms.
* Proven ownership of complex data pipelines and business\-critical integrations.
* Demonstrated ability to operate as a senior individual contributor with broad organizational influence.
* Excellent communication, collaboration, and stakeholder\-engagement skills.
* Strong analytical, problem\-solving, and execution discipline.
**Preferred Qualifications:** 
* Experience supporting financial systems and enterprise finance organizations.
* Healthcare or PBM domain experience.
* Expertise with Delta Lake, data modeling, data quality frameworks, and data observability patterns
**Work Environment:** 
 Remote
**Benefits And Perks** 
 Subject to program eligibility, this position qualifies for a robust suite of benefits including Paid Time Off, a 401(k) program, Health Insurance including Dental \&amp; Vision coverage, Student Loan Reimbursement, Health Savings Account, and an Employee Assistance Program.
**EmpiRx Health is an Equal Opportunity Employer** 
 At EmpiRx Health, we wholeheartedly embrace the power of diversity and the magic of inclusion. The kaleidoscope of unique perspectives, backgrounds, and talents fuels our innovation and sets us apart. We're on a mission to build a team as diverse as the world we serve, where everyone is welcome and celebrated. We're not just breaking down barriers; we're actively erasing them to create an environment where opportunity knows no bounds. In unity, we find our strength and invite individuals from all walks of life to join us in our exhilarating journey to shape a brighter, more inclusive future together.
 Note: This job description is a general outline of responsibilities and qualifications for the role. Additional duties may be assigned, and the position may evolve to meet the organization's needs</t>
        </is>
      </c>
    </row>
    <row r="40">
      <c r="A40" t="inlineStr">
        <is>
          <t>li-4367016661</t>
        </is>
      </c>
      <c r="B40" t="inlineStr">
        <is>
          <t>Senior Data Engineer</t>
        </is>
      </c>
      <c r="C40" t="inlineStr">
        <is>
          <t>Insight Global</t>
        </is>
      </c>
      <c r="D40" t="inlineStr">
        <is>
          <t>linkedin</t>
        </is>
      </c>
      <c r="E40" t="inlineStr"/>
      <c r="F40" t="inlineStr"/>
      <c r="G40" t="inlineStr">
        <is>
          <t>Orlando, FL</t>
        </is>
      </c>
      <c r="H40" t="inlineStr"/>
      <c r="I40" t="inlineStr">
        <is>
          <t>**Job Title:** 
 Senior Data Engineer
**Type:** 
 12 Month Contract
**Pay Rate:** 
 $80 \- $88/hr
**Location:** 
 Orlando, FL
**Must Haves:**
* 7\+ years of
 **Data Engineering** 
 experience across multi‑environment
* 3\+ years
 **designing** 
 \&amp;
 **building relational databases** 
 (Snowflake or PostgreSQL preferred)
* 3\+ years
 **leading** 
 and
 **deploying** 
 code via
 **GitLab** 
 /
 **GitHub**
* 2\+ years using
 **job scheduling tools** 
 (Apache Airflow, Amazon MWAA, GitLab Runners, or UC4\)
* **SQL** 
 \&amp;
 **Python** 
 expertise with multiple years of
 **ELT** 
 /
 **ETL** 
 development experience
* Experience with
 **container technologies** 
 (
 **Docker** 
 or
 **Kubernetes** 
 )
* Knowledge of
 **cloud architecture** 
 (
 **AWS** 
 preferred)
**Plusses:**
* Master’s degree (CS, Engineering, Math, or related field)
* Experience with GenAI tools, models, and concepts
* Experience working on advanced analytics or optimization teams
* Experience in research/development or building data solutions leveraging GenAI
* Prior work supporting decision science or advanced modeling teams
**Job Description:**
 A client of Insight Global is seeking a Senior Data Engineer to join their Decision Science technology team. This person will be responsible for leading and delivering advanced analytic data solutions leveraging next‑generation technologies, including GenAI. They will work closely with business and technology leadership to understand scope, requirements, and enterprise‑level data sources in order to design and build scalable data pipelines that directly support decision‑making tools and scientific models. Daily responsibilities include planning, estimating, technical design, hands‑on development, testing, and production rollout of data engineering solutions. The Senior Data Engineer will collaborate with Decision Science Product teams, Data Scientists, and client stakeholders to deliver high‑impact projects across multiple business units. Additional duties include conducting design reviews, providing mentorship, ensuring DevOps best practices, interface with cross‑functional partners, and maintaining production‑quality code in a fast‑paced environment.
**Compensation:**
**$80/hr** 
 to
 **$88/hr** 
 .
 Exact compensation may vary based on several factors, including skills, experience, and education.
 Employees in this role will enjoy a comprehensive benefits package starting on day one of employment, including options for medical, dental, and vision insurance. Eligibility to enroll in the 401(k) retirement plan begins after 90 days of employment. Additionally, employees in this role will have access to paid sick leave and other paid time off benefits as required under the applicable law of the worksite location.</t>
        </is>
      </c>
    </row>
    <row r="41">
      <c r="A41" t="inlineStr">
        <is>
          <t>li-4356577793</t>
        </is>
      </c>
      <c r="B41" t="inlineStr">
        <is>
          <t>Lead Gen AI Data Engineer</t>
        </is>
      </c>
      <c r="C41" t="inlineStr">
        <is>
          <t>The Hartford</t>
        </is>
      </c>
      <c r="D41" t="inlineStr">
        <is>
          <t>linkedin</t>
        </is>
      </c>
      <c r="E41" t="inlineStr"/>
      <c r="F41" t="inlineStr"/>
      <c r="G41" t="inlineStr">
        <is>
          <t>Columbus, OH</t>
        </is>
      </c>
      <c r="H41" t="inlineStr"/>
      <c r="I41" t="inlineStr">
        <is>
          <t>Sr Staff Data Engineer \- GE07DE
 We’re determined to make a difference and are proud to be an insurance company that goes well beyond coverages and policies. Working here means having every opportunity to achieve your goals – and to help others accomplish theirs, too. Join our team as we help shape the future.
 Join our team as a Sr GenAI Data Engineer and lead the charge in developing cutting\-edge AI solutions and data engineering strategies. Embrace our core values of innovation, collaboration, and excellence as you unlock unparalleled growth opportunities in the dynamic field of AI and data engineering. Shape the future of technology with us! Apply now to be part of our innovative journey and make a significant impact!
 This role will have a Hybrid work schedule, with the expectation of working in an office (Columbus, OH, Chicago, IL, Hartford, CT or Charlotte, NC) 3 days a week (Tuesday through Thursday).
**Key Responsibilities**
 Develop AI\-driven systems to improve data capabilities, ensuring compliance with industry best practices. Implement efficient Retrieval\-Augmented Generation (RAG) architectures and integrate with enterprise data infrastructure. Collaborate with cross\-functional teams to integrate solutions into operational processes and systems supporting various functions. Stay up to date with industry advancements in AI and apply modern technologies and methodologies to our systems. Design, build and maintain scalable and robust real\-time data streaming pipelines using technologies such as GCP, Vertex AI, S3, AWS Bedrock, Spark streaming, or similar. Develop data domains and data products for various consumption archetypes including Reporting, Data Science, AI/ML, Analytics etc. Ensure the reliability, availability, and scalability of data pipelines and systems through effective monitoring, alerting, and incident management. Implement best practices in reliability engineering, including redundancy, fault tolerance, and disaster recovery strategies. Collaborate closely with DevOps and infrastructure teams to ensure seamless deployment, operation, and maintenance of data systems. Mentor junior team members and engage in communities of practice to deliver high\-quality data and AI solutions while promoting best practices, standards, and adoption of reusable patterns. Apply AI solutions to insurance\-specific data use cases and challenges. Partner with architects and stakeholders to influence and implement the vision of the AI and data pipelines while safeguarding the integrity and scalability of the environment.
**Required Skills \&amp; Experience**
* 8\+ years’ Strong hands\-on experience programming skills in Python.
* 7\+ years of data engineering Strong hands\-on experience including Data solutions, SQL and NoSQL, Snowflake, ETL/ELT tools, CICD, Bigdata, Cloud Technologies (AWS/Google/AZURE), Python/Spark.
* 3\+ years of data engineering experience focused on supporting Generative AI technologies.
* 2\+ years Strong hands\-on experience implementing production ready enterprise grade GenAI data solutions.
* 3\+ years’ experience in implementing Retrieval\-Augmented Generation (RAG) pipelines, integrating retrieval mechanisms with language models.
* 3\+ years’ Experience of vector databases and graph databases, including implementation and optimization.
* 3\+ years’ Experience in processing and leveraging unstructured data for GenAI applications.
* 3\+ years’ Proficiency in implementing scalable AI driven data systems supporting agentic solution (AWS Lambda, S3, EC2, Langchain, Langgraph).
* 3\+ years’ Experience with building AI pipelines that bring together structured, semi\-structured and unstructured data. This includes pre\-processing with extraction, chunking, embedding and grounding strategies, semantic modeling, and getting the data ready for Models and Agentic solutions.
**Nice To Have**
* Experience with prompt engineering techniques for large language models.
* Experience in implementing data governance practices, including Data Quality, Lineage, Data Catalogue capture, holistically, strategically, and dynamically on a large\-scale data platform.
* Experience in multi cloud hybrid AI solutions.
* AI Certifications Experience in P\&amp;C or Employee Benefits industry Knowledge of natural language processing (NLP) and computer vision technologies.
* Contributions to open\-source AI projects or research publications in the field of Generative AI.
**Candidate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$135,040 \- $202,560
 Equal Opportunity Employer/Sex/Race/Color/Veterans/Disability/Sexual Orientation/Gender Identity or Expression/Religion/Age</t>
        </is>
      </c>
    </row>
    <row r="42">
      <c r="A42" t="inlineStr">
        <is>
          <t>li-4356427739</t>
        </is>
      </c>
      <c r="B42" t="inlineStr">
        <is>
          <t>Lead Gen AI Data Engineer</t>
        </is>
      </c>
      <c r="C42" t="inlineStr">
        <is>
          <t>The Hartford</t>
        </is>
      </c>
      <c r="D42" t="inlineStr">
        <is>
          <t>linkedin</t>
        </is>
      </c>
      <c r="E42" t="inlineStr"/>
      <c r="F42" t="inlineStr"/>
      <c r="G42" t="inlineStr">
        <is>
          <t>Chicago, IL</t>
        </is>
      </c>
      <c r="H42" t="inlineStr"/>
      <c r="I42" t="inlineStr">
        <is>
          <t>Sr Staff Data Engineer \- GE07DE
 We’re determined to make a difference and are proud to be an insurance company that goes well beyond coverages and policies. Working here means having every opportunity to achieve your goals – and to help others accomplish theirs, too. Join our team as we help shape the future.
 Join our team as a Sr GenAI Data Engineer and lead the charge in developing cutting\-edge AI solutions and data engineering strategies. Embrace our core values of innovation, collaboration, and excellence as you unlock unparalleled growth opportunities in the dynamic field of AI and data engineering. Shape the future of technology with us! Apply now to be part of our innovative journey and make a significant impact!
 This role will have a Hybrid work schedule, with the expectation of working in an office (Columbus, OH, Chicago, IL, Hartford, CT or Charlotte, NC) 3 days a week (Tuesday through Thursday).
**Key Responsibilities**
 Develop AI\-driven systems to improve data capabilities, ensuring compliance with industry best practices. Implement efficient Retrieval\-Augmented Generation (RAG) architectures and integrate with enterprise data infrastructure. Collaborate with cross\-functional teams to integrate solutions into operational processes and systems supporting various functions. Stay up to date with industry advancements in AI and apply modern technologies and methodologies to our systems. Design, build and maintain scalable and robust real\-time data streaming pipelines using technologies such as GCP, Vertex AI, S3, AWS Bedrock, Spark streaming, or similar. Develop data domains and data products for various consumption archetypes including Reporting, Data Science, AI/ML, Analytics etc. Ensure the reliability, availability, and scalability of data pipelines and systems through effective monitoring, alerting, and incident management. Implement best practices in reliability engineering, including redundancy, fault tolerance, and disaster recovery strategies. Collaborate closely with DevOps and infrastructure teams to ensure seamless deployment, operation, and maintenance of data systems. Mentor junior team members and engage in communities of practice to deliver high\-quality data and AI solutions while promoting best practices, standards, and adoption of reusable patterns. Apply AI solutions to insurance\-specific data use cases and challenges. Partner with architects and stakeholders to influence and implement the vision of the AI and data pipelines while safeguarding the integrity and scalability of the environment.
**Required Skills \&amp; Experience**
* 8\+ years’ Strong hands\-on experience programming skills in Python.
* 7\+ years of data engineering Strong hands\-on experience including Data solutions, SQL and NoSQL, Snowflake, ETL/ELT tools, CICD, Bigdata, Cloud Technologies (AWS/Google/AZURE), Python/Spark.
* 3\+ years of data engineering experience focused on supporting Generative AI technologies.
* 2\+ years Strong hands\-on experience implementing production ready enterprise grade GenAI data solutions.
* 3\+ years’ experience in implementing Retrieval\-Augmented Generation (RAG) pipelines, integrating retrieval mechanisms with language models.
* 3\+ years’ Experience of vector databases and graph databases, including implementation and optimization.
* 3\+ years’ Experience in processing and leveraging unstructured data for GenAI applications.
* 3\+ years’ Proficiency in implementing scalable AI driven data systems supporting agentic solution (AWS Lambda, S3, EC2, Langchain, Langgraph).
* 3\+ years’ Experience with building AI pipelines that bring together structured, semi\-structured and unstructured data. This includes pre\-processing with extraction, chunking, embedding and grounding strategies, semantic modeling, and getting the data ready for Models and Agentic solutions.
**Nice To Have**
* Experience with prompt engineering techniques for large language models.
* Experience in implementing data governance practices, including Data Quality, Lineage, Data Catalogue capture, holistically, strategically, and dynamically on a large\-scale data platform.
* Experience in multi cloud hybrid AI solutions.
* AI Certifications Experience in P\&amp;C or Employee Benefits industry Knowledge of natural language processing (NLP) and computer vision technologies.
* Contributions to open\-source AI projects or research publications in the field of Generative AI.
**Candidate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$135,040 \- $202,560
 Equal Opportunity Employer/Sex/Race/Color/Veterans/Disability/Sexual Orientation/Gender Identity or Expression/Religion/Age</t>
        </is>
      </c>
    </row>
    <row r="43">
      <c r="A43" t="inlineStr">
        <is>
          <t>li-4367195449</t>
        </is>
      </c>
      <c r="B43" t="inlineStr">
        <is>
          <t>Senior Knowledge Graph Data Engineer</t>
        </is>
      </c>
      <c r="C43" t="inlineStr">
        <is>
          <t>McKinsey &amp; Company</t>
        </is>
      </c>
      <c r="D43" t="inlineStr">
        <is>
          <t>linkedin</t>
        </is>
      </c>
      <c r="E43" t="inlineStr"/>
      <c r="F43" t="inlineStr"/>
      <c r="G43" t="inlineStr">
        <is>
          <t>Boston, MA</t>
        </is>
      </c>
      <c r="H43" t="inlineStr"/>
      <c r="I43" t="inlineStr">
        <is>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 World\-class benefits: On top of a competitive salary (based on your location, experience, and skills), we provide a comprehensive benefits package to enable holistic well\-being for you and your family.
**Your Impact**
 You’ll build a platform that will be deployed across regions, sectors and functions. Focusing on a distinctive combination of AI capabilities, domain expertise, and human judgement. Your work will be at the forefront of developing exciting technology for our firm.
 As a Senior Knowledge Graph Data Engineer, you will build graph\-centric data pipelines and a semantic data layer that powers GenAI applications.
 You’ll design and evolve entity/relationship models, taxonomies, and identifiers; implement ingestion, normalization, and enrichment that maps heterogeneous sources to graph schemas; perform entity resolution and semantic tagging; validate structures; and publish data to graph stores.
 You’ll write production\-grade Python code with comprehensive tests, create and modify GitHub Actions CI/CD pipelines, and operate AWS\- and Docker\-based infrastructure to deliver reliable, scalable knowledge graph data services.
**Your Qualifications and Skills**
* Degree in CS/Engineering or equivalent experience
* 7\+ years of professional experience as a data engineer, with a strong focus on cloud\- based data engineering using AWS services; Previous enterprise platform experience preferred
* Expertise with Python development
* Experience with knowledge graphs
* Practicing high coding standards with clean code, modularity, error handling, testing automation and more
* Strong experience with relational databases
* Very driven, super strong on execution and output orientation, likes to get job done attitude and ability to figure things out independently. Able to work in a complex and very fast paced environment
* Hands\-on experience with Docker
* Solid and demonstrable background in data pipeline performance and diagnostics
* Interest in Generative AI and other ML topics. Kedro framework experience as a plus
* Excellent problem\-solving skills and the ability to analyze and resolve complex data engineering challenges
* Strong communication and collaboration skills, with the ability to work effectively in a cross\-functional team environment</t>
        </is>
      </c>
    </row>
    <row r="44">
      <c r="A44" t="inlineStr">
        <is>
          <t>li-4367013011</t>
        </is>
      </c>
      <c r="B44" t="inlineStr">
        <is>
          <t>Data Engineer - Databricks - 65/hr Remote</t>
        </is>
      </c>
      <c r="C44" t="inlineStr">
        <is>
          <t>Jobs via Dice</t>
        </is>
      </c>
      <c r="D44" t="inlineStr">
        <is>
          <t>linkedin</t>
        </is>
      </c>
      <c r="E44" t="inlineStr"/>
      <c r="F44" t="inlineStr"/>
      <c r="G44" t="inlineStr"/>
      <c r="H44" t="inlineStr"/>
      <c r="I44" t="inlineStr">
        <is>
          <t>Dice is the leading career destination for tech experts at every stage of their careers. Our client, Contract Staffing Recruiters, is seeking the following. Apply via Dice today!
 We are seeking a Data Engineer with experience in projects emphasizing complex data solutions.
 This person will be responsible for supporting the data ingestion, transformation, and distribution to end consumers. Candidate will perform requirements analysis, design/develop process flow, and unit/integration testing, to deliver complex data products.
* Work with the Business Intelligence team and operational stakeholders to design and implement both the data presentation layer available to the user community, as well as the underlying technical architecture of the data warehousing environment.
* Develop scalable and reliable data solutions to move data across systems from multiple sources in real time as well as batch modes.
* Design and develop database objects, tables, stored procedures, views, etc.
* Design and develop ETL Processes that will transform a variety of raw data, flat files, xl spreadsheets into SQL Databases
* Understands the concept of Data marts and Data lakes and experience with migrating legacy systems to data marts/lake
* Uses additional cloud technologies (e.g., understands concept of Cloud services like Azure SQL server)
* Maintain comprehensive project documentation
* Aptitude to learn new technologies and the ability to perform continuous research, analysis, and process improvement.
* Strong interpersonal and communication skills to be able to work in a team environment to include customer and contractor technical, end users, and management team members.
* Manage multiple projects, responsibilities and competing priorities.
**Experience Needed:**
* Programming languages, frameworks, and file formats such as: Python, SQL, PLSQL, DBT
* Database platforms such as: Oracle, SQL Server, MySQL
* Big data concepts and technologies such as Synapse \&amp; Databricks
* AWS and Azure cloud computing</t>
        </is>
      </c>
    </row>
    <row r="45">
      <c r="A45" t="inlineStr">
        <is>
          <t>li-4367017759</t>
        </is>
      </c>
      <c r="B45" t="inlineStr">
        <is>
          <t>Data Engineer- FTE &amp; W2</t>
        </is>
      </c>
      <c r="C45" t="inlineStr">
        <is>
          <t>Call Quest Solution</t>
        </is>
      </c>
      <c r="D45" t="inlineStr">
        <is>
          <t>linkedin</t>
        </is>
      </c>
      <c r="E45" t="inlineStr"/>
      <c r="F45" t="inlineStr"/>
      <c r="G45" t="inlineStr"/>
      <c r="H45" t="inlineStr"/>
      <c r="I45" t="inlineStr">
        <is>
          <t>**Data Engineer** 
**Location:** 
 Multiple Locations Across the United States (Hybrid Schedule)
**Employment Type:** 
 W2 / Full\-Time or Contract (W2 Only)
**Work Authorization:** 
 Must be authorized to work in the U.S. (No sponsorship available)
**Work Model:** 
 Hybrid \&amp; Onsite
**Role Overview**
 We are seeking experienced Data Engineers to join our growing team across multiple U.S. locations. This is a hybrid role requiring periodic onsite presence. The ideal candidate will design, build, and optimize scalable data pipelines and platforms that support analytics, reporting, and business intelligence initiatives.
 You will work closely with data architects, analytics teams, and business stakeholders to deliver high\-quality, reliable, and performant data solutions.
**Key Responsibilities**
* Design, develop, and maintain scalable ETL/ELT data pipelines
* Build and optimize data models for analytics and reporting use cases
* Develop and maintain data warehouses, data lakes, and lakehouse architectures
* Implement data ingestion, transformation, and validation processes
* Ensure data quality, reliability, and performance across data platforms
* Collaborate with analytics, BI, and data science teams to enable data\-driven insights
* Monitor and troubleshoot data pipelines and resolve data\-related issues
* Implement CI/CD and automation for data workflows
* Maintain documentation and follow data engineering best practices
**Required Qualifications**
* 5\+ years of professional experience in Data Engineering or related roles
* Strong SQL skills with experience in query optimization
* Experience with Python, Scala, or Java for data engineering
* Hands\-on experience with ETL/ELT tools and orchestration (Airflow, DBT, SSIS, Informatica, Matillion, etc.)
* Experience with cloud data platforms (AWS, Azure, or GCP)
* Experience with data warehouses (Snowflake, Redshift, BigQuery, Synapse, etc.)
* Experience with relational and NoSQL databases
* Strong understanding of data modeling (dimensional, star/snowflake schemas)
* Experience with version control and CI/CD tools
**Preferred Qualifications**
* Experience with streaming technologies (Kafka, Kinesis, Pub/Sub)
* Experience with lakehouse platforms (Delta Lake, Iceberg, Hudi)
* Experience with DBT and modern analytics engineering practices
* Experience with data governance, data quality, and lineage tools
* Experience working in regulated or enterprise environments
**Work Environment**
* Hybrid schedule (onsite presence required based on location and team needs)
* Multiple locations across the United States
* Collaborative, cross\-functional team environment
**Employment \&amp; Compliance** 
* W2 employment only
* No C2C or third\-party candidates
* Must be authorized to work in the U.S. without sponsorship</t>
        </is>
      </c>
    </row>
    <row r="46">
      <c r="A46" t="inlineStr">
        <is>
          <t>li-4356447908</t>
        </is>
      </c>
      <c r="B46" t="inlineStr">
        <is>
          <t>Lead Gen AI Data Engineer</t>
        </is>
      </c>
      <c r="C46" t="inlineStr">
        <is>
          <t>The Hartford</t>
        </is>
      </c>
      <c r="D46" t="inlineStr">
        <is>
          <t>linkedin</t>
        </is>
      </c>
      <c r="E46" t="inlineStr"/>
      <c r="F46" t="inlineStr"/>
      <c r="G46" t="inlineStr">
        <is>
          <t>Charlotte, NC</t>
        </is>
      </c>
      <c r="H46" t="inlineStr"/>
      <c r="I46" t="inlineStr">
        <is>
          <t>Sr Staff Data Engineer \- GE07DE
 We’re determined to make a difference and are proud to be an insurance company that goes well beyond coverages and policies. Working here means having every opportunity to achieve your goals – and to help others accomplish theirs, too. Join our team as we help shape the future.
 Join our team as a Sr GenAI Data Engineer and lead the charge in developing cutting\-edge AI solutions and data engineering strategies. Embrace our core values of innovation, collaboration, and excellence as you unlock unparalleled growth opportunities in the dynamic field of AI and data engineering. Shape the future of technology with us! Apply now to be part of our innovative journey and make a significant impact!
 This role will have a Hybrid work schedule, with the expectation of working in an office (Columbus, OH, Chicago, IL, Hartford, CT or Charlotte, NC) 3 days a week (Tuesday through Thursday).
**Key Responsibilities**
 Develop AI\-driven systems to improve data capabilities, ensuring compliance with industry best practices. Implement efficient Retrieval\-Augmented Generation (RAG) architectures and integrate with enterprise data infrastructure. Collaborate with cross\-functional teams to integrate solutions into operational processes and systems supporting various functions. Stay up to date with industry advancements in AI and apply modern technologies and methodologies to our systems. Design, build and maintain scalable and robust real\-time data streaming pipelines using technologies such as GCP, Vertex AI, S3, AWS Bedrock, Spark streaming, or similar. Develop data domains and data products for various consumption archetypes including Reporting, Data Science, AI/ML, Analytics etc. Ensure the reliability, availability, and scalability of data pipelines and systems through effective monitoring, alerting, and incident management. Implement best practices in reliability engineering, including redundancy, fault tolerance, and disaster recovery strategies. Collaborate closely with DevOps and infrastructure teams to ensure seamless deployment, operation, and maintenance of data systems. Mentor junior team members and engage in communities of practice to deliver high\-quality data and AI solutions while promoting best practices, standards, and adoption of reusable patterns. Apply AI solutions to insurance\-specific data use cases and challenges. Partner with architects and stakeholders to influence and implement the vision of the AI and data pipelines while safeguarding the integrity and scalability of the environment.
**Required Skills \&amp; Experience**
* 8\+ years’ Strong hands\-on experience programming skills in Python.
* 7\+ years of data engineering Strong hands\-on experience including Data solutions, SQL and NoSQL, Snowflake, ETL/ELT tools, CICD, Bigdata, Cloud Technologies (AWS/Google/AZURE), Python/Spark.
* 3\+ years of data engineering experience focused on supporting Generative AI technologies.
* 2\+ years Strong hands\-on experience implementing production ready enterprise grade GenAI data solutions.
* 3\+ years’ experience in implementing Retrieval\-Augmented Generation (RAG) pipelines, integrating retrieval mechanisms with language models.
* 3\+ years’ Experience of vector databases and graph databases, including implementation and optimization.
* 3\+ years’ Experience in processing and leveraging unstructured data for GenAI applications.
* 3\+ years’ Proficiency in implementing scalable AI driven data systems supporting agentic solution (AWS Lambda, S3, EC2, Langchain, Langgraph).
* 3\+ years’ Experience with building AI pipelines that bring together structured, semi\-structured and unstructured data. This includes pre\-processing with extraction, chunking, embedding and grounding strategies, semantic modeling, and getting the data ready for Models and Agentic solutions.
**Nice To Have**
* Experience with prompt engineering techniques for large language models.
* Experience in implementing data governance practices, including Data Quality, Lineage, Data Catalogue capture, holistically, strategically, and dynamically on a large\-scale data platform.
* Experience in multi cloud hybrid AI solutions.
* AI Certifications Experience in P\&amp;C or Employee Benefits industry Knowledge of natural language processing (NLP) and computer vision technologies.
* Contributions to open\-source AI projects or research publications in the field of Generative AI.
**Candidate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$135,040 \- $202,560
 Equal Opportunity Employer/Sex/Race/Color/Veterans/Disability/Sexual Orientation/Gender Identity or Expression/Religion/Age</t>
        </is>
      </c>
    </row>
    <row r="47">
      <c r="A47" t="inlineStr">
        <is>
          <t>li-4366893944</t>
        </is>
      </c>
      <c r="B47" t="inlineStr">
        <is>
          <t>Data Engineer</t>
        </is>
      </c>
      <c r="C47" t="inlineStr">
        <is>
          <t>Jobs via Dice</t>
        </is>
      </c>
      <c r="D47" t="inlineStr">
        <is>
          <t>linkedin</t>
        </is>
      </c>
      <c r="E47" t="inlineStr"/>
      <c r="F47" t="inlineStr"/>
      <c r="G47" t="inlineStr">
        <is>
          <t>Orlando, FL</t>
        </is>
      </c>
      <c r="H47" t="inlineStr"/>
      <c r="I47" t="inlineStr">
        <is>
          <t>Dice is the leading career destination for tech experts at every stage of their careers. Our client, DCode Talent, is seeking the following. Apply via Dice today!
**Data Engineer**
* Employment Type: 6\-month W2 contract, no sponsorship, local candidates only (no relocation)
* Work Schedule: Hybrid (in\-office Mon Wed, remote Thu Fri)
* Location: Orlando, FL (must currently be local)
**Key Responsibilities:**
* Develop, optimize, and maintain data pipelines and ETL workflows using tools such as Snowpipe, Informatica, Airflow, or Kafka
* Design and implement data models, manage databases, and develop data warehouses (PL/SQL, SQL Server 2016\+, Snowflake)
* Build and optimize datasets using scripting languages (Python, Java/Scala) and cloud/on\-premise environments (AWS)
* Work with large, complex, and disconnected datasets, performing extraction, transformation, and analysis
* Develop and consume APIs for system integration and data movement
* Conduct root cause analysis to address business questions and identify areas for process improvement
* Collaborate with cross\-functional teams and stakeholders to deliver data\-driven solutions
* Create and maintain Windows and web applications using Microsoft .NET technologies (C\#, etc.)
**Qualifications \&amp; Skills:**
* Bachelor's degree in Computer Science, Information Systems, or related field (Master's preferred or equivalent experience)
* 3\+ years of related data engineering or IT experience
* 1\+ year experience with Apache Spark, Hadoop, Java/Scala, Python, AWS, and .NET technologies
* 2\+ years in data modeling and database development (PL/SQL, SQL Server, Snowflake)
* Strong SQL skills and experience with relational databases
* Experience with data manipulation, processing, and analytics (including unstructured data)
* Preferred certifications: Snowflake and Python (not required)
* Strong organizational, communication, and problem\-solving skills
* Ability to work independently and collaboratively; strong business analysis and data interpretation abilities
**Other Requirements:**
* Must be eligible to work in the US without current or future sponsorship
* Must have a strong understanding of business processes and industry landscape</t>
        </is>
      </c>
    </row>
    <row r="48">
      <c r="A48" t="inlineStr">
        <is>
          <t>li-4367362099</t>
        </is>
      </c>
      <c r="B48" t="inlineStr">
        <is>
          <t>Cloud Server &amp; Data Engineer</t>
        </is>
      </c>
      <c r="C48" t="inlineStr">
        <is>
          <t>Peak+</t>
        </is>
      </c>
      <c r="D48" t="inlineStr">
        <is>
          <t>linkedin</t>
        </is>
      </c>
      <c r="E48" t="inlineStr"/>
      <c r="F48" t="inlineStr"/>
      <c r="G48" t="inlineStr">
        <is>
          <t>Memphis, TN</t>
        </is>
      </c>
      <c r="H48" t="inlineStr"/>
      <c r="I48" t="inlineStr">
        <is>
          <t>**About Peak\+** 
 Peak\+ designs and manufactures custom evaporative cooling systems for commercial HVAC units, helping customers improve efficiency and reduce energy consumption. As we continue to grow, we are expanding our product offerings into broader energy‑management and reduction technologies.
**Role Overview** 
 This role supports all areas of the engineering department, with a primary focus on data infrastructure and cloud‑server management across our nationwide installations. We are seeking an experienced Data Engineer, Cloud Engineer, SysAdmin, or DevOps professional with 3\+ years of relevant experience. While the position is ideally based in Memphis, TN, we are open to remote candidates located in CST, MST, or PST time zones.
**Primary Responsibilities** 
**Cloud, Server, and Database Management** 
* Maintain and enhance cloud‑based servers, including communication systems, databases, and web portals.
* Build and maintain production databases using an Azure SQL backend.
* Create APIs and related tools to support system integrations.
* Document cloud architecture, code, and system structure.
**Dashboard \&amp; Application Development** 
* Manage dashboards, including bug fixes, user administration, and alert creation.
* Plan and implement enhancements to dashboard features and functionality.
* Develop and improve code used for quoting, energy analysis, and production documentation.
**Data Analysis \&amp; Engineering Support** 
* Learn and optimize the SEEQ data‑historian and analysis toolset and explore alternative solutions.
* Create analytical tools to support engineering operations and improve efficiency.
* Pull, organize, and prepare site‑performance data for engineering review.
**Cross‑Functional \&amp; R\&amp;D Collaboration** 
* Work closely with the Controls Engineer and other team members to implement changes in controller code and functionality.
* Support research and development efforts, including deploying new sensors and alerts.
* Direct and project‑manage third‑party development partners.
**Documentation \&amp; IT Support** 
* Create instructional documentation for internal and external users.
* Provide general IT support to the team as needed.
**Desired Skills \&amp; Qualifications** 
**Technical Expertise** 
* Experience with VB.NET, C\#.NET, and API web services.
* Knowledge of C, Java, Python, and other programming languages.
* Proficiency with SQL Server administration, development, and connection management.
* Strong understanding of Azure and other cloud platforms.
* Solid grasp of database design and maintenance principles.
* Experience with data‑analysis tools; SEEQ experience is a plus.
* Proficiency with Microsoft Excel and the broader Office suite.
* Working knowledge of thermodynamics and heat‑transfer processes.
**Professional \&amp; Interpersonal Skills** 
* Ability to create and interpret technical documents and diagrams.
* Strong written, verbal, analytical, and interpersonal communication skills.
* Hands‑on learner, comfortable in both field and office environments.
* Effective collaborator with customers, field staff, management, and internal teams.
* Capable of working independently or within a team environment.
* Adaptable to shifting responsibilities and changing priorities.
* Consistently sets and meets goals and deadlines.
**Travel Requirements** 
* \&lt;5% if based in Memphis
* 10–15% for remote employees</t>
        </is>
      </c>
    </row>
    <row r="49">
      <c r="A49" t="inlineStr">
        <is>
          <t>li-4367314075</t>
        </is>
      </c>
      <c r="B49" t="inlineStr">
        <is>
          <t>Senior Data Engineer (Enterprise Data)</t>
        </is>
      </c>
      <c r="C49" t="inlineStr">
        <is>
          <t>Capital One</t>
        </is>
      </c>
      <c r="D49" t="inlineStr">
        <is>
          <t>linkedin</t>
        </is>
      </c>
      <c r="E49" t="inlineStr"/>
      <c r="F49" t="inlineStr"/>
      <c r="G49" t="inlineStr">
        <is>
          <t>McLean, VA</t>
        </is>
      </c>
      <c r="H49" t="inlineStr"/>
      <c r="I49"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3\+ years of experience in AbInitio development and administration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Data Engineer
 Richmond, VA: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0">
      <c r="A50" t="inlineStr">
        <is>
          <t>li-4351342538</t>
        </is>
      </c>
      <c r="B50" t="inlineStr">
        <is>
          <t>Lead Data Engineer - Fisher Investments</t>
        </is>
      </c>
      <c r="C50" t="inlineStr">
        <is>
          <t>Jobs via eFinancialCareers</t>
        </is>
      </c>
      <c r="D50" t="inlineStr">
        <is>
          <t>linkedin</t>
        </is>
      </c>
      <c r="E50" t="inlineStr"/>
      <c r="F50" t="inlineStr"/>
      <c r="G50" t="inlineStr">
        <is>
          <t>Plano, TX</t>
        </is>
      </c>
      <c r="H50" t="inlineStr"/>
      <c r="I50" t="inlineStr">
        <is>
          <t>It's an exciting time to join Fisher Investments; we're investing in the future of our firm's technology and information security. Our business is growing internationally, which emphasizes the need to build an unparalleled team that promotes future global growth through strategic solutions and progress. We are important to supporting our firm's diverse businesses, and we're excited to continue solidifying that foundation as we add more experienced technologists to our Technology team.
 We are looking for an Application Development Technical Lead to plan the cloud architecture and solution design of enterprise data warehouses/data marts and analytics as part of a collection of systems in a large technology ecosystem. You will report to the AVP of Data Delivery and Data Governance.
**The Opportunity:**
 As a Application Development Technical Lead, you will perform design and administration of our Azure data and analytics platform to ensure smooth system operations and be the guide for architectural principles and standards. As a technical expert for our data and analytics ecosystem, you will support Fisher Investments business line reporting teams and Technology Business data delivery teams. This hands\-on role will provide direction to other developers of data warehouse workloads and data related projects.
 You will help align department\-wide solutions to Fisher's enterprise priorities and survey the technology landscape and guide the evolution of current environment to support future capabilities and requirements. You will be a part of the team that plans the technology to ensure capacity and scalability as demand and usage evolves.
**The Day\-to\-Day:**
* Work with business and technology partners to analyze how the data warehouse, analytics and application will meet our goals
* Evaluate all proposed requests to determine fit with data warehouse, analytics and application solution architecture
* Manage data warehouse and analytics technical platform on Azure, from implementation to enhancements and ongoing operations
* Develop and coordinate cloud data and application solutions/projects across diverse groups and areas including enterprise architecture, application development, identity and access management, network and data management
* Provide technical direction and guidance to database and application developers
* Develop cloud security and access control solution/policy, data and BI standards, guidelines and best practice for business groups and technical teams
* Perform maintenance and troubleshooting activities for data warehouse, BI platform and other data projects and resolve issues
* Review system application logs and identify potential issues and improvements to ensure smooth operations
* Perform capacity planning, cloud cost analysis and optimization and provide recommendations to management
* Provide after\-hour system and application support
* Develop multiple work plans for projects and prepare appropriate status reports and submit them to management
**Your Qualifications:**
* 15\+ years' experience developing data\-related solutions and software
* Minimum of 8 years of experience as a System Architect or Application Architect focusing on data and cloud applications with direct experience with application development, data warehouse and BI design, implementation, and operation
* Experience with cloud data warehouse and analytics technologies, specifically Azure Synapse, Azure Data Factory, Azure Data Lake Storage, Power BI, and other Azure data solutions
* Knowledge or experience with infrastructure (operating system and networking) and cloud administration and automation such as Terraform for Infrastructure as Code.
* Knowledge of DevOps in application development such as GitHub Actions, PowerShell
* Experience with application development using Microsoft or cloud technologies (such as SQL, Azure, C\#, Python)
* Knowledge of Databricks, Microsoft Purview, and SecuritiAi
* Experience with Agile methodologies in a cloud, application, database, data warehousing and BI space
* BS or equivalent in Computer Science or related field or a combination of technical skills, cloud, operating system, networking, security, data application, data modeling and BI background
**Why Fisher Investments:**
 We work for a bigger purpose: bettering the investment universe. We take great pride in our inclusive culture, our learning and development framework customized for every employee, and our Great Place to Work Certification. It's the people that make the Fisher purpose possible, and we invest in them by offering exceptional benefits like:
* 100% paid medical, dental and vision premiums for you and your qualifying dependents
* A 50% 401(k) match, up to the IRS maximum
* 20 days of PTO, plus 10 paid holidays
* Family Support programs including 8 week Paid Primary Caregiver Leave, $10,000 fertility, family forming, and hormonal health assistance, and back\-up child, adult, and elder care
* This is an in\-office role. Based on your role, tenure, and performance eligibility you may have the opportunity to participate in our hybrid work from home program. This program is subject to change.
 FISHER INVESTMENTS IS AN EQUAL OPPORTUNITY EMPLOYER</t>
        </is>
      </c>
    </row>
    <row r="51">
      <c r="A51" t="inlineStr">
        <is>
          <t>li-4356560332</t>
        </is>
      </c>
      <c r="B51" t="inlineStr">
        <is>
          <t>Senior Data Engineer with Credit Risk - Synechron Inc.</t>
        </is>
      </c>
      <c r="C51" t="inlineStr">
        <is>
          <t>Jobs via eFinancialCareers</t>
        </is>
      </c>
      <c r="D51" t="inlineStr">
        <is>
          <t>linkedin</t>
        </is>
      </c>
      <c r="E51" t="inlineStr"/>
      <c r="F51" t="inlineStr"/>
      <c r="G51" t="inlineStr">
        <is>
          <t>New York, NY</t>
        </is>
      </c>
      <c r="H51" t="inlineStr"/>
      <c r="I51" t="inlineStr">
        <is>
          <t>**We are**
 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Artificial Intelligence, Consulting, Digital, Cloud \&amp; DevOps, Data, and Software Engineering, servicing an array of noteworthy financial services and technology firms. Through research and development initiatives in our FinLabs we develop solutions for modernization, from Artificial Intelligence and Blockchain to Data Science models, Digital Underwriting, mobile\-first applications and more. Over the last 20\+ years, our company has been honored with multiple employer awards, recognizing our commitment to our talented teams. With top clients to boast about, Synechron has a global workforce of 16,400\+, and has 60 offices in 20 countries within key global markets.
**Our challenge**
 We are seeking a highly skilled and experienced Senior Data Engineer to join our dynamic Team.
 Additional Information\*
 The base salary for this position will vary based on geography and other factors. In accordance with law, the base salary for this role if filled within New York, NY is $140k \- $155k/year \&amp; benefits (see below).
**The Role**
**Responsibilities:**
* Understand technical specifications.
* Business requirements discussion with business analyst and business users.
* Python/SQL Server/Snowflake/Databricks application development and system design.
* Develop and maintain data models and schemas to support data integration and analysis.
* Implement data quality and validation checks to ensure accuracy and consistency of data.
* Execution of UT and SIT with business analysts to ensure of high\-quality testing.
* Support for UAT with business users.
* Production support and maintenance of application platform.
**Requirements:**
* Around 12\+ years IT industry experience.
* Strong communication skills.
* Agile methodology and SDLC processes.
* Design and Architecture experience.
* Experience working in global delivery model (onshore/offshore/nearshore).
* Strong problem\-solving and analytical skills.
* Self\-starter, collaborative team player and works with minimal guidance.
* Mandatory (Strong): Python, SQL server and relational database concepts, Azure Databricks, Snowflake, Scheduler (Autosys/Control\-M), ETL, CI/CD.
* Plus: PySpark, Financial systems/capital markets/credit risk/regulatory application development experience.
**We offer:**
* A highly competitive compensation and benefits package.
* A multinational organization with 60 offices in 20 countries and the possibility to work abroad.
* 10 days of paid annual leave (plus sick leave and national holidays).
* Maternity \&amp; paternity leave plans.
* A comprehensive insurance plan including medical, dental, vision, life insurance, and long\-/short\-term disability (plans vary by region).
* Retirement savings plans.
* A higher education certification policy.
* Commuter benefits (varies by region).
* Extensive training opportunities, focused on skills, substantive knowledge, and personal development.
* On\-demand Udemy for Business for all Synechron employees with free access to more than 5000 curated courses.
* Coaching opportunities with experienced colleagues from our Financial Innovation Labs (FinLabs) and Center of Excellences (CoE) groups.
* Cutting edge projects at the world's leading tier\-one banks, financial institutions and insurance firms.
* A flat and approachable organization.
* A truly diverse, fun\-loving, and global work culture.
**S** 
**YNECHRON'S DIVERSITY \&amp; INCLUSION STATEMENT**
 Diversity \&amp; Inclusion are fundamental to our culture, and Synechron is proud to be an equal opportunity workplace and is an affirmative 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by law.</t>
        </is>
      </c>
    </row>
    <row r="52">
      <c r="A52" t="inlineStr">
        <is>
          <t>li-4366889982</t>
        </is>
      </c>
      <c r="B52" t="inlineStr">
        <is>
          <t>Data Engineer (Healthcare / Claims Data) - W2 only</t>
        </is>
      </c>
      <c r="C52" t="inlineStr">
        <is>
          <t>Jobs via Dice</t>
        </is>
      </c>
      <c r="D52" t="inlineStr">
        <is>
          <t>linkedin</t>
        </is>
      </c>
      <c r="E52" t="inlineStr"/>
      <c r="F52" t="inlineStr"/>
      <c r="G52" t="inlineStr"/>
      <c r="H52" t="inlineStr"/>
      <c r="I52" t="inlineStr">
        <is>
          <t>Dice is the leading career destination for tech experts at every stage of their careers. Our client, FutureTech Consultants LLC, is seeking the following. Apply via Dice today!
 Role Title: Data Engineer (Healthcare / Claims Data) \- W2 only
 Client Location: Michigan (MI)
 Work Location: Remote
 Duration: Long Term
 Interview Mode: Video Interview
 Domain Preference: Prior Healthcare Background / Healthcare Clients Highly Preferred
 Role Overview:
 Customer is seeking a Data Engineer to design, build, and maintain scalable data pipelines and integration flows supporting the Assurance Reimbursement Management (ARM) platform. This role supports claims and remittance data, L3 production activities, automation, and performance optimization within a regulated healthcare environment.
 Candidates with prior experience supporting healthcare clients, claims platforms, or reimbursement systems are strongly preferred.
 Key Responsibilities:
- Design, develop, and maintain scalable data pipelines for claims and remittance data flows
- Troubleshoot and resolve integration and data flow issues across internal and third\-party systems (eligibility checks, claims processing, attachments)
- Coordinate with external vendors to resolve third\-party integration failures (network, firewall, service disruptions)
- Monitor, tune, and optimize performance of data processes and storage systems
- Support environment setup, configuration, and maintenance for production and non\-production environments
- Develop and maintain automation scripts for data jobs, workflows, and scheduling
- Assist with CI/CD pipeline enhancements for data\-related deployments
 Implement minor enhancements and feature requests related to data flows (typically
 - Ensure compliance with healthcare security and regulatory standards for PHI/PII data
- Participate in weekly and monthly reporting; track sprint success, velocity, and time\-to\-value metrics
- Collaborate with global teams while maintaining overlap with US business hours
- Participate in Sev\-1 / Sev\-2 incident support and on\-call rotations as required
 Required Skills \&amp; Qualifications:
* Bachelor s or Master s degree in Computer Science, Engineering, or related field
* 6\+ years of experience in Data Engineering using SQL Server (2019/2022\) and relational databases
* Strong proficiency in Python and scripting for automation
* Experience with AWS services (AMS, EC2\) for data hosting and scalability
* Solid understanding of ETL/ELT processes and data pipeline orchestration
* Experience with CI/CD tools such as GitHub Actions and JFrog Artifactory
* Familiarity with logging and monitoring tools including CloudWatch, ElasticSearch, and Splunk
* Strong troubleshooting, root\-cause analysis, and performance tuning skills
* Knowledge of healthcare data security, compliance, and handling of PHI/PII</t>
        </is>
      </c>
    </row>
    <row r="53">
      <c r="A53" t="inlineStr">
        <is>
          <t>li-4367009116</t>
        </is>
      </c>
      <c r="B53" t="inlineStr">
        <is>
          <t>Salesforce / Snowflake / Martech Data Engineer - Need LOCAL to FL ONLY!</t>
        </is>
      </c>
      <c r="C53" t="inlineStr">
        <is>
          <t>Jobs via Dice</t>
        </is>
      </c>
      <c r="D53" t="inlineStr">
        <is>
          <t>linkedin</t>
        </is>
      </c>
      <c r="E53" t="inlineStr"/>
      <c r="F53" t="inlineStr"/>
      <c r="G53" t="inlineStr">
        <is>
          <t>Fort Lauderdale, FL</t>
        </is>
      </c>
      <c r="H53" t="inlineStr"/>
      <c r="I53" t="inlineStr">
        <is>
          <t>Dice is the leading career destination for tech experts at every stage of their careers. Our client, 3Core Systems, Inc, is seeking the following. Apply via Dice today!
**3Core Systems, Inc** 
 is an SAP and Success Factors Partner with employees located across the United States. Our organization is dedicated to customer and employee satisfaction. We provide High Quality, Cost efficient and Competitive Solutions and Resources.
 3Core Systems is looking for
 **Salesforce/Snowflake/Martech Data Engineer** 
 for one of our clients in
 **Fort Lauderdale, FL**
**Title:** 
 Salesforce/Snowflake/Martech Data Engineer
**Location:** 
 Fort Lauderdale, FL (1day/week Onsite)
**Duration:** 
 6\+ Months
**What we need (profile):**
* Snowflake SQL/Python for ELT; orchestration (Snowflake Tasks/Streams or Airflow); monitoring/alerts
* Salesforce/Marketing Cloud (SFMC): Data Extensions, AMPscript/SSJS, Automation Studio/Journey Builder; Bulk API 2\.0/REST
* Data quality/identity hygiene experience (merge/update rules); comfortable documenting and handing off
**Jobs this person will be put on (immediately):**
* Acxiom/Snowflake Ingestion: finalize schemas, build ELT jobs, scheduling, and QA; stand up monitoring/logging; document runbooks \[we also have consulting support from Acxiom but need additional scripting support)
* Identity \&amp; contact hygiene: implement merge/update rules with our internal Contact Record Review Council (Acxiom advising, we own decisions)
* Snowflake/Salesforce/SFMC pipeline: operationalize priority tables into SFMC (Data Extension loads, Automations) to support a broader enhancement project for how we use SF Marketing Cloud
* Resco data enablement: publish Guest reservations data that is in Snowflake to SF Marketing Cloud for journeys/segmentation; set up ongoing extracts to Snowflake for reporting
* Handoff: code walkthroughs, documentation, and reverse\-shadow so a new internal hire can own/run it after go\-live
 Please send your resumes to:
**Regards,** 
**Recruiting Team** 
**3Core Systems Inc** 
**9101 Burnet Road, Suite 207, Austin, TX 78758** 
**URL:**
 3Core Systems, Inc
 Web:</t>
        </is>
      </c>
    </row>
    <row r="54">
      <c r="A54" t="inlineStr">
        <is>
          <t>li-4367003391</t>
        </is>
      </c>
      <c r="B54" t="inlineStr">
        <is>
          <t>Data Engineer with Confluent Kafka</t>
        </is>
      </c>
      <c r="C54" t="inlineStr">
        <is>
          <t>Jobs via Dice</t>
        </is>
      </c>
      <c r="D54" t="inlineStr">
        <is>
          <t>linkedin</t>
        </is>
      </c>
      <c r="E54" t="inlineStr"/>
      <c r="F54" t="inlineStr"/>
      <c r="G54" t="inlineStr">
        <is>
          <t>Fort Mill, SC</t>
        </is>
      </c>
      <c r="H54" t="inlineStr"/>
      <c r="I54" t="inlineStr">
        <is>
          <t>Dice is the leading career destination for tech experts at every stage of their careers. Our client, Reliable Software Resources, is seeking the following. Apply via Dice today!
 This is Srikanth from Reliable Software. We have an opportunity with one of our direct clients, and I'd like to share the details with you. Please review the information below and let me know if you're interested. Kindly share your updated resume if you'd like to be considered.
**Job Title: Data Engineer with Confluent Kafka**
**Location: Fort Mills, SC (Hybrid onsite)**
**We’re looking for a seasoned engineer with deep expertise in Confluent Kafka, cloud automation, and AWS\-based data pipelines.** 
 This role blends infrastructure engineering, event streaming, and hands\-on data development to support large\-scale, real\-time systems across hybrid cloud environments.
**What You’ll Do**
* Design and manage scalable Confluent Kafka clusters and event streaming solutions.
* Build and maintain data pipelines using PySpark, Spark SQL, Python, and AWS services.
* Automate infrastructure using Terraform, Ansible, Bash, and cloud\-native tooling.
* Implement CI/CD pipelines (GitHub, Jenkins, Artifactory, Octopus, Harness).
* Support Kubernetes/Rancher environments and cloud provisioning (AWS \&amp; Azure).
* Collaborate with cross\-functional teams to ensure smooth deployments and reliable data flows.
**What You Bring**
* 10\+ years in infrastructure/middleware engineering; 3–5 years in AWS data engineering.
* Deep expertise in Confluent Kafka administration and performance tuning.
* Strong skills in PySpark, Spark SQL, Python, Terraform, Ansible, Bash.
* Experience with PostgreSQL, Redshift, SQL Server, Glue, Airflow.
* Knowledge of Kubernetes, Rancher, and monitoring tools (Splunk, ELK, Dynatrace).
* Excellent communication, problem\-solving, and collaboration skills.
* Bachelor’s degree in CS/Engineering or equivalent experience.
* Preferred: AWS Solutions Architect, CKAD, CKA certifications.
* Familiarity with AI tools and modern engineering workflows.
**Educational Qualifications:**
* Required \- Bachelor’s degree in Computer Science, Information Technology, Computer Engineering or closely related or equivalent.
* Preferred \- Master’s degree in Management Information Systems (MIS), Computer Science, Big Data or Analytics or equivalent.
**Travel:**
* Open to travel based up on the nature of the engagement.
**Thanks \&amp; Regards**
**Srikanth Donkani**
 Sr. Talent Acquisition Specialist
 (w):
 (E):
 2260 Haggerty Road, Suite 285 Northville, MI 48167
**Equal Employment Opportunity**
 Reliable Software employment does not discriminate on the basis of race, religion, gender, sexual orientation, age or any other basis as covered by federal, state, or local law.
 Employment decisions are based solely on qualifications, merit and business needs.</t>
        </is>
      </c>
    </row>
    <row r="55">
      <c r="A55" t="inlineStr">
        <is>
          <t>li-4367000645</t>
        </is>
      </c>
      <c r="B55" t="inlineStr">
        <is>
          <t>Lead AWS Data Engineer with DynamoDB</t>
        </is>
      </c>
      <c r="C55" t="inlineStr">
        <is>
          <t>Jobs via Dice</t>
        </is>
      </c>
      <c r="D55" t="inlineStr">
        <is>
          <t>linkedin</t>
        </is>
      </c>
      <c r="E55" t="inlineStr"/>
      <c r="F55" t="inlineStr"/>
      <c r="G55" t="inlineStr">
        <is>
          <t>Miami, FL</t>
        </is>
      </c>
      <c r="H55" t="inlineStr"/>
      <c r="I55" t="inlineStr">
        <is>
          <t>Dice is the leading career destination for tech experts at every stage of their careers. Our client, TechTalent Solutions LLC, is seeking the following. Apply via Dice today!
**Role: Lead AWS Data Engineer with DynamoDB Exp**
**Location: Miami FL**
**Exp : 12 \+ Years needed**
**Job Description**
* Hands on data engineering experience with proven track record of building production data pipelines
* Expert level proficiency in Python for data processing, ETL development, and automation (PySpark)
* Deep experience with AWS Glue including job development, crawlers, triggers, and workflow orchestration
* Strong expertise in DynamoDB data modeling, capacity planning, streams, and performance optimization
* Solid understanding of AWS ecosystem: S3, Lambda, Step Functions, CloudWatch, IAM, KMS, Kinesis
* Proficiency with Postman for API development, testing, and collaboration
* Strong SQL skills and understanding of data warehousing principles
* Experience with version control (Git), CI/CD tools, and infrastructure as code (CloudFormation/Terraform)</t>
        </is>
      </c>
    </row>
    <row r="56">
      <c r="A56" t="inlineStr">
        <is>
          <t>li-4367001993</t>
        </is>
      </c>
      <c r="B56" t="inlineStr">
        <is>
          <t>Senior Specialist, Federal Data Engineer</t>
        </is>
      </c>
      <c r="C56" t="inlineStr">
        <is>
          <t>KPMG US</t>
        </is>
      </c>
      <c r="D56" t="inlineStr">
        <is>
          <t>linkedin</t>
        </is>
      </c>
      <c r="E56" t="inlineStr"/>
      <c r="F56" t="inlineStr"/>
      <c r="G56" t="inlineStr">
        <is>
          <t>Washington, DC</t>
        </is>
      </c>
      <c r="H56" t="inlineStr"/>
      <c r="I56" t="inlineStr">
        <is>
          <t>The KPMG Advisory practice is currently our fastest growing practice. We are seeing tremendous client demand, and looking forward we don't anticipate that slowing down. In this ever\-changing market environment, our professionals must be adaptable and thrive in a collaborative, team\-driven culture. At KPMG, our people are our number one priority. With a wealth of learning and career development opportunities, a world\-class training facility and leading market tools, we make sure our people continue to grow both professionally and personally. If you're looking for a firm with a strong team connection where you can be your whole self, have an impact, advance your skills, deepen your experiences, and have the flexibility and access to constantly find new areas of inspiration and expand your capabilities, then consider a career in Advisory.
 KPMG is currently seeking a Senior Specialist to join our Federal Advisory practice.
 Responsibilities:
* Collaborate with multi\-disciplinary / cross\-functional teams to identify business opportunities, develop machine learning models, and data science solutions
* Utilize processes / best practices to plan, lead, and execute delivery of data analytics and AI engagements
* Work with engagement teams to discover data sources, create data requests; collaborate with data engineers to develop / utilize ETL process to ingest and enrich structured / unstructured data
* Perform explanatory data analyses, generate / test working hypotheses, prepare / analyze historical data and identify patterns; perform machine learning, natural language, and statistical analysis methods (such as classification, cluster analysis, collaborative filtering, sentiment analysis, language modeling, time\-series analysis, regression, statistical inference, etc.)
* Rapidly learn / develop skills in utilizing cloud compute, data storage resources, and other on\-prem / cloud\-native services for data acquisition, management, transformation, model development / deployment
* Contribute to developing dashboards, UI and interactive tools to support clients to turn their data into actionable insights / reproducible reports
 Qualifications:
* A minimum of three years of data analytics solutions, data engineering, or machine learning modeling experience; U.S. Federal government consulting experience preferred
* Bachelor's degree from an accredited college/university
* Ability to apply artificial intelligence / machine learning techniques to achieve business goals; ability to work with business to understand available resources and constraints around data (sources, integrity, definitions); provide assistance and resolve issues
* Proficiency with programming languages such as Python, R, Java, SQL and open\-source packages / libraries
* Design, build, operationalize, and maintain robust data pipelines, demonstrating deep SAP ERP knowledge to integrate complex financial / logistical data into the Jupiter platform using Databricks, Python, and Spark
* Experience leveraging Jupiter platform to engineer and model curated datasets from SAP ERP pipeline
* Experience in leveraging cloud services, Cloud Certifications (e.g. \- AWS Solution Architect, AWS Machine Learning, Google Data Engineering, Azure AI Engineer Associate, etc.) preferred
* Ability to travel as required to support firm engagements
* Applicant must possess a U.S. Government Secret clearance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https://kpmg.com/us/en/how\-we\-work/pay\-transparency.html/?id\=M101\_4\_25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57">
      <c r="A57" t="inlineStr">
        <is>
          <t>li-4356428481</t>
        </is>
      </c>
      <c r="B57" t="inlineStr">
        <is>
          <t>Data and Analytics Engineer</t>
        </is>
      </c>
      <c r="C57" t="inlineStr">
        <is>
          <t>Resonance</t>
        </is>
      </c>
      <c r="D57" t="inlineStr">
        <is>
          <t>linkedin</t>
        </is>
      </c>
      <c r="E57">
        <f>HYPERLINK("https://www.linkedin.com/jobs/view/4356428481", "https://www.linkedin.com/jobs/view/4356428481")</f>
        <v/>
      </c>
      <c r="F57" t="inlineStr"/>
      <c r="G57" t="inlineStr">
        <is>
          <t>New York County, NY</t>
        </is>
      </c>
      <c r="H57" t="inlineStr"/>
      <c r="I57" t="inlineStr">
        <is>
          <t>**About Us**
 Resonance is transforming the fashion industry by building a more sustainable and valuable ecosystem for designers, brands, manufacturers, consumers, and the planet. Our AI\-powered operating system, ONE, empowers brands to design, sell, and make products efficiently and sustainably. Resonance ONE drives end\-to\-end garment creation with minimal environmental impact, eliminating overproduction and unnecessary inventory.
 With headquarters in New York City and Santiago, Dominican Republic, Resonance partners with leading brands—including THE KIT and Rebecca Minkoff—to significantly reduce resource use: 97% less dye, 70% less water, and 50% less material compared to traditional fashion brands.
**About The Role**
 We’re seeking a talented Data and Analytics Engineer to build, maintain, and scale our data infrastructure. You’ll play a crucial role in shaping our analytical capabilities, enabling Resonance to leverage data\-driven insights effectively across our complex, integrated technology stack.
 In this role, you’ll develop and maintain robust ELT pipelines, transforming data from diverse sources—including telemetry data, Shopify, SendGrid, CreateOne, and other internal platforms—into structured, accessible datasets within Snowflake. Additionally, you’ll craft sophisticated LookML models to power interactive analytics, dashboards, and explorers used daily by our business teams.
**Responsibilities**
* Design, build, and maintain scalable ELT pipelines that reliably transform raw data from sources such as Shopify, SendGrid, telemetry services, and proprietary applications (CreateOne) into our Snowflake data lake and data warehouses.
* Create efficient, maintainable data models within Snowflake that serve as the foundation for analytics, reporting, and data\-driven decision\-making.
* Develop and refine LookML models, enabling intuitive exploration, dashboards, and actionable analytics for non\-technical business users.
* Collaborate closely with product teams, engineers, and business stakeholders to identify data needs, gather requirements, and deliver high\-impactdata solutions.
* Continuously improve data quality, governance, and accessibility, implementing best practices for data management and compliance.
* Proactively monitor and optimize ELT performance, reliability, and cost\-effectiveness.
* Stay updated on the latest data engineering technologies, approaches, and analytics tools to ensure Resonance maintains industry\-leading capabilities.
**Requirements**
 Minimum Qualifications
* 4\+ years of relevant experience in data engineering, analytics engineering, or a related field.
* Strong proficiency in building robust ELT/ETL data pipelines using modern tools and practices.
* Hands\-on experience with Snowflake or similar cloud data warehousing platforms.
* Proficiency with SQL and database modeling techniques for analytics.
* Experience building analytics layers and semantic models (LookML strongly preferred; experience with similar BI tools like dbt or Tableau considered).
* Familiarity integrating data from external sources such as Shopify, SendGrid, or other SaaS platforms.
* Strong analytical mindset, problem\-solving capabilities, and attention to detail.
* Excellent collaboration and communication skills in remote, cross\- functional environments.
**Preferred Qualifications**
* Previous startup or rapid\-growth environment experience.
* Advanced knowledge of Snowflake performance optimization and cost management.
* Experience with Looker, LookML, and creating intuitive, interactive analytics products.
* Familiarity with Python scripting for data pipelines and automation.
* Interest or experience in sustainability, e\-commerce, fashion\-tech, or manufacturing domains.
**Benefits**
 We offer comprehensive benefits (medical, dental, and vision), competitive salary, equity participation, and remote work flexibility.
 Resonance Companies is an equal opportunity employer committed to diversity, inclusion, and innovation. All employment decisions are based solely on qualifications, merit, and business need.</t>
        </is>
      </c>
    </row>
    <row r="58">
      <c r="A58" t="inlineStr">
        <is>
          <t>li-4367013626</t>
        </is>
      </c>
      <c r="B58" t="inlineStr">
        <is>
          <t>Data Engineer</t>
        </is>
      </c>
      <c r="C58" t="inlineStr">
        <is>
          <t>Apple</t>
        </is>
      </c>
      <c r="D58" t="inlineStr">
        <is>
          <t>linkedin</t>
        </is>
      </c>
      <c r="E58">
        <f>HYPERLINK("https://www.linkedin.com/jobs/view/4367013626", "https://www.linkedin.com/jobs/view/4367013626")</f>
        <v/>
      </c>
      <c r="F58" t="inlineStr"/>
      <c r="G58" t="inlineStr">
        <is>
          <t>Austin, TX</t>
        </is>
      </c>
      <c r="H58" t="inlineStr"/>
      <c r="I58" t="inlineStr">
        <is>
          <t>**Summary**
 Imagine what you can do here. Apple is a place where extraordinary people gather to do their lives best work. Together we create products and experiences people once couldn’t have imagined, and now, can’t imagine living without. It’s the diversity of those people and their ideas that inspires the innovation that runs through everything we do.
**Description**
 APPLE INC has the following available in Austin, Texas. Gather and communicate data capture requirements for business and marketing platforms that enables the technology teams to build data systems that capture the appropriate data, enabling key insights for Product Managers to manage their platforms. Conduct end\-to\-end analysis across all AppleCare touch points, including data gathering from large and complex datasets to support recommendations for action. Drive the generation of insights from raw, unstructured data to improve existing features and explore future directions. This includes cross linking of multiple data assets and driving cross platform analysis. Develop extensive knowledge of existing business and operational metrics that enable the organization to monitor and track performance across fiscal periods. Create new metrics for performance measurement and advocate for changes to existing metrics where needed to ensure the accurate development of reporting solutions across key areas of sales, service, repair and digital assets. Develop and maintain complex Tableau dashboards, aggregating data from multiple data sources to enable real\-time trend visibility of operational metrics for business stakeholders. Support Tableau developers by writing complex SQL queries and providing easily queryable datasets in the form of Tableau extracts and database views to ensure error free and scalable daily data pulls from the base datasystems. Interface with technical teams—including DBA \&amp; engineering—to ensure proper functioning of all data pipelines and health of data warehouse. 40 hours/week.
**Minimum Qualifications**
* Master's degree or foreign equivalent in Analytics, Data Science, Computer Science, Engineering (any), or a related field and 5 years of prior work experience.
* 5 years of experience with each of the following skills is required:
* Performing data engineering for conceptualizing, developing and maintaining data pipelines across digital platforms.
* Performing data visualization and creating business dashboards using tools such as Tableau for business teams to enable easy consumption of complex data trends.
* Using SQL for pulling key data, join information from multiple data systems, and develop a single view of key events across the Digital landscape.
* Using Python for aggregating very large datasets, running daily data jobs and using advanced packages to handle data.
* Identifying, defining, and creating business metrics, measures and Key Performance Indicators (KPIs) for Business teams that enable them to assess the impact of their initiatives and move towards meeting their annual goals.
* Additionally, experience and/or education must include:
* Building and deploying statistical models using cloud\-based tools and infrastructure.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59">
      <c r="A59" t="inlineStr">
        <is>
          <t>li-4367038696</t>
        </is>
      </c>
      <c r="B59" t="inlineStr">
        <is>
          <t>Data Engineer</t>
        </is>
      </c>
      <c r="C59" t="inlineStr">
        <is>
          <t>UPS</t>
        </is>
      </c>
      <c r="D59" t="inlineStr">
        <is>
          <t>linkedin</t>
        </is>
      </c>
      <c r="E59">
        <f>HYPERLINK("https://www.linkedin.com/jobs/view/4367038696", "https://www.linkedin.com/jobs/view/4367038696")</f>
        <v/>
      </c>
      <c r="F59">
        <f>HYPERLINK("https://www.jobs-ups.com/global/en/job/UPBUPSGLOBALR26002874EXTERNALENGLOBAL/Data-Engineer?utm_source=linkedin&amp;utm_medium=phenom-feeds&amp;urlHash=Pt9Y", "https://www.jobs-ups.com/global/en/job/UPBUPSGLOBALR26002874EXTERNALENGLOBAL/Data-Engineer?utm_source=linkedin&amp;utm_medium=phenom-feeds&amp;urlHash=Pt9Y")</f>
        <v/>
      </c>
      <c r="G59" t="inlineStr">
        <is>
          <t>Alpharetta, GA</t>
        </is>
      </c>
      <c r="H59" t="inlineStr"/>
      <c r="I59" t="inlineStr">
        <is>
          <t>**Before you apply to a job, select your language preference from the options available at the top right of this page.**
 Explore your next opportunity at a Fortune Global 500 organization. Envision innovative possibilities, experience our rewarding culture, and work with talented teams that help you become better every day. We know what it takes to lead UPS into tomorrow—people with a unique combination of skill \+ passion. If you have the qualities and drive to lead yourself or teams, there are roles ready to cultivate your skills and take you to the next level.
**Job Description**
 JOB SUMMARY
 This position develops batch and real\-time data pipelines utilizing various data analytics processing frameworks in support of Data Science and Machine Learning practices and analytics. This position assists in the integration of data from various data sources, both internal and external. This position performs extract, transform, load (ETL) data conversions, and facilitates data cleansing and enrichment as well as performs full systems life cycle management activities, such as analysis, technical requirements, design, coding, testing, implementation of systems and applications software. This position assists in synthesizing disparate data sources to create reusable and reproducible data assets. This position requires strong capability to build data assets for analytics and assists the Data Science community working through analytical model feature tuning.
**Responsibilities**
* Contributes to data engineering projects and builds solutions by leveraging a foundational knowledge in software/application development, literate in the programming languages used for statistical modeling and analysis, data warehousing and Cloud solutions, and building data pipelines.
* Collaborates effectively, produces data engineering documentation, gathers requirements, organizes data and defines the scope of a project.
* Performs data analysis and presents findings to the stakeholders to support business needs.
* Participates in the integration of data for data engineering projects.
* Understands and utilizes analytic reporting tools and technologies.
* Assists with data engineering maintenance and support.
* Assists in defining the data interconnections between organizations’ operational and business functions.
* Assists in backup and recovery and utilizes technology solutions to perform POC analysis.
**Qualifications**
 Requirements:
* Understanding of database systems and data warehousing solutions.
* Understanding of data life cycle stages \- data collection, transformation, analysis, storing the data securely, providing data accessibility
* Understanding of the data environment to ensure that it can scale for the following demands: Throughput of data, increasing data pipeline throughput, analyzing large amounts of data, real\-time predictions, insights and customer feedback, data security, data regulations, and compliance.
* Contributes to the following: Building a data platform, ensuring data is secure in motion and at rest, automating data compliance and auditing, data warehousing solutions for scalable analytics.
* Basic knowledge of algorithms and data structures to assist in understanding the big picture of the organization’s overall data function. Knowledge in data filtering and data optimization.
* Familiarity with a Cloud services platform (e.g., GCP, or AZURE, or AWS) and all the data life cycle stages. Knowledge of Google Cloud Technologies is preferred.
* Understanding ETL tools capabilities. Ability to pull data from various sources, perform a load of the transformed data into a database or business intelligence platform.
* Familiarity with Machine learning algorithms which help data scientists make predictions based on current and historical data.
* Knowledge of algorithms and data structures with the ability to organize the data for reporting, analytics, and data mining and perform data filtering and data optimization.
* Ability to build data APIs to enable data scientists and business intelligence analysts to query the data.
* Strong knowledge of SQL and ability to code using programming language used for statistical analysis and modeling such as Python/Java/C\+\+.
* Understanding the basics of distributed systems.
* A Bachelor’s degree in MIS or mathematics, statistics, or computer science, international equivalent, or equivalent job experience.
**Employee Type**
 Permanent
 UPS is committed to providing a workplace free of discrimination, harassment, and retaliation.
**Other Criteria**
 UPS is an equal opportunity employer. UPS does not discriminate on the basis of race/color/religion/sex/national origin/veteran/disability/age/sexual orientation/gender identity or any other characteristic protected by law.
**Basic Qualifications**
 Must be a U.S. Citizen or National of the U.S., an alien lawfully admitted for permanent residence, or an alien authorized to work in the U.S. for this employer.</t>
        </is>
      </c>
    </row>
    <row r="60">
      <c r="A60" t="inlineStr">
        <is>
          <t>li-4367044696</t>
        </is>
      </c>
      <c r="B60" t="inlineStr">
        <is>
          <t>Data Engineer</t>
        </is>
      </c>
      <c r="C60" t="inlineStr">
        <is>
          <t>UPS</t>
        </is>
      </c>
      <c r="D60" t="inlineStr">
        <is>
          <t>linkedin</t>
        </is>
      </c>
      <c r="E60">
        <f>HYPERLINK("https://www.linkedin.com/jobs/view/4367044696", "https://www.linkedin.com/jobs/view/4367044696")</f>
        <v/>
      </c>
      <c r="F60">
        <f>HYPERLINK("https://www.jobs-ups.com/us/en/job/UPBUPSGLOBALR26002874EXTERNALENUS/Data-Engineer?utm_source=linkedin&amp;utm_medium=phenom-feeds&amp;urlHash=FzP4", "https://www.jobs-ups.com/us/en/job/UPBUPSGLOBALR26002874EXTERNALENUS/Data-Engineer?utm_source=linkedin&amp;utm_medium=phenom-feeds&amp;urlHash=FzP4")</f>
        <v/>
      </c>
      <c r="G60" t="inlineStr">
        <is>
          <t>Alpharetta, GA</t>
        </is>
      </c>
      <c r="H60" t="inlineStr"/>
      <c r="I60" t="inlineStr">
        <is>
          <t>**Before you apply to a job, select your language preference from the options available at the top right of this page.**
 Explore your next opportunity at a Fortune Global 500 organization. Envision innovative possibilities, experience our rewarding culture, and work with talented teams that help you become better every day. We know what it takes to lead UPS into tomorrow—people with a unique combination of skill \+ passion. If you have the qualities and drive to lead yourself or teams, there are roles ready to cultivate your skills and take you to the next level.
**Job Description**
 JOB SUMMARY
 This position develops batch and real\-time data pipelines utilizing various data analytics processing frameworks in support of Data Science and Machine Learning practices and analytics. This position assists in the integration of data from various data sources, both internal and external. This position performs extract, transform, load (ETL) data conversions, and facilitates data cleansing and enrichment as well as performs full systems life cycle management activities, such as analysis, technical requirements, design, coding, testing, implementation of systems and applications software. This position assists in synthesizing disparate data sources to create reusable and reproducible data assets. This position requires strong capability to build data assets for analytics and assists the Data Science community working through analytical model feature tuning.
**Responsibilities**
* Contributes to data engineering projects and builds solutions by leveraging a foundational knowledge in software/application development, literate in the programming languages used for statistical modeling and analysis, data warehousing and Cloud solutions, and building data pipelines.
* Collaborates effectively, produces data engineering documentation, gathers requirements, organizes data and defines the scope of a project.
* Performs data analysis and presents findings to the stakeholders to support business needs.
* Participates in the integration of data for data engineering projects.
* Understands and utilizes analytic reporting tools and technologies.
* Assists with data engineering maintenance and support.
* Assists in defining the data interconnections between organizations’ operational and business functions.
* Assists in backup and recovery and utilizes technology solutions to perform POC analysis.
**Qualifications**
 Requirements:
* Understanding of database systems and data warehousing solutions.
* Understanding of data life cycle stages \- data collection, transformation, analysis, storing the data securely, providing data accessibility
* Understanding of the data environment to ensure that it can scale for the following demands: Throughput of data, increasing data pipeline throughput, analyzing large amounts of data, real\-time predictions, insights and customer feedback, data security, data regulations, and compliance.
* Contributes to the following: Building a data platform, ensuring data is secure in motion and at rest, automating data compliance and auditing, data warehousing solutions for scalable analytics.
* Basic knowledge of algorithms and data structures to assist in understanding the big picture of the organization’s overall data function. Knowledge in data filtering and data optimization.
* Familiarity with a Cloud services platform (e.g., GCP, or AZURE, or AWS) and all the data life cycle stages. Knowledge of Google Cloud Technologies is preferred.
* Understanding ETL tools capabilities. Ability to pull data from various sources, perform a load of the transformed data into a database or business intelligence platform.
* Familiarity with Machine learning algorithms which help data scientists make predictions based on current and historical data.
* Knowledge of algorithms and data structures with the ability to organize the data for reporting, analytics, and data mining and perform data filtering and data optimization.
* Ability to build data APIs to enable data scientists and business intelligence analysts to query the data.
* Strong knowledge of SQL and ability to code using programming language used for statistical analysis and modeling such as Python/Java/C\+\+.
* Understanding the basics of distributed systems.
* A Bachelor’s degree in MIS or mathematics, statistics, or computer science, international equivalent, or equivalent job experience.
**Employee Type**
 Permanent
 UPS is committed to providing a workplace free of discrimination, harassment, and retaliation.
**Other Criteria**
 UPS is an equal opportunity employer. UPS does not discriminate on the basis of race/color/religion/sex/national origin/veteran/disability/age/sexual orientation/gender identity or any other characteristic protected by law.
**Basic Qualifications**
 Must be a U.S. Citizen or National of the U.S., an alien lawfully admitted for permanent residence, or an alien authorized to work in the U.S. for this employer.</t>
        </is>
      </c>
    </row>
    <row r="61">
      <c r="A61" t="inlineStr">
        <is>
          <t>li-4367349157</t>
        </is>
      </c>
      <c r="B61" t="inlineStr">
        <is>
          <t>Data Engineer</t>
        </is>
      </c>
      <c r="C61" t="inlineStr">
        <is>
          <t>Wolverine Trading</t>
        </is>
      </c>
      <c r="D61" t="inlineStr">
        <is>
          <t>linkedin</t>
        </is>
      </c>
      <c r="E61">
        <f>HYPERLINK("https://www.linkedin.com/jobs/view/4367349157", "https://www.linkedin.com/jobs/view/4367349157")</f>
        <v/>
      </c>
      <c r="F61" t="inlineStr"/>
      <c r="G61" t="inlineStr">
        <is>
          <t>Chicago, IL</t>
        </is>
      </c>
      <c r="H61" t="inlineStr"/>
      <c r="I61" t="inlineStr">
        <is>
          <t>**Department:** 
 Technology
**Location:** 
 Chicago, IL
**Description**
 We are seeking a motivated, self\-directed, and technically outstanding data engineer to join our team of engineers responsible for designing, building, and maintaining the data pipelines that are critical to our business. The ideal candidate enjoys optimizing data systems and building them from the ground up. You should be comfortable supporting our developers, data analysts, and traders to ensure data delivery is consistent, high\-quality, and secure.
**Hours** 
* Hours for this position will be 5:30 AM CST to 2:30 initially and are expected to shift to the evening at a later date.
**Location** 
* Our office is in Chicago, and a Chicago based employee is preferred. However, due to the non\-standard working hours required, we will consider a remote employee with the right experience and skillset
**What You’ll Do**
* Pipeline Development: Design, construct, and manage scalable data pipelines.
* Architecture: Build the infrastructure required for optimal extraction, transformation, and loading of data from a wide variety of data sources.
* Optimization: Identify, design, and implement internal process improvements: automating manual processes, optimizing data delivery, and re\-designing infrastructure for greater scalability.
* Data Modeling: Create and maintain optimal data pipeline architecture and database schemas
* Gather requirements, design solutions, iterate on implementations with peers and business partners, participate in code reviews, and deliver products in a timely manner
* Troubleshoot and solve the most complex problems escalated by support staff, developers, or traders
* Provide insights on and help prioritize tasks to optimize, modernize, and simplify our system on your own initiative, as well as ways to improve usability and scalability
* Document the requirements and usage of tools and systems
* Keep abreast of emerging technologies, new language features, and new APIs or tools
**What We’re Looking For**
* Have 3\+ years of experience in a data engineering role
* Languages: Expert\-level SQL and proficiency in Python, C\#/.Net, or some other programming language
* Broad technical knowledge with strong conceptual understanding of Linux sysadmin (bash)
* Be organized, self\-directed, and dependable. Be able to manage your own workload and provide reasonable estimates for task completion
* Have superb analytical and problem\-solving skills
* Have excellent verbal and written communication skills, able to convey design decisions in both technical and layman’s terms
* Familiarity with data pipeline workflow tools like Apache Airflow or similar
* Background in performance tuning for data systems, including caching, indexing, and database optimization
**Why Join Us**
 Our flat organizational structure promotes teamwork across the Firm and offers easy access to senior staff. While we work exceptionally well as a team in the office, our bonds are further strengthened through company events, activities and giving back. Volleyball, soccer, hockey, 5K runs, picnic, parties, and trivia nights provide friendly competition and build better relationships. By getting out of our usual environment and doing out\-of\-the\-ordinary things together, we foster creativity and broaden our imaginations to accomplish new challenges.
**Benefits:** 
* Highly competitive salary \&amp; bonus opportunity
* Generous paid time off and flexible scheduling
* 100% coverage of medical, dental, vision, life, and disability benefits for single coverage
* Generous Paid Parental Leave
* Retirement Plans: 401K and Roth 401K
* Profit sharing plan
* Long\- and short\-term disability
**Additional Perks:** 
* Free breakfast and lunch from our in\-house kitchen with rotating menus (including snacks!)
* On\-site gym with a subsidized membership
* Frequent company outings
* Opportunity to give back to organizations that help individuals in need in the Chicagoland area
**Professional Development:** 
* In\-house education team – classes and resources are offered for continuous learning opportunities
* Mentorship Program through your first six months of employment
 The base compensation range for this role is approximately $80,000\-$120,000 contingent on experience. Wolverine Trading's total compensation model includes base salary and an annual discretionary bonus.</t>
        </is>
      </c>
    </row>
    <row r="62">
      <c r="A62" t="inlineStr">
        <is>
          <t>li-4328813674</t>
        </is>
      </c>
      <c r="B62" t="inlineStr">
        <is>
          <t>Data Engineer</t>
        </is>
      </c>
      <c r="C62" t="inlineStr">
        <is>
          <t>PlanetArt</t>
        </is>
      </c>
      <c r="D62" t="inlineStr">
        <is>
          <t>linkedin</t>
        </is>
      </c>
      <c r="E62">
        <f>HYPERLINK("https://www.linkedin.com/jobs/view/4328813674", "https://www.linkedin.com/jobs/view/4328813674")</f>
        <v/>
      </c>
      <c r="F62" t="inlineStr"/>
      <c r="G62" t="inlineStr">
        <is>
          <t>Calabasas, CA</t>
        </is>
      </c>
      <c r="H62" t="inlineStr"/>
      <c r="I62" t="inlineStr">
        <is>
          <t>**Company And Vision**
 PlanetArt's vision is to be the leading seller of personalized and make\-on\-demand products worldwide. We provide consumers with unmatched tools and content and an unparalleled end\-to\-end customer experience that result in high\-quality, meaningful finished products and memorable celebrations of live events.
 The company's brands include the popular FreePrints and FreePrints Photobooks apps and the industry leading SimplytoImpress card and stationery site, as well as Personal Creations, CafePress and ISeeMe! Visit www.planetart.com to learn more about our brands.
 We have more than 500 team members across multiple offices, primarily in Calabasas CA, San Diego CA, Woodridge IL, Minneapolis, MN and Pleasanton, CA. We also have team members in two company\-owned offices in China, as well as in Europe.
**Job Overview**
 PlanetArt is looking for a Data Engineer to support the company's Forecasting \&amp; Pricing Group. This role is responsible for ETL of data from production systems into data warehouse for Data Science projects.
 PLEASE NOTE: Candidates much be local to or willing to relocate to the Calabasas area as we operate on a hybrid work model (3 days onsite, 2 remote)
**What You'll Do**
**Key Responsibilities**
* Creating data pipelines using extract, transform and load processes to streamline and manage data from different sources and make it understandable, accessible and usable
* Optimizing database systems for performance and integrating types of databases, warehouses and analytical systems.
* Implementing algorithms for data transformation and use and machine learning models to make data useful
* Partner with cross\-functional teams (Data Science, Sales, Finance, Supply Chain, Marketing, Operations) particularly to align forecasts with strategic and operational planning
* Identify key risks and opportunities within forecast assumptions and present recommendations to leadership
* Monitor deployed forecast model performance, track variances, and continuously refine methodologies
* Troubleshooting data\-related issues by identifying the main cause and fixing common issues in data pipelines.
* Design and deliver recurring reports, dashboards, and presentations for senior leadership
* Mentor and provide guidance to junior analysts on best practices in analytics
**Requirements**
**What You Should Have**
**Skills, Qualifications, And Requirements**
* 3\+ years of data engineering experience designing and developing large data pipelines using Apache Kafka, Apache Spark, and workflow management tools (Airflow) required
* 2\+ years of experience with data warehousing and data lake management including Amazon Redshift, and AWS S3 data lakes required
* 2\+ years of experience working with cloud\-based services like AWS Glue, serverless computing with AWS Lambda, and using Airflow on AWS required
* 3\+ years of experience using analytic SQL, working with traditional relational databases and/or distributed systems (Amazon S3, Redshift, MySQL, SQLServer), required
* 3\+ years of experience programming languages (e.g. Python, Pyspark, Spark) required
* 2\+ years of experience of data visualization with Tableau and PowerBI dashboards and reports required
* Strong understanding of data modeling principles including Dimensional modeling, data normalization principles
* Ability to independently perform performance optimization and troubleshooting for data pipelines and ML deployments
* Strong communication skills \- written and verbal presentations
* Excellent conceptual and analytical reasoning competencies
* Comfortable working in a fast\-paced and highly collaborative environment
* Familiarity with Agile Scrum principles and Atlassian software (Jira, Confluence)
**What You Can Expect**
**Working Conditions**
* Work is performed in an office environment with low to moderate noise levels
* Occasional lifting of up to 20 pounds
* Position requires regular, continuous use of computer
* Position requires regular sitting and standing
* Position requires regular interaction with team members through the following methods: in\-person, phone, Zoom, Slack, or email
* May require occasional travel
* This is a hybrid position; employees are expected to be in the office three days per week (Monday, Tuesday, and Thursday) with the option of working remotely two days (Wednesday and Friday)
**Benefits**
 The compensation range for this position is $92,000\-$100,000 annual salary.
**PlanetArt offers a comprehensive benefits package, including:**
* Health, Dental, and Vision Insurance
* Life Insurance
* Mental Health Benefits
* Pet Insurance
* 401(k) with matching</t>
        </is>
      </c>
    </row>
    <row r="63">
      <c r="A63" t="inlineStr">
        <is>
          <t>li-4367377185</t>
        </is>
      </c>
      <c r="B63" t="inlineStr">
        <is>
          <t>Junior Data Engineer</t>
        </is>
      </c>
      <c r="C63" t="inlineStr">
        <is>
          <t>Lensa</t>
        </is>
      </c>
      <c r="D63" t="inlineStr">
        <is>
          <t>linkedin</t>
        </is>
      </c>
      <c r="E63">
        <f>HYPERLINK("https://www.linkedin.com/jobs/view/4367377185", "https://www.linkedin.com/jobs/view/4367377185")</f>
        <v/>
      </c>
      <c r="F63">
        <f>HYPERLINK("https://lensa.com/cgw/0a0e34cd56d44a6bb03bbd285684d677tjo1?jpsi=directemployers&amp;publisher_preference=easier_apply&amp;utm_campaign=Computer%20Occupations&amp;utm_medium=slot&amp;utm_source=linkedin&amp;utm_term=jse&amp;urlHash=D1AY", "https://lensa.com/cgw/0a0e34cd56d44a6bb03bbd285684d677tjo1?jpsi=directemployers&amp;publisher_preference=easier_apply&amp;utm_campaign=Computer%20Occupations&amp;utm_medium=slot&amp;utm_source=linkedin&amp;utm_term=jse&amp;urlHash=D1AY")</f>
        <v/>
      </c>
      <c r="G63" t="inlineStr">
        <is>
          <t>McLean, VA</t>
        </is>
      </c>
      <c r="H63" t="inlineStr"/>
      <c r="I6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Infinitive. Clicking "Apply Now" or "Read more" on Lensa redirects you to the job board/employer site. Any information collected there is subject to their terms and privacy notice.
**About Infinitive**
 Infinitive is a data and AI consultancy that enables its clients to modernize, monetize and operationalize their data to create lasting and substantial value. We possess deep industry and technology expertise to drive and sustain adoption of new capabilities. We match our people and personalities to our clients' culture while bringing the right mix of talent and skills to enable high return on investment.
 Infinitive has been named “Best Small Firms to Work For” by Consulting Magazine 7 times most recently in 2024\. Infinitive has also been named a Washington Post “Top Workplace”, Washington Business Journal “Best Places to Work”, and Virginia Business “Best Places to Work.”
**Job Summary**
 We are seeking a motivated Junior Data Engineer to support our data engineering initiatives by building and maintaining scalable data pipelines on AWS. The ideal candidate has 1–2 years of hands\-on experience with Python, PySpark, and cloud\-based data platforms, and is eager to grow their technical skills in a fast\-paced, collaborative environment.
**Key Responsibilities**
* Develop, test, and maintain data pipelines using Python and PySpark
* Ingest, transform, and clean structured and semi\-structured data from multiple sources
* Collaborate with senior data engineers and analysts to support data infrastructure needs
* Deploy and monitor data workflows on AWS using services like S3, Lambda, Glue, and EMR
* Document processes, data models, and pipeline logic clearly for stakeholders
* Troubleshoot data issues and assist in performance tuning of jobs and queries
**Required Qualifications**
* Bachelor’s degree in Computer Science, Data Engineering, Information Systems, or related field
* 1–2 years of hands\-on experience with Python and PySpark
* Working knowledge of AWS cloud services (e.g., S3, Lambda, Glue, EMR)
* Proficiency with SQL for querying and data manipulation
* Basic understanding of data warehousing concepts and ETL processes
* Familiarity with version control systems like Git
**Preferred Qualifications**
* Experience with workflow orchestration tools like Apache Airflow or AWS Step Functions
* Exposure to data cataloging and metadata management tools
* Understanding of data lake and data warehouse architectures (e.g., Redshift, Snowflake, BigQuery)
* Ability to work in Agile development environments
* Strong problem\-solving and communication skills
 Powered by JazzHR
 If you have questions about this posting, please contact support@lensa.com</t>
        </is>
      </c>
    </row>
    <row r="64">
      <c r="A64" t="inlineStr">
        <is>
          <t>li-4367371533</t>
        </is>
      </c>
      <c r="B64" t="inlineStr">
        <is>
          <t>Sr. Data Engineer - Marketing Analytics</t>
        </is>
      </c>
      <c r="C64" t="inlineStr">
        <is>
          <t>Crowd Street</t>
        </is>
      </c>
      <c r="D64" t="inlineStr">
        <is>
          <t>linkedin</t>
        </is>
      </c>
      <c r="E64">
        <f>HYPERLINK("https://www.linkedin.com/jobs/view/4367371533", "https://www.linkedin.com/jobs/view/4367371533")</f>
        <v/>
      </c>
      <c r="F64">
        <f>HYPERLINK("https://job-boards.greenhouse.io/crowdstreet/jobs/7610759003&amp;urlHash=3olc", "https://job-boards.greenhouse.io/crowdstreet/jobs/7610759003&amp;urlHash=3olc")</f>
        <v/>
      </c>
      <c r="G64" t="inlineStr"/>
      <c r="H64" t="inlineStr"/>
      <c r="I64" t="inlineStr">
        <is>
          <t>Sr. Data Engineer, Marketing Analytics
**Role Summary**
 As a Senior Data Engineer, Marketing Analytics, you will play an integral role in building Crowd Street’s new data platform from zero to one. You will have the opportunity to influence the architecture of our new data platform and be responsible for the full lifecycle of software development, including design, implementation, testing, documentation, operation, and ongoing support. In this role, you will interact directly with teams across Crowd Street’s business to translate ambiguous data needs into actionable initiatives with particular emphasis on supporting Marketing with timely data collection and aggregation across various sources, as well as the creation of actionable reporting on key Marketing performance indicators.
**The Success You’ll Build**
* Unlock business\-critical reporting through the ingestion of disparate data sources into our centralized data platform, including Marketing data from Google Ads, Google Analytics, Google Tag Manager, LinkedIn, Meta and other sources
* Reveal key insights through proper data modeling, aggregation and analysis in our data warehouse to enable reporting on ad campaign performance, attribution and user journey analysis
* Own and maintain data pipelines that support the essential day\-to\-day operation of Crowd Street’s business
* Collaborate with Application Engineering, Product Management, Marketing and other teams to identify and deliver the highest impact enhancements in a timely manner
* Monitor and manage the overall effectiveness of the data platform to balance performance, stability, and cost
**The Experiences And Competencies Necessary For Success**
* 5\+ years of experience working hands\-on in Microsoft’s Azure data stack including:
**Azure Data Factory**
* Experience building ETL pipelines from scratch
* Experience independently troubleshooting and resolving issues
**Azure Synapse Analytics**
* Experience building and maintaining data warehouses
* Experience writing Python (or similar) code in Synapse or Databricks Notebooks
* 3\+ years of experience working hands\-on with Google’s Marketing Analytics platform including:
**Google Ads**
* Experience automating data export via API
* Experience building campaign performance reports summarized by channel \&amp; creative
**Google Analytics** 
**Experience automating data export via API**
* Experience defining and measuring custom events
**Google Tag Manager** 
**Experience creating events and implementing triggers**
* Experience debugging tag events on live sites
* Experience creating data models and authoring reports in Power BI
* Experience working in a dynamic startup environment
* Comfortable decomposing large, ambiguous projects into actionable tasks
* Experience designing and implementing data platforms using industry best practices
* Experience interacting directly with Marketing stakeholders to identify requirements and translate objectives into data solutions
* Experience collaborating as part of a team with fellow Data Engineers and Product Managers while executing agile practices like code reviews, pair programming, and demos
**Preferred Qualifications**
* Experience migrating Azure Data Factory \&amp; Synapse Analytics to Microsoft Fabric
* Knowledge of various Marketing attribution methodologies (first, last \&amp; multi\-touch)
* Understanding of key Marketing metrics (CAC, CPC, CPM, etc.)
**Compensation \&amp; Benefits Statement**
 The estimated salary range for this position is
 **$140,000 \- $160,000** 
 per year. Internal level, title, and compensation for the final offer will be determined based on a variety of factors, including years of experience, skills, qualifications, and overall fit for the role.
 In addition to base salary, we offer a
 **comprehensive benefits package** 
 , which includes:
* Stock option equity to share in the company’s success
* Variable pay opportunities based on performance
* 401(k) plan with corporate match to support long\-term financial well\-being
* Flexible time off to support work\-life balance
* Home office stipend to help create a productive remote workspace
* Comprehensive health benefits, including medical, dental, and vision coverage
 We are committed to providing competitive compensation and benefits to support our employees' well\-being and professional growth. Learn more about our benefits here.
**About Crowd Street**
 At Crowd Street, our purpose is to
 **inspire and empower our members to achieve their financial ambitions** 
 —and that mission starts with us. We are the leaders of a movement to change how individuals access and invest in the private markets, breaking down barriers that once kept these opportunities in the hands of a select few.
 Since 2012, we’ve connected our members with a marketplace of alternative investment opportunities, beginning with commercial real estate and now expanding into new asset classes. Each investment we bring forward is backed by our commitment to rigorous due diligence, clear communication, and an exceptional investor experience.
 As a registered broker\-dealer, we continue to raise the bar for transparency, access, and trust in the private markets. Every team member plays a role in this mission—whether by building tools, providing research, serving our members, or developing new opportunities. Together, we are shaping the future of investing and giving more people the ability to take control of their financial future.
*At Crowd Street, inclusion, equity, and diversity are necessary to achieve our goals. Our differences in age, race, gender, nationality, sexual orientation, physical ability, thinking style and background bring a variety of knowledge that makes us collectively smarter and better able to compete. We are committed to recruiting, developing, and advancing a diverse staff and engaging in the work that makes that possible.*</t>
        </is>
      </c>
    </row>
    <row r="65">
      <c r="A65" t="inlineStr">
        <is>
          <t>li-4367014673</t>
        </is>
      </c>
      <c r="B65" t="inlineStr">
        <is>
          <t>Data Engineer</t>
        </is>
      </c>
      <c r="C65" t="inlineStr">
        <is>
          <t>Neighborly Software</t>
        </is>
      </c>
      <c r="D65" t="inlineStr">
        <is>
          <t>linkedin</t>
        </is>
      </c>
      <c r="E65">
        <f>HYPERLINK("https://www.linkedin.com/jobs/view/4367014673", "https://www.linkedin.com/jobs/view/4367014673")</f>
        <v/>
      </c>
      <c r="F65" t="inlineStr"/>
      <c r="G65" t="inlineStr">
        <is>
          <t>Atlanta, GA</t>
        </is>
      </c>
      <c r="H65" t="inlineStr"/>
      <c r="I65" t="inlineStr">
        <is>
          <t>At
 **Neighborly Software** 
 , we are on a mission to improve the lives of the communities we serve by delivering cutting\-edge SaaS solutions.
 The Data Engineer will work on the Data/Analytics technology team and be responsible for designing and developing
 **data pipelines, structures, and imports,** 
 as well as the creation of
 **data\-empowered dashboards, reports, and analytics** 
 in order to provide actionable insights for stakeholders.
 In addition to collaborating with the Data/Analytics team, you will regularly engage with Product Management and Client Success, and occasionally with external partners to define and deliver on their needs. This role will also assist in projects that address data reporting needs at Neighborly Software, build components of data engineering foundations, and power many aspects of our product and software offerings.
**Job Duties and Responsibilities:** 
* Build and maintain datasets and pipelines within our data warehouse technology,
 **Snowflake**
* Design/Develop data pipelines leveraging Azure Data Factory (ADF) Tools
* Develop SQL in Azure\-SQL and Snowflake technologies
* Utilize technologies such as Kafka, Databricks, SnowSQL, and Snowpipe
* Add to and maintain data streaming services, such as Kafka and Kafka Connect
* Use programming languages such as Python and C\# for data management, analysis, import, and export pipelines
* Assist in data acquisition from 3rd party sources and datasets
* Collaboratively identify ways to improve data reliability, governance, monitoring, efficiency, and quality
* Use large data sets to address business issues, such as client reporting requests and internal insights
* Troubleshoot SQL queries against multiple data sources
* Deploy sophisticated analytics programs, machine learning, and statistical methods
* Prepare data for predictive and prescriptive modeling
* Find hidden patterns using data for trends such as productivity workflows, and user insights
* Use data to reduce redundancies and inefficiencies using automation
* Deliver updates to stakeholders based on analytics
* Assist in the development of Power BI report/dashboard
**Qualification:** 
* 2\-4 years of experience in data/analytics and ETL/ELT best practices
* 2\-4 years of experience of working with data warehouse technologies, specifically Snowflake, Azure Synapse or AWS Redshift
* 2\-4 years of experience in SQL
* 2\-4 years of experience using the Python programming language
* 1\-2 years of BI Reporting tool such as PowerBI or Tableau
* 1\-2 years of experience in data pipeline development
**Nice to have Experience:** 
* API creation and usage experience
* Familiarity with Azure Data Factory
* Familiarity with Kafka and Kafka Connect
* Familiarity with Spark/Databricks
* Familiarity with OOP programming languages
* Familiarity with Azure Services like Logic Apps, Power Apps
* Familiarity with monitoring or logging technologies
* Familiarity with Azure DevOps CICD, SDLC Tools like JIRA/Confluence
**Additional Requirements:** 
* This role is not eligible for Visa sponsorship at this time
* The successful candidate must not be subject to employment restrictions from a former employer (non\-compete) that would prevent the candidate from performing the job responsibilities as described
* This role is Atlanta\-based, with a hybrid schedule working from our Atlanta Tech Village office in Buckhead
**Working at Neighborly Software: Perks \&amp; Benefits** 
 25 days of Paid Time Off \+ 3 days of Volunteer Time Off
 9 paid holidays
 Comprehensive health insurance package
 401k match with immediate vesting
 Bonus program
 Professional development stipend \+ LinkedIn Learning access
 Hybrid work environment (1 day in office/week)</t>
        </is>
      </c>
    </row>
    <row r="66">
      <c r="A66" t="inlineStr">
        <is>
          <t>li-4367005832</t>
        </is>
      </c>
      <c r="B66" t="inlineStr">
        <is>
          <t>Data Engineer</t>
        </is>
      </c>
      <c r="C66" t="inlineStr">
        <is>
          <t>DraftKings Inc.</t>
        </is>
      </c>
      <c r="D66" t="inlineStr">
        <is>
          <t>linkedin</t>
        </is>
      </c>
      <c r="E66">
        <f>HYPERLINK("https://www.linkedin.com/jobs/view/4367005832", "https://www.linkedin.com/jobs/view/4367005832")</f>
        <v/>
      </c>
      <c r="F66">
        <f>HYPERLINK("https://draftkings.wd1.myworkdayjobs.com/DraftKings/job/Boston-MA/Data-Engineer_JR13449-2/apply?source=Applicant_Source_LinkedIn_Jobs&amp;urlHash=8H8J", "https://draftkings.wd1.myworkdayjobs.com/DraftKings/job/Boston-MA/Data-Engineer_JR13449-2/apply?source=Applicant_Source_LinkedIn_Jobs&amp;urlHash=8H8J")</f>
        <v/>
      </c>
      <c r="G66" t="inlineStr">
        <is>
          <t>Boston, MA</t>
        </is>
      </c>
      <c r="H66" t="inlineStr"/>
      <c r="I66" t="inlineStr">
        <is>
          <t>At DraftKings, AI is becoming an integral part of both our present and future, powering how work gets done today, guiding smarter decisions, and sparking bold ideas. It’s transforming how we enhance customer experiences, streamline operations, and unlock new possibilities. Our teams are energized by innovation and readily embrace emerging technology. We’re not waiting for the future to arrive. We’re shaping it, one bold step at a time. To those who see AI as a driver of progress, come build the future together.
 The Crown Is Yours
 As a Data Engineer on the Data Enablement team, you’ll help build the infrastructure that powers how teams across DraftKings discover, understand, and trust their data. You’ll design scalable solutions to improve metadata accuracy, data quality, and governance ensuring analytics and reporting are not only reliable but impactful. This role sits at the intersection of data engineering and usability, giving you the chance to shape how data is documented, monitored, and accessed across the business. You’ll collaborate with engineering and business partners alike to unlock new ways of delivering trusted data at scale.
 What You’ll Do
* Build and support scripts, APIs, and data integrations that connect internal tools and data sources.
* Partner with Data Engineering, IT, and business teams to help implement data quality rules, monitoring, and alerting processes.
* Contribute to the curation and maintenance of the enterprise data catalog, helping ensure metadata is accurate, discoverable, and useful for end users.
* Support data governance efforts focused on protecting customer personal information, helping ensure data is handled, documented, and used responsibly across data platforms.
* Help define and implement reusable patterns for collecting, validating, and maintaining metadata across data platforms.
* Contribute to foundational work that supports DraftKings’ Semantic Data Layer, including consistent definitions, lineage, and metadata that can be leveraged by analytics tools and AI\-powered experiences.
 What You’ll Bring
* Bachelor’s Degree in Computer Science or any suitable combination of education, experience, and training.
* At least one year of working with data pipelines and integrations using Python.
* Familiarity with analyzing data flows and dependencies, and contributing to reliable data solutions.
* Exposure to modern data platforms and tools such as Snowflake, Databricks, Kafka, Terraform, PagerDuty, Datadog, Jira, Confluence, and Bitbucket.
* Working knowledge of data warehousing concepts, data lakes, and basic data modeling principles.
* Familiarity with ETL/ELT concepts and data pipeline development.
* Interest in how metadata, semantics, and governance enable AI\-driven analytics and intelligent data discovery.
 Join Our Team
 We’re a publicly traded (NASDAQ: DKNG) technology company headquartered in Boston. As a regulated gaming company, you may be required to obtain a gaming license issued by the appropriate state agency as a condition of employment. Don’t worry, we’ll guide you through the process if this is relevant to your role.
 The US base salary range for this full\-time position is 101,600\.00 USD \- 127,000\.00 USD, plus bonus, equity, and benefits as applicable. Our ranges are determined by role, level, and location. The compensation information displayed on each job posting reflects the range for new hire pay rates for the position across all US locations. Within the range, individual pay is determined by work location and additional factors, including job\-related skills, experience, and relevant education or training. Your recruiter can share more about the specific pay range and how that was determined during the hiring process. It is unlawful in Massachusetts to require or administer a lie detector test as a condition of employment or continued employment. An employer who violates this law shall be subject to criminal penalties and civil liability.</t>
        </is>
      </c>
    </row>
    <row r="67">
      <c r="A67" t="inlineStr">
        <is>
          <t>li-4356646629</t>
        </is>
      </c>
      <c r="B67" t="inlineStr">
        <is>
          <t>Sr. Data Engineer I (6382)</t>
        </is>
      </c>
      <c r="C67" t="inlineStr">
        <is>
          <t>MetroStar</t>
        </is>
      </c>
      <c r="D67" t="inlineStr">
        <is>
          <t>linkedin</t>
        </is>
      </c>
      <c r="E67">
        <f>HYPERLINK("https://www.linkedin.com/jobs/view/4356646629", "https://www.linkedin.com/jobs/view/4356646629")</f>
        <v/>
      </c>
      <c r="F67" t="inlineStr"/>
      <c r="G67" t="inlineStr">
        <is>
          <t>Washington, DC</t>
        </is>
      </c>
      <c r="H67" t="inlineStr"/>
      <c r="I67" t="inlineStr">
        <is>
          <t>**As a Sr. Data Engineer (Splunk),** 
 you’ll deliver Splunk data engineering and platform operations for continuous monitoring and analysis with the goal to make an impact across the federal government.
 **Our team** 
 is responsible for operating and evolving mission\-critical SIEM and monitoring platforms, and you’ll ensure reliable, secure, and scalable Splunk capabilities that directly support mission operations and decision\-making from day one.
 We know that you can’t have great technology services without amazing people. At MetroStar, we are
 **obsessed** 
 with
 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Design and manage Splunk data ingestion pipelines and dashboards supporting mission\-critical use cases.
* Operate and maintain Splunk Enterprise in a secure, high\-availability environment.
* Support security monitoring, detection, and incident response operations.
* Participate actively in Agile execution and team delivery cadence.
* Optimize data pipelines, performance, and data quality across the platform.
* Communicate technical insights, risks, and issues clearly to both technical and non\-technical stakeholders.
* Establish and maintain a high level of customer trust and confidence through technical excellence and reliable delivery.
* Apply creativity and sound engineering judgment to deliver innovative solutions aligned to customer needs.
**What you’ll need to succeed:** 
* An active Top\-Secret clearance with SCI eligibility required.
* Bachelor’s degree in a technical field is preferred (relevant experience may substitute).
* 5\+ years of experience in data management or systems administration, including at least 3 years of hands\-on Splunk GA experience.
* Demonstrated expertise in data onboarding, parsing, indexing, and dashboard development.
* Experience operating Splunk Enterprise in regulated or high\-security environments.
* Holds Splunk Certified Core Consultant or Splunk Certified Enterprise Security Admin certification.
* Meets DoD 8140 DCWF Role 521 – Cyber Defense Infrastructure Support Specialist requirements with certifications such as GMON, GRID, CEH, Cloud\+, CySA\+, GSEC, PenTest\+, Security\+, or SSCP.
* Ability to contribute immediately with minimal ramp\-up.
 SALARY RANGE:  $170,000 \- $239,000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 This role may also be eligible for bonuses and/or additional incentives based on individual and company performance.
**Benefits** 
 :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68">
      <c r="A68" t="inlineStr">
        <is>
          <t>li-4367356540</t>
        </is>
      </c>
      <c r="B68" t="inlineStr">
        <is>
          <t>Senior Analytics Engineer</t>
        </is>
      </c>
      <c r="C68" t="inlineStr">
        <is>
          <t>Posh</t>
        </is>
      </c>
      <c r="D68" t="inlineStr">
        <is>
          <t>linkedin</t>
        </is>
      </c>
      <c r="E68">
        <f>HYPERLINK("https://www.linkedin.com/jobs/view/4367356540", "https://www.linkedin.com/jobs/view/4367356540")</f>
        <v/>
      </c>
      <c r="F68" t="inlineStr"/>
      <c r="G68" t="inlineStr"/>
      <c r="H68" t="inlineStr"/>
      <c r="I68" t="inlineStr">
        <is>
          <t>**About Posh**
 We are all social creatures, but the dominant “social” companies today have evolved into digital loneliness machines, driving isolation, anxiety, and mental health challenges around the world.
 Human connection is lost. Posh is a beacon guiding us back.
 Posh enables anyone to build an IRL community based on shared interests, while connecting consumers with the communities of people just like them. Founded by event organizers who were frustrated with the growing loneliness epidemic and the tools available to build their own event brand, we’ve built the ultimate platform for launching, monetizing, and finding IRL communities of people just like you. In just 5 years, Posh has grown to a team of 65, expanded to 7M\+ users, secured $70m in venture funding, and facilitated over $300M in transactions.
**About The Role**
 We’re seeking a
 **Senior Analytics Engineer** 
 to own and evolve our product analytics ecosystem. In this highly cross\-functional role, you’ll collaborate with Product, Design, and Engineering to define, instrument, and analyze user behavior across the POSH platform. You’ll build and maintain the data models, experimentation infrastructure, and dashboards that provide clarity into feature usage and drive data\-informed decision making.
 As the product analytics lead within the data team, you'll ensure clean tracking, trustworthy reporting, and high\-quality experimentation practices. This role is perfect for someone who thrives at the intersection of data, product, and engineering—and who is passionate about building scalable analytics infrastructure in a fast\-paced environment.
**This is an in\-person role based in our New York City office in the heart of SoHo** 
 . Building live experiences and building with soul are important for our customers, and we believe being and working together as a team is the best way for Posh to feel and achieve this. Events on Posh should be fun, alive, and driven with passion and we want to mirror this in our teams every day!
**At a high level, you’ll be in charge of:**
* Define, instrument, and validate product tracking in partnership with engineering to ensure accurate, scalable, and privacy\-conscious data collection for new features and user flows.
* Design and maintain dbt models for product metrics such as feature adoption, funnels, retention, and engagement—supporting fast, reliable, and reusable analytics.
* Build and own dashboards that report on product usage, track feature launches, and monitor key behavioral metrics across the user lifecycle.
* Proactively analyze product behavior to uncover usage patterns, identify friction points, and inform product iteration or roadmap decisions.
* Create and maintain an event taxonomy to ensure consistent, interpretable tracking across teams and over time.
* Enable a self\-serve analytics culture by exposing clean semantic layers in BI tools, creating documentation, and mentoring product stakeholders on data access and interpretation.
* Develop and evaluate A/B tests end\-to\-end, including experiment design, assignment logic, metric selection, and post\-test analysis using statistical best practices.
* Collaborate closely with PMs, Designers, and Engineers to define success criteria and align on KPIs for feature launches and roadmap initiatives.
**Our Ideal Candidate**
* Possesses 5\+ Years of Applied Experience: Has over five years of experience working as a data engineer, analytics engineer, data scientist, analyst or other highly analytical, data\-oriented roles, demonstrating a deep understanding and practical application of analytical skills.
* Expert in SQL and dbt: Demonstrates advanced proficiency in SQL and experience building modular, well\-documented, and testable dbt models that power scalable analytics. Demonstrated experience with data transformation and ELT tools.
* Understands Product Data at Scale: Has worked extensively with event\-driven data and understands how to structure, clean, and interpret tracking logs to reflect real user behavior.
* Experienced in Experimentation Design and Analysis: Comfortable owning the full lifecycle of A/B tests, including experiment design, power calculations, and post\-analysis interpretation with statistical rigor.
* Skilled in Building and Maintaining Dashboards: Creates intuitive, reliable dashboards that provide key stakeholders with visibility into product usage, feature adoption, and overall performance.
* Strong Communicator and Thought Partner: Able to translate complex data concepts into clear insights, collaborating closely with product, engineering, and design to inform decision\-making.
* Highly Organized, Proactive, and Efficient: Is able to manage multiple projects simultaneously. Capable of prioritizing tasks effectively to meet deadlines, ensuring efficient and timely completion of projects.
* Has a Background in Startups: Exhibits high interest in startups and fast\-paced environments and is always looking for ways to improve.
 Posh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Posh is committed to providing reasonable accommodations for qualified individuals with disabilities in our job application procedures. Please let us know if you need assistance or accommodation due to a disability</t>
        </is>
      </c>
    </row>
    <row r="69">
      <c r="A69" t="inlineStr">
        <is>
          <t>li-4317203984</t>
        </is>
      </c>
      <c r="B69" t="inlineStr">
        <is>
          <t>Data Engineer</t>
        </is>
      </c>
      <c r="C69" t="inlineStr">
        <is>
          <t>Carrot</t>
        </is>
      </c>
      <c r="D69" t="inlineStr">
        <is>
          <t>linkedin</t>
        </is>
      </c>
      <c r="E69">
        <f>HYPERLINK("https://www.linkedin.com/jobs/view/4317203984", "https://www.linkedin.com/jobs/view/4317203984")</f>
        <v/>
      </c>
      <c r="F69" t="inlineStr"/>
      <c r="G69" t="inlineStr"/>
      <c r="H69" t="inlineStr"/>
      <c r="I69" t="inlineStr">
        <is>
          <t>**About Carrot:** 
 Carrot is a global, comprehensive fertility and family care platform, supporting members and their families through many of life's most memorable moments. Trusted by many of the world’s leading multinational employers, health plans, and health systems, Carrot’s proven clinical program delivers exceptional outcomes and experiences for members and industry\-leading cost\-savings for employers. Its award\-winning products serve all populations, from preconception care through pregnancy, IVF, male factor infertility, adoption, gestational carrier care, and menopause. Carrot offers localized support in over 170 countries and 25 languages. With a comprehensive program that prioritizes clinical excellence and human\-centered care, Carrot supports members and their families through many of the most meaningful moments of their lives. Learn more at get\-carrot.com.
 Role overview
 The Data Engineer helps evolve the reliability and scalability of Carrot’s modern data platform across analytics, reporting, and business intelligence. They build and maintain robust, automated data pipelines and partner with cross\-functional stakeholders to deliver secure, compliant, high\-quality data solutions.
 This role is hands\-on across the data lifecycle—contributing to resilient ETL/ELT pipelines, real\-time and batch integrations, and workflow orchestration—while steadily improving automation, cost efficiency, and documentation quality.
 You will improve the reliability and scalability of Carrot’s data platform, reduce manual operational risk through automation, and enable stakeholders with secure, high\-quality data—while growing your scope toward deeper ownership and technical leadership over time.
 Key responsibilities
 * Data pipeline development and operations: Build, test, deploy, monitor, and iterate on scalable ETL/ELT pipelines using platforms such as dbt and Fivetran; contribute to standard workflows (e.g., member engagement, finance/billing reports) and support ad hoc reporting needs.
* Warehouse and lake stewardship: Contribute to the design and continuous improvement of Snowflake and related cloud data platforms (AWS/GCP), including source integrations, performance tuning, and cost optimizations.
* Workflow orchestration and integrations: Develop auditable orchestration flows with tools like Prefect or Airflow; integrate with services such as S3, SFTP, APIs, and Files.com: Next\-Generation MFT, SFTP \&amp; File Sharing ; implement robust alerting, retries, and monitoring.
* Infrastructure optimization: Identify opportunities to improve pipeline speed, reliability, and cost; help refactor legacy processes, reduce manual steps, and document changes for scale and reuse.
* Partner\- and stakeholder\-facing deliverables: Support automated data integrations and exports (e.g., eligibility feeds, payroll/tax/billing files) with finance, product, legal, and commercial teams; help enforce data specs and secure handling of sensitive information.
* Change management and auditability: Follow best practices for Git/GitHub, code reviews, testing, Jira workflows, audit\-trail documentation, and exception logging; uphold InfoSec and compliance standards across the data lifecycle.
* Analytics enablement: Help design modular, well\-documented data models and marts (dbt/Snowflake) that enable BI and data science use cases (e.g., segmentation, provider matching, engagement analytics).
* Incident participation and support: Participate in on\-call or escalation routines for high\-impact data incidents; assist with root\-cause analysis, remediation, and clear stakeholder communications.
* Process automation: Codify business rules and automate recurring cycles (e.g., monthly finance handoffs, audit logs) to reduce manual intervention and operational risk.
* Data security and governance: Implement privacy\-conscious practices such as masking and de\-identification; contribute to safe, compliant access across the stack and external data exchanges.
 Minimum qualifications
 * Proficiency with Snowflake, dbt, and Python for data modeling, transformations, and pipeline development in production environments.
* Strong SQL skills for complex querying and performance optimization across large datasets.
* Experience building and maintaining automated ETL/ELT pipelines using orchestration tools such as Prefect or Airflow, including alerting, dependency management, and retries.
* Hands\-on exposure to cloud data platforms (e.g., Snowflake, AWS S3/Redshift, Google Cloud) and integrating new data sources at scale.
* Understanding of secure external data flows via SFTP, Files.com: Next\-Generation MFT, SFTP \&amp; File Sharing, and APIs, with attention to reliability and compliance requirements.
* Comfort with Git/GitHub and Jira for version control, code reviews, and operational transparency in a team setting.
* Track record of automating manual workflows and creating reusable components that reduce operational overhead.
* Collaborative, dependable working style with adaptability in dynamic environments and clear communication with technical and non\-technical partners.
 Preferred qualifications
 * Experience in fast\-paced or growth environments delivering data solutions under shifting priorities and timelines.
* Background enabling BI and data science teams via scalable integrations, data marts, and documentation that supports multi\-tenant reporting or advanced analytics.
* Familiarity with batch and event\-driven paradigms, including near\-real\-time pipelines using Snowflake, dbt, and Python.
* Experience automating operational, financial, or compliance\-driven workflows in cloud data environments.
* Exposure to audit, privacy, and compliance frameworks (e.g., SOC, HIPAA, GDPR, ISO, SOX) and role\-based access controls in regulated or healthtech contexts.
**Compensation:** 
 Carrot offers a comprehensive Total Rewards package designed to support our employees in all aspects of their lives both inside and outside of work. This includes health and wellness benefits, retirement savings plans, short\- and long\-term incentives, parental leave, family\-forming assistance, and a competitive compensation package. The starting base salary for this position will range from $104,000\.00 to $130,000\.00\. Actual compensation may differ from the listed base salary based on your specific skills and experience. 
 Fraud and Security Notice: Please note that all communication regarding job opportunities at Carrot will come exclusively from an @get\-carrot.com email address. If you receive messages from any other domain, please disregard them and report the incident to: securityreporting@get\-carrot.com
**Why Carrot?** 
 Carrot has received national and international recognition for its pioneering work, including Fast Company's Most Innovative Companies and World Changing Ideas, Inc. Power Partners, and Modern Healthcare’s Innovators. Carrot’s global workforce has been acknowledged with several accolades, including Fortune’s Best Workplaces in Healthcare, Great Place to Work, and Age\-Friendly Employer certifications. Carrot is regularly featured in media reporting on issues related to the future of work, women in leadership, and healthcare innovation, including MSNBC, The Economist, Bloomberg, The Wall Street Journal, CNBC, National Public Radio, Harvard Business Review, and more. Learn more at carrotfertility.com.</t>
        </is>
      </c>
    </row>
    <row r="70">
      <c r="A70" t="inlineStr">
        <is>
          <t>li-4367037429</t>
        </is>
      </c>
      <c r="B70" t="inlineStr">
        <is>
          <t>Data Engineer II</t>
        </is>
      </c>
      <c r="C70" t="inlineStr">
        <is>
          <t>Adyen</t>
        </is>
      </c>
      <c r="D70" t="inlineStr">
        <is>
          <t>linkedin</t>
        </is>
      </c>
      <c r="E70">
        <f>HYPERLINK("https://www.linkedin.com/jobs/view/4367037429", "https://www.linkedin.com/jobs/view/4367037429")</f>
        <v/>
      </c>
      <c r="F70" t="inlineStr"/>
      <c r="G70" t="inlineStr">
        <is>
          <t>Chicago, IL</t>
        </is>
      </c>
      <c r="H70" t="inlineStr"/>
      <c r="I70" t="inlineStr">
        <is>
          <t>**This is Adyen**
 Adyen provides payments, data, and financial products in a single solution for customers like Meta, Uber, H\&amp;M, and Microsoft \- making us the financial technology platform of choice. At Adyen, everything we do is engineered for ambition.
 For our teams, we create an environment with opportunities for our people to succeed, backed by the culture and support to ensure they are enabled to truly own their careers. We are motivated individuals who tackle unique technical challenges at scale and solve them as a team. Together, we deliver innovative and ethical solutions that help businesses achieve their ambitions faster.
**Data Engineer**
 At Adyen, we treat data and data artifacts as first\-class citizens. They form the backbone of our platform and power the business and product insights we deliver at scale.
 We are looking for a Data Engineer II in Chicago to join our Developer Experience team. This team builds products to continuously refine and improve the developer experience for Platform and Submerchants integrating with Adyen’s Embedded Payments and Financial Products. In this role and as a Data Engineer at Adyen, you will build and maintain high\-quality data pipelines on our Big Data Platform, helping to evolve our data infrastructure and ensure reliable, scalable data flows that power confident decision\-making.
**What You’ll Do**
* Collaborative Solution Development\- Engage with a diverse range of stakeholders, including data scientists, analysts, software engineers, product managers, and customers, to understand their requirements and craft effective solutions.
* Quality Pipelines and Architecture\- Design, develop, deploy and operate high\-quality production ELT pipelines and data architectures. Integrate data from various sources and formats, ensuring compatibility, consistency, and reliability.
* Data Best Practices\- Help establish and share best practices in performance, code quality, data validation, data governance, and discoverability in your team and in other teams. Participate in mentoring and knowledge sharing initiatives.
* High Quality Data and Code\- Ensure data is accurate, complete, reliable, relevant, and timely. Implement testing, monitoring and validation protocols for your code and data, leveraging tools such as Pytest.
* Performance Optimization\- Identify and resolve performance bottlenecks in data pipelines and systems. Improve query performance and resource utilization to meet SLAs and performance requirements, using technologies Spark optimizations.
**Who You Are**
* Experienced in Big Data\- 3\+ years of experience working as a Data Engineer or in a similar role.
* Data \&amp; Engineering practices\- You have a solid understanding of both Software and Data Engineering practices.
* Technical Skills\- Proficient in tools and languages such as\- Python, PySpark, Airflow, Hadoop, Spark, Kafka, SQL, Git.
* Clear Communicator\- Able to effectively communicate complex data\-related concepts and outcomes to a diverse range of stakeholders.
* Self\-starter\- Capable of identifying opportunities, devising solutions, and handling projects independently.
* Innovator\- You have an experimental mindset with a ‘launch fast and iterate’ mentality.
* Data Culture Champion\- Skilled in promoting a data\-centric culture within technical teams and advocating for setting standards and continuous improvement.
**Data positions at Adyen**
 We know companies handle different definitions for their data\-related positions, this is for instance dependent on the size of a company. Since the birth of the Data Solution and the growth of all data streams, we categorized and defined all our positions. Have a look at this blogpost to find out!
**Our Diversity, Equity and Inclusion commitments**
 Our unique approach is a product of our diverse perspectives. This diversity of backgrounds and cultures is essential in helping us maintain our momentum. Our business and technical challenges are unique, and we need as many different voices as possible to join us in solving them \- voices like yours. No matter who you are or where you’re from, we welcome you to be your true self at Adyen.
 Studies show that women and members of underrepresented communities apply for jobs only if they meet 100% of the qualifications. Does this sound like you? If so, Adyen encourages you to reconsider and apply. We look forward to your application!
**What’s next?**
 Ensuring a smooth and enjoyable candidate experience is critical for us. We aim to get back to you regarding your application within 5 business days. Our interview process tends to take about 4 weeks to complete, but may fluctuate depending on the role. Learn more about our hiring process here. Don’t be afraid to let us know if you need more flexibility.
 Adyen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
 All your information will be kept confidential according to EEO guidelines.
 This role is based out of our Chicago office. We are an office\-first company and value in\-person collaboration; we do not offer remote\-only roles.</t>
        </is>
      </c>
    </row>
    <row r="71">
      <c r="A71" t="inlineStr">
        <is>
          <t>li-4362162461</t>
        </is>
      </c>
      <c r="B71" t="inlineStr">
        <is>
          <t>Senior Data Engineer</t>
        </is>
      </c>
      <c r="C71" t="inlineStr">
        <is>
          <t>Milan Laser Hair Removal</t>
        </is>
      </c>
      <c r="D71" t="inlineStr">
        <is>
          <t>linkedin</t>
        </is>
      </c>
      <c r="E71">
        <f>HYPERLINK("https://www.linkedin.com/jobs/view/4362162461", "https://www.linkedin.com/jobs/view/4362162461")</f>
        <v/>
      </c>
      <c r="F71" t="inlineStr"/>
      <c r="G71" t="inlineStr"/>
      <c r="H71" t="inlineStr"/>
      <c r="I71" t="inlineStr">
        <is>
          <t>**Why Milan Laser Hair Removal?**
 Milan Laser stands as the largest and most premier laser hair removal company in the nation. We are also honored to be a recipient of the prestigious Best Places to Work In Omaha award, a testament to our commitment to excellence and exceptional culture! With 400\+ current locations throughout 38\+ states and plans to expand into a national brand, this is a very exciting time to join the Milan Team!
 Because it’s fun and progressive. We’re not like other companies where you’re just a number. We are seeking independent thinkers who can add true value to our team.
 Because, benefits. Milan will take care of you with paid vacation, 401k, full health, dental and vision. Oh and free laser hair removal. You won’t find that at other corporate gigs.
 Because, growing is good. We’re always expanding, improving and looking for people ready for a challenge. Our team members learn the business from the inside\-out and as our business grows, the opportunities abound.
**Position Summary**
 The Senior Data Engineer will be responsible for designing, building, testing, and supporting the Enterprise Data Warehouse data cloud. This role requires extensive hands\-on data warehouse development experience including but not limited to: Extract, Transform, Load/Extract, Load, Transform (ETL/ELT), and data modeling.
**Status:** 
 Full\-time
**Role Location:** 
 Omaha, NE \- Corporate Office\*
* This position is open to remote candidates within the continental U.S., located within the Mountain, Central, and Eastern Time Zones
**Responsibilities**
* Data Warehouse Development: Translate business requirements into technical procedures and structures. Build data pipelines through Webhooks or APIs to integrate data from disparate source systems. Use APIs to retrieve, integrate, and cleanse data for use in analytical systems and platforms. Build data shares for external partners.
* Data Management \&amp; Governance: Design and build procedures to ensure data accuracy and accessibility. Maintain code repositories using Git.
* Technical Leadership \&amp; Problem Solving: Lead solution development for data pipelines and its processing within data lakes/warehouses/lakehouses. Perform data profiling on source data systems and model it for use downstream. Perform code reviews, troubleshoot problems independently and/or collaboratively. Dive into complex data acquisition, processing, and modeling requirements.
* Documentation \&amp; Communication: Build and maintain effective documentation for data pipeline and ETL systems. Effectively communicate design problems and solutions with the Data Management team and business users.
* Other Duties: Perform additional tasks, duties, and responsibilities as needed or assigned by leadership to support departmental and organizational objectives.
**Qualifications**
* High school diploma or equivalent (e.g., GED) required
* Bachelor’s degree in information technology, computer science, or a related field OR equivalent combination of education and experience combined (one year of experience equals one year of education) required
* Three years experience building ETL systems and data pipelines in a data warehouse environment required
* Five years of Structured Query Language (SQL) experience required
* Understanding of how to leverage data platforms to efficiently and cost\-effectively collect, store, and use data required
* Collaborative, team\-first mentality with the ability to effectively communicate with both business and technical users, and team members required
* Effective written and verbal communication skills required
* Five years of Python or other scripting language preferred
* Three years of Data Warehouse experience preferred
* Matillion or other cloud ETL platform experience preferred
* Snowflake or Databricks experience preferred
* Salesforce API and data pipeline experience preferred
* Experience working in an Agile/Scrum Project Development environment preferred
**Benefits Include**
* Medical, dental, vision, disability and life insurance within 30 days
* Unlimited PTO \- work with your manager and take time as needed
* 6 Paid holidays
* $50 cellphone stipend paid out monthly
* 401k retirement plan with vested 4% employer match after 90 days
* Career advancement opportunities \+ Culture/environment
* Employees and their spouse or legal partner receive free laser hair removal services
 To perform this job successfully, an individual must be able to perform each essential duty satisfactorily. The requirements listed are representative of the knowledge, skill, and/or ability required. Reasonable accommodations may be made to enable individuals with disabilities to perform the essential functions. Other duties may be assigned.
 We are deeply committed to attracting talented team members in the US from all backgrounds regardless of race, age, gender, ethnicity, religion, sexual orientation, disability status, or nationality. However, at this time, we are not sponsoring any Visas.
 Equal Opportunity Employer</t>
        </is>
      </c>
    </row>
    <row r="72">
      <c r="A72" t="inlineStr">
        <is>
          <t>li-4356548371</t>
        </is>
      </c>
      <c r="B72" t="inlineStr">
        <is>
          <t>Data Engineer, PAR</t>
        </is>
      </c>
      <c r="C72" t="inlineStr">
        <is>
          <t>Meta</t>
        </is>
      </c>
      <c r="D72" t="inlineStr">
        <is>
          <t>linkedin</t>
        </is>
      </c>
      <c r="E72">
        <f>HYPERLINK("https://www.linkedin.com/jobs/view/4356548371", "https://www.linkedin.com/jobs/view/4356548371")</f>
        <v/>
      </c>
      <c r="F72" t="inlineStr"/>
      <c r="G72" t="inlineStr">
        <is>
          <t>Menlo Park, CA</t>
        </is>
      </c>
      <c r="H72" t="inlineStr"/>
      <c r="I72" t="inlineStr">
        <is>
          <t>Meta’s Products \&amp; Applied Research (PAR) team is where product\-focused research meets real\-world impact, taking breakthrough AI research and transforming it into products that reach billions. As part of Meta Superintelligence Labs (MSL), we’re driving the transformation of Meta’s core experiences—across Facebook, Instagram, WhatsApp, Threads, and beyond—by applying cutting\-edge research to real\-world products at massive scale.We are looking for a Data Engineer to join our PAR organization where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PAR Responsibilities:
* Conceptualize and own the data architecture for multiple large\-scale projects, while evaluating design and operational cost\-benefit tradeoffs within systems
* Create and contribute to frameworks that improve the efficacy of logging data, while working with data infrastructure to triage issues and resolve
* Collaborate with engineers, product managers, and data scientists to understand data needs, representing key data insights visually in a meaningful way
* Define and manage Service Level Agreements for all data sets in allocated areas of ownership
* Determine and implement the security model based on privacy requirements, confirm safeguards are followed, address data quality issues, and evolve governance processes within allocated areas of ownership
* Design, build, and launch collections of sophisticated data models and visualizations that support multiple use cases across different products or domains
* Solve our most challenging data integration problems, utilizing optimal Extract, Transform, Load (ETL) patterns, frameworks, query techniques, sourcing from structured and unstructured data sources
* Assist in owning existing processes running in production, optimizing complex code through advanced algorithmic concepts
* Optimize pipelines, dashboards, frameworks, and systems to facilitate easier development of data artifacts
* Influence product and cross\-functional teams to identify data opportunities to drive impact
* Mentor team members by giving/receiving actionable feedback
 Minimum Qualifications:
* Bachelor's degree in Computer Science, Computer Engineering, relevant technical field, or equivalent practical experience
* 7\+ years of experience where the primary responsibility involves working with data. This could include roles such as data analyst, data scientist, data engineer, or similar positions
* 7\+ years of experience with SQL, ETL, data modeling, and at least one programming language (e.g., Python, C\+\+, C\#, Scala or others.)
 Preferred Qualifications:
*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73">
      <c r="A73" t="inlineStr">
        <is>
          <t>li-4367385175</t>
        </is>
      </c>
      <c r="B73" t="inlineStr">
        <is>
          <t>REMOTE- Junior Data Engineer</t>
        </is>
      </c>
      <c r="C73" t="inlineStr">
        <is>
          <t>Lensa</t>
        </is>
      </c>
      <c r="D73" t="inlineStr">
        <is>
          <t>linkedin</t>
        </is>
      </c>
      <c r="E73">
        <f>HYPERLINK("https://www.linkedin.com/jobs/view/4367385175", "https://www.linkedin.com/jobs/view/4367385175")</f>
        <v/>
      </c>
      <c r="F73" t="inlineStr"/>
      <c r="G73" t="inlineStr">
        <is>
          <t>Fort Worth, TX</t>
        </is>
      </c>
      <c r="H73" t="inlineStr"/>
      <c r="I7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Insight Global. Clicking "Apply Now" or "Read more" on Lensa redirects you to the job board/employer site. Any information collected there is subject to their terms and privacy notice.
**Job Description**
 One of the largest logistics and transportation employers in the US is seeking a Jr. Data Engineer to join their expanding team. The Jr. Data Engineer will play a crucial role in understanding business problems and assisting in designing solutions that transform complex ideas into sustainable processes. This individual will focus on supporting the onboarding of new lines of business into the data analytics team. Their responsibilities will include assisting in the full life cycle of data engineering, from gathering requirements from internal customers to building data pipelines, testing, reporting, and maintaining solutions. Additionally, the Jr. Data Engineer will support escalation tasks, contribute to system development, help automate processes, maintain internal systems, and assist in data modeling. They will use their growing expertise in data structures specific to the company's operating systems to help turn data into valuable business insights.
 We are a company committed to creating inclusive environments where people can bring their full, authentic selves to work every day. We are an equal opportunity employer that believes everyone matters. Qualified candidates will receive consideration for employment opportunities without regard to race, religion, sex, age, marital status, national origin, sexual orientation, citizenship status, disability, or any other status or characteristic protected by applicable laws, regulations, and ordinances. If you need assistance and/or a reasonable accommodation due to a disability during the application or recruiting process, please send a request to Human Resources Request Form (https://airtable.com/app21VjYyxLDIX0ez/shrOg4IQS1J6dRiMo) . The EEOC "Know Your Rights" Poster is available here (https://www.eeoc.gov/sites/default/files/2023\-06/22\-088\_EEOC\_KnowYourRights6\.12ScreenRdr.pdf) .
 To learn more about how we collect, keep, and process your private information, please review Insight Global's Workforce Privacy Policy: https://insightglobal.com/workforce\-privacy\-policy/ .
**Skills And Requirements**
 2\-5\+ years' experience of data engineer experience
 Strong ADF experience (creating pipelines from scratch/ knowledge of connectors and activities following architect plan)
 Strong knowledge of SQL (Mostly working with SQL scripting implementing into ADF)
 Understanding of full life cycle data engineering
 Extremely detail oriented and ability to provide effective updates
 Strong communication for working with internal/ external customers
 Strong critical thinking skills Python or Spark experience (Small environment is in Python\- basic level scripting and reviews)
 DevOps Experience
 Data Bricks Experience
 Background in Logistics
 Agile Methodologies
 Experience with cloud (Azure specifically)
 If you have questions about this posting, please contact support@lensa.com</t>
        </is>
      </c>
    </row>
    <row r="74">
      <c r="A74" t="inlineStr">
        <is>
          <t>li-4367011914</t>
        </is>
      </c>
      <c r="B74" t="inlineStr">
        <is>
          <t>Data Engineer (AWS &amp; PySpark Focus)</t>
        </is>
      </c>
      <c r="C74" t="inlineStr">
        <is>
          <t>Ucovy Connects</t>
        </is>
      </c>
      <c r="D74" t="inlineStr">
        <is>
          <t>linkedin</t>
        </is>
      </c>
      <c r="E74">
        <f>HYPERLINK("https://www.linkedin.com/jobs/view/4367011914", "https://www.linkedin.com/jobs/view/4367011914")</f>
        <v/>
      </c>
      <c r="F74" t="inlineStr"/>
      <c r="G74" t="inlineStr">
        <is>
          <t>Charlotte, NC</t>
        </is>
      </c>
      <c r="H74" t="inlineStr"/>
      <c r="I74" t="inlineStr">
        <is>
          <t>Ucovy Connects Inc. is one of the fastest\-growing US staffing firms based out of Missouri (MO), delivering top IT talent to Fortune and government clients across the USA.
 🌟Role Overview
 We’re looking for a hands\-on Data Engineer to build and optimize scalable data pipelines in Amazon Web Services. If you enjoy transforming raw data into analytics\-ready datasets and working with modern data lake architectures, this role is for you.
 🔧 What You’ll Work On
  • Building ETL pipelines to move data across bronze, silver, and gold layers
  • Processing and transforming large CSV datasets
  • Implementing data cleansing, validation, and quality checks
  • Supporting architect\-designed data models
  • Optimizing workflows for performance and cost efficiency
  • Collaborating with Senior Data Engineers and Data Architects
 🎯 What We’re Looking For
  • 3–5 years of experience in data engineering
  • Strong hands\-on experience in AWS\-based data environments
  • Proficiency in PySpark and SQL
  • Experience with AWS Glue and S3
  • Experience handling large datasets and ETL pipelines
  • Strong problem\-solving skills and attention to detail
 🎓 Nice to Have
  • Experience with data lake and layered architecture
  • Performance tuning and optimization experience
  • Agile/Scrum environment exposure</t>
        </is>
      </c>
    </row>
    <row r="75">
      <c r="A75" t="inlineStr">
        <is>
          <t>li-4367368817</t>
        </is>
      </c>
      <c r="B75" t="inlineStr">
        <is>
          <t>Senior Data Engineer</t>
        </is>
      </c>
      <c r="C75" t="inlineStr">
        <is>
          <t>Genentech</t>
        </is>
      </c>
      <c r="D75" t="inlineStr">
        <is>
          <t>linkedin</t>
        </is>
      </c>
      <c r="E75">
        <f>HYPERLINK("https://www.linkedin.com/jobs/view/4367368817", "https://www.linkedin.com/jobs/view/4367368817")</f>
        <v/>
      </c>
      <c r="F75" t="inlineStr"/>
      <c r="G75" t="inlineStr">
        <is>
          <t>Oceanside, CA</t>
        </is>
      </c>
      <c r="H75" t="inlineStr"/>
      <c r="I75" t="inlineStr">
        <is>
          <t>The Position
 At Roche, we thrive to deliver more benefits to our patients as part of our 10\-year Pharma vision. An integral part of achieving this vision is to deliver new and innovative data analytics solutions to our scientists across Pharma Technical Operations (PT). To do so, we have formed a new organization called PT Digital and Operational Excellence (PTE) with the aspiration to digitally transform and become a lean organization.
 PTE is the organization that catalyzes the global development and execution of PT’s Digital and Operational Excellence strategy to enable PT to realize our performance promises. We build a strong cross\-functional and inclusive community, put the power of data into the hands of our people, further develop the Lean and Digital skills across PT, and scale up our Digital and Advanced Analytics solutions, for the benefit of our colleagues and patients.
 We aim to activate data citizenship and digital mind, revolutionize our FAIR data ecosystem and systems landscape, re\-design excellent processes, and generate transformative insights. We collaborate closely with global functions to deliver impactful value to our patients.
 PTE will work in partnership across major global business functions, establishing and implementing an overall Digital / Technology strategy and driving the delivery and scale of key data \&amp; digital solutions in support of our vision. As a Senior Data Engineer at Roche PT, you will play a pivotal role in developing and optimizing the data infrastructure that powers our pharmaceutical operations and data products. Working in multidisciplinary teams \- alongside data scientists, subject matter experts, and fellow data engineers \- you’ll curate, transform, and construct features integral to our modeling approaches. You will also support the delivery of data products and establish standards to guide data product teams across PT, fostering consistency and quality. Additionally, you’ll coach junior data engineers, helping implement best practices and data engineering standards.
 This role calls for a collaborative, open\-minded individual who values learning from colleagues, thoughtfully challenges ideas, and prioritizes impactful work. We seek someone who thrives in a dynamic environment, has a passion for continuous learning, and can be relied upon to work in the best interest of the team.
**The Opportunity**
* Design and build scalable data pipelines and storage solutions for real\-time and batch processing aligned with SME needs.
* Lead the creation of FAIR (Findable, Accessible, Interoperable, Reusable) data products that enhance decision\-making and maintain data integrity, availability, and performance across platforms.
* Collaborate with process experts to model data landscapes, obtain extracts, define secure exchange methods, and shape data products.
* Acquire, ingest, and process data from diverse sources into Big Data platforms (e.g., Snowflake).
* Develop ERDs and reusable pipelines, working with data scientists to map data to hypotheses and prepare it for advanced analytics.
* Uphold data governance standards to ensure regulatory compliance and secure sensitive data. Address data quality issues to maintain asset accuracy and reliability.
* Follow best practices in data engineering, including data contracts and validation, to ensure quality and integrity.
* Mentor junior engineers, fostering a culture of innovation and continuous improvement in engineering practices (DevOps, Data Streaming, etc.).
* Proficiency with data quality and observability tools, including Ataccama and Monte Carlo.
**Additional Responsibilities**
* Ensure adherence to Information Security standards across engagements.
* Collaborate with infrastructure teams to provide a technology stack tailored to project needs and aligned with our standards.
* Contribute to templates and best practices for the technology stack.
* Apply innovative techniques to deliver impact for clients and support internal R\&amp;D initiatives.
**Who You Are**
* Education: Bachelor’s or Master’s degree in Computer Science, Data Engineering, or a related field.
* You have 6\+ years in data engineering with experience in designing large\-scale systems.
* Experience in leading junior data engineers across projects. Client\-facing project experience in collaborative teams is beneficial. Proven ability to clearly communicate complex solutions to audiences of varied technical levels. Strong organizational and interpersonal skills to deliver results, build relationships, and optimize resources.
* You have 3\+ years of experience in the pharmaceutical, healthcare, food and beverage or a related industry.
* Knowledge of regulatory requirements (e.g., GMP, FDA) and Quality systems.
* Experience with AI\-driven data solutions and machine learning pipelines.
 Ready to take the next step? We'd love to hear from you. Apply now to explore this exciting opportunity!
**Locations**
 For this role you can be located in Oceanside, or Hillsboro.
 Relocation assistance is not available for this position.
 The expected salary range for this position based on the primary location of Oceanside, California is $111,100 \- $206,300\.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Genentech is an equal opportunity employer. It is our policy and practice to employ, promote, and otherwise treat any and all employees and applicants on the basis of merit, qualifications, and competence. The company's policy prohibits unlawful discrimination, including but not limited to, discrimination on the basis of Protected Veteran status, individuals with disabilities status, and consistent with all federal, state, or local laws.
 If you have a disability and need an accommodation in relation to the online application process, please contact us by completing this form Accommodations for Applicants.</t>
        </is>
      </c>
    </row>
    <row r="76">
      <c r="A76" t="inlineStr">
        <is>
          <t>li-4356597813</t>
        </is>
      </c>
      <c r="B76" t="inlineStr">
        <is>
          <t>Data Engineer</t>
        </is>
      </c>
      <c r="C76" t="inlineStr">
        <is>
          <t>NextDeavor</t>
        </is>
      </c>
      <c r="D76" t="inlineStr">
        <is>
          <t>linkedin</t>
        </is>
      </c>
      <c r="E76">
        <f>HYPERLINK("https://www.linkedin.com/jobs/view/4356597813", "https://www.linkedin.com/jobs/view/4356597813")</f>
        <v/>
      </c>
      <c r="F76" t="inlineStr"/>
      <c r="G76" t="inlineStr">
        <is>
          <t>San Jose, CA</t>
        </is>
      </c>
      <c r="H76" t="inlineStr"/>
      <c r="I76" t="inlineStr">
        <is>
          <t>**You’ll be joining Adobe on a contract opportunity, employed through NextDeavor.** 
**Benefits You’ll Love** 
* NextDeavor offers health, vision and dental benefits for contract employees
* Paid sick leave eligibility is contingent on state of residence
* Optional 401k Plan (excludes employer match)
* Opportunity to get your foot in the door at a well\-established corporation, with potential for extended or permanent full\-time employment
**Become a Key Player as a Data Engineer** 
 As a Data Engineer, you will help the client identify and measure its non\-genuine software base and translate those insights into conversion opportunities for senior stakeholders. You will apply Big Data best practices and statistical methods to large datasets and deliver executive\-ready dashboards and recommendations. Work model: Onsite in San Jose, CA.
**Here’s How You’ll Make an Impact on the Team** 
* Write complex SQL queries to identify and measure the non\-genuine software base
* Apply business logic to categorize the non\-genuine base into conversion opportunities
* Use Hadoop ecosystem tools (Hive, Pig) and Big Data practices to scale the piracy conversion program
* Create dashboards in Tableau and Excel to communicate performance and insights
* Apply statistical methodologies and data mining techniques to large volumes of data
* Analyze data and deliver clear insights to senior executives
**Here’s What You’ll Need to Be Successful in This Role** 
* 6–9 years of experience in data engineering or related roles
* Expertise in SQL
* Experience with the Hadoop ecosystem, including Hive and Pig
* Proficiency building dashboards in Tableau and Excel
* Strong Excel modeling skills; Power Pivot expertise is a must
* Solid understanding of statistical concepts and data mining techniques
* Excellent written and verbal communication skills
**Pay Range** 
 $81\.13 \- $101\.41/hour
**Ready to Make Your Mark?** 
 This role may fill quickly. Submit your resume to be considered.</t>
        </is>
      </c>
    </row>
    <row r="77">
      <c r="A77" t="inlineStr">
        <is>
          <t>li-4367350130</t>
        </is>
      </c>
      <c r="B77" t="inlineStr">
        <is>
          <t>Senior Data Engineer</t>
        </is>
      </c>
      <c r="C77" t="inlineStr">
        <is>
          <t>Valvoline Global Operations</t>
        </is>
      </c>
      <c r="D77" t="inlineStr">
        <is>
          <t>linkedin</t>
        </is>
      </c>
      <c r="E77">
        <f>HYPERLINK("https://www.linkedin.com/jobs/view/4367350130", "https://www.linkedin.com/jobs/view/4367350130")</f>
        <v/>
      </c>
      <c r="F77">
        <f>HYPERLINK("https://jobs.valvolineglobal.com/job/Senior-Data-Engineer-KY/1316654400/?feedId=414600&amp;utm_source=LinkedInJobPostings&amp;utm_campaign=ValvolineGlobal_LinkedIn&amp;urlHash=hAV2", "https://jobs.valvolineglobal.com/job/Senior-Data-Engineer-KY/1316654400/?feedId=414600&amp;utm_source=LinkedInJobPostings&amp;utm_campaign=ValvolineGlobal_LinkedIn&amp;urlHash=hAV2")</f>
        <v/>
      </c>
      <c r="G77" t="inlineStr">
        <is>
          <t>Kentucky, United States</t>
        </is>
      </c>
      <c r="H77" t="inlineStr"/>
      <c r="I77" t="inlineStr">
        <is>
          <t>**Why Valvoline Global Operations?**
 At
 **Valvoline Global Operations** 
 , we’re proud to be
 **The Original Motor Oil** 
 , but we’ve never rested on being first. Founded in 1866, we introduced the world’s first branded motor oil, staking our claim as a pioneer in the automotive and industrial solutions industry. Today, as an affiliate of
 **Aramco** 
 , one of the world’s largest integrated energy and chemicals companies, we are driven by innovation and committed to creating sustainable solutions for a better future.
 With a global presence, we develop
 **future\-ready products** 
 and provide
 **best\-in\-class services** 
 for our partners around the world. For us, originality isn’t just about where we began; it’s about where we’re headed and how we’ll lead the way.
 **We are originality in motion.**
 Our Corporate Values—Care, Integrity, Passion, Unity, And Excellence—are At The Heart Of Everything We Do. These Values Define How We Operate, How We Treat One Another, And How We Engage With Our Partners, Customers, And The Communities We Serve. At Valvoline Global, We Are United In Our Commitment To
* Treating everyone with care.
* Acting with unwavering integrity.
* Striving for excellence in all endeavors.
* Delivering on our commitments with passion.
* Collaborating as one unified team.
 When you join
 **Valvoline Global** 
 , you’ll become part of a culture that celebrates creativity, innovation, and excellence. Together, we’re shaping the future of automotive and industrial solutions.
**Job Purpose**
 We are seeking a highly skilled and motivated Data Engineer to join our growing data and analytics team. The ideal candidate will have strong experience designing and developing scalable data pipelines, integrating complex systems, and optimizing data workflows. Proficiency in Databricks and SAP Datasphere is preferred, as these platforms are central to our data ecosystem. However, demonstration of aptitude to quickly adapt to new technologies from past experience is also highly valued. This role will play a critical part in ensuring the accessibility, reliability, and performance of our enterprise data infrastructure to enable impactful business intelligence and data science initiatives.
**How You Make An Impact (Job Accountabilities)**
* Design, build, and maintain robust, scalable, and high\-performance data pipelines using Databricks and SAP Datasphere.
* Collaborate with data architects, analysts, data scientists, and business stakeholders to gather requirements and deliver data solutions aligned with stakeholders’ goals.
* Integrate diverse data sources (e.g., SAP, APIs, flat files, cloud storage) into the enterprise data platforms
* Ensure high standards of data quality and implement data governance practices. Stay current with emerging trends and technologies in cloud computing, big data, and data engineering.
* Provide ongoing support for the platform, troubleshoot any issues that arise, and ensure high availability and reliability of data infrastructure.
* Create documentation for the platform infrastructure and processes, and train other team members or users in platform effectively.
**What You Bring to the Role (Job Qualifications / Education / Skills / Requirements / Capabilities)**
* Bachelor's or Master’s degree in Computer Science, Data Engineering, Information Systems, or a related field.
* 5\-7\+ years of experience in a data engineering or related role.
* Strong knowledge of data engineering principles, data warehousing concepts, and modern data architecture.
* Proficiency in SQL and at least one programming language (e.g., Python, Scala).
* Experience with cloud platforms (e.g., Azure, AWS, or GCP), particularly in data services.
* Familiarity with data orchestration tools (e.g., PySpark, Airflow, Azure Data Factory) and CI/CD pipelines.
**Competencies Desired**
* Hands\-on experience with Databricks (including Spark/PySpark, Delta Lake, MLflow, Unity Catalog, etc.).
* Practical experience working with SAP Datasphere (or SAP Data Warehouse Cloud) in data modeling and data integration scenarios.
* SAP BW or SAP HANA experience is a plus.
* Experience with BI tools like Power BI or Tableau.
* Understanding of data governance frameworks and data security best practices.
* Exposure to data lakehouse architecture and real\-time streaming data pipelines.
* Certifications in Databricks, SAP, or cloud platforms are advantageous.
**Working Conditions / Physical Requirements / Travel Requirements**
* Working Conditions / Physical Requirements:
+ Normal Office environment.
+ Prolonged periods of computer use and frequent participation in meetings
+ Occasional walking, standing, and light lifting (up to 10 lbs)
* Travel Requirements: Minimal
 Valvoline Global is an
 **equal opportunity employer** 
 . We are dedicated to fostering an environment where every individual feels valued, respected, and empowered to contribute their unique perspectives and skills. We strictly prohibit discrimination and harassment of any kind, regardless of race, color, religion, age, sex, national origin, disability, genetics, veteran status, sexual orientation, gender identity, or any other legally protected characteristic.
 We are committed to ensuring accessibility throughout our recruitment process. If you require a reasonable accommodation to participate in any stage of the recruitment or selection process, please contact us at:.
* Email: Valvolineglobalcareers@valvolineglobal.com
 This contact information is solely for accommodation requests. For inquiries about application status, please use the appropriate channels listed in your application materials.
**Are You Ready to Make an Impact?**
 At Valvoline Global, we’re looking for passionate and talented individuals to join our journey of innovation and excellence.
 **Are you ready to shape the future with us? Apply today.**
 Requisition ID: 1687</t>
        </is>
      </c>
    </row>
    <row r="78">
      <c r="A78" t="inlineStr">
        <is>
          <t>li-4367346421</t>
        </is>
      </c>
      <c r="B78" t="inlineStr">
        <is>
          <t>Analytics Engineer</t>
        </is>
      </c>
      <c r="C78" t="inlineStr">
        <is>
          <t>FDH Aero</t>
        </is>
      </c>
      <c r="D78" t="inlineStr">
        <is>
          <t>linkedin</t>
        </is>
      </c>
      <c r="E78">
        <f>HYPERLINK("https://www.linkedin.com/jobs/view/4367346421", "https://www.linkedin.com/jobs/view/4367346421")</f>
        <v/>
      </c>
      <c r="F78">
        <f>HYPERLINK("https://workforcenow.adp.com/mascsr/default/mdf/recruitment/recruitment.html?cid=a6473ed1-cdd4-45f8-bc74-747398481523&amp;selectedMenuKey=CareerCenter&amp;jobId=558474&amp;source=LI&amp;urlHash=iAfd", "https://workforcenow.adp.com/mascsr/default/mdf/recruitment/recruitment.html?cid=a6473ed1-cdd4-45f8-bc74-747398481523&amp;selectedMenuKey=CareerCenter&amp;jobId=558474&amp;source=LI&amp;urlHash=iAfd")</f>
        <v/>
      </c>
      <c r="G78" t="inlineStr"/>
      <c r="H78" t="inlineStr"/>
      <c r="I78" t="inlineStr">
        <is>
          <t>**Who Are We?**
**FDH Aero** 
 is a trusted global supply chain partner for aerospace and defense companies, providing end\-to\-end supply chain solutions for OEM and aftermarket customers.
 With more than 55\+ years of experience and operations in 14 countries, we bring expertise across Commercial, Defense, Space, Business Aviation and Cargo through our specialized business divisions,
 **Electronics** 
 ,
 **Hardware** 
 ,
 **Commercial Aftermarket, and Defense Aftermarket** 
 .
 For more information, please visit the FDH Aero website .
**Why Work Here?**
**Fast\-paced \&amp; Impactful Work –** 
 Every decision helps keep aircraft flying and missions moving
**Driven Team \&amp; Culture –** 
 Supportive, driven colleagues who support you every step of the way
**High\-Growth Opportunities** 
**–** 
 We invest in your success with training and development
**Competitive Benefits Package –** 
 Includes medical, dental, vision insurance, Flexible Spending Accounts (FSA) 401k matching, wellness activities and more
 At FDH Aero, we understand that the strength of our brand comes from our people, and our culture empowers every team member to contribute and grow. As a global team, our culture is rooted in five (5\) core values that begin with the words “ We are ” and include: service\-first, respectful, amplifiers, open\-minded and accountable.
**We Are Looking For**
 The Analytics Engineer is responsible for designing, building, and maintaining scalable data pipelines and models that transform raw data into trusted, analytics\-ready assets for FDH Electronic’s operations. This role owns the accuracy, reliability, and performance of curated datasets across the organization and ensures business teams have access to consistent, governed insights to support critical functions. The Analytics Engineer collaborates closely with analysts and business teams to translate complex business needs into efficient data solutions while driving continuous improvement in data quality, pipeline efficiency, and self\-service analytics capabilities. This position serves as a key technical bridge between IT and the business, enabling faster, data\-driven decision\-making in a high\-stakes global aerospace supply chain environment.
**What You’ll Do**
 As an Analytics Engineer you will:
* Build scalable, modular data models to support advanced analytics, reporting, and forecasting across the aerospace supply chain
* Transform raw data into clean, reliable, analytics\-ready tables that enable real\-time visibility into component availability, traceability, and production status
* Develop and maintain robust SQL pipelines for curated, business\-ready datasets, incorporating incremental processing and error\-handling logic to ensure consistent data freshness and minimal downtime
* Integrate and harmonize data to deliver accurate, unified reporting on key performance indicators
* Define and document reusable business metrics, KPIs, and semantic models within BI tools (Power BI), ensuring consistency and governance across all self\-service reporting and dashboards
* Enable secure, governed self\-service analytics capabilities for business, allowing them to explore performance data independently while maintaining strict data security, access controls, and compliance with aerospace industry standards
* Implement comprehensive validation frameworks, automated testing suites, and real\-time anomaly detection mechanisms to monitor data pipelines and proactively surface potential quality issues
* Proactively identify, investigate, and resolve data integrity problems to uphold traceability requirements and regulatory compliance
* Improve overall pipeline efficiency, reduce processing costs, and enhance scalability to support growing data usage
* Tune complex data models, SQL queries, and transformation logic to handle increasing data volumes and velocity driven by business growth
* Partner closely with analysts and business teams to gather and refine requirements for data products
**What You Bring**
* Bachelor's degree in Computer Science, Data Engineering, Information Systems, or a related field
* 3\+ years of experience in analytics engineering, data modeling, or a similar role, preferably in supply chain, manufacturing, or aerospace industries.
* Proven track record working with large\-scale datasets in cloud and familiarity with ETL processes
* Strong SQL skills and experience with data warehouses
* Expertise in BI platforms and semantic modeling, with a focus on enabling user\-friendly analytics
* Analytical mindset with excellent problem\-solving skills, capable of identifying data anomalies and optimizing performance in high\-volume environments
* Collaborative communicator who can bridge technical and business teams, translating requirements into effective data solutions
* Commitment to data governance, quality assurance, and continuous improvement
* Adaptability to fast\-paced settings, with a proactive approach to innovation in analytics
**Special Requirements**
* U.S. Citizen, U.S. Permanent Resident (Green Card holder) or asylee/refugee status as defined by 8 U.S.C. 1324b(a)(3\) required.
* ITAR Requirement
* 120\.15\. Some positions will require current U.S. Citizenship due to contract requirements.
 This position requires access to information that is subject to compliance with the International Traffic Arms Regulations (“ITAR”) and/or the Export Administration Regulations (“EAR”). In order to comply with the requirements of the ITAR and/or the EAR, applicants will be asked to provide specific documentation to verify U.S. person status under the ITAR and the EAR. A “U.S. person” according to their definition is a U.S. citizen, U.S. lawful permanent resident (green card holder), or protected individual such as a refugee, or asylee. See 22 CFR
 Job Type: Full Time
**FDH Aero** 
 is an Equal Opportunity Employer and all qualified applicants will receive consideration for employment without regard to race, color, religion, sex, national origin, sexual orientation, gender identity, disability status, protected veteran status, or any other characteristic protected by law.</t>
        </is>
      </c>
    </row>
    <row r="79">
      <c r="A79" t="inlineStr">
        <is>
          <t>li-4367174304</t>
        </is>
      </c>
      <c r="B79" t="inlineStr">
        <is>
          <t>Data Engineer, Sr.</t>
        </is>
      </c>
      <c r="C79" t="inlineStr">
        <is>
          <t>Centene Corporation</t>
        </is>
      </c>
      <c r="D79" t="inlineStr">
        <is>
          <t>linkedin</t>
        </is>
      </c>
      <c r="E79">
        <f>HYPERLINK("https://www.linkedin.com/jobs/view/4367174304", "https://www.linkedin.com/jobs/view/4367174304")</f>
        <v/>
      </c>
      <c r="F79" t="inlineStr"/>
      <c r="G79" t="inlineStr"/>
      <c r="H79" t="inlineStr"/>
      <c r="I79" t="inlineStr">
        <is>
          <t>**About The Company** 
 Centene Corporation is a diversified, national organization committed to transforming the health of our communities by using innovative technology solutions to improve health outcomes across the globe. Serving over 28 million members, Centene is dedicated to providing accessible, high\-quality healthcare services through a broad network of healthcare providers. The organization emphasizes a culture of inclusion, diversity, and continuous improvement, offering its technology professionals a dynamic work environment with flexible workplace options. With a focus on leveraging data and technology, Centene aims to lead the industry in health innovation, ensuring better care and healthier lives for the populations it serves.
**About The Role** 
 We are seeking a highly skilled Data Engineer to join our team and play a pivotal role in developing and operationalizing data pipelines that support our analytics and reporting needs. The successful candidate will be responsible for designing, building, and maintaining complex data structures and real\-time processing applications, ensuring the seamless flow and high quality of data across various environments. This role involves collaborating closely with DevSecOps engineers during continuous integration and deployment cycles, guiding data management procedures, and optimizing data pipelines for performance and reliability. The ideal candidate will bring extensive experience in data ingestion, transformation, validation, and automation, contributing to the organization’s goal of leveraging data for strategic decision\-making and operational excellence.
**Qualifications** 
* Bachelor's degree in statistics, mathematics, engineering, computer science, or a related quantitative or business field.
* 4 to 6 years of relevant experience in data engineering, data management, or related roles.
* Proficiency in Python programming language.
* Strong SQL skills for data querying and manipulation.
* Experience with Snowflake data platform or similar cloud\-based data warehouses.
* Knowledge of data pipeline orchestration, automation, and optimization techniques.
* Understanding of DevSecOps principles and CI/CD processes.
* Ability to design high\-performance, large\-scale data structures for analytics.
* Excellent problem\-solving skills and attention to detail.
* Strong communication skills to collaborate effectively with cross\-functional teams.
**Responsibilities** 
* Develop and operationalize data pipelines to facilitate data ingestion, transformation, validation, and provisioning for analytics and reporting.
* Engage with DevSecOps engineers during continuous integration and deployment processes to ensure seamless delivery of data solutions.
* Guide the design and implementation of complex data management procedures, including data staging, ingestion, preparation, and destruction.
* Provide technical guidance to data engineers in developing high\-performance, scalable data structures for business intelligence.
* Design, develop, and maintain real\-time data processing applications and pipelines to support live analytics.
* Ensure data quality and integrity as data moves across various environments within the organization.
* Offer senior\-level insights into evolving data environments, processing techniques, and storage solutions, driving innovative and efficient data strategies.
* Develop, test, and maintain architectures using advanced programming tools and languages.
* Identify opportunities to improve data reliability, efficiency, and automation, employing data\-driven approaches to optimize workflows.
* Perform additional duties as assigned, ensuring compliance with organizational policies and standards.
**Benefits** 
* Competitive salary range from $87,000 to $161,300 annually.
* Comprehensive health insurance plans.
* 401(k) and stock purchase plans to support your financial future.
* Tuition reimbursement programs to promote continuous learning and development.
* Paid time off and holidays for work\-life balance.
* Flexible work arrangements including remote, hybrid, field, or office\-based schedules.
* Access to a supportive and inclusive workplace culture that values diversity and innovation.
 Equal Opportunity
 Centene Corporation is an equal opportunity employer committed to fostering an inclusive environment. We celebrate diversity and are dedicated to ensuring all qualified applicants receive fair consideration for employment regardless of race, color, religion, sex, sexual orientation, gender identity, national origin, disability, veteran status, or any other characteristic protected by law.</t>
        </is>
      </c>
    </row>
    <row r="80">
      <c r="A80" t="inlineStr">
        <is>
          <t>li-4356497883</t>
        </is>
      </c>
      <c r="B80" t="inlineStr">
        <is>
          <t>Data Engineer - Enterprise Products</t>
        </is>
      </c>
      <c r="C80" t="inlineStr">
        <is>
          <t>PreSales Collective</t>
        </is>
      </c>
      <c r="D80" t="inlineStr">
        <is>
          <t>linkedin</t>
        </is>
      </c>
      <c r="E80">
        <f>HYPERLINK("https://www.linkedin.com/jobs/view/4356497883", "https://www.linkedin.com/jobs/view/4356497883")</f>
        <v/>
      </c>
      <c r="F80" t="inlineStr"/>
      <c r="G80" t="inlineStr">
        <is>
          <t>New York, United States</t>
        </is>
      </c>
      <c r="H80" t="inlineStr"/>
      <c r="I80" t="inlineStr">
        <is>
          <t>Position: Data Engineer \- Enterprise Products
 Location: New York, NY (Hybrid)
 Department: Digital Experience
 Reports To: Technology Lead, Enterprise Products
 About Lincoln Center: Lincoln Center for the Performing Arts is a global home for music, dance, theater, film, and culture. We steward a 16\-acre campus in New York City, collaborate with world\-renowned Resident Arts Organizations, and bring the arts to millions each year.
 We are building a modern digital ecosystem that expands access to culture, strengthens audience relationships, and supports long\-term sustainability. A unified, trusted data platform is foundational to this work enabling Lincoln Center to operate as a connected campus while respecting the autonomy, privacy, and unique missions of our partner organizations.
 Role Overview: Lincoln Center is seeking a Data Engineer to help design, build, and operate an enterprise data platform that powers analytics, reporting, personalization, and future AI initiatives across the campus.
 Sitting within the Enterprise Products area, this role focuses on shared platforms and systems that serve the entire organization. You will be responsible for building secure, scalable, and cost\-efficient data pipelines and datasets on AWS that unify information from ticketing, CRM, fundraising, marketing, finance, and digital engagement systems.
 You’ll collaborate closely with product, business development, marketing, finance, and external partners to ensure the data platform is reliable, governed, observable, and trusted across the institution.
**What You’ll Do**
* Design, build, and operate scalable ETL/ELT pipelines on AWS supporting batch and near\-real\-time data use cases.
* Ingest and process data using AWS\-native services such as S3, Glue, Lambda, Step Functions, and CloudWatch, alongside modern data tooling.
* Integrate data from enterprise systems including ticketing, CRM, fundraising, finance, marketing platforms, and web/app analytics.
* Develop dimensional and semantic data models in the warehouse that serve as trusted sources of truth across departments.
* Optimize data workflows for performance, reliability, and cost, including partitioning strategies, orchestration schedules, and compute usage.
* Implement data governance standards using AWS IAM and warehouse controls, including role\-based access, masking, tagging, and metadata management.
* Partner with teams across Marketing, Business Development, Finance, and Programming to deliver high\-impact data products such as cohorts, funnels, donor analytics, and event performance insights.
* Improve data quality and reliability through automated testing, monitoring, alerting, and clear data ownership.
* Reduce technical debt by automating manual processes, deprecating legacy pipelines, and standardizing data access patterns.
* Contribute to enterprise\-wide data standards, documentation, and cloud best practices as the platform evolves.
**Who You Are**
* A pragmatic, cloud\-oriented data engineer who values reliability, clarity, and long\-term maintainability.
* Comfortable designing and operating data systems in AWS production environments.
* Fluent in SQL and Python, with strong instincts for data modeling, performance tuning, and cost awareness.
* Deeply invested in data quality, security, and governance.
* Comfortable collaborating across teams and explaining technical concepts to non\-technical partners.
* Motivated by building foundational platforms that enable teams to move faster and make better decisions.
* Energized by applying modern data practices in a multi\-stakeholder, mission\-driven environment.
**Qualifications**
* Minimum 5 years of experience in data engineering or closely related roles.
* Strong SQL skills (CTEs, window functions, performance tuning) and solid Python experience for data processing and testing.
* Hands\-on experience with AWS data services, including S3, Glue, Lambda, IAM, and CloudWatch.
* Experience working with modern data warehouses and transformation tools such as Snowflake and dbt.
* Experience designing dimensional and semantic models, incremental pipelines, and slowly changing dimensions.
* Working knowledge of data governance concepts including RBAC/ABAC, masking, tagging, and PII handling (GDPR/CCPA).
* Familiarity with workflow orchestration tools (Airflow or AWS\-native equivalents).
* Experience with CI/CD pipelines, Git\-based version control, and infrastructure\-as\-code (Terraform or similar).
**Success Looks Like**
* Trusted, well\-documented datasets adopted across Enterprise and departmental teams as sources of truth.
* High data reliability with strong test coverage, monitoring, and improving mean time to resolution.
* Measurable improvements in AWS data pipeline and warehouse cost efficiency.
* Faster time\-to\-insight enabled by standardized, governed data models.
* Clear contribution to audience growth, engagement, and fundraising effectiveness.
 What is Lincoln Center for the Performing Arts?
 Lincoln Center for the Performing Arts, Inc. (LCPA) is a cultural and civic cornerstone of New York City. We believe the arts play an important role in our lives: they nourish our hearts and minds, teach us valuable lessons and critical skills, and help us create community. We are resolved not to lose sight of what connects us, and we hope you will consider joining our talented, diverse team.
 We are:
* The manager of the 16\-acre Lincoln Center campus
* We are one of eleven amazing resident arts organizations
* A leading Arts Presenter.
* We curate numerous programs and performances, showcasing music, dance, and more
* An Education Hub.
* We have reached 20 million students, educators, principals, and community members
 Who are our people?
 LCPA is a team of dreamers, collaborators, and entrepreneurs who use unique platforms in the heart of New York City and beyond to advocate for the transformative impact of artistic experiences.
 Lincoln Center People imagine and create in concert with this mission by founding President John D. Rockefeller III \- "The arts are not for the privileged few, but for the many. Their place is not on the periphery of daily life, but at its center."
 We welcome applicants from all sectors who agilely solve problems, show up as they are, and can't stop innovating.
 What’s the news?
 Recent and Upcoming Programming
* Lincoln Center Reveals 25/26 Season Featuring Jeanine Tesori as Visionary Artist
* Kyle Abraham's 20 Years of Urgency at Lincoln Center Rose Theatre
 Campus Happenings
* Lincoln Center Gets $50 Million Gift to Promote Contemporary Dance
* The new JFK terminal will show iconic artworks from MoMA, the Met and Lincoln Center
 Legacies of San Juan Hill
* WNYC: Lincoln Center Celebrates 'Legacies of San Juan Hill
* Lincoln Center Launches San Juan Hill Project Digital Hub To Remember the Lost Urban Neighborhood
 Who is our President and CEO?
 Dr. Mariko Silver
 Join us!
 It is the policy of Lincoln Center for the Performing Arts, Inc., to ensure equal employment opportunity without discrimination or harassment on the basis of race, creed, color, national origin, sex, age, religion, disability, marital or civil partnership/union status, familial or caregiver status, alienage or citizenship status, sexual orientation, gender identity or expression, pregnancy, military or veteran status, genetic information, predisposition, or carrier status, unemployment status, domestic violence, sexual violence, or stalking victim status, or any other characteristic protected by federal, state, or local law. LCPA is committed to creating a dynamic work environment that values diversity and inclusion, respect and integrity, customer focus, and innovation.
 If you require reasonable accommodation in locating open positions, completing this application, interviewing, completing any pre\-employment testing, or otherwise participating in the employee selection process, please direct your inquiries to Abigail Worsnip at (212\) 875–5324\.</t>
        </is>
      </c>
    </row>
    <row r="81">
      <c r="A81" t="inlineStr">
        <is>
          <t>li-4367371288</t>
        </is>
      </c>
      <c r="B81" t="inlineStr">
        <is>
          <t>Software Developer/Data Engineer - Entry Level</t>
        </is>
      </c>
      <c r="C81" t="inlineStr">
        <is>
          <t>Lensa</t>
        </is>
      </c>
      <c r="D81" t="inlineStr">
        <is>
          <t>linkedin</t>
        </is>
      </c>
      <c r="E81">
        <f>HYPERLINK("https://www.linkedin.com/jobs/view/4367371288", "https://www.linkedin.com/jobs/view/4367371288")</f>
        <v/>
      </c>
      <c r="F81" t="inlineStr"/>
      <c r="G81" t="inlineStr">
        <is>
          <t>Nashville, TN</t>
        </is>
      </c>
      <c r="H81" t="inlineStr"/>
      <c r="I8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CGI Technologies and Solutions, Inc.. Clicking "Apply Now" or "Read more" on Lensa redirects you to the job board/employer site. Any information collected there is subject to their terms and privacy notice.
**Software Developer/Data Engineer \-\- Entry Level**
**Category:** 
 Software Development/ Engineering
**Main location:** 
 United States, Tennessee, Nashville
**Position ID:** 
 J0825\-1368
**Employment Type:** 
 Graduate
**Position Description**
 Launch a world\-class career with us.
 Are you driven by the power of technology and its role in transforming business and government? Do you thrive in collaborative environments and want to build a career that spans impactful solutions across enterprises and agencies? If so, CGI is the place for you.
 As a Software Developer/Data Engineer, you'll be an integral part of a highly collaborative team, working alongside architects, engineers, and stakeholders to design, build, and deliver software solutions that elevate IT services. At CGI, you're encouraged to explore your full potential, free from predefined boundaries and guided by the unique value of your contributions.
 This position is in Nashville, TN in a hybrid working model.
 Spring Application Period: Monday, January 18th, 2026 \- Friday, February 27th, 2026
**Your Future Duties And Responsibilities**
 How You'll Make an Impact
* Design, prototype, and develop front\-end, back\-end, and full\-stack software using modern languages and frameworks (e.g., .NET, Java, open\-source stacks, React).
* Apply software design patterns and best practices for scalable, maintainable code.
* Collaborate with team members to continuously improve approaches and tools.
* Build database\-integrated and data\-enabled solutions, including ETL pipelines, using contemporary database technologies.
* Deliver analytics and reporting solutions by working with data models, queries, and visualizations.
* Contribute to projects that leverage AI or machine learning capabilities within software and data solutions.
* Conduct peer code reviews, participate in Agile rituals, and contribute to engineering discussions.
* Support quality assurance by understanding its value, helping craft test plans, and executing test cases.
* Create technical documentation, including requirement specs, design docs, and user manuals.
 This role includes opportunities to focus on application development, data and analytics work, or a blend of both, depending on project needs.
**Required Qualifications To Be Successful In This Role**
 What You'll Bring
* Bachelor's degree from an accredited college or university in Computer Science, Computer Engineering, Information Systems or a related technical field
* Foundational experience in software development (SQL, Java, C\#, .NET, J2EE, C\+\+).
* Strong ability to learn new frameworks and technologies quickly.
* A growth\-oriented mindset and a passion for learning.
* Excellent analytical thinking, and strong written and verbal communication skills.
* Comfort with ambiguity, adaptability, and team\-oriented collaboration.
* Ability to work in the U.S. permanently and without restriction.
**Let's Talk About Benefits**
* Competitive base salary
* Comprehensive insurance options
* 401(k) with company match
* Share purchase plan with a company match
* Paid vacation, holidays, and sick leave
* Up to 14 weeks of Maternity Leave with full pay
* 4\-week Parental Leave for all non\-birth parents
* Attorney\-assisted will preparation
* Health savings account
* Disability, life, and accidental death insurance
* Pet insurance
* Work\-life balance and flexibility
* Tuition assistance continuous learning opportunities
* Training, mentoring, and career development
* Partner assistance program
* Wellness program
 The best version of you starts here
 We're a global company of owners. Over 90,000 partners strong, we bring our diverse backgrounds and perspectives together to solve some of IT and business consulting's toughest problems for some of the world's best companies. Looking for a place that empowers you to explore your full potential and shape your own career? The scale and reach of our impact offer you just that. Join a team of great people, collaborate on meaningful work, and serve the communities you call home while you do it.
 CGI is required by law in some jurisdictions to include a reasonable estimate of the compensation range for this role. The determination of this range includes various factors not limited to skill set level, experience and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is $57,100 \- $94,200\.
 \#CGIEarlyCareers
**What You Can Expect From Us**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Clickhere (https://cgi\-veterans.jobs/)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
 If you have questions about this posting, please contact support@lensa.com</t>
        </is>
      </c>
    </row>
    <row r="82">
      <c r="A82" t="inlineStr">
        <is>
          <t>li-4367377249</t>
        </is>
      </c>
      <c r="B82" t="inlineStr">
        <is>
          <t>Software Developer/Data Engineer - Entry Level</t>
        </is>
      </c>
      <c r="C82" t="inlineStr">
        <is>
          <t>Lensa</t>
        </is>
      </c>
      <c r="D82" t="inlineStr">
        <is>
          <t>linkedin</t>
        </is>
      </c>
      <c r="E82">
        <f>HYPERLINK("https://www.linkedin.com/jobs/view/4367377249", "https://www.linkedin.com/jobs/view/4367377249")</f>
        <v/>
      </c>
      <c r="F82">
        <f>HYPERLINK("https://lensa.com/cgw/4f2469d2f73b46e6801afbc729cdd582tjo1?jpsi=directemployers&amp;publisher_preference=easier_apply&amp;utm_campaign=Computer%20Occupations&amp;utm_medium=slot&amp;utm_source=linkedin&amp;utm_term=jse&amp;urlHash=FmFE", "https://lensa.com/cgw/4f2469d2f73b46e6801afbc729cdd582tjo1?jpsi=directemployers&amp;publisher_preference=easier_apply&amp;utm_campaign=Computer%20Occupations&amp;utm_medium=slot&amp;utm_source=linkedin&amp;utm_term=jse&amp;urlHash=FmFE")</f>
        <v/>
      </c>
      <c r="G82" t="inlineStr">
        <is>
          <t>Atlanta, GA</t>
        </is>
      </c>
      <c r="H82" t="inlineStr"/>
      <c r="I8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CGI Technologies and Solutions, Inc.. Clicking "Apply Now" or "Read more" on Lensa redirects you to the job board/employer site. Any information collected there is subject to their terms and privacy notice.
**Software Developer/Data Engineer \-\- Entry Level**
**Category:** 
 Software Development/ Engineering
**Main location:** 
 United States, Georgia, Atlanta
**Position ID:** 
 J0825\-1339
**Employment Type:** 
 Graduate
**Position Description**
 Launch a world\-class career with us.
 Are you driven by the power of technology and its role in transforming business and government? Do you thrive in collaborative environments and want to build a career that spans impactful solutions across enterprises and agencies? If so, CGI is the place for you.
 As a Software Developer/Data Engineer, you'll be an integral part of a highly collaborative team, working alongside architects, engineers, and stakeholders to design, build, and deliver software solutions that elevate IT services. At CGI, you’re encouraged to explore your full potential, free from predefined boundaries and guided by the unique value of your contributions.
 This position is in Atlanta, GA in a hybrid working model.
 Spring Application Period: Monday, January 18th, 2026 – Friday, February 27th, 2026
**Your Future Duties And Responsibilities**
 How You’ll Make an Impact
* Design, prototype, and develop front\-end, back\-end, and full\-stack software using modern languages and frameworks (e.g., .NET, Java, open\-source stacks, React).
* Apply software design patterns and best practices for scalable, maintainable code.
* Collaborate with team members to continuously improve approaches and tools.
* Build database\-integrated and data\-enabled solutions, including ETL pipelines, using contemporary database technologies.
* Deliver analytics and reporting solutions by working with data models, queries, and visualizations.
* Contribute to projects that leverage AI or machine learning capabilities within software and data solutions.
* Conduct peer code reviews, participate in Agile rituals, and contribute to engineering discussions.
* Support quality assurance by understanding its value, helping craft test plans, and executing test cases.
* Create technical documentation, including requirement specs, design docs, and user manuals.
 This role includes opportunities to focus on application development, data and analytics work, or a blend of both, depending on project needs.
**Required Qualifications To Be Successful In This Role**
 What You’ll Bring
* Bachelor’s degree from an accredited college or university in Computer Science, Computer Engineering, Information Systems or a related technical field
* Foundational experience in software development (SQL, Java, C\#, .NET, J2EE, C\+\+).
* Strong ability to learn new frameworks and technologies quickly.
* A growth\-oriented mindset and a passion for learning.
* Excellent analytical thinking, and strong written and verbal communication skills.
* Comfort with ambiguity, adaptability, and team\-oriented collaboration.
* Ability to work in the U.S. permanently and without restriction.
**Let’s Talk About Benefits**
* Competitive base salary
* Comprehensive insurance options
* 401(k) with company match
* Share purchase plan with a company match
* Paid vacation, holidays, and sick leave
* Up to 14 weeks of Maternity Leave with full pay
* 4\-week Parental Leave for all non\-birth parents
* Attorney\-assisted will preparation
* Health savings account
* Disability, life, and accidental death insurance
* Pet insurance
* Work\-life balance and flexibility
* Tuition assistance continuous learning opportunities
* Training, mentoring, and career development
* Partner assistance program
* Wellness program
 The best version of you starts here
 We’re a global company of owners. Over 90,000 partners strong, we bring our diverse backgrounds and perspectives together to solve some of IT and business consulting’s toughest problems for some of the world’s best companies. Looking for a place that empowers you to explore your full potential and shape your own career? The scale and reach of our impact offer you just that. Join a team of great people, collaborate on meaningful work, and serve the communities you call home while you do it.
 CGI is required by law in some jurisdictions to include a reasonable estimate of the compensation range for this role. The determination of this range includes various factors not limited to skill set level, experience and training, and licensure and certifications. To support the ability to reward for merit\-based performance, CGI typically does not hire individuals at or near the top of the range for their role. A reasonable estimate of the current range is $57,100 \- $94,200\.
 \#CGIEarlyCareers
**What You Can Expect From Us**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Clickhere (https://cgi\-veterans.jobs/)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
 If you have questions about this posting, please contact support@lensa.com</t>
        </is>
      </c>
    </row>
    <row r="83">
      <c r="A83" t="inlineStr">
        <is>
          <t>li-4351978451</t>
        </is>
      </c>
      <c r="B83" t="inlineStr">
        <is>
          <t>AI Data Engineer</t>
        </is>
      </c>
      <c r="C83" t="inlineStr">
        <is>
          <t>Internet Brands</t>
        </is>
      </c>
      <c r="D83" t="inlineStr">
        <is>
          <t>linkedin</t>
        </is>
      </c>
      <c r="E83">
        <f>HYPERLINK("https://www.linkedin.com/jobs/view/4351978451", "https://www.linkedin.com/jobs/view/4351978451")</f>
        <v/>
      </c>
      <c r="F83" t="inlineStr"/>
      <c r="G83" t="inlineStr">
        <is>
          <t>El Segundo, CA</t>
        </is>
      </c>
      <c r="H83" t="inlineStr"/>
      <c r="I83" t="inlineStr">
        <is>
          <t>**Description**
**Data Engineer AI, Personalization \&amp; Data Management \- Legal**
**About the Role:** 
 Internet Brands is seeking an AI Data Engineer to join our Personalization \&amp; Data Management function within the Central AI Team. This role supports the Legal vertical, helping to design and manage the data infrastructure that powers personalization, content recommendations, and AI\-driven insights across our Legal businesses. You’ll work at the intersection of data engineering and applied AI, building and optimizing data pipelines that feed our personalization engines and AI models. Your work will ensure that structured, clean, and contextually rich data drives smarter experiences for our users, attorneys, and law firms. This role is ideal for someone who thrives on solving data challenges, collaborating with cross\-functional teams, and wants to grow within a cutting\-edge AI organization.
**Key Responsibilities:**
* Develop and maintain data pipelines that collect, transform, and prepare data for AI models supporting Legal content personalization and user engagement.
* Integrate multiple data sources (web analytics, CRM, user behavior, content metadata, and Legal directory data) into unified data stores for downstream use.
* Support personalization and recommendation systems, ensuring real\-time and batch data pipelines deliver reliable, high\-quality signals.
* Collaborate with Data Scientists and ML Engineers to productionize AI models and ensure their data dependencies are well\-structured and performant.
* Implement and maintain data quality, validation, and monitoring processes across ingestion and transformation layers.
* Work with cloud\-based data technologies (AWS, GCP, or Azure) to scale infrastructure efficiently.
* Partner with the AI Engineering and Legal Product teams to optimize data architecture and performance for Legal\-specific personalization use cases.
* Contribute to the centralized data catalog and governance framework, ensuring metadata and lineage documentation are up to date.
* Stay current on AI data engineering best practices and help implement them across the team.
**Qualifications:**
**Required**
* Bachelor’s degree in Computer Science, Data Engineering, or a related technical discipline.
* 3–5 years of experience in data engineering or related analytics infrastructure roles.
* Strong skills in Python, SQL, and modern ETL/ELT frameworks (Airflow, dbt, Dagster, etc.).
* Experience with data pipeline development.
* Solid understanding of data modeling, transformation, and schema design for analytics and AI systems.
* Familiarity with machine learning workflows, including feature extraction, data labeling, and model\-serving data feeds.
* Experience with API integrations and handling structured and semi\-structured data (JSON, Parquet, etc.).
**Preferred**
* Exposure to personalization or recommendation systems (e.g., user segmentation, content ranking, or behavioral targeting).
* Knowledge of Legal data types (law firm directories, practice area taxonomies, or case law content).
* Familiarity with data lakehouse architectures (Databricks, Snowflake, or similar).
* Experience working with feature stores or vector databases for AI/ML use cases.
* Understanding of data governance, lineage, and observability tools (e.g., DataHub, Monte Carlo, Great Expectations).
**Why Join Internet Brands:**
* Contribute to AI innovation driving smarter Legal experiences across a large content and services ecosystem.
* Collaborate with cross\-functional AI, data science, and product teams solving high\-impact personalization challenges.
* Work in a dynamic, supportive environment that encourages technical growth and experimentation.
 At Internet Brands, we carefully consider a wide range of factors when determining compensation, including your background and experience. These considerations can cause your compensation to vary. We expect the compensation for this role to have a range of $100k\-$120k and will depend on your skills, qualifications, and experience. We encourage all interested candidates to apply.
 In addition to our awesome culture, we offer a comprehensive benefits package designed to support the health and well\-being of you and your family. Our benefits include health insurance options such as medical, dental, and vision coverage, flexible spending accounts (FSA) for medical and dependent care, short\-term and long\-term disability insurance, and life and AD\&amp;D insurance. We also provide a 401(k) retirement savings plan with a company match, paid time off (PTO), paid holidays, commuter benefits as well as access to our Employee Assistance Program (EAP) and well\-being coaching services. In addition, employees can take advantage of voluntary benefits such as home, auto and pet insurance, and discounted legal and financial services. For more details, feel free to inquire during the interview process.
 Internet Brands®, headquartered in El Segundo, Calif, is a fully integrated online media and software services company focused on four high\-value vertical categories: Health, Automotive, Legal, and Home/Travel. The company's properties and platforms include the WebMD, Medscape, and Henry Schein ONE networks, which are the global leaders in their markets; Nolo, Avvo, and Martindale, which form the largest consumer information provider in the legal market; and CarsDirect, Fodor's Travel, and many others which are leaders in their key vertical markets. Internet Brands' award\-winning consumer websites lead their categories and serve more than 250 million monthly visitors, while a full range of web presence offerings has established deep, long\-term relationships with SMB and enterprise clients. The company's powerful, proprietary operating platform provides the flexibility and scalability to fuel the company's continued growth. Internet Brands is a portfolio company of KKR and Warburg Pincus.
 Internet Brands is an equal opportunity employer, and we welcome applicants from all backgrounds. We comply with all applicable laws and regulations, including the City of Los Angeles Fair Chance Initiative for Hiring Ordinance (FCIHO).
 Notice to California residents: you can find information about our privacy practices, on: https://www.internetbrands.com/work\-with\-us/cpra</t>
        </is>
      </c>
    </row>
    <row r="84">
      <c r="A84" t="inlineStr">
        <is>
          <t>li-4352171629</t>
        </is>
      </c>
      <c r="B84" t="inlineStr">
        <is>
          <t>Consultant, Data Engineer</t>
        </is>
      </c>
      <c r="C84" t="inlineStr">
        <is>
          <t>IBM</t>
        </is>
      </c>
      <c r="D84" t="inlineStr">
        <is>
          <t>linkedin</t>
        </is>
      </c>
      <c r="E84">
        <f>HYPERLINK("https://www.linkedin.com/jobs/view/4352171629", "https://www.linkedin.com/jobs/view/4352171629")</f>
        <v/>
      </c>
      <c r="F84" t="inlineStr"/>
      <c r="G84" t="inlineStr">
        <is>
          <t>University Park, TX</t>
        </is>
      </c>
      <c r="H84" t="inlineStr"/>
      <c r="I84" t="inlineStr">
        <is>
          <t>**Introduction**
 At IBM, work is more than a job \- it's a calling: To build. To design. To code. To consult. To think along with clients and sell. To make markets. To invent. To collaborate. Not just to do something better, but to attempt things you've never thought possible. Are you ready to lead in this new era of technology and solve some of the world's most challenging problems? If so, lets talk.
**Your Role And Responsibilities**
 We are in search of a skilled Consultant Data Engineer to join our expanding team of experts. This role will be pivotal in the design and development of Snowflake Data Cloud solutions, encompassing responsibilities such as constructing data ingestion pipelines, establishing sound data architecture, and implementing stringent data governance and security protocols.
 The ideal candidate brings experience as a proficient data pipeline builder and adept data wrangler, deriving satisfaction from optimizing data systems from their foundational stages. Collaborating closely with database architects, data analysts, and data scientists, the Data Engineer will play a crucial role in ensuring a consistent and optimal data delivery architecture across ongoing customer projects.
 This position demands a self\-directed individual comfortable navigating the diverse data needs of multiple teams, systems, and products. If you are enthusiastic about the prospect of contributing to a startup environment and supporting our customers in their next generation of data initiatives, we invite you to explore this opportunity.
 As of April 2025, Hakkoda has been acquired by IBM and will be integrated in the IBM organization. Your recruitment process will be managed by IBM. IBM will be the hiring entity
 This role can be performed from anywhere in the US.
**Preferred Education**
 Bachelor's Degree
**Required Technical And Professional Expertise**
* Bachelor’s degree in engineering, computer science or equivalent area
* 3\+yrs in related technical roles with experience in data management, database development, ETL, and/or data prep domains.
* Experience developing data warehouses.
* Experience building ETL / ELT ingestion pipelines.
* Proficiency in using cloud platform services for data engineering tasks, including managed database services (Snowflake and its pros and cons vs Redshift, BigQuery etc) and data processing services (AWS Glue, Azure Data Factory, Google Dataflow).
* Skills in designing and implementing scalable and cost\-effective solutions using cloud services, with an understanding of best practices for security and compliance.
* Knowledge of how to manipulate, process and extract value from large disconnected datasets.
* SQL and Python scripting experience require, Scala and Javascript is a plus.
* Cloud experience (AWS, Azure or GCP) is a plus.
* Knowledge of any of the following tools is also a plus: Snowflake, Matillion/Fivetran or DBT.
* Strong interpersonal skills including assertiveness and ability to build strong client relationships.
* Strong project management and organizational skills.
* Ability to support and work with cross\-functional and agile teams in a dynamic environment.
* Advanced English required.</t>
        </is>
      </c>
    </row>
    <row r="85">
      <c r="A85" t="inlineStr">
        <is>
          <t>li-4331270270</t>
        </is>
      </c>
      <c r="B85" t="inlineStr">
        <is>
          <t>Senior Analytics Engineer, People Analytics</t>
        </is>
      </c>
      <c r="C85" t="inlineStr">
        <is>
          <t>Klaviyo</t>
        </is>
      </c>
      <c r="D85" t="inlineStr">
        <is>
          <t>linkedin</t>
        </is>
      </c>
      <c r="E85">
        <f>HYPERLINK("https://www.linkedin.com/jobs/view/4331270270", "https://www.linkedin.com/jobs/view/4331270270")</f>
        <v/>
      </c>
      <c r="F85">
        <f>HYPERLINK("https://www.klaviyo.com/careers/jobs?gh_jid=7578120003&amp;gh_src=1284ec8c3us&amp;urlHash=mqe_", "https://www.klaviyo.com/careers/jobs?gh_jid=7578120003&amp;gh_src=1284ec8c3us&amp;urlHash=mqe_")</f>
        <v/>
      </c>
      <c r="G85" t="inlineStr">
        <is>
          <t>Boston, MA</t>
        </is>
      </c>
      <c r="H85" t="inlineStr"/>
      <c r="I85" t="inlineStr">
        <is>
          <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careers.klaviyo.com to see how we empower creators to own their own destiny.*
**About The Team And Role**
 Data is at the heart of every decision made at Klaviyo, and we’re looking for a Business Intelligence Data Engineer to join our Business Intelligence (BI) team supporting People Analytics. This domain of data aims to improve the experience of all Klaviyos, from culture and engagement to retention and satisfaction. This role sits in Data Engineering as part of the BI team and is fully dedicated to People Analytics as a sponsored headcount.
 You’ll build and steward the source of truth for people data so People leaders and analysts can answer lifecycle questions quickly and confidently and turn those insights into a healthier, higher\-performing organization.
 You will be an independent, embedded partner to People leadership, capable of translating ambiguous requirements into stable data products. You’ll be supported by the broader Data Engineering organization’s standards, tooling, and review practices.
**How You’ll Make a Difference**
* Deliver people‑data SSoT that drives employee experience. Stand up curated, documented marts that make it easy to monitor org health, retention, hiring, performance, movement, and comp cycles so that leadership can act earlier and more precisely.
* Own the pipelines \&amp; models end‑to‑end. Build and maintain reliable integrations from core HR systems (e.g., HRIS/ATS/OKR/comp), model them in dbt, and publish governed marts and reverse‑ETLs to operational destinations where they create value.
* Create lifecycle views with People Analytics. Partner with analysts to build hire→onboard→develop→promote→compensate→offboard lifecycle views and “employee 360” profiles that reduce swivel‑chair reporting and speed up decision cycles.
* Raise the bar on data reliability and governance. Instrument monitoring and alerting, tests (freshness/volume/constraints), and documentation so the people data ecosystem is discoverable, auditable, and self\-serve.
* Operate as a trusted partner to leadership. Work directly with People leadership to scope problems, clarify trade‑offs, and communicate technical concepts in exec‑ready language.
**What You’ll Do (responsibilities)**
* Integrations \&amp; ingestion: Own secure ingestion from HRIS/ATS/comp/performance systems into Snowflake; define SLAs/SLOs; implement monitoring \&amp; alerting for each feed.
* Modeling \&amp; marts: Design dimensional/entity models (dbt) for employees, positions, org structure, requisitions/offers, performance/promo history, compensation/equity, and movement; publish curated marts with strong contracts and lineage.
* Reverse ETL: Operationalize high‑value models to downstream tools and workflows using reverse‑ETL patterns to close the loop between insight and action.
* Quality \&amp; governance: Implement tests (unit/integration, schema/freshness), data policies (masking, purpose‑based access), and documentation that enable safe self‑service across the analytics community.
* Repository stewardship: Maintain the analytics codebase (dbt repo), perform code reviews, and ensure modular, reusable patterns the broader team can adopt.
* Stakeholder partnership: Run an intake \&amp; engagement model with People Analytics (primary), HRIS/People Tech (security/integration), Finance (plan/comp interfaces), and BI/Platform teams (shared standards).
**Who You Are (qualifications)**
 Must‑have
* 3–5\+ years in analytics/data engineering with production ELT in Snowflake \+ dbt \+ SQL; Python for orchestration/utilities.
* Demonstrated independence partnering with senior, non‑technical leaders; able to translate open‑ended needs into scalable data products.
* Proven experience implementing tests, monitoring, and documentation that keep pipelines healthy and reporting trustworthy.
* Experience building data integrations and reverse‑ETL pipelines that support business operations.
* Airflow (orchestration) and Fivetran/Workato (ELT/integration).
* Familiarity with data privacy controls (masking/RLS) in people data.
* AWS experience (S3/EC2/Lambda) and IaC/Terraform.
* You’ve already experimented with AI in work or personal projects, and you’re excited to dive in and learn fast. You’re hungry to responsibly explore new AI tools and workflows, finding ways to make your work smarter and more efficient.
**The tools you’ll use**
 Snowflake, dbt, Airflow, Fivetran, Workato, Python, AWS, Tableau/Looker/ThoughtSpot; publishing via reverse‑ETL where appropriate.
**Success measures \&amp; ramp plan (30/60/90\)**
* 30 days: Access/RBAC in place; landscape documented; agree with People leadership on the first lifecycle views and SSoT scope; monitoring baselines defined.
* 60 days: Core HRIS ingestion \+ tests/alerts live; first curated marts (headcount/movement, recruiting funnel) powering People Analytics dashboards; reverse‑ETL pilot to an operational destination.
* 90 days: Extend coverage (e.g., performance, compensation); publish employee 360 profile model; codify governance/RLS for sensitive attributes; usage dashboard for self‑serve adoption.
**What This Role Is Not**
* Not a Workday configuration/HRIS admin role.
* Not an infra‑only platform role. This is hands‑on modeling \+ ELT \+ reverse‑ETL in service of People Analytics.
**Our commitment to candidates**
 We value unique backgrounds and experiences; even if you don’t match every bullet, we encourage you to apply. Klaviyo is an equal‑opportunity employer.
 We use Covey as part of our hiring and / or promotional process. For jobs or candidates in NYC, certain features may qualify it as an AEDT. As part of the evaluation process we provide Covey with job requirements and candidate submitted applications. We began using Covey Scout for Inbound on April 3, 2025\.
 Please see the independent bias audit report covering our use of Covey here
**Massachusetts Applicants**
 It is unlawful in Massachusetts to require or administer a lie detector test as a condition of employment or continued employment. An employer who violates this law shall be subject to criminal penalties and civil liability.
 Our salary range reflects the cost of labor across various U.S. geographic markets. The range displayed below reflects the minimum and maximum target salaries for the position across all our US locations. The base salary offered for this position is determined by several factors, including the applicant’s job\-related skills, relevant experience, education or training, and work location.
 In addition to base salary, our total compensation package may include participation in the company’s annual cash bonus plan, variable compensation (OTE) for sales and customer success roles, equity, sign\-on payments, and a comprehensive range of health, welfare, and wellbeing benefits based on eligibility.
 Your recruiter can provide more details about the specific salary/OTE range for your preferred location during the hiring process.
 Base Pay Range For US Locations:
 $124,000—$186,000 USD
**Get to Know Klaviyo**
 We’re Klaviyo (pronounced clay\-vee\-oh). We empower creators to own their destiny by making first\-party data accessible and actionable like never before. We see limitless potential for the technology we’re developing to nurture personalized experiences in ecommerce and beyond. To reach our goals, we need our own crew of remarkable creators—ambitious and collaborative teammates who stay focused on our north star: delighting our customers. If you’re ready to do the best work of your career, where you’ll be welcomed as your whole self from day one and supported with generous benefits, we hope you’ll join us.
*AI fluency at Klaviyo includes responsible use of AI (including privacy, security, bias awareness, and human\-in\-the\-loop). We provide accommodations as needed.*
*By participating in Klaviyo’s interview process, you acknowledge that you have read, understood, and will adhere to our Guidelines for using AI in the Klaviyo interview Process. For more information about how we process your personal data, see our Job Applicant Privacy Notice.*
*Klaviyo is committed to a policy of equal opportunity and non\-discrimination. We do not discriminate on the basis of race, ethnicity, citizenship, national origin, color, religion or religious creed, age, sex (including pregnancy), gender identity, sexual orientation, physical or mental disability, veteran or active military status, marital status, criminal record, genetics, retaliation, sexual harassment or any other characteristic protected by applicable law.*
*IMPORTANT NOTICE: Our company takes the security and privacy of job applicants very seriously. We will never ask for payment, bank details, or personal financial information as part of the application process. All our legitimate job postings can be found on our official career site. Please be cautious of job offers that come from non\-company email addresses (@klaviyo.com), instant messaging platforms, or unsolicited calls.*
**By clicking "Submit Application" you consent to Klaviyo processing your Personal Data in accordance with our Job Applicant Privacy Notice. If you do not wish for Klaviyo to process your Personal Data, please do not submit an application.** 
*You can find our Job Applicant Privacy Notice* 
*here* 
*and here (FR).*</t>
        </is>
      </c>
    </row>
    <row r="86">
      <c r="A86" t="inlineStr">
        <is>
          <t>li-4365592748</t>
        </is>
      </c>
      <c r="B86" t="inlineStr">
        <is>
          <t>Senior Data Engineer</t>
        </is>
      </c>
      <c r="C86" t="inlineStr">
        <is>
          <t>GDH</t>
        </is>
      </c>
      <c r="D86" t="inlineStr">
        <is>
          <t>linkedin</t>
        </is>
      </c>
      <c r="E86">
        <f>HYPERLINK("https://www.linkedin.com/jobs/view/4365592748", "https://www.linkedin.com/jobs/view/4365592748")</f>
        <v/>
      </c>
      <c r="F86">
        <f>HYPERLINK("https://gdhinc.com/jobs/senior-data-engineer-111900/&amp;urlHash=H0zn", "https://gdhinc.com/jobs/senior-data-engineer-111900/&amp;urlHash=H0zn")</f>
        <v/>
      </c>
      <c r="G86" t="inlineStr">
        <is>
          <t>Topeka, KS</t>
        </is>
      </c>
      <c r="H86" t="inlineStr"/>
      <c r="I86" t="inlineStr">
        <is>
          <t>**The Opportunity**
 We are seeking an experienced
 **Senior Data Engineer** 
 to join our team. This pivotal role focuses on designing, developing, and maintaining enterprise data systems that support analytics, reporting, and strategic decision\-making. You will work with cutting\-edge Microsoft SQL Server technologies to build reliable, scalable data pipelines, optimize database performance, and ensure data quality and accessibility.
**What You’ll Do**
* Lead the full lifecycle development of data applications and enhancements based on business requirements.
* Analyze data needs, develop sourcing, transformation, and complex logic mapping to support enterprise data initiatives.
* Design and configure data integration layers, establishing operational and administrative guidelines for seamless data flow.
* Build, test, and deploy ETL, ELT, and other service\-based data pipelines using Microsoft SQL Server, SSIS, and related tools.
* Document processes and system architecture as part of SDLC standards.
* Collaborate with cross\-functional teams to identify technical improvements and implement best practices.
* Provide operational support for data solutions, including incident resolution, service requests, and problem management.
* Monitor, tune, and optimize database performance through indexing, query tuning, and scalability strategies.
* Maintain change management processes and ensure adherence to data governance policies.
* Guide and mentor junior engineers, promoting excellence in database design, coding standards, and DevOps practices.
**What We’re Looking For**
* Bachelor’s degree in Computer Science, Business Information Systems, or equivalent experience.
* Minimum of 8 years in software analysis, development, and engineering, with a focus on data management.
* At least 8 years of experience working with SQL in a relational database environment, specifically Microsoft SQL Server.
* 6\+ years of experience with object\-oriented programming languages (e.g., JavaScript) and ETL/ELT tools such as SSIS and Fivetran.
* Proven expertise in Data Warehouse design, development, and maintenance.
* Familiarity with cloud platforms like AWS; experience with Snowflake, Coalesce, or actuarial systems is a plus.
* Demonstrated leadership in mentoring team members and promoting best practices across data engineering disciplines.
* Strong communication skills, with the ability to collaborate effectively across teams and clearly convey technical information.
* A strong sense of ownership and accountability for delivering high\-quality, secure, and compliant data solutions.
**Why Join Us?**
* Impactful Work: Play a critical role in advancing retirement industry solutions that benefit millions of Americans.
* Career Growth: Opportunities for professional development, mentorship, and leadership.
* Flexible Work Environment: Hybrid schedule with opportunities for remote work, coupled with periodic travel.
* Innovative Culture: Be part of a forward\-thinking company that values continuous improvement and technological excellence.
* The company does not offer sponsorship for employment visas. Candidates must be authorized to work in the United States on a full?time basis.
 Pay Rate: $60\.00 – $72\.00 Hourly
 If you’re a passionate, skilled data engineer ready to take on exciting challenges and contribute to meaningful solutions, we want to hear from you!</t>
        </is>
      </c>
    </row>
    <row r="87">
      <c r="A87" t="inlineStr">
        <is>
          <t>li-4327086263</t>
        </is>
      </c>
      <c r="B87" t="inlineStr">
        <is>
          <t>Senior Product Analytics Engineer</t>
        </is>
      </c>
      <c r="C87" t="inlineStr">
        <is>
          <t>Faire</t>
        </is>
      </c>
      <c r="D87" t="inlineStr">
        <is>
          <t>linkedin</t>
        </is>
      </c>
      <c r="E87">
        <f>HYPERLINK("https://www.linkedin.com/jobs/view/4327086263", "https://www.linkedin.com/jobs/view/4327086263")</f>
        <v/>
      </c>
      <c r="F87" t="inlineStr"/>
      <c r="G87" t="inlineStr">
        <is>
          <t>San Francisco, CA</t>
        </is>
      </c>
      <c r="H87" t="inlineStr"/>
      <c r="I87" t="inlineStr">
        <is>
          <t>**About Faire**
 Faire is an online wholesale marketplace built on the belief that the future is local — independent retailers around the globe are doing more revenue than Walmart and Amazon combined, but individually, they are small compared to these massive entities. At Faire, we're using the power of tech, data, and machine learning to connect this thriving community of entrepreneurs across the globe. Picture your favorite boutique in town — we help them discover the best products from around the world to sell in their stores. With the right tools and insights, we believe that we can level the playing field so that small businesses everywhere can compete with these big box and e\-commerce giants.
 By supporting the growth of independent businesses, Faire is driving positive economic impact in local communities, globally. We’re looking for smart, resourceful and passionate people to join us as we power the shop local movement. If you believe in community, come join ours.
**About The Role**
 Are you passionate about using data and AI to shape the future of Faire's product features for small and medium businesses (SMBs)? If so, we want to talk to you! We're looking for a technical leader in our team to work closely with Data Scientists, Product Analysts and Software Engineers to support product launches and roadmaps by designing and building data capabilities that inform and drive insights. You will lead the path in using AI to boost productivity and transform how analytical engineering operates—leveraging AI to streamline data pipeline development and operations, improve data consumption workflows, and automate routine analytical tasks. In this role, you'll see a direct link between your work, company growth, and user satisfaction. You'll work with A tier players, work with one of the richest data sets in the world, use cutting\-edge technology, and see your efforts affect products and SMBs regularly.
 Join us and be part of a team that values data\-driven innovation and excellence.
**What You Will Do**
 The ideal candidate will possess a perfect blend of analytics and data engineering expertise, along with strong skills in developing and supporting large\-scale, high\-performance data storage and processing systems. They should have a proven track record of collaborating with key stakeholders to execute on company\-wide data initiatives.
* Lead cross\-team and/or multi\-phase projects from design through implementation, fostering collaboration with cross\-functional partners.
* Lead the technical execution in building scalable data models and pipelines for a domain defining the architecture, feature requirements, roadmap.
* Build data pipelines with rigorous approaches to data quality, validation, testing, and observability.
* Redefine how we build, maintain, and scale data systems by embedding AI into our daily workflows.
* Optimize processes for operational excellence in project management and system reliability.
* Ensure security standards are met within data systems and workflows.
* Ensure and promote data quality standards for accurate and reliable insights.
* Embrace emerging technologies with enthusiasm.
**Minimum Qualifications**
* 4\+ years experience in analytics \&amp; data engineering roles focused on data modeling, large\-scale data processing, and tool development for analytics or data science use cases.
* Demonstrated communication and leadership skills, with a history of initiating and steering successful projects across multiple stakeholders.
* Production\-level development experience in Python.
* Strong SQL skills with demonstrable competencies in designing well\-architected data models and optimizing query performance.
* Deep experience and knowledge of data warehousing concepts, ETLs, big data technologies, and analytics platforms.
* Experience with Airflow, Docker, DBT or similar analytics workflow tools.
* BA/BS degree in Computer Science, Math, Physics, or a related technical field.
**Salary Range**
 San Francisco: the pay range for this role is $192,000 to $264,000 per year.
 Toronto: the pay range for this role is $168,000 to $231,000 per year.
 This role will also be eligible for equity and benefits. Actual base pay will be determined based on permissible factors such as transferable skills, work experience, market demands, and primary work location. The base pay range provided is subject to change and may be modified in the future.
 Faire uses Artificial Intelligence (AI) to screen and select applicants for this position.
 This job posting is for an existing vacancy.
**Hybrid Faire employees currently go into the office 3 days per week on Tuesdays, Thursdays, and a third flex day of their choosing (Monday, Wednesday, or Friday).* 
 Additionally, hybrid in\-office roles will have the flexibility to work remotely up to 4 weeks per year. Specific Workplace and Information Technology positions may require onsite attendance 5 days per week as will be indicated in the job posting.
 Applications for this position will be accepted for a minimum of 30 days from the posting date.*
**Why you’ll love working at Faire**
* We are entrepreneurs: Faire is being built for entrepreneurs, by entrepreneurs. We believe entrepreneurship is a calling and our mission is to empower entrepreneurs to chase their dreams. Every member of our team is taking part in the founding process.
* We are using technology and data to level the playing field: We are leveraging the power of product innovation and machine learning to connect brands and boutiques from all over the world, building a growing community of more than 350,000 small business owners.
* We build products our customers love: Everything we do is ultimately in the service of helping our customers grow their business because our goal is to grow the pie \- not steal a piece from it. Running a small business is hard work, but using Faire makes it easy.
* We are curious and resourceful: Inquisitive by default, we explore every possibility, test every assumption, and develop creative solutions to the challenges at hand. We lead with curiosity and data in our decision making, and reason from a first principles mentality.
 Faire was founded in 2017 by a team of early product and engineering leads from Square. We’re backed by some of the top investors in retail and tech including: Y Combinator, Lightspeed Venture Partners, Forerunner Ventures, Khosla Ventures, Sequoia Capital, Founders Fund, and DST Global. We have headquarters in San Francisco and Kitchener\-Waterloo, and a global employee presence across offices in Toronto, London, and New York. To learn more about Faire and our customers, you can read more on our blog.
 Faire provides equal employment opportunities (EEO) to all employees and applicants for employment without regard to race, color, religion, sex, national origin, age, disability, genetics, sexual orientation, gender identity or gender expression.
 Faire is committed to providing access, equal opportunity and reasonable accommodation for individuals with disabilities in employment, its services, programs, and activities. Accommodations are available throughout the recruitment process and applicants with a disability may request to be accommodated throughout the recruitment process. We will work with all applicants to accommodate their individual accessibility needs. To request reasonable accommodation, please fill out our Accommodation Request Form (https://bit.ly/faire\-form)
**Privacy**
 For information about the type of personal data Faire collects from applicants, as well as your choices regarding the data collected about you, please visit Faire’s Privacy Notice (https://www.faire.com/privacy)</t>
        </is>
      </c>
    </row>
    <row r="88">
      <c r="A88" t="inlineStr">
        <is>
          <t>li-4367016814</t>
        </is>
      </c>
      <c r="B88" t="inlineStr">
        <is>
          <t>Senior Signal Processing Data Engineer</t>
        </is>
      </c>
      <c r="C88" t="inlineStr">
        <is>
          <t>Zendar</t>
        </is>
      </c>
      <c r="D88" t="inlineStr">
        <is>
          <t>linkedin</t>
        </is>
      </c>
      <c r="E88">
        <f>HYPERLINK("https://www.linkedin.com/jobs/view/4367016814", "https://www.linkedin.com/jobs/view/4367016814")</f>
        <v/>
      </c>
      <c r="F88" t="inlineStr"/>
      <c r="G88" t="inlineStr">
        <is>
          <t>Berkeley, CA</t>
        </is>
      </c>
      <c r="H88" t="inlineStr"/>
      <c r="I88" t="inlineStr">
        <is>
          <t>Are you tired of your good old corporate job, working on one project for half a year? Is your passion for making great infrastructure being kept in a box labeled “for later”? Do you enjoy working with smart people and do you want to make their developer experience great?
 Zendar is looking for an experienced Data Engineer who understands data management, ML model training workflows and their optimization, and is excited to wear multiple hats to make sure engineers stay productive and infrastructure supports them. Our team is a testament of the ability to unite engineers of different backgrounds over a common vision. We do not shy away from reality and its limitations but we also dream big.
 You don’t have to fit in a box. We are not looking for a superhero. But we might be looking for you!
**About Zendar**
 Autonomous vehicles need to be able to understand the world around them not only in bright daylight, but also at night, when it is foggy or rainy, or when the sun is shining right in your face. At Zendar, we make this possible by developing the highest\-resolution, most information\-rich radar in the world.
 What makes radar powerful \- its long wavelength which makes it robust to all sorts of weather and lighting conditions \- also makes it really challenging to work with. We have used our deep understanding of radar physics to build radar perception models that bring a rich and complete understanding of the environment around the AV from free space to object detections to road structure. Check out what our technology can do here \- all produced with only radar information, no camera and no lidar!
 Zendar has a diverse and dynamic team of hardware, machine learning, signal processing and software engineers with a deep background in sensing technology. We have a global team of 60, distributed across our sites in Berkeley, Lindau (Germany), and Paris.
 Zendar is backed by Tier\-1 VCs, has raised more than $50M in funding and has established strong partnerships with industry leaders.
**Your Role**
 To support our growing team, we’re looking for a
 **Senior Data Engineer** 
 to elevate our processes and technologies to the next level. If you are excited about designing and managing the complex signal processing data engineering pipelines, we’d love to hear from you!
 We have a rapidly growing corpus of driving data, encompassing tens of thousands of kilometers of real\-world driving on three continents, and a total data size of multiple petabytes. We add to that on a daily basis with data coming from our fleet of data collection vehicles. The Data team is responsible for indexing, processing, and categorizing all this data so that we make it frictionless to use it to test, train, and improve our driving models. Your responsibilities will focus on developing ETL data pipelines to guarantee data quality and to extract rich insights about the data that are available for downstream use. Some examples of data insights include categorizing driving behaviors, environments, and road user types. Our ETL pipelines are not your typical pipelines \- they are robotics tasks such as vehicle calibration, driving behavior analysis, and video understanding models.
 You will be based in our Berkeley site but join a Data Engineering team which is distributed between Berkeley and Europe. As the 6th member of the Data team and the 3rd in Berkeley, you will have a lot of visibility and responsibility within the team. This type of environment is perfect for someone who is comfortable managing multiple responsibilities simultaneously, enjoys interacting frequently with other engineers, and is opinionated about what to prioritize and how to build things.
**Key Responsibilities**
 ML Data Management:
* Maintain and grow a robust and reliable data lake in GCP for our proprietary training and evaluation data.
* Ensure robust data quality control with carefully designed algorithms.
* Grow our data lookup capabilities for data selection for labeling and model training.
* Own data quality algorithms and actively monitor data corruption in the datalake
**Support For ML Engineers**
* Serve as liaison to support Berkeley, Paris \&amp; German office ML engineers (Human annotation processing, data calibration, data upload issues)
**Setting And Maintaining Infrastructure Standards**
* Be a go\-to resource for solving infrastructure\-related challenges, fostering a culture of ownership and accountability in the team.
**What We Look For**
* 5\+ years in Data Science, MLOps or similar
* Strong algorithmic and optimization skills, especially in statistics and signal processing.
* Deep experience with cloud computing platforms (GCP or other), production\-grade database design/deployment and Cloud\-native ML workflow.
* Broad knowledge of data engineering and MLOps tools (Lambda, Kubernetes, Terraform).
* Proficiency with Python and SQL queries.
* A proactive approach to solving problems and willingness to take on new challenges as they arise.
* Somebody with solid opinions based on experience, yet open\-minded and flexible to find the best solution for the situation.
* Ability to work from the office in Berkeley at least from Tuesday to Thursday.
**Bonus Points**
* Prior experience in ADAS or sensor data processing pipelines (radar, lidar).
* Familiarity with Google BigQuery and related data visualization tools.
* Experience with production\-grade serverless batch/streaming applications.
* Hands\-on experience in the management of large datalakes (\&gt;1PB).
* NoSQL database design/deployment experience.
* A track record of excelling in ambiguous or evolving roles.
**What You Would Work On**
* When sorting through 1000s of hours of data, understanding what is in our training data is critical! Leveraging existing camera object detection models and automating data labeling is the logical next step, significantly reducing manual effort and streamlining the data pipeline. As the research requirements change, the camera model integration needs to seamlessly adjust as well.
* Sensors and vehicle calibrations can drift unexpectedly, which if undetected significantly harms the quality of results. We need to automatically identify calibration drifts and correct them before data is consumed, so that data users can have high trust in the quality of the data they work with.
* Enriching our ground truth data with KPIs designed by the Product and push them to production.
* Our signal processing pipelines are using hundreds/thousands of VM hours, the monitoring of their performance can be tricky, enhancing our tooling is essential to select the next candidate for cost optimisation.
**What We Offer**
* Opportunity to make an impact at a young, venture\-backed company in an emerging market
* Competitive salary ranging from $150,000 to $190,000 annually depending on experience
* Performance based Bonus
* Benefits including medical, dental, and vision insurance, flexible PTO, and equity
* Hybrid work model: in office 3 days per week from Tuesday to Thursday, the rest… work from wherever!
* Daily catered lunch and a stocked fridge (when working out of the Berkeley, CA office)
*Zendar is committed to creating a diverse environment where talented people come to do their best work. We are proud to be an equal opportunity employer. All qualified applicants will receive consideration for employment without regard to race, color, religion, gender, gender identity or expression, sexual orientation, national origin, genetics, disability, age, or veteran status.
 Zendar participates in E\-Verify*</t>
        </is>
      </c>
    </row>
    <row r="89">
      <c r="A89" t="inlineStr">
        <is>
          <t>li-4367036138</t>
        </is>
      </c>
      <c r="B89" t="inlineStr">
        <is>
          <t>Principal Data Engineer</t>
        </is>
      </c>
      <c r="C89" t="inlineStr">
        <is>
          <t>Oshkosh Corporation</t>
        </is>
      </c>
      <c r="D89" t="inlineStr">
        <is>
          <t>linkedin</t>
        </is>
      </c>
      <c r="E89">
        <f>HYPERLINK("https://www.linkedin.com/jobs/view/4367036138", "https://www.linkedin.com/jobs/view/4367036138")</f>
        <v/>
      </c>
      <c r="F89" t="inlineStr"/>
      <c r="G89" t="inlineStr">
        <is>
          <t>Oshkosh, WI</t>
        </is>
      </c>
      <c r="H89" t="inlineStr"/>
      <c r="I89" t="inlineStr">
        <is>
          <t>**At Oshkosh, we build, serve and protect people and communities around the world by designing and manufacturing some of the toughest specialty trucks and access equipment. We employ over 18,000 team members all united by a common purpose. Our engineering and product innovation help keep soldiers and firefighters safe, is critical in building and keeping communities clean and helps people do their jobs every day.**
**Summary**
 As a member of the Advanced Analytics organization, your primary responsibilities will be to support comprehensive planning and execution in providing a world\-class set of capabilities around data ingestion and transformation, as well as analytics platform and solutions architecture.
**Your Impact**
* Plan, architect, design and develop scalable data and analytics solutions to deliver quantifiable value to our business teams.
* Own the architecture and user access patterns for analytics and data platforms.
* Collaborate with cross\-functional teams (e.g. data engineers, data analysts, scientists, architects, business stakeholders, application owners) on analytics product development and data requirements.
* Provide guidance and leadership for end\-to\-end testing, system integration testing, and validation to support the accuracy of data transformations and data verifications used.
* Possesses extensive understanding of ETL pipelines, SQL, programming, relational databases, data modeling, transactional and BI databases, and networking.
* Significant experience with tools such as Terraform, Spark, Databricks, Snowflake, Git, and Azure infrastructure management (ADLS Gen2, Azure Compute, Azure Data Factory, AI Foundry, AKS, VPC’s, Storage Accounts, and others).
* Build and maintain documentation, such as version\-controlled work instructions, detailed design documents and architecture documentation.
* Direct data engineering assignments, job scheduling, performance\-tuning data processes, and troubleshooting data processing issues (including root cause resolution).
* Set standards for data governance (quality, security, etc.) within the Azure data lake.
* Familiarity with ITIL methodology and ticketing software to track and manage incidents, changes, problems, tasks, and demand.
* Lead coaching and mentoring and serve as a Subject Matter Expert (SME) on new technologies and best practices across data engineering (i.e. data modeling, database design, ETL design, job scheduling and monitoring, etc.)
* Possesses advanced understanding of data structure, data processing, and overall landscape of source/ERP systems.
* Possesses strong critical thinking, analytical, problem\-solving, organizational, multitasking, interpersonal, and presentation skills.
* Designs the strategic roadmap and forward analysis for data engineering, including proof of concepts and vendor management.
* Direct feasibility studies and project estimates for proposed projects.
* Analyzes trends, emerging technologies, and version updates to optimize data engineering's vendor relationships, technical solutions, and improve customer experience.
* Partners across technology SMEs for process, policy, and procedure best practices and design.
* Proficiency in Excel skills and programming skills
* Develop process improvement strategies based on pattern recognition with the business for proactive solutions.
**Minimum Qualifications**
* Bachelors degree with seven (7\) or more years of experience in the field or in a related area.
**Standout Qualifications**
* Masters or doctorate degree
**Pay Range**
 $136,500\.00 \- $241,500\.00
 The above pay range reflects the minimum and maximum target pay for the position across all U.S. locations. Within this range, individual pay is determined by various factors, including the scope and responsibilities of the role, the candidate's experience, education and skills, as well as the equity of pay among team members in similar positions. Beyond offering a competitive total rewards package, we prioritize a people\-first culture and offer various opportunities to support team member growth and success.
 Oshkosh is committed to working with and offering reasonable accommodation to job applicants with disabilities. If you need assistance or an accommodation due to disability for any part of the employment process, please contact us at corporatetalentacquisition@oshkoshcorp.com.
 Oshkosh Corporation is a merit\-based Equal Opportunity Employer. Job opportunities are open for application to all qualified individuals and selection decisions are made without regard to race, color, religion, sex, national origin, age, disability, veteran status, or other protected characteristic. To the extent that information is provided or collected regarding categories as provided by law it will in no way affect the decision regarding an employment application.
 Oshkosh Corporation will not discharge or in any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Oshkosh Corporation's legal duty to furnish information.
 Certain positions with Oshkosh Corporation require access to controlled goods and technologies subject to the International Traffic in Arms Regulations or the Export Administration Regulations. Applicants for these positions may need to be "U.S. Persons," as defined in these regulations. Generally, a "U.S. Person" is a U.S. citizen, lawful permanent resident, or an individual who has been admitted as a refugee or granted asylum.</t>
        </is>
      </c>
    </row>
    <row r="90">
      <c r="A90" t="inlineStr">
        <is>
          <t>li-4356427756</t>
        </is>
      </c>
      <c r="B90" t="inlineStr">
        <is>
          <t>US_East | Data Engineer_L3</t>
        </is>
      </c>
      <c r="C90" t="inlineStr">
        <is>
          <t>Expedite Talent Solutions</t>
        </is>
      </c>
      <c r="D90" t="inlineStr">
        <is>
          <t>linkedin</t>
        </is>
      </c>
      <c r="E90">
        <f>HYPERLINK("https://www.linkedin.com/jobs/view/4356427756", "https://www.linkedin.com/jobs/view/4356427756")</f>
        <v/>
      </c>
      <c r="F90">
        <f>HYPERLINK("https://www2.jobdiva.com/candidates/myjobs/openjob_outside.jsp?a=p9jdnwkqidcv6v7kl3s2jz2ipcslzc03cdv6u87hp8h64yiv0s2m7ylo90bxdjp7&amp;SearchString=&amp;StatesString=&amp;source=linkedin.com&amp;id=27360633&amp;compid=-1&amp;source=LinkedIn.com&amp;src=LinkedIn&amp;urlHash=0-O4", "https://www2.jobdiva.com/candidates/myjobs/openjob_outside.jsp?a=p9jdnwkqidcv6v7kl3s2jz2ipcslzc03cdv6u87hp8h64yiv0s2m7ylo90bxdjp7&amp;SearchString=&amp;StatesString=&amp;source=linkedin.com&amp;id=27360633&amp;compid=-1&amp;source=LinkedIn.com&amp;src=LinkedIn&amp;urlHash=0-O4")</f>
        <v/>
      </c>
      <c r="G90" t="inlineStr">
        <is>
          <t>Bloomfield, NJ</t>
        </is>
      </c>
      <c r="H90" t="inlineStr"/>
      <c r="I90" t="inlineStr">
        <is>
          <t>"Possible 3 Month CTH \| No Fees \| Do Not Re\-Post\| Confidential
 TMR ID: L4TLHF
 Role: Integration Engineer – MANUS AI Platform
 Work location: Bay Area
 Background and Meet and Greet: MANDATORY
 Job Description:
 "Integration Engineer – MANUS AI Platform
 Location
 \[Remote / Hybrid /Offshore/ On site, e.g., SFO Bay Area, CA]
 Employment Type
 Full Time
 \_\_\_\_\_\_\_\_\_\_\_\_\_\_\_\_\_\_\_\_\_\_\_\_\_\_\_\_\_\_\_\_\_\_\_\_\_\_\_\_
**About The Role**
 We are looking for Integration Engineers to design, build, and maintain robust integrations between our internal systems (e.g., CRM, HRIS, data platforms, internal tools) and MANUS AI. You will own end to end integration workflows, including API design, data mapping, security, monitoring, and documentation, ensuring seamless and scalable automation across the organization.
 \_\_\_\_\_\_\_\_\_\_\_\_\_\_\_\_\_\_\_\_\_\_\_\_\_\_\_\_\_\_\_\_\_\_\_\_\_\_\_\_
 Key Responsibilities
* Design and implement API driven integrations between MANUS AI and internal platforms (e.g., Salesforce, HubSpot, internal data warehouses, HR systems, ticketing tools).
* Develop and maintain webhooks, event driven pipelines, and batch data flows to synchronize data between MANUS and downstream systems.
* Define and document integration architecture, data models, error handling strategies, and retry mechanisms for reliability and observability.
* Configure authentication, authorization, and secrets management (OAuth, API keys, SSO, environment variables) for secure access to MANUS and partner systems.
* Collaborate with product, data, security, and operations teams to align integration requirements with business workflows and compliance needs.
* Write clean, testable code and create automated tests, monitoring alerts, and runbooks for production grade integrations.
* Troubleshoot integration issues, perform root cause analysis, and provide L2/L3 support for integration related incidents.
* Maintain technical documentation, architecture diagrams, and integration playbooks for engineers and support teams.
 \_\_\_\_\_\_\_\_\_\_\_\_\_\_\_\_\_\_\_\_\_\_\_\_\_\_\_\_\_\_\_\_\_\_\_\_\_\_\_\_
**Required Qualifications**
* Bachelor’s degree in Computer Science, Engineering, or related field, or equivalent professional experience.
* 3–5\+ years of experience as a Software Engineer, Integration Engineer, or Backend Engineer building production systems.
* Strong experience with RESTful APIs, webhooks, and event driven architectures.
* Proficiency in at least one backend language (e.g., Python, Node.js, Java, Go) and modern frameworks.
* Experience with cloud platforms (AWS, GCP, or Azure) and related services (queues, storage, serverless, etc.).
* Familiarity with CI/CD pipelines, Git, and infrastructure as code (e.g., Terraform, CloudFormation).
* Understanding of security best practices, including API security, secrets management, and compliance (e.g., SOC 2, GDPR).
* Strong problem solving skills, ability to work independently, and collaborate effectively with cross functional teams.
 \_\_\_\_\_\_\_\_\_\_\_\_\_\_\_\_\_\_\_\_\_\_\_\_\_\_\_\_\_\_\_\_\_\_\_\_\_\_\_\_
**Preferred Qualifications**
* Experience integrating AI / LLM platforms or workflow automation tools (e.g., AI agents, RPA, no code automation).
* Familiarity with data modeling, ETL/ELT pipelines, and data warehouse concepts (e.g., Snowflake, BigQuery, Redshift).
* Experience with observability tools (e.g., Datadog, Prometheus, Grafana, logging platforms).
* Exposure to SaaS platforms (e.g., Salesforce, HubSpot, Workday, ServiceNow) and their APIs.
* Interest in AI driven automation, workflow orchestration, and “action engine” style platforms like MANUS.
 "
 Key Responsibilities:
 "Key Responsibilities
* Design and implement API driven integrations between MANUS AI and internal platforms (e.g., Salesforce, HubSpot, internal data warehouses, HR systems, ticketing tools).
* Develop and maintain webhooks, event driven pipelines, and batch data flows to synchronize data between MANUS and downstream systems.
* Define and document integration architecture, data models, error handling strategies, and retry mechanisms for reliability and observability.
* Configure authentication, authorization, and secrets management (OAuth, API keys, SSO, environment variables) for secure access to MANUS and partner systems.
* Collaborate with product, data, security, and operations teams to align integration requirements with business workflows and compliance needs.
* Write clean, testable code and create automated tests, monitoring alerts, and runbooks for production grade integrations.
* Troubleshoot integration issues, perform root cause analysis, and provide L2/L3 support for integration related incidents.
* Maintain technical documentation, architecture diagrams, and integration playbooks for engineers and support teams.
 "
 What are the Mandatory skills and skill proficiencies required for this position?
 "Required Qualifications
* Bachelor’s degree in Computer Science, Engineering, or related field, or equivalent professional experience.
* 3–5\+ years of experience as a Software Engineer, Integration Engineer, or Backend Engineer building production systems.
* Strong experience with RESTful APIs, webhooks, and event driven architectures.
* Proficiency in at least one backend language (e.g., Python, Node.js, Java, Go) and modern frameworks.
* Experience with cloud platforms (AWS, GCP, or Azure) and related services (queues, storage, serverless, etc.).
* Familiarity with CI/CD pipelines, Git, and infrastructure as code (e.g., Terraform, CloudFormation).
* Understanding of security best practices, including API security, secrets management, and compliance (e.g., SOC 2, GDPR).
* Strong problem solving skills, ability to work independently, and collaborate effectively with cross functional teams.
 \_\_\_\_\_\_\_\_\_\_\_\_\_\_\_\_\_\_\_\_\_\_\_\_\_\_\_\_\_\_\_\_\_\_\_\_\_\_\_\_
 "
 What are the Optional skills and skill proficiencies for this position?
 Stretch Attitude
 The following details must accompany your submission:
 First Name, Middle name, and Last Name:
 City and State:
 Open to Relocate?
 Rate:
 Availability:
 Phone \#:
 Mobile \#:
 Email address:
 Visa type:
 Visa Expiration Date:
 Hiring Status:
 Soemia Pineda \- ERM
* North America
 Tel.: \+\*\*\*"</t>
        </is>
      </c>
    </row>
    <row r="91">
      <c r="A91" t="inlineStr">
        <is>
          <t>li-4367370772</t>
        </is>
      </c>
      <c r="B91" t="inlineStr">
        <is>
          <t>Data Engineer, Global Planning, Amazon Leo</t>
        </is>
      </c>
      <c r="C91" t="inlineStr">
        <is>
          <t>Amazon</t>
        </is>
      </c>
      <c r="D91" t="inlineStr">
        <is>
          <t>linkedin</t>
        </is>
      </c>
      <c r="E91">
        <f>HYPERLINK("https://www.linkedin.com/jobs/view/4367370772", "https://www.linkedin.com/jobs/view/4367370772")</f>
        <v/>
      </c>
      <c r="F91" t="inlineStr"/>
      <c r="G91" t="inlineStr">
        <is>
          <t>Bellevue, WA</t>
        </is>
      </c>
      <c r="H91" t="inlineStr"/>
      <c r="I91" t="inlineStr">
        <is>
          <t>**Description**
 Amazon Leo is an initiative to increase global broadband access through a constellation of 3,236 satellites in low Earth orbit.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We are looking for a Data Engineer in Leo's Global Planning team to build enterprise\-grade data infrastructure and data assets that will support Leo's Demand Science \&amp; Forecasting models and capacity planning \&amp; simulation systems. You will be responsible to design and implement Data Architecture, using latest AWS services and to develop production level ETL pipelines from external and internal sources / APIs. This role will be instrumental in helping Leo execute on its business plans globally and requires high level of operational excellence with a relentless focus on delivering results.
 Key job responsibilities
**In This Role, You Will**
* Develop Leo data products, infrastructure and ETL pipelines to ingest, parse and transform Geospatial datasets from external \&amp; internal APIs using AWS big data technologies (Glue, S3, Redshift, MWAA, EMR, Data Zone, Lambda, etc.)
* Work alongside Data Scientists, Applied Scientists, Software Engineers and Simulation Engineers to develop appropriate data assets for statistical modeling, system integration and capacity simulations
* Improve existing solutions and come up with next generation Leo's Data Architecture to improve scale, quality and performance
* Implement data governance best practices to ensure data accuracy, consistency, and compliance with security and privacy regulations.
* Develop and maintain scripts to automate processes to generate structured datasets for forecasting POR and system inputs, with focus on efficiency and scalability
* Build data dictionary, catalog and governance plan and manage and audit all of the registered data via internal mechanisms
* Provide technical guidance and support to data consumers to leverage Global Planning data assets
**Export Control Requirement**
 Due to applicable export control laws and regulations, candidates must be a U.S. citizen or national, U.S. permanent resident (i.e., current Green Card holder), or lawfully admitted into the U.S. as a refugee or granted asylum.
**About The Team**
 Amazon Leo Global Planning team designs and builds systems that support forecasting, management and optimization of Leo's demand, bandwidth capacity and physical inventory across customer segments and channels, worldwide.
**Basic Qualifications**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\- 132,100\.00 \- 178,800\.00 USD annually
 USA, WA, Bellevue \- 132,100\.00 \- 178,800\.00 USD annually
**Company** 
 \- Amazon Kuiper Commercial Services LLC
 Job ID: A3169773</t>
        </is>
      </c>
    </row>
    <row r="92">
      <c r="A92" t="inlineStr">
        <is>
          <t>li-4367041801</t>
        </is>
      </c>
      <c r="B92" t="inlineStr">
        <is>
          <t>Senior Staff Data Engineer</t>
        </is>
      </c>
      <c r="C92" t="inlineStr">
        <is>
          <t>Findhelp</t>
        </is>
      </c>
      <c r="D92" t="inlineStr">
        <is>
          <t>linkedin</t>
        </is>
      </c>
      <c r="E92">
        <f>HYPERLINK("https://www.linkedin.com/jobs/view/4367041801", "https://www.linkedin.com/jobs/view/4367041801")</f>
        <v/>
      </c>
      <c r="F92">
        <f>HYPERLINK("https://jobs.lever.co/findhelp/db6f1fe0-b7c8-4b41-9171-52ded434644b/apply?source=LinkedIn&amp;urlHash=J2FB", "https://jobs.lever.co/findhelp/db6f1fe0-b7c8-4b41-9171-52ded434644b/apply?source=LinkedIn&amp;urlHash=J2FB")</f>
        <v/>
      </c>
      <c r="G92" t="inlineStr">
        <is>
          <t>Austin, TX</t>
        </is>
      </c>
      <c r="H92" t="inlineStr"/>
      <c r="I92" t="inlineStr">
        <is>
          <t>**We’re changing the way people connect to social care.**
 At Findhelp, we’ve built a comprehensive platform of products and services that make it easy for you to connect people to resources, follow them on their journey, and track your impact in a fast and reliable way. Our industry\-leading social care network includes more than half a million local, state, and national programs that serve every ZIP Code in the country, from rural areas to major metropolitan centers.
 Findhelp is headquartered in Austin, Texas and has been enabling healthcare, government, education, and other organizations to connect people with the social care resources that serve them, with privacy and security, since 2010\.
 As a mission driven organization, we are focused on creating a positive impact by connecting people in need to the programs that serve them with dignity and ease. Powered by our proprietary technology that enables people to find the resources available in their area, we have helped millions of Seekers find food, health, housing and employment programs.
 We are seeking a skilled Staff Data Engineer to own and enhance our data integration processes, with a focus on uploading and syncing data related to 211 relationships and other organizational data. This role is critical in ensuring data consistency, automation, and scalability across our data ecosystem.As a Senior Staff Data Engineer, you will be responsible for designing, building, and maintaining data pipelines that transform, load, and synchronize data from various sources into our environment. You will leverage cloud\-based batch data load strategies and update APIs to ensure seamless integration. You will also play a key role in optimizing production systems, resolving incidents, and identifying automation opportunities to improve efficiency.
**Responsibilities:**
* Data Integration \&amp; Processing: Own all data uploading and syncing related to 211 relationships and potentially other organizational datasets.
* Pipeline Development: Design, build, and maintain scalable data pipelines that transform raw source outputs (e.g., customer 211s) into a structured format for internal use.
* API\-Driven Data Uploads: Partner with Programs Team on creation and updating APIs to upload and synchronize bulk data efficiently.
* Database Design \&amp; Documentation: Create and maintain data models, metadata, ETL specifications, and process flows to support business data projects.
* Production System Monitoring: Monitor, maintain, and optimize data pipelines to ensure reliability, performance, and data integrity.
* Incident Resolution: Investigate and resolve user\-reported incidents related to data syncing, transformation, and pipeline failures.
* Automation \&amp; Optimization: Identify opportunities to automate, consolidate, and simplify data solutions for better scalability.
* Code Reviews \&amp; Best Practices: Conduct periodic code reviews to enforce best practices in design, performance tuning, and maintainability.
**Qualifications:**
* 7\+ years of experience in data engineering, with a focus on data pipeline development, transformation, and bulk syncing, with experience in one or more languages commonly used for data operations including SQL and Python.
* Deep knowledge and hands\-on experience building/operating highly available, distributed systems of data extraction, ingestion, and processing in cloud environments such as GCP (ideal), Microsoft Azure or AWS.
* Experience with bulk API integration and JSON processing, including designing, optimizing, and troubleshooting high\-volume data exchanges.
* Demonstrated strength in data modeling, ETL development, and data warehousing.
* Experience with relational databases such as MySQL (ideal), Oracle, or PostgreSQL.
* Experience with BigQuery (ideal), Redshift, or Snowflake.
* Experience in Airflow, GitHub, and CI/CD processes are a must.
* Ability to troubleshoot and optimize data solutions for performance and reliability.
 $146,400 \- $183,000 a year
 The salary range provided reflects the national average for this job title and does not represent compensation specific to Findhelp. Actual compensation will vary based on experience, qualifications, and market factors relevant to the position.
**We value being together**
 We believe being together enables stronger relationships, collaboration, and culture.
**This position is in office and candidates must be located in Austin, Texas, Madison, Wisconsin, or Denver, Colorado**
**Perks at Findhelp**
* 401k \&amp; equity grants
* Free food and onsite gym at our Austin HQ
* Paid parental leave
* Competitive PTO \&amp; 10 paid holidays
* Employee only paid Health, Dental, and Vision insurance
* Dog\-friendly office in Austin HQ
* 24/7 access to telemedicine and counseling
* Book Purchasing Program
**We’re building a diverse, inclusive team**
 You’re welcome here. We want everyone to be able to easily connect to the help they need, and we want our teams to reflect and represent our communities. It is our policy to recruit, hire, train, and promote individuals, as well as administer any and all Company policies, without regard to age, color, disability, ethnicity, family or marital status, gender identity or expression, language, national origin or ancestry, physical and mental ability, political affiliation, race, religion, creed, sexual orientation, socio\-economic status, veteran status, or any other protected class, in accordance with applicable laws. Accommodations are available for applicants with disabilities.
 Here are some of the ways we support our staff:
* Culture Committee
* Leadership Development Training
* Paid Volunteering Time</t>
        </is>
      </c>
    </row>
    <row r="93">
      <c r="A93" t="inlineStr">
        <is>
          <t>li-4367054082</t>
        </is>
      </c>
      <c r="B93" t="inlineStr">
        <is>
          <t>Senior Staff Data Engineer</t>
        </is>
      </c>
      <c r="C93" t="inlineStr">
        <is>
          <t>Findhelp</t>
        </is>
      </c>
      <c r="D93" t="inlineStr">
        <is>
          <t>linkedin</t>
        </is>
      </c>
      <c r="E93">
        <f>HYPERLINK("https://www.linkedin.com/jobs/view/4367054082", "https://www.linkedin.com/jobs/view/4367054082")</f>
        <v/>
      </c>
      <c r="F93" t="inlineStr"/>
      <c r="G93" t="inlineStr">
        <is>
          <t>Denver, CO</t>
        </is>
      </c>
      <c r="H93" t="inlineStr"/>
      <c r="I93" t="inlineStr">
        <is>
          <t>**We’re changing the way people connect to social care.**
 At Findhelp, we’ve built a comprehensive platform of products and services that make it easy for you to connect people to resources, follow them on their journey, and track your impact in a fast and reliable way. Our industry\-leading social care network includes more than half a million local, state, and national programs that serve every ZIP Code in the country, from rural areas to major metropolitan centers.
 Findhelp is headquartered in Austin, Texas and has been enabling healthcare, government, education, and other organizations to connect people with the social care resources that serve them, with privacy and security, since 2010\.
 As a mission driven organization, we are focused on creating a positive impact by connecting people in need to the programs that serve them with dignity and ease. Powered by our proprietary technology that enables people to find the resources available in their area, we have helped millions of Seekers find food, health, housing and employment programs.
 We are seeking a skilled Staff Data Engineer to own and enhance our data integration processes, with a focus on uploading and syncing data related to 211 relationships and other organizational data. This role is critical in ensuring data consistency, automation, and scalability across our data ecosystem.As a Senior Staff Data Engineer, you will be responsible for designing, building, and maintaining data pipelines that transform, load, and synchronize data from various sources into our environment. You will leverage cloud\-based batch data load strategies and update APIs to ensure seamless integration. You will also play a key role in optimizing production systems, resolving incidents, and identifying automation opportunities to improve efficiency.
**Responsibilities:**
* Data Integration \&amp; Processing: Own all data uploading and syncing related to 211 relationships and potentially other organizational datasets.
* Pipeline Development: Design, build, and maintain scalable data pipelines that transform raw source outputs (e.g., customer 211s) into a structured format for internal use.
* API\-Driven Data Uploads: Partner with Programs Team on creation and updating APIs to upload and synchronize bulk data efficiently.
* Database Design \&amp; Documentation: Create and maintain data models, metadata, ETL specifications, and process flows to support business data projects.
* Production System Monitoring: Monitor, maintain, and optimize data pipelines to ensure reliability, performance, and data integrity.
* Incident Resolution: Investigate and resolve user\-reported incidents related to data syncing, transformation, and pipeline failures.
* Automation \&amp; Optimization: Identify opportunities to automate, consolidate, and simplify data solutions for better scalability.
* Code Reviews \&amp; Best Practices: Conduct periodic code reviews to enforce best practices in design, performance tuning, and maintainability.
**Qualifications:**
* 7\+ years of experience in data engineering, with a focus on data pipeline development, transformation, and bulk syncing, with experience in one or more languages commonly used for data operations including SQL and Python.
* Deep knowledge and hands\-on experience building/operating highly available, distributed systems of data extraction, ingestion, and processing in cloud environments such as GCP (ideal), Microsoft Azure or AWS.
* Experience with bulk API integration and JSON processing, including designing, optimizing, and troubleshooting high\-volume data exchanges.
* Demonstrated strength in data modeling, ETL development, and data warehousing.
* Experience with relational databases such as MySQL (ideal), Oracle, or PostgreSQL.
* Experience with BigQuery (ideal), Redshift, or Snowflake.
* Experience in Airflow, GitHub, and CI/CD processes are a must.
* Ability to troubleshoot and optimize data solutions for performance and reliability.
 $146,400 \- $183,000 a year
 The salary range provided reflects the national average for this job title and does not represent compensation specific to Findhelp. Actual compensation will vary based on experience, qualifications, and market factors relevant to the position.
**We value being together**
 We believe being together enables stronger relationships, collaboration, and culture.
**This position is in office and candidates must be located in Austin, Texas, Madison, Wisconsin, or Denver, Colorado**
**Perks at Findhelp**
* 401k \&amp; equity grants
* Free food and onsite gym at our Austin HQ
* Paid parental leave
* Competitive PTO \&amp; 10 paid holidays
* Employee only paid Health, Dental, and Vision insurance
* Dog\-friendly office in Austin HQ
* 24/7 access to telemedicine and counseling
* Book Purchasing Program
**We’re building a diverse, inclusive team**
 You’re welcome here. We want everyone to be able to easily connect to the help they need, and we want our teams to reflect and represent our communities. It is our policy to recruit, hire, train, and promote individuals, as well as administer any and all Company policies, without regard to age, color, disability, ethnicity, family or marital status, gender identity or expression, language, national origin or ancestry, physical and mental ability, political affiliation, race, religion, creed, sexual orientation, socio\-economic status, veteran status, or any other protected class, in accordance with applicable laws. Accommodations are available for applicants with disabilities.
 Here are some of the ways we support our staff:
* Culture Committee
* Leadership Development Training
* Paid Volunteering Time</t>
        </is>
      </c>
    </row>
    <row r="94">
      <c r="A94" t="inlineStr">
        <is>
          <t>li-4367034859</t>
        </is>
      </c>
      <c r="B94" t="inlineStr">
        <is>
          <t>Senior Data Engineer</t>
        </is>
      </c>
      <c r="C94" t="inlineStr">
        <is>
          <t>Jobs via Dice</t>
        </is>
      </c>
      <c r="D94" t="inlineStr">
        <is>
          <t>linkedin</t>
        </is>
      </c>
      <c r="E94">
        <f>HYPERLINK("https://www.linkedin.com/jobs/view/4367034859", "https://www.linkedin.com/jobs/view/4367034859")</f>
        <v/>
      </c>
      <c r="F94" t="inlineStr"/>
      <c r="G94" t="inlineStr">
        <is>
          <t>Florida, United States</t>
        </is>
      </c>
      <c r="H94" t="inlineStr"/>
      <c r="I94" t="inlineStr">
        <is>
          <t>Dice is the leading career destination for tech experts at every stage of their careers. Our client, Apex Systems, is seeking the following. Apply via Dice today!
**Job\#: 3019985**
**Job Description:**
**Senior Data Engineer \- Advanced Analytics \&amp; GenAI Solutions**
**Location:** 
 Onsite 4x per week in Orlando FL (1x remote weekly)
**Type:** 
 Full\-Time
**About The Opportunity**
 Our client is seeking a highly skilled
 **Senior Data Engineer** 
 to join a forward\-thinking Decision Science and Integration team. This group uses advanced technologies, optimization, statistical modeling, and cutting\-edge analytics to design innovative tools that empower data\-driven decisions across a wide portfolio of business areas.
 This role is ideal for someone who thrives at the intersection of
 **data engineering, AI/GenAI innovation, and strategic problem\-solving** 
 . You will play a key part in building the data foundation for next\-generation analytical products.
**What You'll Do**
 As a Senior Data Engineer, you will:
* Lead the research, design, and development of advanced analytic data solutions leveraging GenAI.
* Collaborate closely with business and technology leaders to understand requirements, data sources, and strategic objectives across multiple business units.
* Design, build, and deliver robust ELT/ETL pipelines and data architectures that power high\-impact analytics and decision\-support solutions.
* Partner with product, data science, and client teams to bring analytical tools from concept to production\-including planning, estimating, development, testing, deployment, and ongoing maintenance.
* Participate in and facilitate design reviews, conduct hands\-on data engineering work, and communicate technical approaches and solutions to both technical and non\-technical stakeholders.
**Required Qualifications**
* Bachelor's degree in Computer Science, Mathematics, Software Engineering, or related field; or equivalent professional experience.
* Multiple years of experience with:
+ Designing and building large\-scale data structures and pipelines
+ ELT/ETL development and maintenance
+ SQL and Python
* Strong ability to work across multiple teams in a fast\-paced, collaborative environment.
* Experience communicating technical concepts to diverse audiences.
**Preferred Qualifications**
* Master's degree in Computer Science, Mathematics, Engineering, or a related field.
* Experience with:
+ Assessing and estimating data engineering level\-of\-effort
+ Project and sprint planning
+ Containerization technologies such as Docker or Kubernetes
+ Cloud architectures, preferably AWS.
**Why This Role Matters**
 You'll be part of a team shaping the future of intelligent decision\-making for a large\-scale enterprise. Your work will directly support high\-visibility projects and help create advanced analytics capabilities that drive measurable business value.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or .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t>
        </is>
      </c>
    </row>
    <row r="95">
      <c r="A95" t="inlineStr">
        <is>
          <t>li-4367046674</t>
        </is>
      </c>
      <c r="B95" t="inlineStr">
        <is>
          <t>Data Engineer with Snowflake-Plano, TX</t>
        </is>
      </c>
      <c r="C95" t="inlineStr">
        <is>
          <t>Jobs via Dice</t>
        </is>
      </c>
      <c r="D95" t="inlineStr">
        <is>
          <t>linkedin</t>
        </is>
      </c>
      <c r="E95">
        <f>HYPERLINK("https://www.linkedin.com/jobs/view/4367046674", "https://www.linkedin.com/jobs/view/4367046674")</f>
        <v/>
      </c>
      <c r="F95" t="inlineStr"/>
      <c r="G95" t="inlineStr">
        <is>
          <t>Plano, TX</t>
        </is>
      </c>
      <c r="H95" t="inlineStr"/>
      <c r="I95" t="inlineStr">
        <is>
          <t>Dice is the leading career destination for tech experts at every stage of their careers. Our client, mProgen, is seeking the following. Apply via Dice today!
**Required Skills \&amp; Qualifications:**
* Bachelor s degree in Computer Science, Information Systems, or related field.
* 4\+ years of experience as a BI Engineer, Data Engineer, or Data Analyst.
* Strong hands\-on experience with Snowflake (data modeling, warehouse design, performance tuning).
* Advanced SQL skills complex joins, CTEs, and query optimization.
* Proficiency in Tableau for dashboard development, visualization design, and performance tuning.
* Knowledge of ETL/ELT tools such as dbt, Informatica, or Matillion.
* Strong understanding of data warehousing concepts (Star/Snowflake schema, facts, and dimensions).
* Familiarity with cloud platforms (AWS, Azure, or Google Cloud Platform).
* Excellent analytical thinking and communication skills.</t>
        </is>
      </c>
    </row>
    <row r="96">
      <c r="A96" t="inlineStr">
        <is>
          <t>li-4367377684</t>
        </is>
      </c>
      <c r="B96" t="inlineStr">
        <is>
          <t>Infrastructure Edge Planning, Data Engineer, Edge Strategy and Planning</t>
        </is>
      </c>
      <c r="C96" t="inlineStr">
        <is>
          <t>Amazon Web Services (AWS)</t>
        </is>
      </c>
      <c r="D96" t="inlineStr">
        <is>
          <t>linkedin</t>
        </is>
      </c>
      <c r="E96">
        <f>HYPERLINK("https://www.linkedin.com/jobs/view/4367377684", "https://www.linkedin.com/jobs/view/4367377684")</f>
        <v/>
      </c>
      <c r="F96">
        <f>HYPERLINK("https://www.amazon.jobs/jobs/3169655/infrastructure-edge-planning-data-engineer-edge-strategy-and-planning?cmpid=SPLICX0248M&amp;utm_source=linkedin.com&amp;utm_campaign=cxro&amp;utm_medium=social_media&amp;utm_content=job_posting&amp;ss=paid&amp;urlHash=aV5w", "https://www.amazon.jobs/jobs/3169655/infrastructure-edge-planning-data-engineer-edge-strategy-and-planning?cmpid=SPLICX0248M&amp;utm_source=linkedin.com&amp;utm_campaign=cxro&amp;utm_medium=social_media&amp;utm_content=job_posting&amp;ss=paid&amp;urlHash=aV5w")</f>
        <v/>
      </c>
      <c r="G96" t="inlineStr">
        <is>
          <t>Denver, CO</t>
        </is>
      </c>
      <c r="H96" t="inlineStr"/>
      <c r="I96" t="inlineStr">
        <is>
          <t>**Description**
 Application deadline: Feb 3, 2026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offers a broad set of global compute, storage, database, analytics, application, and deployment services that help organizations move faster, lower IT costs, and scale applications. We are growing quickly and dynamically, including in our global data center footprint. This role is part of the Infrastructure Global Strategy and Planning team, which is responsible for our strategy for data center expansion for edge infrastructure.
 In this role, you will build data automation systems to transform interconnect capacity planning across locations. You will create data pipelines and analytics frameworks for infrastructure metrics, while developing Extract, Transform, and Load (ETL) processes to integrate data from heatmaps, CloudForge, build plans, and financial systems. Your work will support both current optimization and long\-term planning through data models that connect data center architectures with network designs.
 Your main task will be building automated workflows that replace manual processes. This includes creating monitoring systems for capacity constraints, alerts for capacity thresholds, visualization dashboards, and forecasting models. Your work will improve infrastructure cost optimization and growth planning through data\-driven insights.
 The role requires collaboration with infrastructure teams to capture data requirements and with business stakeholders to convert metrics into actions. You will deliver automated data integration systems, analytics platforms for capacity monitoring, forecasting models, and infrastructure health metrics. By combining data engineering skills with infrastructure planning knowledge, you will build systems that reduce costs and enable network scalability. This role will shape how we use data for infrastructure decisions, requiring both data engineering expertise and understanding of infrastructure planning.
 Key job responsibilities
* Build automated data pipelines to collect and analyze infrastructure metrics from multiple sources
* Design and implement ETL workflows to integrate data from heatmaps, CloudForge, build plans, and financial systems
* Develop monitoring systems and dashboards for real\-time infrastructure capacity tracking
* Create predictive models for capacity planning and cost optimization
* Automate manual data collection and analysis processes
* Partner with infrastructure teams to deliver data\-driven planning insights
* Developing data and API integrations across multiple platforms
 A day in the life
 A Data Engineer in Edge Infrastructure enables data\-driven decisions for one of the world's largest edge networks, transforming raw infrastructure data into actionable insights for capacity planning and optimization. You'll monitor automated data pipelines processing metrics from hundreds of edge sites, design predictive analytics for capacity forecasting, and build machine learning models to identify cost\-saving opportunities. Working closely with infrastructure teams, you'll create visualization tools, implement automated alerts, and develop APIs for data access. Your solutions will help transform infrastructure planning from manual analysis to automated, data\-driven decision\-making, directly impacting Amazon's ability to optimize its global edge network.
**About The Team**
 Within AWS Networking, the Internet Edge organization is responsible for connecting Amazon to Internet. With connections to thousands of unique external networks in hundreds of locations across the world, our mission is to deliver an internet\-connectivity experience that sets the global standard for performance, availability, security, and cost, making Amazon the clear choice for customers’ needs. Our team provides high\-performing internet connectivity for a wide range of use cases, such as retail (amazon.com), video streaming (Prime Video), content delivery (CloudFront), DNS (Route53\), AWS services (such as EC2/S3\), consumer devices (such as FireTV/Kindle/Echo), and more.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3\+ years of data engineering experience
* Experience with data modeling, warehousing and building ETL pipelines
* Knowledge of data visualization tools such as Quick Sight, Tableau, Power BI or other BI packages
* Experience writing complex SQL queries
* Object oriented programming (Python Preferred)
**Preferred Qualifications**
* Experience with AWS technologies like Redshift, S3, AWS Glue, EMR, Kinesis, FireHose, Lambda, and IAM roles and permissions
* Experience with non\-relational databases / data stores (object storage, document or key\-value stores, graph databases, column\-family databases)
* Experience with infrastructure metrics, capacity planning, or network data analysis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\- 132,100\.00 \- 178,800\.00 USD annually
**Company** 
 \- Amazon Data Services, Inc.
 Job ID: A3169655</t>
        </is>
      </c>
    </row>
    <row r="97">
      <c r="A97" t="inlineStr">
        <is>
          <t>li-4367041728</t>
        </is>
      </c>
      <c r="B97" t="inlineStr">
        <is>
          <t>Immediate hiring for Data Engineer : Scottsdale AZ</t>
        </is>
      </c>
      <c r="C97" t="inlineStr">
        <is>
          <t>Jobs via Dice</t>
        </is>
      </c>
      <c r="D97" t="inlineStr">
        <is>
          <t>linkedin</t>
        </is>
      </c>
      <c r="E97">
        <f>HYPERLINK("https://www.linkedin.com/jobs/view/4367041728", "https://www.linkedin.com/jobs/view/4367041728")</f>
        <v/>
      </c>
      <c r="F97">
        <f>HYPERLINK("https://click.appcast.io/t/eSf-zXbJctlahuL0RVymtcXKRLbJC8jArJjagWYAU1w=&amp;urlHash=525q", "https://click.appcast.io/t/eSf-zXbJctlahuL0RVymtcXKRLbJC8jArJjagWYAU1w=&amp;urlHash=525q")</f>
        <v/>
      </c>
      <c r="G97" t="inlineStr">
        <is>
          <t>Scottsdale, AZ</t>
        </is>
      </c>
      <c r="H97" t="inlineStr"/>
      <c r="I97" t="inlineStr">
        <is>
          <t>Dice is the leading career destination for tech experts at every stage of their careers. Our client, e\-IT Professionals Corp., is seeking the following. Apply via Dice today!
**Hi**
**Professional greetings from E\-IT please share with updated resume**
**Role: Azure Data Engineer**
**Exp: 10\+ years**
**Location: Scottsdale AZ**
**Duration : Fulltime**
**Minimum Qualifications**
* Education and/or experience typically obtained through a Bachelor s degree in Computer Science or a related technical field.
* Twelve or more years of relevant professional experience.
* Nine or more years of experience designing and developing complex data\-intensive systems, including data platforms, distributed systems, SaaS, and cloud\-based solutions.
* Two or more years of experience building end\-to\-end data management platforms, including data modeling, data governance, BI/reporting, and ML lifecycle support.
* Five or more years of experience with data pipeline development and BI/reporting solutions (e.g., Tableau, Business Objects, Grafana, or similar tools).
* Experience working with advanced analytics or ML workloads using tools such as Python, PySpark, or Spark.
* Hands\-on experience with Docker and containerized workloads.
* Experience designing and developing scalable, highly available systems.
* Experience with event\-driven architectures and messaging frameworks (e.g., Pub/Sub, Kafka, RabbitMQ).
* Hands\-on experience with cloud infrastructure platforms (Google Cloud Platform, AWS, Azure, or equivalent).
* Strong knowledge of mature engineering practices, including CI/CD, automated testing, secure coding, SDLC best practices, Agile methodologies, and DevOps practices.
* Demonstrated experience delivering business\-critical, production\-grade systems.
* Partner with software engineering, product, and architecture teams to shape data engineering approaches.
* Own the data and technical strategy for broad or complex requirements, taking forward\-looking approaches to address large, open\-ended problems.
* Review and validate the effectiveness, quality, and scalability of code produced by multiple teams.
* Be accountable for resolving technical conflicts within and across teams.
* Drive technical architecture, design, prototyping, and implementation in support of product needs and overall technology and data strategy.
* Represent engineering in cross\-functional forums; present clear, well\-reasoned technical arguments and influence alignment and outcomes.
* Collaborate with product managers, designers, and engineering groups to conceptualize and build new data\-driven features.
* Actively own data platforms, pipelines, or systems and define their long\-term health, while improving the reliability and scalability of systems.
* Assist Support and Operations teams in identifying and resolving production issues.
* Develop and implement tests and validation mechanisms to ensure data quality, performance, and scalability.
* Mentor and develop other engineers and serve as a technical leader on cross\-functional initiatives.
* Proactively identify opportunities to improve engineering standards, tooling, and processes.
* Support the company s commitment to risk management and the protection of the integrity, availability, and confidentiality of systems and data.</t>
        </is>
      </c>
    </row>
    <row r="98">
      <c r="A98" t="inlineStr">
        <is>
          <t>li-4367048535</t>
        </is>
      </c>
      <c r="B98" t="inlineStr">
        <is>
          <t>Google Cloud Platform Data Engineer</t>
        </is>
      </c>
      <c r="C98" t="inlineStr">
        <is>
          <t>Jobs via Dice</t>
        </is>
      </c>
      <c r="D98" t="inlineStr">
        <is>
          <t>linkedin</t>
        </is>
      </c>
      <c r="E98">
        <f>HYPERLINK("https://www.linkedin.com/jobs/view/4367048535", "https://www.linkedin.com/jobs/view/4367048535")</f>
        <v/>
      </c>
      <c r="F98" t="inlineStr"/>
      <c r="G98" t="inlineStr">
        <is>
          <t>Bentonville, AR</t>
        </is>
      </c>
      <c r="H98" t="inlineStr"/>
      <c r="I98" t="inlineStr">
        <is>
          <t>Dice is the leading career destination for tech experts at every stage of their careers. Our client, Data Capital Inc, is seeking the following. Apply via Dice today!
**Job Summary**
 We are seeking an experienced
 **Senior Data Engineer** 
 with strong expertise in
 **Spark, Streaming technologies, and Google Cloud Platform** 
 to design and build
 **real\-time, scalable data pipelines** 
 . The ideal candidate will work on ingesting, transforming, and delivering data for
 **analytics and machine learning** 
 use cases.
* Design, develop, and maintain scalable ETL/ELT pipelines for batch and real\-time data processing.
* Build and optimize real\-time data pipelines using Apache Spark (PySpark/Scala) and streaming technologies such as Kafka, Flink, and Google Cloud Platform Pub/Sub.
* Develop and manage data architectures including data lakes, BigQuery data warehouses, and streaming platforms.
* Perform performance tuning of Spark jobs, Spark SQL queries, and data workflows for efficiency and cost optimization.
* Implement data quality checks, monitoring, and alerting to ensure data reliability and consistency.
* Work extensively with Google Cloud Platform services such as BigQuery, Dataproc, Pub/Sub, Vertex AI, and Cloud Functions.
* Write efficient, scalable code using Python, SQL, PySpark, and Spark SQL.
* Apply strong data modeling techniques to support analytics and ML use cases.
* Collaborate with analytics, ML, and business teams to deliver high\-quality data solutions.
* Utilize tools like Airflow, Databricks, Docker, and Kubernetes where applicable.</t>
        </is>
      </c>
    </row>
    <row r="99">
      <c r="A99" t="inlineStr">
        <is>
          <t>li-4367384413</t>
        </is>
      </c>
      <c r="B99" t="inlineStr">
        <is>
          <t>Aviation Data Engineer, Lead</t>
        </is>
      </c>
      <c r="C99" t="inlineStr">
        <is>
          <t>Booz Allen Hamilton</t>
        </is>
      </c>
      <c r="D99" t="inlineStr">
        <is>
          <t>linkedin</t>
        </is>
      </c>
      <c r="E99">
        <f>HYPERLINK("https://www.linkedin.com/jobs/view/4367384413", "https://www.linkedin.com/jobs/view/4367384413")</f>
        <v/>
      </c>
      <c r="F99" t="inlineStr"/>
      <c r="G99" t="inlineStr">
        <is>
          <t>Washington, DC</t>
        </is>
      </c>
      <c r="H99" t="inlineStr"/>
      <c r="I99" t="inlineStr">
        <is>
          <t>**Job Number: R0233129**
 Aviation Data Engineer, Lead
**The Opportunity:**
 Ever\-expanding technology like IoT, machine learning, and artificial intelligence means that there’s more structured and unstructured data available today than ever before. As a data engineer, you know that organizing data can yield pivotal insights when it’s gathered from disparate sources. We need an experienced data professional like you to help our clients find answers in their data to impact important missions—from fraud detection to cancer research to national intelligence.
 As an Aviation Data Engineer at Booz Allen, you’ll use your expertise to help build advanced technology solutions and lead data engineering activities on some of the most mission\-driven projects in the industry. You’ll guide data engineering activities by overseeing the development and deployment of pipelines and platforms that organize and make disparate data meaningful.
 Here, you’ll mentor a multi\-disciplinary team of analysts, data engineers, developers, and data consumers in a fast\-paced, agile environment. You’ll use your expertise in analytical exploration and data examination while you oversee the assessment, design, building, and maintenance of scalable platforms for your clients.
 Work with us to use data for good.
 Join us. The world can’t wait.
**You Have:**
* 7\+ years of experience in application development using Databricks, PySpark, and AWS
* 7\+ years of experience designing, developing, operationalizing, and maintaining complex data applications at enterprise scale
* 5\+ years of experience creating software for retrieving, parsing, and processing structured and unstructured data
* 5\+ years of experience developing scalable ETL or ELT workflows for reporting and analytics
* Experience developing scripts and programs for converting various types of data into usable formats and supporting the project team to scale, monitor, and operate data platforms
* Experience with aviation, geospatial, and weather datasets
* Experience supervising others and leading projects and deliverables within a collaborative, cross\-functional team environment
* Ability to obtain and maintain a Public Trust or Suitability/Fitness determination based on client requirements
* Bachelor’s degree
**Nice If You Have:**
* 5\+ years of experience with a public cloud, including AWS, Microsoft Azure, or Google Cloud
* 5\+ years of experience with distributed data and computing tools, including Spark, Databricks, Hadoop, Hive, AWS EMR, or Kafka
* 5\+ years of experience working on real\-time data and streaming applications
* 5\+ years of experience with NoSQL implementation, including MongoDB or Cassandra
* 5\+ years of experience with data warehousing, including AWS Redshift, MySQL, or Snowflake
* 5\+ years of experience with UNIX/Linux, including basic commands and Shell scripting
* 5\+ years of experience with Agile engineering practices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00">
      <c r="A100" t="inlineStr">
        <is>
          <t>li-4367384528</t>
        </is>
      </c>
      <c r="B100" t="inlineStr">
        <is>
          <t>ServiceNow Platform Analytics Engineer</t>
        </is>
      </c>
      <c r="C100" t="inlineStr">
        <is>
          <t>SAIC</t>
        </is>
      </c>
      <c r="D100" t="inlineStr">
        <is>
          <t>linkedin</t>
        </is>
      </c>
      <c r="E100">
        <f>HYPERLINK("https://www.linkedin.com/jobs/view/4367384528", "https://www.linkedin.com/jobs/view/4367384528")</f>
        <v/>
      </c>
      <c r="F100" t="inlineStr"/>
      <c r="G100" t="inlineStr">
        <is>
          <t>Washington, DC</t>
        </is>
      </c>
      <c r="H100" t="inlineStr"/>
      <c r="I100" t="inlineStr">
        <is>
          <t>Job ID 2600824
**Location** 
 WASHINGTON, DC, US
**Date Posted** 
 2026\-01\-29
**Category** 
 Software
**Subcategory** 
 SW Engineer
**Schedule** 
 Full\-time
**Shift** 
 Day Job
**Travel** 
 No
**Minimum Clearance Required Secret**
**Clearance Level Must Be Able to Obtain** 
 None
**Potential for Remote Work** 
 Yes
**Description**
 We are seeking a skilled ServiceNow Platform Analytics Engineer to develop Department of State Assessment Tool (DOSAT) dashboards. The engineer will be supporting the Vendor Performance Management (VPM) initiatives within the Department of State’s Bureau of Diplomatic Technology (DT).
 This role is hybrid and reports onsite in Washington, DC on Tuesday and Thursday.
**Responsibilities**
* Data Visualization \&amp; Reporting Create and maintain interactive dashboards, reports, and scorecards using ServiceNow Platform Analytics.
* Performance Analysis Develop and monitor key performance indicators (KPIs) to measure feature usage, platform engagement, and system performance.
* Platform Optimization Analyze data to identify trends, insights, and opportunities for enhancing platform functionality and user experience.
* Data Governance \&amp; Modeling Ensure data accuracy, consistency, and integrity, including managing data models, ETL processes, and user access permissions.
* Technical Implementation Leverage knowledge of ServiceNow table structures, data relationships, and domain separation to ensure accurate data modeling.
* Cross\-functional Collaboration Work with Product Managers, Data Engineering, and leadership to define metrics, analyze user behavior, and support strategic decision\-making.
**Qualifications**
**Required Education \&amp; Experience**
* BS in Computer Science, Engineering, Information Systems, or related field and 14 years or more experience; MS and 12 years or more experience; may accept additional experience in lieu of degree.
* 5 or more years in data analytics, business intelligence, or product analytics.
* Technical Skills Proficiency in SQL and data visualization tools ServiceNow Platform Analytics – knowledge of Tableau is nice to have.
* Platform Knowledge Familiarity with specific platforms ServiceNow Performance Analytics and/or ServiceNow Platform Analytics.
* Analytical Skills Strong ability to conduct A/B testing, predictive modeling, and root cause analysis.
* Experience with common tools \&amp; technologies such as
+ Data Visualization ServiceNow Platform and Performance Analytics.
+ Database/Languages SQL, JavaScript, Glide API
**Required Clearance**
* US Citizenship.
* Active Secret Security Clearance.
 Target salary range $200,001 \- $240,000\. The estimate displayed represents the typical salary range for this position based on experience and other factors.</t>
        </is>
      </c>
    </row>
    <row r="101">
      <c r="A101" t="inlineStr">
        <is>
          <t>li-4330879570</t>
        </is>
      </c>
      <c r="B101" t="inlineStr">
        <is>
          <t>Principal Java Data Engineer</t>
        </is>
      </c>
      <c r="C101" t="inlineStr">
        <is>
          <t>PointClickCare</t>
        </is>
      </c>
      <c r="D101" t="inlineStr">
        <is>
          <t>linkedin</t>
        </is>
      </c>
      <c r="E101">
        <f>HYPERLINK("https://www.linkedin.com/jobs/view/4330879570", "https://www.linkedin.com/jobs/view/4330879570")</f>
        <v/>
      </c>
      <c r="F101" t="inlineStr"/>
      <c r="G101" t="inlineStr"/>
      <c r="H101" t="inlineStr"/>
      <c r="I101" t="inlineStr">
        <is>
          <t>At PointClickCare our mission is simple: to help providers deliver exceptional care. And that starts with our people. As a leading health tech company that’s founder\-led and privately held, we empower our employees to push boundaries, innovate, and shape the future of healthcare.
 With the largest long\-term and post\-acute care dataset and a Marketplace of 400\+ integrated partners, our platform serves over 30,000 provider organizations, making a real difference in millions of lives. We also reinvest a significant percentage of our revenue back into research and development, ensuring our employees have the resources to innovate and make a lasting impact. Recognized by Forbes as a top private cloud company and honored as one of Canada’s Most Admired Corporate Cultures, we offer flexibility, growth opportunities, and meaningful work.
 At PointClickCare, we empower our people to be the architects of a smarter healthcare future; one that is human\-first and accelerated by AI to create meaningful and lasting change. Employees harness AI as a catalyst for creativity, productivity, and thoughtful decision\-making. By integrating AI tools into our daily workflows, collaboration is enhanced, outcomes are improved, and every team member has the proficiency to maximize their impact. It all starts with our hiring practices where we uncover AI expertise that complements our mission, and we continue to invest in training and development to nurture innovation throughout the employee journey.
 Join us in redefining healthcare — so it doesn’t just survive, it thrives. To learn more about PointClickCare, check out Life at PointClickCare and connect with us on Glassdoor and LinkedIn.
* Travel to Office expectations\*\*
**For Remote Roles** 
 : If this role is remote, there will be in\-office events that will require travel to and from the Mississauga and/or Salt Lake City office. These will include, but not limited to, onboarding, team events, semi\-annual and annual team meetings.
**For Hybrid Roles** 
 : If this role is Hybrid, there will be an expectation to reside within commutable distance to the office/location specified in the job listing. This will include, but not limited to, weekly/bi\-weekly/monthly events in the office with your specific team. This is a requirement for this role.
 PointClickCare is searching for a Principal Software Data Engineer who will contribute to all phases of the software development life cycle, and will play a crucial role in designing, developing, and maintaining large scale Data Platform and data pipelines based on microservices architecture, while also encouraging and optimizing the daily execution of technical excellence across an empowered team.
 This is a hands\-on leadership role, requiring the ability to enhance and implement batch and real\-time data solutions already in progress, mentor other team members, and deliver both business and technical objectives through ambiguity and uncertainty.
 This is an opportunity to shape the future of our data ecosystem. You’ll work with a passionate team and modern technologies to drive innovation that impacts the entire organization. The ideal candidate thrives as an individual contributor, while making a significant technical impact and elevating the team’s capabilities.
 To succeed as a Principal Software Data Engineer at PointClickCare, you need to be collaborative, adventurous and passionate. Collaborative means that you’re enthusiastic about jumping in to help achieve the team’s top priorities, no self\-promoting politicians allowed. Adventurous means that you’re not afraid to dive into uncharted technical territory and get your own hands dirty, while supporting and driving delivery of complex features through a dedicated Scrum team. Passionate means that you’re eager to learn and share knowledge that drives the team forward, and excited to be part of a movement that is positively impacting the lives of seniors and their caregivers all over North America.
**What Your Day\-to\-day Will Look Like**
* Lead and guide the design and implementation of scalable distributed systems based on Java microservices
* Engineer and optimize data pipelines using solutions like Apache Hudi, Apache Trino, Azure ADLS
* Collaborate cross\-functionally with product, analytics, and AI teams to ensure data is a strategic asset
* Advance ongoing modernization efforts, deepening adoption of event\-driven architectures and cloud\-native technologies
* Drive adoption of best practices in data governance, observability, and performance tuning for data workloads
* Embed data quality in processing pipelines by defining schema contracts, implementing transformation tests and data assertions, enforcing backward\-compatible schema evolution, and automating checks for freshness, completeness, and accuracy across batch and streaming paths before production deployment
* Establish robust observability for data pipelines by implementing metrics, logging, and distributed tracing for streaming jobs, defining SLAs and SLOs for latency and throughput, and integrating alerting and dashboards to enable proactive monitoring and rapid incident response
* Foster a culture of quality through peer reviews, providing constructive feedback and seeking input on your own work
**What Qualifications We’re Looking For**
* Principal Software Data Engineer with at least 10 years of professional experience in software or data engineering, including a minimum of 4 years focused on data pipelines (batch and streaming)
* Proven experience driving technical direction and mentoring engineers while delivering complex, high\-scale solutions as a hands\-on contributor
* Strong understanding of event\-driven architectures and distributed systems, with hands\-on experience implementing resilient, low\-latency pipelines
* Practical experience with cloud platforms (AWS, Azure, or GCP) and containerized deployments for data workloads
* Fluency in data quality practices and CI/CD integration, including schema management, automated testing, and validation frameworks (e.g., dbt, Great Expectations)
* Operational excellence in observability, with experience implementing metrics, logging, tracing, and alerting for data pipelines using modern tools
* Solid foundation in data governance and performance optimization, ensuring reliability and scalability across batch and streaming environments
* Proven experience with Lakehouse architectures and related technologies, including Apache Hudi, Azure ADLS Gen2, HDFS, and other big data technologies (Trino, Databricks, Spark)
* Strong collaboration and communication skills, with the ability to influence stakeholders and evangelize modern data practices within your team and organization.
**PointClickCare Benefits \&amp; Perks**
 Benefits starting from Day 1!
 Retirement Plan Matching
 Flexible Paid Time Off
 Wellness Support Programs and Resources
 Parental \&amp; Caregiver Leaves
 Fertility \&amp; Adoption Support
 Continuous Development Support Program
 Employee Assistance Program
 Allyship and Inclusion Communities
 Employee Recognition … and more!
 It is the policy of PointClickCare to ensure equal employment opportunity without discrimination or harassment on the basis of race, religion, national origin, status, age, sex, sexual orientation, gender identity or expression, marital or domestic/civil partnership status, disability, veteran status, genetic information, or any other basis protected by law. PointClickCare welcomes and encourages applications from people with disabilities. Accommodations are available upon request for candidates taking part in all aspects of the selection process. Please contact recruitment@pointclickcare.com should you require any accommodations. As part of our commitment to a streamlined and equitable hiring experience, PointClickCare uses AI tools to assist with candidate screening and assessment.
 When you apply for a position, your information is processed and stored with Lever, in accordance with Lever’s Privacy Policy. We use this information to evaluate your candidacy for the posted position. We also store this information, and may use it in relation to future positions to which you apply, or which we believe may be relevant to you given your background. When we have no ongoing legitimate business need to process your information, we will either delete or anonymize it. If you have any questions about how PointClickCare uses or processes your information, or if you would like to ask to access, correct, or delete your information, please contact PointClickCare’s human resources team: recruitment@pointclickcare.com
 PointClickCare is committed to Information Security. By applying to this position, if hired, you commit to following our information security policies and procedures and making every effort to secure confidential and/or sensitive information.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*At PointClickCare, base salary is one of the many components that make up our total rewards package. The USD base salary range for this position is $183,000\-$203,000 \+ bonus \+ benefits. Our salary ranges are determined by job and level. The range displayed on each job posting reflects the target for new hire salaries for the position across all US locations. Within the range, individual compensation is determined by job\-related skills and knowledge, relevant experience including professional and lived experience, and/or work location. Your recruiter can share more information about our total rewards package during the hiring process.*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2026-01-30T03:10:43Z</dcterms:created>
  <dcterms:modified xsi:type="dcterms:W3CDTF">2026-01-30T03:10:43Z</dcterms:modified>
</cp:coreProperties>
</file>