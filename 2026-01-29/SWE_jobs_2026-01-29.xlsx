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in-2e9da82719c336f6</t>
        </is>
      </c>
      <c r="B2" t="inlineStr">
        <is>
          <t>Senior Software Engineer</t>
        </is>
      </c>
      <c r="C2" t="inlineStr">
        <is>
          <t>Tenable</t>
        </is>
      </c>
      <c r="D2" t="inlineStr">
        <is>
          <t>indeed</t>
        </is>
      </c>
      <c r="E2" t="inlineStr"/>
      <c r="F2" t="inlineStr"/>
      <c r="G2" t="inlineStr">
        <is>
          <t>Columbia, MD, US</t>
        </is>
      </c>
      <c r="H2" s="2" t="n">
        <v>46050</v>
      </c>
      <c r="I2"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seeking a **Full Stack Senior Software Engineer** to join our core product engineering teams. You will play a pivotal role in designing, developing, and maintaining **cloud\-native, large\-scale cybersecurity products** that protect organizations worldwide. Our platforms operate in complex, ever\-changing environments and demand innovation in **scalability, reliability, and performance**.
As a Senior Software Engineer, you will build and optimize highly scalable microservices and user experiences, leveraging **modern programming languages, frameworks, and cloud technologies**. Your work will directly enable customers to secure their applications, infrastructure, and digital assets at scale.
**Your Opportunity:**
* **Shape the Architecture:** Contribute to the design and implementation of new features while influencing system architecture to meet performance and scalability goals.
* **Innovate at Scale:** Advance Tenable's global cloud platforms and distributed systems to deliver high\-availability, high\-security solutions.
* **Continuous Learning:** Access training budgets, conferences, and certifications to stay ahead in security, cloud, and software engineering.
* **Raise the Bar:** Champion engineering excellence by introducing innovative practices, improving system performance, and mentoring teammates.
* **Collaborate \&amp; Lead:** Partner with Product Managers, UX designers, and fellow engineers. Mentor peers across teams, fostering a culture of innovation and technical rigor.
**What You'll Need:**
* 4\+ years of experience as a Full Stack Software Engineer in SaaS/cloud\-based applications.
* 3\+ years of hands\-on development with **Java or Kotlin.**
* Proficiency with modern UI frameworks (e.g., **React, Angular, Vue.js**).
* Strong expertise in **microservices architectures** and **RESTful API development**.
* Experience with **AWS or other public clouds**, distributed systems, and scaling services.
* Database fluency with both **SQL and NoSQL** (e.g., PostgreSQL, DynamoDB, Elasticsearch).
* Experience with **event\-driven systems** (Kafka, SQS, SNS, etc.).
* Familiarity with **DevOps practices**: CI/CD pipelines, containerization (Kubernetes, Docker), IaC (Terraform), and monitoring/observability (Prometheus, Datadog, ELK, Splunk, PagerDuty).
* Strong Git practices (branching, code reviews).
* Proven ability to own projects end\-to\-end, balancing trade\-offs and delivering high\-impact outcomes.
* Problem\-solving mindset with focus on **performance, scalability, and security**.
* Experience working in Agile environments.
* Strong communication skills and proven ability to mentor junior engineers.
* Curiosity and passion for staying current with emerging tech and industry trends.
**And Ideally:**
* Prior experience in **cybersecurity, DevSecOps, or security tooling.**
* Background in **on\-premise and hybrid deployments.**
* Experience with **multi\-tenant SaaS architectures.**
* Familiarity with vulnerability management, application scanning, or related domains.
\#LI\-Hybrid
\#LI\-MS1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3">
      <c r="A3" t="inlineStr">
        <is>
          <t>in-255bd3616efcfb90</t>
        </is>
      </c>
      <c r="B3" t="inlineStr">
        <is>
          <t>Software Engineer, Fundamental Research Tools</t>
        </is>
      </c>
      <c r="C3" t="inlineStr">
        <is>
          <t>Point72</t>
        </is>
      </c>
      <c r="D3" t="inlineStr">
        <is>
          <t>indeed</t>
        </is>
      </c>
      <c r="E3" t="inlineStr"/>
      <c r="F3" t="inlineStr"/>
      <c r="G3" t="inlineStr">
        <is>
          <t>New York, NY, US</t>
        </is>
      </c>
      <c r="H3" s="2" t="n">
        <v>46050</v>
      </c>
      <c r="I3" t="inlineStr">
        <is>
          <t>**EXPERIENCE**
Experienced Professionals
**LOCATION**
New York
**FOCUS**
Software \&amp; System Engineering
**BUSINESS**
Point72
### **A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 **What you’ll do**
* Develop, implement, and maintain front‑end user interfaces using modern web technologies (Typescript, HTML, CSS, Angular/React).
* Extend and/or develop microservices in Node.js or C\#
* Provide data to microservices from data sources such as SQL, Mongo, and Databricks
* Build and enhance platform\-level AI capabilities by integrating and extending MCP, agents, tools
* Collaborate closely with UX designers, product managers, and platform engineers to deliver seamless end‑to‑end user experiences
* Troubleshoot issues, perform code reviews, and ensure adherence to coding standards and best practices
* Prevent, identify, and fix risks and issues caused by application development changes or infrastructure changes
* Coordinate weekly and emergency releases with other Technology teams
* Engaging team and monitoring each stage of the project
* Determine and oversee consistent testing, evaluation, and troubleshooting of all products in all stages of completion
### **What’s required**
* Understanding of the hedge fund business and environment
* Technical knowledge in Typescript, Node.JS, C\#, HTML, and CSS
* Self\-motivated and dedicated mindset, with the ability to take ownership and deliver within a reasonable timeline
* Passion for building mission\-critical, elegantly engineered, and scalable code following clean coding practices (SOLID, continuous refactoring, testing)
* Professional and precise communication skills
* Ability to design self\-contained, reusable, and testable modules and components
* Comfort operating in a fast paced, Agile environment
* Fluency with Git source code management
* Experience creating configuration, build, and test scripts for Continuous Integration environments and experience writing extensive unit tests using automated TDD tasks
* Commitment to the highest ethical standards
###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$175,000\-$245,000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4">
      <c r="A4" t="inlineStr">
        <is>
          <t>in-1d704b59da60998f</t>
        </is>
      </c>
      <c r="B4" t="inlineStr">
        <is>
          <t>Senior Software Engineer - Backend / AI</t>
        </is>
      </c>
      <c r="C4" t="inlineStr">
        <is>
          <t>Uber</t>
        </is>
      </c>
      <c r="D4" t="inlineStr">
        <is>
          <t>indeed</t>
        </is>
      </c>
      <c r="E4" t="inlineStr"/>
      <c r="F4" t="inlineStr"/>
      <c r="G4" t="inlineStr">
        <is>
          <t>Sunnyvale, CA, US</t>
        </is>
      </c>
      <c r="H4" s="2" t="n">
        <v>46050</v>
      </c>
      <c r="I4" t="inlineStr">
        <is>
          <t>**About the Role**  
The Conversational Assistants team brings together Uber's products, state of the art cognitive technologies and Uber's engineering infrastructure to deliver automated conversational assistants a.k.a chatbots to provide enhanced customer experience.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**What You'll Do**  
We are seeking a strong and passionate software engineer with experience in building chatbots. You will be responsible for creating scalable, reliable, manageable chatbots that deliver on conversational requirements at Uber by bringing together LLM prompts and Assistant building platforms at Uber. You will be owning customer facing chatbots that impact the support experience of millions of customers. You will also be leading the NLP based chatbot to GenAI based chatbot migrations as well as augmenting the existing GenAI chatbots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1\. Bachelors Degree, or above, in Comp Science or related field
2\. Scalable system architecture design
3\. Production\-quality services, deployment, monitoring, and reliability.
4\. Microservice designs, gRPC or REST API development
5\. Ability to decompose complex business problems into clean, extensible, performant services and systems
6\. Logging, monitoring, performance troubleshooting and tuning experience
7\. Excellent problem\-solving skills and the ability to work in a collaborative team environment
8\. Comfortable in navigating multi\-disciplinary teams with respect
9\. Focus on code quality in terms of coverage, code reviews
10\. Excellent technical writing skills to communicate design, requirements, flows, architecture
11\. Fluent in one of these programming languages: Golang, Scala, Java,
12\. Comfortable in one of these scripting languages: Javascript, python
13\. Solid understanding of algorithms, data structures, and software design principles.
14\. Experience with version control systems such as Git.
**Preferred Qualifications**  
1\. Experience in machine learning, GenAI, or LLM technologies.
2\. Experience with building conversational assistants
3\. Dialog management systems like Google Dialogflow, Amazon Alexa
4\. Familiarity with large scale distributed systems like Kafka and cloud platforms like AWS, GCP, or Azure.
5\.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t>
        </is>
      </c>
    </row>
    <row r="5">
      <c r="A5" t="inlineStr">
        <is>
          <t>in-bc3895f748130176</t>
        </is>
      </c>
      <c r="B5" t="inlineStr">
        <is>
          <t>Product Development - Senior Software Engineer</t>
        </is>
      </c>
      <c r="C5" t="inlineStr">
        <is>
          <t>PEAK TECHNOLOGIES</t>
        </is>
      </c>
      <c r="D5" t="inlineStr">
        <is>
          <t>indeed</t>
        </is>
      </c>
      <c r="E5" t="inlineStr"/>
      <c r="F5" t="inlineStr"/>
      <c r="G5" t="inlineStr">
        <is>
          <t>Franklin, MA, US</t>
        </is>
      </c>
      <c r="H5" s="2" t="n">
        <v>46050</v>
      </c>
      <c r="I5" t="inlineStr">
        <is>
          <t>For over 35 years, Peak Technologies has been at the forefront of providing end\-to\-end enterprise mobility, managed services, printing and mobile data capture solutions for performance\-driven organizations focused on the optimization of supply chain and field\-based business processes.
JOB SUMMARY \&amp; SCOPE
Lead and contribute to the development of complex software projects, leveraging their expertise in software design, coding, and problem\-solving. This role requires strong technical skills, leadership abilities, and a passion for delivering high\-quality software solutions.
KEY ACCOUNTABILITIES
* Collaborate with cross\-functional teams to design software solutions that meet business and technical requirements.
* Write clean, efficient, and maintainable code in accordance with best practices and coding standards.
* Lead and contribute to the development of software components and features, including front\-end and back\-end development.
* Conduct code reviews to ensure code quality, consistency, and adherence to coding standards.
* Provide guidance and mentorship to junior software engineers, fostering their professional growth.
* Act as a subject matter expert in specific technology areas and provide technical leadership to the team.
* Analyze and resolve complex technical issues and challenges as they arise.
* Develop and execute unit tests and ensure comprehensive test coverage.
* Collaborate with QA teams to ensure software quality and participate in the testing process.
* Implement and maintain continuous integration/continuous deployment (CI/CD) pipelines.
* Create and maintain technical documentation, including system architecture, design, and user guides.
* Work closely with product managers, designers, and other stakeholders to align software development with business goals.
* Participate in Agile/Scrum development processes, including sprint planning and retrospectives.
EDUCATION \+ EXPERIENCE \+ KEY TRAITS
* Bachelor's degree in computer science, software engineering, or a related field (Master's degree is a plus).
* Proven experience (5\+ years) as a software engineer, with a strong track record of successful software development projects.
* Proficiency in one or more programming languages (e.g., Python, Java, C\+\+, JavaScript).
* Experience with front\-end and back\-end technologies and frameworks.
* Strong knowledge of software design principles, data structures, and algorithms.
* Familiarity with software development methodologies (Agile, Scrum).
* Excellent problem\-solving and analytical skills.
* Strong communication and teamwork abilities.
* Commitment to upholding company values and promoting a culture of technical excellence.
TYPICAL PERFORMANCE TARGETS
* SERVICE DELIVERY: Sustained, measured excellence in project \&amp; process delivery
* COST TO SERVE: Sustained, measured excellence in delivery efficiency with expected continuous improvement
* INNOVATION: Step changed delivery in safety, quality, and/or cost
LANGUAGE SKILLS
* Primary language used in daily operations is English. Additional primary company languages include Spanish, French, and Dutch.
* Read and interpret documents, procedure manuals and various correspondence from both internal and external.
* Speak effectively, both individually and before groups of both external customers and/or various levels of employees within the organization.
MATHEMATICAL SKILLS
* Ability to apply concepts such as fractions, percentages, ratios, and proportions to practical situations.
REASONING ABILITY
* Ability to define problems, collect data, establish facts, and draw valid conclusions. Ability to interpret an extensive variety of technical instructions in mathematical or diagram form and deal with several abstract and concrete variables.
COMPUTER SKILLS
* To perform this job successfully, an individual should have knowledge of Microsoft Office suite, Excel, and Word specifically. CRM skills required.
SUPERVISION
* Role does not require supervision of direct and indirect reports.
DECISION MAKING \+ REASONING
* Able to take accountability and responsibility for business target delivery and decision making.
* Possess a unique blend of business and technical savvy, a big\-picture vision, and the drive to make that vision a reality.
WORKING RELATIONSHIPS
* Internal Customer
PHYSICAL REQUIREMENTS
Activity Amount of Time
None Under 1/3 1/3 to 2/3 Over 2/3
Stand X
Walk X
Sit X
Use hands to finger, handle, or feel X
Reach with hands and arms X
Climb or balance X
Stoop, kneel, crouch, or crawl X
Talk or hear X
Lift Up to 25lbs X
Travel X
Peak Technologies, Inc. is an Equal Opportunity Employer who fully and actively supports equal access for all people regardless of Race, Color, Religion, Gender, Age, National Origin, Veteran Status, Disability, Genetic Information or Testing, Family and Medical Leave, Sexual Orientation and Gender Identity or Expression.</t>
        </is>
      </c>
    </row>
    <row r="6">
      <c r="A6" t="inlineStr">
        <is>
          <t>in-a3c3d43da30f2d84</t>
        </is>
      </c>
      <c r="B6" t="inlineStr">
        <is>
          <t>Senior Software Engineer</t>
        </is>
      </c>
      <c r="C6" t="inlineStr">
        <is>
          <t>CarMax</t>
        </is>
      </c>
      <c r="D6" t="inlineStr">
        <is>
          <t>indeed</t>
        </is>
      </c>
      <c r="E6" t="inlineStr"/>
      <c r="F6" t="inlineStr"/>
      <c r="G6" t="inlineStr">
        <is>
          <t>Plano, TX, US</t>
        </is>
      </c>
      <c r="H6" s="2" t="n">
        <v>46050</v>
      </c>
      <c r="I6" t="inlineStr">
        <is>
          <t>8116 \- Midtown Office \- 2220 W. Broad Street, Richmond, Virginia, 23220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**Position Overview**
As a Senior Software Engineer, you will play a vital role in delivering scalable, cloud native, and customer centric applications that support CarMax’s mission to create a seamless, transparent, and flexible appraisal\-to\-sale experience. You will help enhance the digital and instore workflows that empower customers to sell their vehicles on their terms, working within a team that directly impacts core business outcomes.
You will collaborate with product managers, architects, UX partners, and engineers to build resilient systems, elevate customer experiences, and support CarMax’s commitment to innovation, integrity, and putting people first.
**Team Overview**
The Appraisal Checkout team ensures customers can confidently complete key steps after receiving a CarMax appraisal offer. The team owns the end\-to\-end experience for:
* Providing accurate ownership and vehicle details
* Submitting required documents
* Scheduling Pick Up, Drop Off, or In Store sale appointments
Your work will directly contribute to converting appraisal leads into completed purchases, supporting a best in class, transparent experience for every customer.
**Purpose of the Role**
This role is ideal for engineers who are passionate about building innovative cloud solutions, thrive in collaborative environments, and take pride in delivering experiences grounded in honesty, reliability, and customer impact. You will help define patterns, guidance, and best practices for cloud applications while operating in a fast\-evolving technology landscape.
**Role Responsibilities**
In this role, you will:
* Design and deliver cloud native services, APIs, and applications using .NET (C\#), Azure PaaS, containerized environments, and modern integration patterns.
* Implement DevOps and CI/CD practices, including automated testing, IaC (Bicep and YAML), monitoring, and alerting, to enhance reliability and deployment speed.
* Develop customer facing workflows and backend services that improve efficiency, usability, and transparency across the appraisal journey.
* Collaborate across product, design, and architecture teams to translate concepts into high impact production solutions.
* Support team owned systems through on\-call rotations (as applicable).
* Apply emerging technologies and engineering best practices to continuously improve product quality and team performance.
* Contribute to full lifecycle development—from discovery and prototyping to implementation and operational excellence.
**Required Qualifications**
Basic Qualifications
* Bachelor's degree in computer science, related technology field, or equivalent experience.
* 5\+ years of professional engineering experience with proven ownership of complex systems.
* Strong problem solving, diagnostic, and analytical skills with high attention to detail.
* Demonstrated passion for automation and reducing manual processes.
Technical Skills — Required
* Front‑end development experience with React, JavaScript/TypeScript, and modern UI patterns.
* Strong HTML/CSS skills used within production React environments.
* Experience developing automated UI and end\-to\-end tests (e.g., Playwright).
* Hands‑on experience with C\#/.NET Core, RESTful API design, and backend services.
* Azure or comparable cloud technologies experience.
* Familiarity with Git, JSON, relational databases, and cloud integration best practices.
Preferred Qualifications
* Experience with micro frontend patterns or module federation.
* Knowledge of React architectural approaches (e.g., Redux, Flux).
* Background in Agile, DevOps, CI/CD, and automated testing environments.
**Work Location and Arrangement:** This role will be based out of the Richmond Midtown or Plano Tech hub and have a Hybrid work arrangement.
* Associates based in Richmond work on\-site 5 days per week.
* Associates based in Plano work onsite 2 days per week.
Location Options:
* CarMax Midtown – Richmond, VA
* CarMax Technology Hub – Plano, TX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gender expression, genetic information, national origin, protected veteran status, disability status, and any other characteristics protected by law.
Upon an applicant's request, CarMax will consider reasonable accommodation to complete the CarMax Job Application.</t>
        </is>
      </c>
    </row>
    <row r="7">
      <c r="A7" t="inlineStr">
        <is>
          <t>in-db7c23e0e72c74b1</t>
        </is>
      </c>
      <c r="B7" t="inlineStr">
        <is>
          <t>Senior Software Engineer</t>
        </is>
      </c>
      <c r="C7" t="inlineStr">
        <is>
          <t>CarMax</t>
        </is>
      </c>
      <c r="D7" t="inlineStr">
        <is>
          <t>indeed</t>
        </is>
      </c>
      <c r="E7" t="inlineStr"/>
      <c r="F7" t="inlineStr"/>
      <c r="G7" t="inlineStr">
        <is>
          <t>Richmond, VA, US</t>
        </is>
      </c>
      <c r="H7" s="2" t="n">
        <v>46050</v>
      </c>
      <c r="I7" t="inlineStr">
        <is>
          <t>8116 \- Midtown Office \- 2220 W. Broad Street, Richmond, Virginia, 23220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**Position Overview**
As a Senior Software Engineer, you will play a vital role in delivering scalable, cloud native, and customer centric applications that support CarMax’s mission to create a seamless, transparent, and flexible appraisal\-to\-sale experience. You will help enhance the digital and instore workflows that empower customers to sell their vehicles on their terms, working within a team that directly impacts core business outcomes.
You will collaborate with product managers, architects, UX partners, and engineers to build resilient systems, elevate customer experiences, and support CarMax’s commitment to innovation, integrity, and putting people first.
**Team Overview**
The Appraisal Checkout team ensures customers can confidently complete key steps after receiving a CarMax appraisal offer. The team owns the end\-to\-end experience for:
* Providing accurate ownership and vehicle details
* Submitting required documents
* Scheduling Pick Up, Drop Off, or In Store sale appointments
Your work will directly contribute to converting appraisal leads into completed purchases, supporting a best in class, transparent experience for every customer.
**Purpose of the Role**
This role is ideal for engineers who are passionate about building innovative cloud solutions, thrive in collaborative environments, and take pride in delivering experiences grounded in honesty, reliability, and customer impact. You will help define patterns, guidance, and best practices for cloud applications while operating in a fast\-evolving technology landscape.
**Role Responsibilities**
In this role, you will:
* Design and deliver cloud native services, APIs, and applications using .NET (C\#), Azure PaaS, containerized environments, and modern integration patterns.
* Implement DevOps and CI/CD practices, including automated testing, IaC (Bicep and YAML), monitoring, and alerting, to enhance reliability and deployment speed.
* Develop customer facing workflows and backend services that improve efficiency, usability, and transparency across the appraisal journey.
* Collaborate across product, design, and architecture teams to translate concepts into high impact production solutions.
* Support team owned systems through on\-call rotations (as applicable).
* Apply emerging technologies and engineering best practices to continuously improve product quality and team performance.
* Contribute to full lifecycle development—from discovery and prototyping to implementation and operational excellence.
**Required Qualifications**
Basic Qualifications
* Bachelor's degree in computer science, related technology field, or equivalent experience.
* 5\+ years of professional engineering experience with proven ownership of complex systems.
* Strong problem solving, diagnostic, and analytical skills with high attention to detail.
* Demonstrated passion for automation and reducing manual processes.
Technical Skills — Required
* Front‑end development experience with React, JavaScript/TypeScript, and modern UI patterns.
* Strong HTML/CSS skills used within production React environments.
* Experience developing automated UI and end\-to\-end tests (e.g., Playwright).
* Hands‑on experience with C\#/.NET Core, RESTful API design, and backend services.
* Azure or comparable cloud technologies experience.
* Familiarity with Git, JSON, relational databases, and cloud integration best practices.
Preferred Qualifications
* Experience with micro frontend patterns or module federation.
* Knowledge of React architectural approaches (e.g., Redux, Flux).
* Background in Agile, DevOps, CI/CD, and automated testing environments.
**Work Location and Arrangement:** This role will be based out of the Richmond Midtown or Plano Tech hub and have a Hybrid work arrangement.
* Associates based in Richmond work on\-site 5 days per week.
* Associates based in Plano work onsite 2 days per week.
Location Options:
* CarMax Midtown – Richmond, VA
* CarMax Technology Hub – Plano, TX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gender expression, genetic information, national origin, protected veteran status, disability status, and any other characteristics protected by law.
Upon an applicant's request, CarMax will consider reasonable accommodation to complete the CarMax Job Application.</t>
        </is>
      </c>
    </row>
    <row r="8">
      <c r="A8" t="inlineStr">
        <is>
          <t>in-9137cb656b2d9e8d</t>
        </is>
      </c>
      <c r="B8" t="inlineStr">
        <is>
          <t>Software Engineer III-3</t>
        </is>
      </c>
      <c r="C8" t="inlineStr">
        <is>
          <t>CAE</t>
        </is>
      </c>
      <c r="D8" t="inlineStr">
        <is>
          <t>indeed</t>
        </is>
      </c>
      <c r="E8" t="inlineStr"/>
      <c r="F8" t="inlineStr"/>
      <c r="G8" t="inlineStr">
        <is>
          <t>Orlando, FL, US</t>
        </is>
      </c>
      <c r="H8" s="2" t="n">
        <v>46050</v>
      </c>
      <c r="I8" t="inlineStr">
        <is>
          <t>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Essential Duties and Responsibilities
Reasonable accommodations may be made to enable individuals with disabilities to perform the essential functions* Responsible for planning, design, coding, integrating, testing, and documenting software/systems in support of products and R\&amp;D projects in collaboration with Technical Leads and Product Managers to solve complex problems for CAE and the US Department of Defense
* Work with cross\-functional teams to integrate solutions into production environments
* Participate in all phases of the software development lifecycle (SDLC) in an Agile environment
* Mentor and provide technical guidance to junior level software engineers
* Perform effectively as part of a project team
Qualifications and Education Requirements* Bachelor’s or master’s degree in engineering, software, or computer science
* Minimum of 5 years of software engineering experience or a master’s degree in engineering or computer science with 3 years of software engineering experience
* Must have had formal software programming training classes
* Demonstrated proficiency in one or more of the following programming languages: C\#, C\+\+, Java, JavaScript, Python
* Experience with frontend frameworks, specifically Angular or React for building responsive and dynamic user interfaces
* Experience with backend development on .Net framework
* Must be eligible for DoD Personal Security Clearance
* Excellent presentation, communication and organizational skills
* Ability to read, analyze, and interpret English language professional journals, technical procedures, or government specifications
* Ability to write reports, business correspondence, and procedure manuals.
* Ability to effectively present information and respond to questions from groups of managers, clients, and customers
* Due to U.S. Government contract requirements, only U.S. citizens are eligible for this role
Preferred Skills* Experience building and consuming RESTful APIs
* Foundational knowledge of relational databases, with hands\-on experience using PostgreSQL
* Exposure to messaging systems like Kafka or RabitMQ and caching systems like Redis
* Experience with containerization technologies, primarily Docker and container orchestration platforms like Kubernetes (K8s)
* Working knowledge of Python \&amp; Bash for scripting, tooling, or minor service development
* Experience with CI/CD pipelines and version control systems like Git
* Experience deploying containerized software to cloud platforms like Azure
* Experience with container runtime environments such as Docker and container\-orchestration systems such as Kubernetes
* Experience with MS Visual Studio and VS Code
* Familiarity with Linux terminal commands and scripting
* Familiarity with geospatial data using GDAL, Geoserver, OpenLayers, Leaflet, or Cesium
* Exposure to Machine Learning and Data Analytics, Virtual Reality, and 3D Modeling is a plus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Duties performed in a professional office environment and manufacturing facility with a business casual dress policy. This is not a remote or hybrid position.
* Must be able to work overtime on and off\-shifts as required
* Must be able to travel both domestically and internationally \[10%]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About CAE*At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
Data Privacy
Privacy Statement \| CAE*CAE thanks all applicants for their interest. However, only those whose background and experience match the requirements of the role will be contacted.*</t>
        </is>
      </c>
    </row>
    <row r="9">
      <c r="A9" t="inlineStr">
        <is>
          <t>in-9d152639ab569326</t>
        </is>
      </c>
      <c r="B9" t="inlineStr">
        <is>
          <t>Senior Software Engineer - Visualization</t>
        </is>
      </c>
      <c r="C9" t="inlineStr">
        <is>
          <t>Paradigm</t>
        </is>
      </c>
      <c r="D9" t="inlineStr">
        <is>
          <t>indeed</t>
        </is>
      </c>
      <c r="E9" t="inlineStr"/>
      <c r="F9" t="inlineStr"/>
      <c r="G9" t="inlineStr">
        <is>
          <t>Remote, US</t>
        </is>
      </c>
      <c r="H9" s="2" t="n">
        <v>46050</v>
      </c>
      <c r="I9" t="inlineStr">
        <is>
          <t>Paradigm is a software company transforming how the residential, construction, and building product industries operate worldwide. We are building next\-generation Digital Twin and geometry\-driven platforms that turn building concepts into computable, interactive systems.
We are looking for a hands\-on Senior Software Engineer with deep experience in geometry processing, 3D systems, and computational design, combined with strong software engineering fundamentals. You will take ideas from rough concepts or sketches, rapidly prototype solutions, and evolve them into production\-grade features that power modern building design, visualization, and automation workflows.
**What You Will Do**
* Participate in agile based ceremonies.
* Build tools and pipelines for procedural and rule\-based geometry generation.
* Leverage Blender and its Python API for geometry processing, validation, automation, and visualization workflows.
* Create performance backend and tooling components using C\+\+, Java, and Python, balancing correctness, scalability, and performance.
* Rapidly prototype new ideas, validate them with stakeholders, and iterate toward production\-ready solutions.
* Collaborate closely with product managers, designers, and domain experts to translate real\-world constraints and workflows into software.
* Write clean, maintainable, and testable code, owning features from concept through deployment.
**What You Need to Succeed**
* Bachelor’s degree in Computer Science, Computational Design, Architecture, or a related technical field (advanced degree preferred).
* 5\+ years of professional software engineering experience, with a strong focus on geometry, 3D systems, or computational design.
* Strong proficiency in one or more of:
	+ C\+\+ (performance\-critical geometry engines, core systems)
	+ Java (robust backend or platform services)
	+ Python (geometry processing, automation, prototyping)
* Hands\-on experience with Blender, preferably using its Python API.
* Solid understanding of geometry data structures and algorithms, including meshes, parametric systems, and BRep\-style modeling.
* Proven ability to take ambiguous problems from idea to shipped feature.
* Strong collaboration skills and a product\-focused mindset.
**Ready to Join? Apply now at myparadigm.com/careers/**
Individual compensation packages are based on various factors unique to each candidate, including skill set, experience, qualifications, and other job\-related reasons. Most roles at Paradigm have three levels, Associate, Mid and Senior. Our pay ranges are inclusive of all three levels (if applicable), our US based Associate Level pay begins at $70,125 annually for this role. The salary does not reflect total compensation, which includes base salary and benefits. These compensation levels are subject to an annual review.</t>
        </is>
      </c>
    </row>
    <row r="10">
      <c r="A10" t="inlineStr">
        <is>
          <t>in-549fd6780e1b455a</t>
        </is>
      </c>
      <c r="B10" t="inlineStr">
        <is>
          <t>Sr. Software Engineer, Financial Systems, Accounting Engine &amp; Tax</t>
        </is>
      </c>
      <c r="C10" t="inlineStr">
        <is>
          <t>Tesla</t>
        </is>
      </c>
      <c r="D10" t="inlineStr">
        <is>
          <t>indeed</t>
        </is>
      </c>
      <c r="E10" t="inlineStr"/>
      <c r="F10" t="inlineStr"/>
      <c r="G10" t="inlineStr">
        <is>
          <t>Fremont, CA, US</t>
        </is>
      </c>
      <c r="H10" s="2" t="n">
        <v>46050</v>
      </c>
      <c r="I10" t="inlineStr">
        <is>
          <t>**What to Expect**
You will join a small, expert team building the internal applications for the tax and accounting teams which cover our vehicle, energy, and solar businesses. You will contribute to building scalable and high performing applications which will help Tesla finance team track and achieve the company's financial goals. The ideal candidate will have a passion for building world\-class software and a track record of success creating scalable software systems. You will need strong software engineering skills, excellent interpersonal communication, and experience accepting and giving meaningful feedback on technical designs and pull requests.  
**What You'll Do*** Consistently produce high\-quality code that is maintainable and solves real\-world problems
* Lead projects from requirements to architectural design to implementation to testing to production
* Seamlessly solve problems at many layers of the stack including debugging packet loss when communicating with PLCs (Programmable Logic Controllers) to designing for data consistency in massive globally distributed databases
* Collaborate with multiple teams, including Program Managers, Product Engineers, Performance Engineers, Infrastructure teams to ensure project delivery
* Prioritize building production\-critical software systems that have sufficient validation, monitoring, and support strategies
* Interface with multi\-disciplinary teams including Operations, Manufacturing Engineering, Quality, and Supply Chain
* Participate in code review process and review the pull requests received from local and remote team members
* Perform quality testing on changes made by development team
**What You'll Bring*** Degree in Computer Science, Comupter Engineering, Electrical Engineering or the equivalent in experience and evidence of exceptional ability
* Minimum 4 year of working experience (preferred 6\+ years)
* Demonstrated experience implementing large\-scale projects in Go, Java, C\+\+, Rust, or similar
* Understanding of core aspects of backend development (including SQL databases, networking, and security)
* Familiarity with HTML, JavaScript, CSS, and at least one modern frontend framework (React, Angular.js, Svelte, etc.)
* Proficiency with web development, such as reading Splunk logs, working with Swagger, and using REST APIs
* Experience with DevOps tooling such as Kubernetes \&amp; Jenkins
* Comfortable with all aspects of rigorous software development and maintenance (version control, code reviews, CI/CD, monitoring, logging, etc.)
* Excellent interpersonal communication skills and proven ability to lead technical initiatives from conception to production
* Previous experience with financial, tax, or treasury systems is a plus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1">
      <c r="A11" t="inlineStr">
        <is>
          <t>in-e25a9d977ca3541b</t>
        </is>
      </c>
      <c r="B11" t="inlineStr">
        <is>
          <t>Staff Software Engineer, Navigation &amp; Robotics</t>
        </is>
      </c>
      <c r="C11" t="inlineStr">
        <is>
          <t>ALPHATEC SPINE, INC.</t>
        </is>
      </c>
      <c r="D11" t="inlineStr">
        <is>
          <t>indeed</t>
        </is>
      </c>
      <c r="E11" t="inlineStr"/>
      <c r="F11" t="inlineStr"/>
      <c r="G11" t="inlineStr">
        <is>
          <t>Carlsbad, CA, US</t>
        </is>
      </c>
      <c r="H11" s="2" t="n">
        <v>46050</v>
      </c>
      <c r="I11" t="inlineStr">
        <is>
          <t>The Staff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Provide technical leadership and mentoring to other software and test engineers.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Bring technical experience and analytical skills to bear on balancing technical feasibility, customer value, and business needs.
* Lead the integration of advanced algorithms into production software applications, including AI/ML image processing systems and image display \&amp; rendering toolkits. Collaborate with research teams and product owners to evaluate maturity / feasibility of prototype algorithms.
* Perform integration and system level testing of software and software/hardware systems
* Perform task estimation and develop software projects according to project plan
* Manage multiple tasks/projects and priorities
* Mentor the Junior resources and take the ownership of the end\-to\-end module delivery
* Attend surgical cases, engage with surgeons, and maintain familiarity with current company endeavors across technical areas.
* Translate clinical needs into software and system requirements.
* Work closely with R\&amp;D and marketing teams to support clinical prototyping, testing, and formal evaluation in cadaveric surgical lab settings
* Maintain rigorous version control, unit testing, and documentation to support regulatory evaluation and formal test efforts.
* Lead documentation efforts as needed to support FDA submissions.
* Ability to travel up to 15% of the time
**Requirements**
The requirements listed below are representative of the knowledge, skill, and/or ability required. Reasonable accommodations may be made to enable individuals with disabilities to perform the essential functions.
* Deep domain experience in surgical navigation in spine.
* Proven success in providing technical direction for medical devices used in an intra\-operative clinical setting
* Experienced at delivering robust and reliable mission critical medical device systems (IEC 62304\) in an FDA regulated environment
* Proficient in C\+\+ development in Linux environment. Experience with Qt framework is a plus
* Experience building and testing software applications using 2D\-to\-3D image registration algorithms
* Experience with image processing and rendering toolkits such as VTK, ITK, OpenCV
* Fluency with 3D volumetric imaging (such as CT, CBCT, MRI) and medical image data formats (DICOM)
* Fluent with 3D spatial geometry used in navigation systems, including coordinate transforms, linear algebra, and registration
* Experience with Agile software development methodologies, Git / Azure DevOps / Jira
* Proven experience in design decisions and tradeoffs for evolving codebases (e.g. rewrite vs. retain, code framework and language choices, architecture decisions)
* Excellent leadership, time management, communication (written and verbal), decision\-making, presentation, and organization skills
* Familiarity with camera calibration algorithms a plus
**Education and Experience**
* 8\+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$140,000 to $160,000 Full\-Time Annual Salary  
*Please Note: The employer will not sponsor applicants for work visas for this position.*</t>
        </is>
      </c>
    </row>
    <row r="12">
      <c r="A12" t="inlineStr">
        <is>
          <t>in-f1080313d2e5fcaa</t>
        </is>
      </c>
      <c r="B12" t="inlineStr">
        <is>
          <t>Software Engineer II</t>
        </is>
      </c>
      <c r="C12" t="inlineStr">
        <is>
          <t>Amazon.com</t>
        </is>
      </c>
      <c r="D12" t="inlineStr">
        <is>
          <t>indeed</t>
        </is>
      </c>
      <c r="E12" t="inlineStr"/>
      <c r="F12" t="inlineStr"/>
      <c r="G12" t="inlineStr">
        <is>
          <t>Irvine, CA, US</t>
        </is>
      </c>
      <c r="H12" s="2"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in-1010cde86723f6d4</t>
        </is>
      </c>
      <c r="B13" t="inlineStr">
        <is>
          <t>Software Engineer II</t>
        </is>
      </c>
      <c r="C13" t="inlineStr">
        <is>
          <t>Amazon.com</t>
        </is>
      </c>
      <c r="D13" t="inlineStr">
        <is>
          <t>indeed</t>
        </is>
      </c>
      <c r="E13" t="inlineStr"/>
      <c r="F13" t="inlineStr"/>
      <c r="G13" t="inlineStr">
        <is>
          <t>San Francisco, CA, US</t>
        </is>
      </c>
      <c r="H13" s="2"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in-f8fb0432a8e30e09</t>
        </is>
      </c>
      <c r="B14" t="inlineStr">
        <is>
          <t>Software Developer - Linux C++</t>
        </is>
      </c>
      <c r="C14" t="inlineStr">
        <is>
          <t>Susquehanna International Group, LLP</t>
        </is>
      </c>
      <c r="D14" t="inlineStr">
        <is>
          <t>indeed</t>
        </is>
      </c>
      <c r="E14" t="inlineStr"/>
      <c r="F14" t="inlineStr"/>
      <c r="G14" t="inlineStr">
        <is>
          <t>Bala-Cynwyd, PA, US</t>
        </is>
      </c>
      <c r="H14" s="2" t="n">
        <v>46050</v>
      </c>
      <c r="I14" t="inlineStr">
        <is>
          <t>We are seeking a **Junior C\+\+ Developer** to join our Quantitative Data Receiving and Delivery team, which plays a critical role in acquiring, processing, and distributing financial data across the organization. We are a small team with room for a new person to make an impact and take on interesting design and implementation problems. This position is ideal for someone with strong C\+\+ skills in Linux environments, looking to grow within a fast\-paced, data\-driven financial technology setting. Python experience is a plus but not required.  
In this role you will:* Develop and maintain C\+\+ applications for real\-time and scheduled data ingestion from financial markets, exchanges, and internal publishers.
* Build and optimize data pipelines that run on Linux\-based infrastructure.
* Collaborate with data engineers, analysts, and infrastructure teams to ensure reliable and scalable data delivery.
* Implement monitoring, logging, and alerting for data collection systems.
* Troubleshoot and resolve issues in production environments.
* Contribute to automation and scripting tasks (Python knowledge beneficial).
* Participate in code reviews and follow best practices in software development.
 **What we're looking for** *Required Qualifications:** Bachelor’s degree in Computer Science, Engineering, or a related field.
* Proficiency in modern C\+\+ (C\+\+11 or newer).
* Experience working in Linux/Unix environments.
* Strong analytical and problem\-solving skills.
*Preferred Qualifications:** Exposure to Python for scripting, data manipulation, or automation.
* Experience with data formats such as JSON, XML, CSV, and protocol buffers.
* Familiarity with financial data feeds (e.g., Bloomberg, Reuters, FIX).
* Familiarity with version control systems (e.g., Git).
* Experience with build systems and CI/CD pipelines.
Visa sponsorship is available for this position  
About Susquehanna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*If you're a recruiting agency and want to partner with us, please reach out to* *recruiting@sig.com**. Any resume or referral submitted in the absence of a signed agreement will not be eligible for an agency fee*  
\#LI\-RK1</t>
        </is>
      </c>
    </row>
    <row r="15">
      <c r="A15" t="inlineStr">
        <is>
          <t>in-bc63552174bee916</t>
        </is>
      </c>
      <c r="B15" t="inlineStr">
        <is>
          <t>Software Engineer, Growth Infrastructure</t>
        </is>
      </c>
      <c r="C15" t="inlineStr">
        <is>
          <t>Replit</t>
        </is>
      </c>
      <c r="D15" t="inlineStr">
        <is>
          <t>indeed</t>
        </is>
      </c>
      <c r="E15" t="inlineStr"/>
      <c r="F15" t="inlineStr"/>
      <c r="G15" t="inlineStr">
        <is>
          <t>Foster City, CA, US</t>
        </is>
      </c>
      <c r="H15" s="2" t="n">
        <v>46050</v>
      </c>
      <c r="I15" t="inlineStr">
        <is>
          <t>Replit is the agentic software creation platform that enables anyone to build applications using natural language. With millions of users worldwide and over 500,000 business users, Replit is democratizing software development by removing traditional barriers to application creation.
**Job Summary**
---------------
We are looking for an experienced Growth Infrastructure Engineer to build and maintain the technical backbone that enables scalable growth experiments, high\-performance data pipelines, and automated systems that drive user acquisition, engagement, and product iteration. This role sits at the intersection of growth, product, and infrastructure — combining deep technical engineering with experimentation and data\-driven optimization.
You will collaborate with product, data science, and backend teams to ensure that growth initiatives run smoothly and scale efficiently across systems.
**Key Responsibilities**
------------------------
**Growth Infrastructure \&amp; Systems**
* Design, implement, and maintain scalable infrastructure that supports growth and experimentation needs.
* Build and optimize analytics pipelines to capture key product and growth metrics (acquisition, activation, retention, etc.).
* Develop automated workflows for user onboarding, campaign delivery, and performance tracking.
**Experimentation \&amp; Optimization**
* Support A/B testing frameworks and integrate them into production systems.
* Enable reliable data collection and evaluation for growth experiments.
* Automate deployment and rollout of growth feature flags and tests.
**Cross\-Functional Collaboration**
* Partner with Growth Product Managers, Data Engineers, and Analysts to define technical requirements for growth initiatives.
* Translate business goals into technical specifications and system designs.
* Provide guidance on performance, reliability, and scalability trade\-offs.
**Monitoring \&amp; Reliability**
* Implement monitoring and alerting for growth infrastructure services.
* Troubleshoot production issues and optimize for uptime and performance.
* Ensure data quality and consistency for reporting and decision\-making.
**Continuous Improvement**
* Evaluate new tools, frameworks, and platforms that accelerate growth engineering.
* Drive best practices in infrastructure as code, CI/CD, and automated testing.
* Train and mentor teammates on growth infrastructure principles. (Teal)
**Required Qualifications**
---------------------------
* Bachelor’s degree in Computer Science, Software Engineering, or related technical field.
* 3\+ years of experience building backend or infrastructure\-focused services.
* Strong programming skills in languages such as **Python, Go, or JavaScript**.
* Experience with cloud platform infrastructure (e.g., AWS, GCP, Azure).
* Solid understanding of data pipelines, ETL processes, and databases.
* Experience with CI/CD systems and Infrastructure as Code (Terraform, CloudFormation, etc.).
* Experience with experimentation platforms (StatSig, Segment, LaunchDarkly, or in\-house).
**Nice to Have**
----------------
* Familiarity with growth metrics and product analytics tools (Amplitude, etc.).
* Experience designing and scaling A/B testing systems and feature flag orchestration.
* Proficient with containerization (Docker, Kubernetes) and distributed systems.
* Knowledge of observability tools (Datadog, etc).
**What Success Looks Like**
---------------------------
* Growth initiatives that deploy reliably and quickly with minimal manual intervention.
* High\-fidelity data pipelines that enable real\-time insight into key growth metrics.
* Growth teams are empowered to run experiments and launch campaigns without heavy infrastructure support.
**Why Join Us?**
----------------
* This is a rare opportunity to be among the first engineers on a newly formed Growth team, with significant ownership and influence over both technical direction and product outcomes. You’ll be working on a product that scaled from \~2M to 250M users in under a year, operating in a massive and still largely untapped market. The impact of your work will be visible, measurable, and foundational to how the company grows next.
* Impact how engineering and product teams scale solutions for millions of users.
* Competitive compensation and benefits tailored to growth\-focused engineers.
*This is a full\-time role that can be held from our Foster City, CA office. The role has an in\-office requirement of Monday, Wednesday, and Friday.*
**Full\-Time Employee Benefits Include:**
Competitive Salary \&amp; Equity
401(k) Program
Health, Dental, Vision and Life Insurance
Short Term and Long Term Disability
Paid Parental, Medical, Caregiver Leave
Commuter Benefits
Monthly Wellness Stipend
Autonoumous Work Environement
In Office Set\-Up Reimbursement
Flexible Time Off (FTO) \+ Holidays
Quarterly Team Gatherings
In Office Amenities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$180K \- $290K</t>
        </is>
      </c>
    </row>
    <row r="16">
      <c r="A16" t="inlineStr">
        <is>
          <t>in-088de16ef7502622</t>
        </is>
      </c>
      <c r="B16" t="inlineStr">
        <is>
          <t>Senior Software Engineer, Twitch</t>
        </is>
      </c>
      <c r="C16" t="inlineStr">
        <is>
          <t>Amazon.com</t>
        </is>
      </c>
      <c r="D16" t="inlineStr">
        <is>
          <t>indeed</t>
        </is>
      </c>
      <c r="E16" t="inlineStr"/>
      <c r="F16" t="inlineStr"/>
      <c r="G16" t="inlineStr">
        <is>
          <t>San Francisco, CA, US</t>
        </is>
      </c>
      <c r="H16" s="2"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in-5ba550046f2af2ef</t>
        </is>
      </c>
      <c r="B17" t="inlineStr">
        <is>
          <t>Senior Software Engineer, Twitch</t>
        </is>
      </c>
      <c r="C17" t="inlineStr">
        <is>
          <t>Amazon.com</t>
        </is>
      </c>
      <c r="D17" t="inlineStr">
        <is>
          <t>indeed</t>
        </is>
      </c>
      <c r="E17" t="inlineStr"/>
      <c r="F17" t="inlineStr"/>
      <c r="G17" t="inlineStr">
        <is>
          <t>Seattle, WA, US</t>
        </is>
      </c>
      <c r="H17" s="2" t="n">
        <v>45995</v>
      </c>
      <c r="I1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in-bdb6b22f7c6fe09b</t>
        </is>
      </c>
      <c r="B18" t="inlineStr">
        <is>
          <t>(USA) Senior, Software Engineer</t>
        </is>
      </c>
      <c r="C18" t="inlineStr">
        <is>
          <t>Walmart</t>
        </is>
      </c>
      <c r="D18" t="inlineStr">
        <is>
          <t>indeed</t>
        </is>
      </c>
      <c r="E18" t="inlineStr"/>
      <c r="F18" t="inlineStr"/>
      <c r="G18" t="inlineStr">
        <is>
          <t>Bentonville, AR, US</t>
        </is>
      </c>
      <c r="H18" s="2" t="n">
        <v>46050</v>
      </c>
      <c r="I18" t="inlineStr">
        <is>
          <t>**Position Summary...**
-----------------------
**What you'll do...**
---------------------
Walmart’s Transactional System provides core transactional systems to enable segment and technology partners in creating wonderful omni experiences with speed and leverage. We are a highly motivated group of engineers, working in an  
Payment area with agile methodology to solve sophisticated and high impact problems.Our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personalization.**What you'll do:*** Leads and participates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 Leads the work of other small groups of four to six engineers, including offshore associates, for assigned Engineering projects by proving pertinent documents, direction, and examples; identifying short and long term solutions and timeline; reviewing and providing feedback for proposed solutions; and performing design and code reviews of changes.
*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Provides support to the business by responding to user's questions, concerns, and issues (for example, technical feasibility, implementation strategies); identifying short\- and long\-term solutions; facilitating resolutions; and leading cross\-functional partnership.
* Leads the discovery phase of medium to large projects to come up with high level design by partnering with the product management, project management, business and user experience teams; and obtaining cross\-function approvals.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Lead automation efforts for multiple teams by working closely with developers to create automation roadmap, enhance build processes to align with roadmap, debug build issues, proactively integrate enterprise tool changes to team build processes, define and incorporate deployment gates and rollout processes, create reports and dashboards to show progress and trends, educating team on automation, pipelines, reports, and processes.
**What you'll bring:*** Bachelor's degree in Computer Science or Computer Information Systems
* 7\+ years of programming experience in architecting highly scalable \&amp; performing Web Applications
* 5\+ years of experience programming in Java/J2EE, Spring Boot, REST Services, and related technologies. 3\+ years of experience with Cloud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**About Walmart Global Tech**Imagine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\&amp; Perks**Beyond competitive pay, you can receive incentive awards for your performance. Other great perks include 401(k) match, stock purchase plan, paid maternity and parental leave, PTO, multiple health plans, and much more.**Equal Opportunity Employer**Walmart,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Bellevue, Washington US\-11075: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
      <c r="A19" t="inlineStr">
        <is>
          <t>in-027bf9639e61c2dc</t>
        </is>
      </c>
      <c r="B19" t="inlineStr">
        <is>
          <t>Senior Manager, Software Engineering - Agentic Care</t>
        </is>
      </c>
      <c r="C19" t="inlineStr">
        <is>
          <t>Spring Health</t>
        </is>
      </c>
      <c r="D19" t="inlineStr">
        <is>
          <t>indeed</t>
        </is>
      </c>
      <c r="E19" t="inlineStr"/>
      <c r="F19" t="inlineStr"/>
      <c r="G19" t="inlineStr">
        <is>
          <t>San Francisco Bay Area, CA, US</t>
        </is>
      </c>
      <c r="H19" s="2" t="n">
        <v>46050</v>
      </c>
      <c r="I19"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**Our mission: to eliminate every barrier to mental health.**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J.P. Morgan Chase,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William K Warren Foundation, Northzone, RRE Ventures, and many more. Thanks to their partnership and our latest Series E Funding, our current valuation has reached $3\.3 billion. We're just getting started—join us on our journey to make mental healthcare accessible to everyone, everywhere.
Reporting to the Director of Engineering, Care Delivery, you will build and lead a new team that delivers agentic AI experiences that make the care journey adaptive, and accessible for everyone \- empowering both patients and providers. You'll partner with product, design, clinical leaders, data science, and AI/ML platform teams to create safe, measurable, and delightful end\-to\-end care experiences. In this high\-visibility role you'll shape the technical strategy, define the roadmap, and drive execution to transform mental healthcare with responsible, production\-grade AI.
Please note that this is a **hybrid role based in San Francisco**. Candidates are expected to be in office 2\-3 days a week.
**What you'll be doing**
------------------------
* Build and lead a zero\-to\-one team of full\-stack and Applied AI engineers to ship member\- and provider\-facing agentic experiences.
* Collaborate closely with product, design, clinical experts and AI platform teams to define and drive the technical vision and roadmap for Agentic Care.
* Recruit, onboard, and mentor engineers; foster a mission\-driven culture centered on velocity, ownership, and high safety/quality bars for AI features.
* Develop your team through regular one\-on\-ones, mentorship, and constructive feedback.
* Ensure operational excellence: SLOs/SLIs, on\-call and incident management, observability, tech debt management, and developer experience.
Drive execution across teams and organizations, aligning initiatives with broader clinical and strategic priorities.  
* 
**What success looks like in this role**
----------------------------------------
* Launch an agentic care experience within the first quarter, with measurable impact.
* Delight both members and providers with market\-leading usability and satisfaction (CSAT \&gt; 4\.5 for each audience).
* Hire and grow a diverse founding team, develop future leaders, and cultivate a culture of ownership, empathy, and purposeful innovation.
* Evaluate the tradeoffs to unlock rapid iteration, while allowing for future scalability and seamless integration with the broader Spring Health ecosystem.
* Elevate engineering excellence by fostering an environment that values ownership, collaboration, and purposeful innovation.
**Minimum Requirements**
* Passion for mental health and building products that materially improve clinical outcomes and access to care.
* Experience with the AI product lifecycle: context engineering, function/tool calling, RAG pipelines, safety/guardrails, evals.
* 2\+ years of experience managing and leading a high\-output engineering team building user\-facing products.
* 6\+ years of experience building and scaling systems as an individual contributor.
* Organizational leadership experience, including collaborating with executive leadership.
* Excellent communication skills, both verbal and written.
* Proven success mentoring teams of senior engineers over multi\-quarter or multi\-year projects.
* Strong commitment to understanding and advocating for users' needs, crafting exceptional product experiences.
**Preferred Qualifications**
* Track record building and managing teams that shipped 01 AI\-powered products (LLM apps, agents, copilots) in production.
* Experience in high\-growth startup environments.
* Healthcare/clinical tech experience, building user\-facing products that focus on evidence\-based solutions.
* Adept at prioritizing business objectives, creating new areas of investment, anticipating risks, and providing deep technical expertise.
* Experience leading distributed teams across time zones.
The target base salary range for this position is $207,000 \- $233,000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Database**at minimum to ensure competitive and fair pay.
**Benefits provided by Spring Health:**
**Note**: We have even more benefits than listed here and below, your recruiter will provide more in\-depth information as you continue in the interview process. All benefits are subject to individual plan requirements and eligibility criteria.  
* Health, Dental, Vision benefits start on your first day at Spring Health. You and your dependents also receive an individual **One Medical**account which is valued at $199/year per user. HSA and FSA plans are also available.
* Employer sponsored 401(k) match of up to 2%
* A yearly allotment of no cost visits to the Spring Health network of therapists, coaches, and medication management providers for you and your dependents.
* Generous paid time off, 10 sick days, 12 paid holidays throughout the year, and a 1 month sabbatical leave granted at your 4 year anniversary
* We offer parental leave up to 18 weeks, depending on your eligibility including tenure and medical situation.
* Access to fertility care support through **Carrot**, in addition to $4,000 reimbursement for related fertility expenses.
* Access to**Wellhub**, an on\-demand virtual benefit that provides wellbeing coaching, and budget management.
* Up to $1,000 Professional Development Reimbursement a year.
* $200 per year donation matching to support your favorite causes.
***\[This text is boilerplate in Greenhouse and the TA team will update this as needed!]***
Don't meet every requirement? Studies have shown that **women, communities of color and historically underrepresented** talent are less likely to apply to jobs unless they meet every single qualification. At Spring Health **we are dedicated** to building a diverse, inclusive and authentic workplace
To ensure intentional and equitable hiring practices, we use a balanced candidate slate in our interviews. This approach **guarantees** that our pool of qualified candidates includes individuals who are **underrepresented** in our organization at *all levels.* This is a key performance indicator (KPI) for our recruiting and hiring teams, reported quarterly to maintain accountability.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20">
      <c r="A20" t="inlineStr">
        <is>
          <t>in-ebfb0a71be6a472b</t>
        </is>
      </c>
      <c r="B20" t="inlineStr">
        <is>
          <t>Sr. Backend Engineer, AI</t>
        </is>
      </c>
      <c r="C20" t="inlineStr">
        <is>
          <t>Procurement Sciences</t>
        </is>
      </c>
      <c r="D20" t="inlineStr">
        <is>
          <t>indeed</t>
        </is>
      </c>
      <c r="E20" t="inlineStr"/>
      <c r="F20" t="inlineStr"/>
      <c r="G20" t="inlineStr">
        <is>
          <t>US</t>
        </is>
      </c>
      <c r="H20" s="2" t="n">
        <v>46050</v>
      </c>
      <c r="I20" t="inlineStr">
        <is>
          <t>**Company Overview:**
Procurement Sciences is at the forefront of transforming the multi\-billion\-dollar government contracting industry with Awarded AI, our cutting\-edge platform designed to help businesses excel in government sales. We simplify complex processes, drive revenue growth, and deliver real cost savings through unmatched efficiency. As a leading venture\-backed SaaS company founded by seasoned GovCon experts, we are not just participants in the AI revolution; we are shaping it by solving the industry’s toughest challenges. Our “One Team, One Fight” culture values creativity, accountability, and forward\-thinking, and we invite driven builders and innovators to help us develop high\-performing teams. Ranked among the top 10 percent of fastest\-growing SaaS companies and on a clear path to becoming a unicorn, we are seeking top talent to join our early team and play a key role in building the next great AI software company.
**Job Description:** We are seeking a Senior Backend Engineer to build the infrastructure and systems that power our AI/ML features in production. In this role, you will design and implement scalable APIs, services, and monitoring systems that enable our ML team to deploy models reliably at scale. You will focus on the platform layer that makes AI workflows fast, reliable, and observable, working closely with our ML engineers to translate their models into production\-ready services that serve thousands of users.
**Key Responsibilities:**
* Build scalable APIs and microservices that serve ML models in production with low latency and high availability.
* Work with the product engineering teams to implement reliable integrations with LLM APIs (Claude, GPT, Gemini).
* Implement monitoring, measurement, and observability systems for AI workflows to ensure reliability and performance.
* Build the integration points between the AI/ML Platform stack and the core application, supporting product development and long term technological investment.
* Support data pipeline development and maintenance that enable ML model training and inference.
**Ideal Candidate:**
* Strong systems thinking with experience designing scalable backend architectures.
* Experienced in SaaS environments and understands the operational challenges of serving ML models in production.
* Pragmatic engineer who prioritizes reliability and performance over experimenting with the latest frameworks.
* Collaborative mindset with strong communication skills.
**Required Experience:**
* 5\+ years building scalable backend systems (Python, NestJS, etc.).
* Experience integrating external APIs at scale, including rate limiting, retry logic, and error handling.
* Experience with containerization (Docker) and cloud platforms (GCP, or Azure).
**Desired Experience:**
* Experience with event\-driven architectures and async processing patterns.
* Knowledge of cost optimization strategies for cloud\-based AI services.
* Experience serving ML models in production (MLflow, TensorFlow Serving, or similar platforms).
* Familiarity with vector databases (Pinecone, Vespa, Qdrant) from an infrastructure perspective.
**Requirements:**
* U.S. citizenship with the ability to pass a Federal Background Check and Identity Verification.
* While formal education is not a strict requirement, a Bachelor's or Master’s degree in Computer Science, Engineering, or a related field is preferred.
**Compensation and Benefits:**
* Competitive salary with stock options in a rapidly growing, venture\-backed company.
* Comprehensive health plan, ensuring you and your loved ones are well taken care of.
* Flexible work arrangements, including full remote work capabilities, to balance your professional and personal life.
* Extensive professional development opportunities, providing a fast track for career advancement.
**AI policy Notice:**  
We want you to get the chance to know us in the interview process and for us to learn as much as we can about you, too. To make this possible and to ensure fairness for all our candidates, we have ano\-exceptions policy on AI usage and augmentation during interviews. While we are an AI first company, this does mean we prohibit any AI tooling during the interview process unless otherwise explicitly allowed (such as large language models, code suggestion software, or AI assistants) to generate, refine, or suggest answers, solutions, or code, regardless of the format (written, spoken, or coded). We want to get to know you, your experiences, and qualifications genuinely and directly and the best way to do this is to keep it just between us.
To keep the interview fair for all, we reserve the right to ask follow\-up questions or request you to clarify or elaborate on your solutions without the aid of external tools to validate that the answers provided genuinely reflect your own skills and experience. Violation of this code of conduct will result in the immediate termination of your candidacy.
**Background Notice:**
Background Check Required. As part of our employment process, a background check is required. This may include a review of your credit history, criminal records, and employment verification, conducted in compliance with the Fair Credit Reporting Act (FCRA). By applying, you acknowledge and consent to this process.
Compensation Range: $140K \- $200K</t>
        </is>
      </c>
    </row>
    <row r="21">
      <c r="A21" t="inlineStr">
        <is>
          <t>in-8fec2761ad6f1377</t>
        </is>
      </c>
      <c r="B21" t="inlineStr">
        <is>
          <t>Sr. Software Engineer (ML), AGI Customization</t>
        </is>
      </c>
      <c r="C21" t="inlineStr">
        <is>
          <t>Amazon.com</t>
        </is>
      </c>
      <c r="D21" t="inlineStr">
        <is>
          <t>indeed</t>
        </is>
      </c>
      <c r="E21" t="inlineStr"/>
      <c r="F21" t="inlineStr"/>
      <c r="G21" t="inlineStr">
        <is>
          <t>Sunnyvale, CA, US</t>
        </is>
      </c>
      <c r="H21" s="2" t="n">
        <v>45964</v>
      </c>
      <c r="I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in-52e17319c05ee0b0</t>
        </is>
      </c>
      <c r="B22" t="inlineStr">
        <is>
          <t>Sr. Software Engineer (ML), AGI Customization</t>
        </is>
      </c>
      <c r="C22" t="inlineStr">
        <is>
          <t>Amazon.com</t>
        </is>
      </c>
      <c r="D22" t="inlineStr">
        <is>
          <t>indeed</t>
        </is>
      </c>
      <c r="E22" t="inlineStr"/>
      <c r="F22" t="inlineStr"/>
      <c r="G22" t="inlineStr">
        <is>
          <t>Boston, MA, US</t>
        </is>
      </c>
      <c r="H22" s="2" t="n">
        <v>45964</v>
      </c>
      <c r="I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in-4d7fe7721afff5af</t>
        </is>
      </c>
      <c r="B23" t="inlineStr">
        <is>
          <t>Sr. Software Engineer (ML), AGI Foundations</t>
        </is>
      </c>
      <c r="C23" t="inlineStr">
        <is>
          <t>Amazon.com</t>
        </is>
      </c>
      <c r="D23" t="inlineStr">
        <is>
          <t>indeed</t>
        </is>
      </c>
      <c r="E23" t="inlineStr"/>
      <c r="F23" t="inlineStr"/>
      <c r="G23" t="inlineStr">
        <is>
          <t>Bellevue, WA, US</t>
        </is>
      </c>
      <c r="H23" s="2" t="n">
        <v>45803</v>
      </c>
      <c r="I2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4">
      <c r="A24" t="inlineStr">
        <is>
          <t>in-b168e2bda25a9661</t>
        </is>
      </c>
      <c r="B24" t="inlineStr">
        <is>
          <t>Sr. Software Engineer (ML), AGI Foundations</t>
        </is>
      </c>
      <c r="C24" t="inlineStr">
        <is>
          <t>Amazon.com</t>
        </is>
      </c>
      <c r="D24" t="inlineStr">
        <is>
          <t>indeed</t>
        </is>
      </c>
      <c r="E24" t="inlineStr"/>
      <c r="F24" t="inlineStr"/>
      <c r="G24" t="inlineStr">
        <is>
          <t>Sunnyvale, CA, US</t>
        </is>
      </c>
      <c r="H24" s="2" t="n">
        <v>45803</v>
      </c>
      <c r="I2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5">
      <c r="A25" t="inlineStr">
        <is>
          <t>in-af582bf644d9ae11</t>
        </is>
      </c>
      <c r="B25" t="inlineStr">
        <is>
          <t>Software Engineer- AI/ML, AWS Neuron Distributed Training</t>
        </is>
      </c>
      <c r="C25" t="inlineStr">
        <is>
          <t>Amazon Web Services</t>
        </is>
      </c>
      <c r="D25" t="inlineStr">
        <is>
          <t>indeed</t>
        </is>
      </c>
      <c r="E25" t="inlineStr"/>
      <c r="F25" t="inlineStr"/>
      <c r="G25" t="inlineStr">
        <is>
          <t>Seattle, WA, US</t>
        </is>
      </c>
      <c r="H25" s="2" t="n">
        <v>45727</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in-f8d3170d6dd57d0b</t>
        </is>
      </c>
      <c r="B26" t="inlineStr">
        <is>
          <t>Software Engineer- AI/ML, AWS Neuron Distributed Training</t>
        </is>
      </c>
      <c r="C26" t="inlineStr">
        <is>
          <t>Amazon Web Services</t>
        </is>
      </c>
      <c r="D26" t="inlineStr">
        <is>
          <t>indeed</t>
        </is>
      </c>
      <c r="E26" t="inlineStr"/>
      <c r="F26" t="inlineStr"/>
      <c r="G26" t="inlineStr">
        <is>
          <t>Cupertino, CA, US</t>
        </is>
      </c>
      <c r="H26" s="2" t="n">
        <v>45727</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in-5adc5afd871b9b8f</t>
        </is>
      </c>
      <c r="B27" t="inlineStr">
        <is>
          <t>Sr. Software Engineer- AI/ML, AWS Neuron Distributed Training</t>
        </is>
      </c>
      <c r="C27" t="inlineStr">
        <is>
          <t>Amazon Web Services</t>
        </is>
      </c>
      <c r="D27" t="inlineStr">
        <is>
          <t>indeed</t>
        </is>
      </c>
      <c r="E27" t="inlineStr"/>
      <c r="F27" t="inlineStr"/>
      <c r="G27" t="inlineStr">
        <is>
          <t>Seattle, WA,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in-29907d9f994f1666</t>
        </is>
      </c>
      <c r="B28" t="inlineStr">
        <is>
          <t>Sr. Software Engineer- AI/ML, AWS Neuron Distributed Training</t>
        </is>
      </c>
      <c r="C28" t="inlineStr">
        <is>
          <t>Amazon Web Services</t>
        </is>
      </c>
      <c r="D28" t="inlineStr">
        <is>
          <t>indeed</t>
        </is>
      </c>
      <c r="E28" t="inlineStr"/>
      <c r="F28" t="inlineStr"/>
      <c r="G28" t="inlineStr">
        <is>
          <t>Cupertino, CA, US</t>
        </is>
      </c>
      <c r="H28" s="2" t="n">
        <v>45713</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in-758705a4941eebc3</t>
        </is>
      </c>
      <c r="B29" t="inlineStr">
        <is>
          <t>Software Engineer</t>
        </is>
      </c>
      <c r="C29" t="inlineStr">
        <is>
          <t>Digitive LLC</t>
        </is>
      </c>
      <c r="D29" t="inlineStr">
        <is>
          <t>indeed</t>
        </is>
      </c>
      <c r="E29" t="inlineStr"/>
      <c r="F29" t="inlineStr"/>
      <c r="G29" t="inlineStr">
        <is>
          <t>Fremont, CA, US</t>
        </is>
      </c>
      <c r="H29" s="2" t="n">
        <v>46051</v>
      </c>
      <c r="I29" t="inlineStr">
        <is>
          <t>**\&lt;Job Overview\&gt;**  
Company is focused on Optical MEMS (Micro Electro Mechanical Systems) devices that go into fiber\-optic components for Optical Networks that form the backbone of the Internet.
**\&lt;Responsibilities\&gt;**
* Qualification of BS/MS in Mechanical Engineering, Electrical Engineering, Physics, or Computer Science.
* Develop Wafer Testing Software using LabVIEW with Instrument Control and Data Acquisition.
* Develop Machine Vision Software using LabVIEW Vision.
* Some understanding of Semiconductor Wafer Testing and Optical Microscopes with Camera.
* Organized and able to work with suppliers and customers.
* Good team player with good communications skills
Job Types: Full\-time, Contract
Pay: $100,000\.00 \- $130,000\.00 per year
Benefits:
* 401(k) matching
* Dental insurance
* Health insurance
* Vision insurance
Work Location: In person</t>
        </is>
      </c>
    </row>
    <row r="30">
      <c r="A30" t="inlineStr">
        <is>
          <t>in-b46aaee1807709c4</t>
        </is>
      </c>
      <c r="B30" t="inlineStr">
        <is>
          <t>Software Engineer, SME</t>
        </is>
      </c>
      <c r="C30" t="inlineStr">
        <is>
          <t>USfalcon</t>
        </is>
      </c>
      <c r="D30" t="inlineStr">
        <is>
          <t>indeed</t>
        </is>
      </c>
      <c r="E30" t="inlineStr"/>
      <c r="F30" t="inlineStr"/>
      <c r="G30" t="inlineStr">
        <is>
          <t>Omaha, NE, US</t>
        </is>
      </c>
      <c r="H30" s="2" t="n">
        <v>46051</v>
      </c>
      <c r="I30" t="inlineStr">
        <is>
          <t>Join USfalcon and lead a mission\-critical program supporting the Air Force Nuclear Weapons Center (AFNWC) and USSTRATCOM. The Software Engineer, SME serves as the senior technical expert responsible for the execution, performance, and success of Advisory \&amp; Assistance Services (A\&amp;AS) across Business, Engineering, and Cybersecurity functions. Operating in a classified, fast\-paced environment, this role serves as the primary interface with government stakeholders and is recognized as the definitive subject\-matter authority in software engineering, information technology, and secure application delivery for AFNWC/NCC programs.
**JOB SUMMARY:** The Software Engineer, SME will act as the AFNWC/NCC\-recognized expert in a specialized software/IT domain, guiding technical direction, solution design, and delivery across complex, secure computing environments. The SME will apply deep theoretical and practical knowledge of software engineering to assess, design, develop, secure, test, and sustain mission software systems, ensuring solutions meet stringent requirements for reliability, maintainability, cybersecurity, and operational performance. This position is central to designing and implementing best practices, leading technical work\-groups, and integrating developmental software into operational platforms in support of USSTRATCOM missions.
**ESSENTIAL DUTIES:**
* Act as the primary expert for specific software applications and IT domains; lead workgroups and provide guidance on resolving organizational needs through technical innovation.
* Define government requirements and generate design specifications, translating complex needs into detailed algorithms for coding and technical execution.
* Assist Cybersecurity Engineers by ensuring hardware, operating systems, and software designs satisfy DoDD 8570 security requirements for the Computing Environment (CE).
* Work within an Agile team to perform coding, automation script writing for auto\-deployable software, and peer code reviews.
* Perform Software Quality Assurance (SQA) and systematic testing to ensure products meet defined reliability and maintainability standards.
* Research emerging COTS/GOTS technologies and develop software prototypes to support system modernization and "Analysis of Alternatives" for USSTRATCOM mission requirements.
* Review and prepare comprehensive technical documentation, including user guides, training manuals, system specifications, and flowcharts.
**REQUIRED QUALIFICATIONS:**
* Minimum of 10\+ years of experience in software engineering with a focus on large\-scale, complex systems (millions of lines of code).
* Proven experience in the full SDLC, including requirements in analysis, design, construction, testing, and maintenance.
* Experience working within an Agile software development framework and implementing automation for software build, packaging, and deployment.
* Deep understanding of DoD information security assurance processes and DoDD 8570 requirements.
* Must be able to successfully pass a polygraph examination.
**PREFFERED QUALIFICATIONS:**
* Experience supporting AFNWC/NCC and/or USSTRATCOM programs in classified environments.
* Expertise in secure architecture/design for Computing Environments (CE) including OS hardening and secure configuration baselines.
* Familiarity with DoD RMF, STIGs, DISA SRGs, and related cybersecurity compliance processes.
* Proficiency with DevSecOps practices, Infrastructure as Code (e.g., Terraform, Ansible), and containerization/orchestration (Docker, Kubernetes).
* Experience with modern software stacks (e.g., Python, Java, C/C\+\+, .NET), test automation frameworks, and performance testing.
* Knowledge of messaging/data transmission concepts and integration of software into operational command\-and\-control platforms.
* Experience with MBSE, digital engineering, and model\-based documentation/tools (SysML, Cameo).
* Background in evaluating emerging tech for mission application (cloud services, microservices, event\-driven architectures).
* Prior participation in high\-visibility government work\-groups or technical tiger teams.
**EDUCATION/CERTIFICATION:**
* Bachelor’s degree in Computer Science, Software Engineering, Computer Engineering, or related technical field; Master’s degree preferred
* DoD Directive (DoDD) 8570 IAM Level II certification (e.g., CAP, CASP\+ CE, CISM, CISSP, or GSLC) (required)
* Additional relevant technical certifications (e.g., CISSP, CASP\+, AWS/GCP/Azure cloud certs, Scrum/Agile) preferred
**REQUIRED CLEARANCE:** Active Top Secret
**TRAVEL:** TBD
**Benefits Offered**: medical, dental, vision, life insurance, short\-term disability, long\-term disability, 401(k) match, flexible spending accounts, EAP, parental leave, pet insurance, paid time off, and holidays.
**About US**: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t>
        </is>
      </c>
    </row>
    <row r="31">
      <c r="A31" t="inlineStr">
        <is>
          <t>in-a4de746a78d32499</t>
        </is>
      </c>
      <c r="B31" t="inlineStr">
        <is>
          <t>Embedded Linux Software Engineer</t>
        </is>
      </c>
      <c r="C31" t="inlineStr">
        <is>
          <t>Heads Up Technologies</t>
        </is>
      </c>
      <c r="D31" t="inlineStr">
        <is>
          <t>indeed</t>
        </is>
      </c>
      <c r="E31" t="inlineStr"/>
      <c r="F31" t="inlineStr"/>
      <c r="G31" t="inlineStr">
        <is>
          <t>Dallas, TX, US</t>
        </is>
      </c>
      <c r="H31" s="2" t="n">
        <v>46051</v>
      </c>
      <c r="I31" t="inlineStr">
        <is>
          <t>**About Heads Up Technologies**
At Heads Up Technologies, we’re redefining what’s possible in the air. Since our beginnings in a Dallas hangar in 1985, we’ve grown into a global leader in aviation technology driven by innovation, precision, and a relentless pursuit of better in\-flight experiences. From pioneering digital audio and lighting systems to uniting with STG Aerospace, ALTO Aviation, and Innovative Advantage under one brand, we continue to lead the way in cabin systems integration for business and commercial aircraft. Join us as we shape the future of aviation where lighting, entertainment, safety, and audio come together to elevate every journey.
 **About the role**
As an Embedded Linux Software Engineer, you will architect, build, and maintain Linux\-based board support packages (BSPs) and system images for next\-generation business\-jet cabin systems (IFE/CMS). You will own the Yocto/OpenEmbedded build infrastructure, develop custom layers and recipes, and bring up Linux on custom ARM/SoC hardware. This role bridges low\-level platform software with application teams—ensuring a stable, optimized, and certification\-ready Linux foundation for production aircraft.
 **Key Details**
* Work Days and Hours: Monday to Friday. Flexibility to set schedule.
* Location: This is a full\-time onsite position located in Addison, TX.
* Compensation: Based on qualifications and comprehensive benefits package.
* Work Eligibility: Must be authorized to work in the United States.
 **What you'll do**
* Own and maintain Yocto/OpenEmbedded build systems: create and curate custom layers, recipes, and machine configurations for in\-house SoC platforms.
* Develop and upstream Linux kernel drivers, device\-tree configurations, and board bring\-up code for custom ARM\-based hardware.
* Integrate peripherals (I²C, SPI, UART, GPIO, USB, Ethernet) and validate functionality through driver development and system testing.
* Support video and audio distribution pipelines: integrate display interfaces (HDMI, DisplayPort), audio codecs, and media frameworks; debug AV routing, latency, and synchronization across cabin systems.
* Optimize boot time, memory footprint, and real\-time performance for resource\-constrained embedded targets.
* Collaborate with hardware and FPGA teams during bring\-up; debug with oscilloscopes, logic analyzers, JTAG, and kernel tracing tools.
* Build and maintain CI/CD pipelines for automated image builds, regression testing, and release management.
* Contribute to certification\-aligned processes (requirements traceability, design documentation, code reviews, unit/integration tests); DO\-178C exposure a plus.
* Document BSP architecture, build procedures, and interfaces; mentor team members on Yocto best practices.
**What will make you successful in this role**
Required Knowledge/Skills/Abilities:
* Bachelor's degree in Computer Science, Electrical Engineering, or equivalent experience.
* 5\+ years of embedded Linux development experience.
* Strong hands\-on experience with Yocto Project / OpenEmbedded: custom layers, recipes, bbappends, machine configurations, and distro features.
* Proficiency in C and shell scripting; familiarity with Python for Yocto/BitBake development.
* Experience with Linux kernel internals: device drivers, device tree, kernel configuration, and cross\-compilation.
* Familiarity with ARM architecture, boot loaders (U\-Boot), and hardware bring\-up workflows.
* Understanding of low\-level peripheral interfaces (I²C, SPI, UART, GPIO) and networking stacks (TCP/UDP, multicast).
* Ability to read schematics and datasheets to support hardware integration.
* Strong debugging skills: kernel logs, ftrace, perf, GDB, and hardware debug tools.
* Clear communicator who takes ownership, flags risks early, and delivers on commitments.
Preferred Knowledge/Skills/Abilities:
* Experience with PetaLinux or Xilinx\-based SoC platforms (Zynq/ZynqMP).
* Familiarity with video/audio subsystems: V4L2, ALSA/PulseAudio, GStreamer, DRM/KMS, or AVover\-IP protocols.
* Exposure to real\-time Linux (PREEMPT\_RT) or heterogeneous AMP configurations (Linux \+ RTOS/bare\-metal).
* Familiarity with containerized or OTA update strategies for embedded Linux (SWUpdate, RAUC,Mender).
* Background in aviation, automotive, or other safety\-critical/regulated environments; DO\-178C experience a plus.
* Contributions to open\-source projects or upstream kernel/Yocto communities.
 **Perks and Benefits**
* A competitive compensation package, including medical, dental, and vision coverage.
* Opportunities to plan for the future with our 401(k) program.
* Paid Time Off \- Take the well\-deserved time off you need.
* Life Insurance \- Enjoy the peace of mind that comes with life insurance coverage.
* Health and wellness benefits including Health Savings Account (HSA) option.
* Opportunities for professional growth and development within the company.
* Positive and inclusive work culture with a laid\-back work environment that promotes a healthy work\-life balance.
* Flexibility in your schedule to accommodate personal needs.
* Opportunities for overtime to enhance your earning potential.
 **Why Us?**
At Heads Up Technologies, you have the opportunity and support to reach for the sky collaborating internally and with partners to deliver artistry in engineering.
Every position in our company has its unique responsibilities, but they all require the same traits: motivated, self\-starter, creative, enthusiastic and dependable. A team player that has respect for the opinions and input of others. Performance\- and process\-driven. Someone who gives 110% at work but still seeks balance by making time with family and hobbies a priority.
Did this post spark something in you? If so, we’re looking forward to reviewing your resume!
No recruiting agencies.</t>
        </is>
      </c>
    </row>
    <row r="32">
      <c r="A32" t="inlineStr">
        <is>
          <t>in-5c1b398fa6cdc6e3</t>
        </is>
      </c>
      <c r="B32" t="inlineStr">
        <is>
          <t>Senior Software Engineer</t>
        </is>
      </c>
      <c r="C32" t="inlineStr">
        <is>
          <t>Integrated DNA Technologies</t>
        </is>
      </c>
      <c r="D32" t="inlineStr">
        <is>
          <t>indeed</t>
        </is>
      </c>
      <c r="E32" t="inlineStr"/>
      <c r="F32" t="inlineStr"/>
      <c r="G32" t="inlineStr">
        <is>
          <t>Sunnyvale, CA, US</t>
        </is>
      </c>
      <c r="H32" s="2" t="n">
        <v>46050</v>
      </c>
      <c r="I32"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Senior Software Engineer is responsible for the design and development of software to enable a novel, multi\-component oligonucleotide synthesis platform to help transform IDT’s capabilities.
This position reports to the Senior Manager and is part of the Emerging Technologies team located in Sunnyvale, CA and will be an on\-site role.
 **In this role, you will have the opportunity to:**
* Leverage your expertise to deliver transformative capabilities for IDT's oligo synthesis platforms, from initial ideation to prototyping and development to implementation in a manufacturing environment.
* Design and implement software to coordinate operations of multiple hardware subsystems – fluidics, electronics, mechatronics – into unified workflows.
* Develops applications that communicate with SQL based LIMS systems and/or ERP systems
* Influence technical decisions and set software standards and best practices for a platform that is under development.
* Collaborate within a cross\-disciplinary team to translate experimental goals into reliable, repeatable automated processes.
 **The essential requirements of the job include****:**
* Bachelor’s degree in software engineering, computer engineering, computer science or related discipline required with a minimum of 5 years’ applicable industry experience.
* Demonstrated experience designing and implementing control, system\-integration, and user\-interface software for complex hardware\-based instruments, preferably in biotech or life sciences applications.
* Experience with modern object\-oriented languages (C\#, Python, etc.) and experience building in both front\-end and back\-end ecosystems for standalone desktop software (.NET preferred).
* Previous experience with current relational database products required; MySQL or MS\-SQL Server experience preferred.
* Comfort working in an early\-stage R\&amp;D environment where requirements evolve, and emphasis is placed on adaptability, initiative and good judgement.
 **Travel, Motor Vehicle Record \&amp; Physical/Environment Requirements:**
* Ability to travel 5% time domestically.
* Ability to occasionally lift, move or carry equipment up to 10 lbs.
* Ability to occasionally work in a laboratory environment for extended periods.
 **It would be a plus if you also****possess****previous****experience in:**
* Biotechnology device experience (e.g. synthesis, sequencing, or –omics enabling workflow devices).
* Working with hardware communication protocols (e.g. serial, USB, Ethernet, fieldbus).
* Implementing data logging, monitoring, and basic visualization for experimental or prototype platforms.
* Collaborating on multidisciplinary teams where software must align with mechanical, electrical, and chemical system constraints.
* Early exposure to system\-level ownership, such as being the primary author or maintainer for a prototype control stack.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$135\-155K.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row>
    <row r="33">
      <c r="A33" t="inlineStr">
        <is>
          <t>in-3d5d00c06106b595</t>
        </is>
      </c>
      <c r="B33" t="inlineStr">
        <is>
          <t>Staff Software Engineer, Build</t>
        </is>
      </c>
      <c r="C33" t="inlineStr">
        <is>
          <t>CARIAD</t>
        </is>
      </c>
      <c r="D33" t="inlineStr">
        <is>
          <t>indeed</t>
        </is>
      </c>
      <c r="E33" t="inlineStr"/>
      <c r="F33" t="inlineStr"/>
      <c r="G33" t="inlineStr">
        <is>
          <t>Mountain View, CA, US</t>
        </is>
      </c>
      <c r="H33" s="2" t="n">
        <v>46050</v>
      </c>
      <c r="I33" t="inlineStr">
        <is>
          <t>*We are****CARIAD****,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Staff Software Engineer, Build is responsible for designing, implementing, and maintaining build workflows, scripts, and automation tools to support efficient and reliable software integration across assigned platforms and programs. This role applies strong knowledge of build systems, embedded Linux and Android environments, CI/CD tooling, and automation frameworks to improve build efficiency, reliability, and observability within local, cloud, and CI/CD environments.
The Staff Software Engineer, Build collaborates closely with software development, integration, and release teams to implement build and release processes aligned with established workflows and standards.
**Role Responsibilities:**
**Software Build Development**
* Design and implement build workflows for assigned software platforms.
* Develop and maintain build scripts.
* Create solutions to improve build efficiency.
* Create build environment with different build toolchains.
* Define and create automation to build locally, in cloud.
* Partner with development teams to implement agreed\-upon branching strategies.
**Build System and Infrastructure Development**
* Improve build system efficiency and reliability within defined CI/CD environments.
* Work with vendors, partners and other teams and adopt existing build system solutions.
* Implement verification pipelines aligned with existing CI/CD standards.
* Perform build failure analysis and resolve them.
* Develop scripts to help resolve code commit errors and merge conflicts.
**Software Build Configuration Development**
* Create Docker for different build environment.
* Define and develop automation for manifest generation.
* Define and create build configuration scripts for different hardware and brands.
**Software Release Pipeline Development**
* Support and implement efficient software release pipeline approaches aligned with established workflows.
* Collect, analyze, and publish build and release metrics to identify improvement opportunities.
* Work with vendors, partners and other teams.
**Collaboration and Communication**
* Collaborate effectively with cross\-functional teams including software, hardware, and quality assurance teams.
* Communicate project status, technical challenges, and solutions in a clear and concise manner.
* Provide technical guidance through collaboration and code reviews.
**Documentation**
* Create and maintain comprehensive technical documentation including design specification, build procedure, test reports, bug description, root cause and solution description, user guides, and release notes.
**General Skills:**
* Analytical and debugging skills.
* Effective written and oral communication skills.
* Ability to provide technical guidance within assigned projects through collaboration and code/test reviews
* Ability to facilitate technical discussions related to assigned systems
* Collaborate and work with multiple teams across geographies and time zones.
**Required Skills:**
* Experience or deep understanding on how Linux software build works.
* Experience with Google Cloud or equivalent
* Experience with Jenkins, Google Cloud Deployment
* Manager or equivalent
* Experience with CI/CD tools such as GitLab, Gerrit, Gradle, OpenEmbedded, Buildroot, Artifactory
* Experience with different ARM compilers
* Experience creating pipeline for test automation in a Test\-Driven Development (TDD) process
* Strong in scripting languages Python, shell, YAML, Groovy
**Desired Skills:**
* Experience applying data engineering and analytics techniques to improve build efficiency and observability
* Experience using Generative AI or Large Language Models (LLM) to improve software build efficiency and quality
* Experience in automated driving development
**Work Flexibility:**
* Calls, (virtual) meetings \&amp; workshops (overlapping with German/US business hours as needed) to align withleadership, development teams and partners.
* Occasional international and domestic travel to provide on\-site support and planning/integration workshops with our internal and external stakeholders.
**Years of Relevant Experience:**
* 8\+ years combined experience in build/release engineering, software configuration management
* 8\+ years' experience with embedded Linux, Android
* 8\+ years' combined scripting language experience in Python, Shell, Groovy
* 8\+ years' experience with Git, Repo, make, Cmake, Bazel
* 5\+ years' experience with Docker Container, Jenkins
**Required Education:**
* BS in Computer Science or Computer/Electrical Engineering
**Desired Education:**
* MS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$161,710 \- $234,325\.
CARIAD, Inc. provides performance\-based merits and annual bonus along with a competitive benefits package. Benefits include medical, dental, vision, 401k with employer match and defined contribution plan, short\- and long\-term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Employer.**We welcome and encourage applicants from all backgrounds, and do not discriminate based on race, sex, age, disability, sexual orientation, national**origin, religion, color, gender identity/expression, marital status, veteran status, or any other characteristics protected by applicable laws.*
*Employment with CARIAD Inc. is subject to export control and sanctions compliance. Some positions may involve access to technology and/or software source code subject to U.S. legal restrictions on release to certain foreign persons based on citizenship or permanent residence. To ensure compliance, applicants will be required to provide information for screening. Employment may be contingent on the outcome, including verification of U.S. citizenship or lawful permanent resident status, or confirmation that a license, exemption, or exception applies. CARIAD retains the discretion to decline to obtain a required license in any case. By applying, you acknowledge and agree to participate in this process.*</t>
        </is>
      </c>
    </row>
    <row r="34">
      <c r="A34" t="inlineStr">
        <is>
          <t>in-4af006749ab7a18a</t>
        </is>
      </c>
      <c r="B34" t="inlineStr">
        <is>
          <t>Software Engineer III, Vehicle System Integration</t>
        </is>
      </c>
      <c r="C34" t="inlineStr">
        <is>
          <t>CARIAD</t>
        </is>
      </c>
      <c r="D34" t="inlineStr">
        <is>
          <t>indeed</t>
        </is>
      </c>
      <c r="E34" t="inlineStr"/>
      <c r="F34" t="inlineStr"/>
      <c r="G34" t="inlineStr">
        <is>
          <t>Mountain View, CA, US</t>
        </is>
      </c>
      <c r="H34" s="2" t="n">
        <v>46050</v>
      </c>
      <c r="I34" t="inlineStr">
        <is>
          <t>*We are****CARIAD****,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Systems Engineer III role is part of the ADAS business unit. The role requires leveraging technical expertise in Systems Engineering for design and upkeep of the ADAS automotive test bench infrastructure. The role also requires participating in ADAS development by recording and analyzing software traces. The role requires balancing independent work with mentoring from time to time.
**Role Responsibilities:**
**Test Bench Infrastructure development \&amp; maintenance**
* Build, maintain and enhance test bench setups to ensure robust functionality of Automated Driving functions and related ECUs.
* Perform hardware \&amp; software updates, fault analysis, and documentation with precision and in accordance with changes to Compound SW Releases.
* Perform all necessary system configurations and commissioning procedures.
**Tracing, Logging and Analysis**
* Conduct tracing, logging and analysis of logs/traces using tools such as CANalyzer, CANoe, adb logcat, rogcat, and
* Putty terminal emulator as well as in\-house developed tooling.
* Debug and resolve system issues, leveraging multiple data sources for comprehensive solutions.
* Collaborate with cross\-functional teams to ensure support and enablement of company objectives.
**Networking and Diagnostics**
* Operate diagnostic and communication tools using protocols such as LIN, CAN, CAN\-FD, FlexRay and automotive Ethernet.
* Collaborate on diagnosing and resolving complex system integration issues.
**Verification and Validation of Automated Driving Systems**
* Validate Automated Driving Systems, ensuring functionality for parking, safety and driving systems across various levels of automation including data collection and related technologies.
* Conduct tests on public roads and proving grounds, vehicle electronics, and other related domains.
**Additional Responsibilities**
* Handle hazardous materials and ensure compliance with safety regulations, including OSHA standards.
* Occasionally lift heavy boxes or components and transport them, as necessary.
* Use handheld power tools and perform fabrication tasks as required.
* Manage shipping, import, and export processes with precision and documentation.
* Adhere to VW Group methodologies to ensure alignment with company standards.
* Create and manage electrical circuits, ensuring their safety and functionality.
**General Skills:**
* Intentional Team Builder: Shapes culture, roles \&amp; responsibilities with care \&amp; empathy to create engaged, empowered \&amp; high\-performing interdisciplinary teams.
* Thoughtful Problem Solver \&amp; Communicator: Thinks analytically, critically \&amp; creatively and communicates with clarity, direction \&amp; purpose.
* Attentive Listener: Listens actively while withholding judgment and advice. Clarifies intentions \&amp; motivations to anticipate and address potential conflicts \&amp; avoid misunderstanding.
* Drives Diversity: Acts from a deep\-rooted belief that we build better teams \&amp; products when we empower \&amp; learn from the broadest spectrum of humanity.
* Leads with Integrity: Speaks\-up with compassion \&amp; empathy to firmly stand by our values, principles, rules \&amp; regulations.
* Thrives in Ambiguity: Approaches challenges with an open and curious mindset and a strong bias towards action.
* Zooms out to systematically map out the situation and is comfortable making high impact decisions based on limited or conflicting information.
* Creates Clarity \&amp; Momentum: Aligns people, processes, and systems to create forward momentum. Anticipates and removes impediments. Motivates teams to joint action to achieve common goals across organizational boundaries \&amp; cultural differences.
* Highly Accountable: Assumes personal responsibility for making and keeping realistic agreements. Openly owns mistakes and consequences. Demonstrates strong commitment and consideration for the larger interests of society, the environment, the company, and the team.
* Develops Strategy, Partnerships \&amp; Business: Strong empathy, influencing and negotiation skills that help create alignment around product vision, budgets, resources, program planning, etc.
**Required Skills:**
* Ability to work on Vehicle retrofit (both mechanical and electrical)
* Ability to read and interpret vehicle electrical schematics
* Ability to create custom cable assemblies for vehicle retrofit
* Expert in data collection strategy and large fleet management
* Basic system test configuration setup in vehicle for measurement and debugging
* HW test setup familiarity
* Familiar with Google Suite, Spreadsheets and Word documents.
**Desired Skills:**
* Knowledge of Vehicle retrofit in steering/braking and infotainment system.
* Understanding of complete vehicle wiring harness
* Debugging in\-vehicle measurement systems
* Experiences in automated driving development
**Work Flexibility:**
* Frequent early morning calls, (virtual) meetings \&amp; workshops (overlapping with German business hours)
* Occasional international and domestic travel to provide on\-site support and planning/integration workshops with our internal and external stakeholders.
**Years of Relevant Experience:**
* 5\+ years of Vehicle Engineering technician experience in technology company
**Required Education:**
* Bachelor's degree in engineering, or related degree
* California State driving license required
**Desired Education:**
* Master's degree or higher in engineering, or related degree
**Compensation**
Salary range is dependent on factors such as geographical differentials, credentials or certifications, industry\-based experience, qualification and training. In the city of Mountain View, California, the salary range for this position is $135,960 \- 197,760\.
CARIAD, Inc. provides performance\-based merits and annual bonus along with a competitive benefits package. Benefits include medical, dental, vision, 401k with employer match and defined contribution plan, short\- and long\-term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Employer.**We welcome and encourage applicants from all backgrounds, and do not discriminate based on race, sex, age, disability, sexual orientation, national**origin, religion, color, gender identity/expression, marital status, veteran status, or any other characteristics protected by applicable laws.*
*Employment with CARIAD Inc. is subject to export control and sanctions compliance. Some positions may involve access to technology and/or software source code subject to U.S. legal restrictions on release to certain foreign persons based on citizenship or permanent residence. To ensure compliance, applicants will be required to provide information for screening. Employment may be contingent on the outcome, including verification of U.S. citizenship or lawful permanent resident status, or confirmation that a license, exemption, or exception applies. CARIAD retains the discretion to decline to obtain a required license in any case. By applying, you acknowledge and agree to participate in this process.*</t>
        </is>
      </c>
    </row>
    <row r="35">
      <c r="A35" t="inlineStr">
        <is>
          <t>in-b02365af88888895</t>
        </is>
      </c>
      <c r="B35" t="inlineStr">
        <is>
          <t>Staff Software Engineer, Test</t>
        </is>
      </c>
      <c r="C35" t="inlineStr">
        <is>
          <t>CARIAD</t>
        </is>
      </c>
      <c r="D35" t="inlineStr">
        <is>
          <t>indeed</t>
        </is>
      </c>
      <c r="E35" t="inlineStr"/>
      <c r="F35" t="inlineStr"/>
      <c r="G35" t="inlineStr">
        <is>
          <t>Mountain View, CA, US</t>
        </is>
      </c>
      <c r="H35" s="2" t="n">
        <v>46050</v>
      </c>
      <c r="I35" t="inlineStr">
        <is>
          <t>*We are****CARIAD****,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Staff Software Engineer, Test is responsible for designing, implementing, and validating software for CARIAD's next\-generation automated driving systems. This role applies strong knowledge of embedded systems, test automation frameworks, and CI/CD pipelines to design and implement automated test scripts, execute comprehensive test plans, analyze validation results, and improve software quality, performance, and reliability within assigned systems and programs.
The Staff Software Engineer, Test collaborates closely with cross\-functional teams across assigned programs and platforms to contribute to the innovation and evolution of software\-driven automotive experiences.
**Role Responsibilities:**
**Automated Test Script Development**
* Design and implement automated test frameworks for assigned automated driving programs.
* Improve scalable, reusable, and efficient automation frameworks for large\-scale infotainment systems.
* Apply established testing best practices and contribute improvements based on program needs.
* Influence software development processes by integrating cutting\-edge testing methodologies.
**Automation Infrastructure \&amp; Continuous Integration**
* Design and oversee the development of robust test automation pipelines in CI/CD environments.
* Ensure automation solutions integrate cleanly with existing CI/CD pipelines for assigned teams.
* Optimize test execution pipelines for efficiency, scalability, and reliability.
* Evaluate and implement AI\-assisted testing techniques where applicable within program scope.
**Collaboration and Communication**
* Collaborate effectively with cross\-functional teams including software, hardware, and program management teams.
* Communicate project status, technical challenges, and solutions in a clear and concise manner.
* Participate in architectural discussions related to test and validation for assigned systems.
**Quality Metrics \&amp; Process Improvement**
* Track and analyze quality metrics to assess test effectiveness and inform improvements
* Drive initiatives to improve defect detection, test coverage, and software reliability.
* Advocate for and implement automated test planning, execution, and reporting processes.
**Verification and Validation of Automated Driving Systems**
* + Validate Automated Driving Systems, ensuring functionality for parking, safety and driving systems across various levels of automation.
	+ Conduct tests on public roads and proving grounds, vehicle electronics, and other related domains.
**Documentation**
* Create and maintain comprehensive technical documentation including design specification, build procedure, test reports, bug description, root cause and solution description, user guides, and release notes
**General Skills:**
* Analytical and debugging skills.
* Effective written and oral communication skills.
* Ability to provide technical guidance within assigned projects through collaboration and code/test reviews
* Ability to facilitate technical discussions related to assigned systems
* Collaborate and work with multiple teams across geographies and time zones
**Required Skills:**
* Strong background in testing automated driving systems including scenario based testing
* Strong technical knowledge of automotive communication protocols such as CAN, DOIP, and Ethernet, and their impact on automated driving systems.
* Experience designing and implementing test automation frameworks with a focus on scalability, efficiency, and data\-driven analytics.
* Experience in implementing and executing vehicle\-level test approaches aligned with established development and validation workflows
* Experience in developing system/subsystem test plans and reports to support validation, compliance, and quality objectives
* Experience with automotive application protocol UDS, SomeIP
* Experience with interface communication protocols USB, UART, SPI, I2C
* Experience with networking tools CANoe, PCAN, Wireshark, PacketSender
* Experience with Android CTS testing and Monkey testing
* Experience incorporating data analytics into automated test frameworks
**Desired Skills:**
* Experience with Linux
* Experience with ISO 26262 or other safety standard testing
* Experience with log analysis for anomaly detection
* Experience using Generative AI or Large Language Models (LLM) to improve software test efficiency and quality
**Workplace Flexibility:**
* Frequent early morning calls, (virtual) meetings \&amp; workshops (overlapping with German business hours)
* Occasional international and domestic travel to provide on\-site support and planning/integration workshops with our internal and external stakeholders
**Years of Relevant Experience:**
* 8\+ years working as a Software Validation in the automated driving context
* 8\+ years experience in Python Pytest
* 8\+ years experience with Embedded Linux, Android application testing
* 6\+ years experience in automation framework development
* 6\+ years experience with Docker Container, Jenkins
**Required Education:**
* BS in Computer Science or Computer/Electrical Engineering
**Desired Education:**
* MS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$161,710 \- 234,325\.
CARIAD, Inc. provides performance\-based merits and annual bonus along with a competitive benefits package. Benefits include medical, dental, vision, 401k with employer match and defined contribution plan, short\- and long\-term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Employer.**We welcome and encourage applicants from all backgrounds, and do not discriminate based on race, sex, age, disability, sexual orientation, national**origin, religion, color, gender identity/expression, marital status, veteran status, or any other characteristics protected by applicable laws.*
*Employment with CARIAD Inc. is subject to export control and sanctions compliance. Some positions may involve access to technology and/or software source code subject to U.S. legal restrictions on release to certain foreign persons based on citizenship or permanent residence. To ensure compliance, applicants will be required to provide information for screening. Employment may be contingent on the outcome, including verification of U.S. citizenship or lawful permanent resident status, or confirmation that a license, exemption, or exception applies. CARIAD retains the discretion to decline to obtain a required license in any case. By applying, you acknowledge and agree to participate in this process.*</t>
        </is>
      </c>
    </row>
    <row r="36">
      <c r="A36" t="inlineStr">
        <is>
          <t>in-e3ab5eae76d95cdd</t>
        </is>
      </c>
      <c r="B36" t="inlineStr">
        <is>
          <t>Software Engineer</t>
        </is>
      </c>
      <c r="C36" t="inlineStr"/>
      <c r="D36" t="inlineStr">
        <is>
          <t>indeed</t>
        </is>
      </c>
      <c r="E36" t="inlineStr"/>
      <c r="F36" t="inlineStr"/>
      <c r="G36" t="inlineStr">
        <is>
          <t>Beavercreek, OH, US</t>
        </is>
      </c>
      <c r="H36" s="2" t="n">
        <v>46050</v>
      </c>
      <c r="I36" t="inlineStr">
        <is>
          <t>Awetomaton is seeking a Software Engineer to support existing customers at Wright\-Patterson Air Force Base in Dayton, Ohio. In this role you will work with a team of 10\-15 managing and sustaining an enterprise analysis platform to derive insights from raw sensor data. The ideal candidate will possess a BS degree or higher in engineering or related field. This position will largely be performed from WPAFB and require a security clearance. Sponsorship is available, but Active Top Secret is *highly preferred.*
**Criteria for success**
* Communicate effectively in both written and verbal form with peers \&amp; decision makers
* Demonstrate initiative when faced with limited guidance or ambiguous requirements
* Familiarity with platform management concepts including containerization and Kubernetes
**Req****uired Experience and Skills**
* Bachelor of Science in Computer Science, Engineering, or Software focused Engineering discipline
* Mastery of software configuration management using Git
* Proficient in a modern programming language (Python, JavaScript, etc.)
**Desired Education and Experience**
* Expertise developing modular, reusable software via strong Object\-Oriented Software development practices
* Experience with Container Technology (Docker / podman / etc.)
* Experience following GitFlow and GitOps workflows using team repository (GitHub / Gitlab / etc.)
* Ability to apply agentic tooling to accelerate development velocity
**About Awetomaton**
We build software that enables humans to make informed decisions from raw intel data, with a specialization in satellite collection. We are a Dayton\-based defense startup that believes there is a critical skill \&amp; culture gap \- one we are filling with high\-output, mission focused engineering talent. Results matter to our customers. We've never lost a customer because we deliver what they need. Awetomaton is where you do work that matters with a passionate team in an environment that inspires your creativity.
**Benefits**
We provide industry leading benefits that balance your health \&amp; wellbeing today, as well as lay a solid financial future into retirement. Highlights of our benefit plan include:
* Flexible time off totaling 36 days / year. No approvals required.
* 100% 401k company match up to IRS annual limits. This is a benefit of up to $23,500 for 2025\.
* Health plan through Blue Cross Blue Shield with Health Savings Account (HSA). We pay 95% of employee premiums including family plans.
* Employee favorite: Tech and Wellness reimbursement of $3000 / year. Treat yourself with the newest gadgets or athletic gear. No approvals required.
* Annual profit sharing as 401k contribution. No set percent and dependent on annual company performance. Benefit is above and beyond 401k match.
* Windows or MacBook laptop and well\-equipped office spaces for optimal productivity in office and on\-the\-go.</t>
        </is>
      </c>
    </row>
    <row r="37">
      <c r="A37" t="inlineStr">
        <is>
          <t>in-a3a79595feddd6d8</t>
        </is>
      </c>
      <c r="B37" t="inlineStr">
        <is>
          <t>Finite Element Senior Software Developer - Geomechanics</t>
        </is>
      </c>
      <c r="C37" t="inlineStr">
        <is>
          <t>Sinopec Tech Houston</t>
        </is>
      </c>
      <c r="D37" t="inlineStr">
        <is>
          <t>indeed</t>
        </is>
      </c>
      <c r="E37" t="inlineStr"/>
      <c r="F37" t="inlineStr"/>
      <c r="G37" t="inlineStr">
        <is>
          <t>Houston, TX, US</t>
        </is>
      </c>
      <c r="H37" s="2" t="n">
        <v>46050</v>
      </c>
      <c r="I37" t="inlineStr">
        <is>
          <t>**GENERAL DESCRIPTION:**
Our company has an immediate opening for Senior Finite Element Software Developer or Advisor. This position will be responsible for developing 3D finite element method (FEM) software. The software will fully couple solid mechanics and fluid flow and be used to simulate subsurface stresses and deformations for Earth modeling, geomechanics analysis, and reservoir simulation. The developer will work closely with geoscientists and engineers to develop the FEM software to support our company's upstream projects.
**ESSENTIAL FUNCTIONS:**
* Will be responsible for developing innovative finite element software based on our in\-house FEM parallel computing software.
* Will develop models, efficient numerical solution, and software for geomechanics and reservoir modeling in Windows and Linux environments.
* Will work with GUI developer to develop pre\- and post\-processing codes and graphical user interfaces for the FEM software.
* Will design, develop, and maintain software and assist in software testing.
* Will actively contribute to ensure quality in project execution and maintain source code quality.
* Will create and maintain software documentation.
* Will share expertise throughout the team.
**REQUIRED KNOWLEDGE, SKILLS, and ABILITIES:**
* Strong and proven programming skills in Fortran, Python or other coding languages.
* Expert level knowledge and working experience in numerical methods and coding (e.g., FEM, FDM)
* Proven experience in parallel computing coding and other high\-performance computing.
* Proven experience of coding in Linux and Windows environments.
* Practical and hand\-on experience in all phases of software development lifecycle.
* Organized and detail\-oriented with strong analytical, numerical, and problem\-solving abilities.
* Ability to develop new architectures and frameworks.
* Experience in programming of 3D visualization is a plus.
* Software development experience in numerical analysis, reservoir simulation, geoscience, or geomechanics is preferred.
* Self\-starter and self\-discipline with multi\-tasking abilities.
* High degree of integrity and self\-discipline to complete objectives on time.
* Team player with good interpersonal and communication skills.
* Ability to handle confidential IP of the company.
**MINIMUM REQUIRED EDUCATION and EXPERIENCE:**
* Bachelor’s degree or higher from an accredited university in Computer Science, Software Engineering, Mechanics, or related technical field (e.g. geomechanics, geology, reservoir simulation) involving coding.
* 5\+ years of working experience as a Software Engineer/Developer in FEM software programming and modeling. Advisor level can be considered for more experienced candidate.
* Some domestic and international travel may be required (normally \&lt; 10 %).
* Must legally eligible to work in the U.S.
**Disclaimers:** The foregoing statements reflect the general duties, responsibilities and competencies considered necessary to perform the essential functions of this role and should not be considered as a detailed description of all the work requirements of this position. The specifics of this job description will be updated from time to time, as appropriate and required.  
STHC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on the basis of qualifications, merit, and business need.  
If you need assistance or an accommodation due to a disability, you may contact us at hr.sthc@sinopec.com or you may call us at 1\-832\-831\-1200\.  
Apply directly to this job posting by visiting our website: www.sinopecthc.com  
**To all recruitment agencies:** We are not responsible for any fee related to unsolicited resumes from 3rd party staffing and recruiting agencies (whether submitted through this website or sent directly to employees) unless a written agreement is in place between the agency and Sinopec Tech Houston, LLC. (“Company”) and an authorized Company representative makes a written request to the agency to assist with this requisition. Similarly, no fee will be paid for candidates who apply and claim to be represented by an agency. Any unsolicited resumes, CVs, or other candidate information submitted by an agency will become the property of Company, and no fee will be paid in the event such candidate is hired.</t>
        </is>
      </c>
    </row>
    <row r="38">
      <c r="A38" t="inlineStr">
        <is>
          <t>in-d0ef9dee76e7420c</t>
        </is>
      </c>
      <c r="B38" t="inlineStr">
        <is>
          <t>Software Engineer, Modeling and Simulation, Discovery</t>
        </is>
      </c>
      <c r="C38" t="inlineStr">
        <is>
          <t>Anduril</t>
        </is>
      </c>
      <c r="D38" t="inlineStr">
        <is>
          <t>indeed</t>
        </is>
      </c>
      <c r="E38" t="inlineStr"/>
      <c r="F38" t="inlineStr"/>
      <c r="G38" t="inlineStr">
        <is>
          <t>Seattle, WA, US</t>
        </is>
      </c>
      <c r="H38" s="2" t="n">
        <v>46050</v>
      </c>
      <c r="I3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Discovery team at Anduril is at the forefront of incubating and maturing high\-potential, software\-defined, AI\-native offerings that meet the toughest, newest challenges across hardware, software, space, and cyber domains. We're the architects of mission autonomy and mesh networking, delivering scalable hardware solutions that meet some of the most urgent national security needs. By working hand\-in\-hand with elite teams in Perception, AI, Motion Planning, Hardware, Test Engineering, Space, Networking, and Vehicle hardware, we craft cutting\-edge, end\-to\-end systems that redefine mission success.
### **ABOUT THE JOB**
As a Software Engineer focused on Modeling and Simulation on the Discovery team, you will develop, integrate, and maintain high\-fidelity virtual representations of both first\-party and third\-party vehicles across various domains, including satellites, missiles, and radars. You will be responsible for integrating these models with software\-in\-the\-loop and hardware\-in\-the\-loop testing systems, as well as federating simulation systems to enable complex simulations involving third\-party systems.  
Above all, a Modeling and Simulation Software Engineer must embody a "Whatever It Takes" mindset—executing tasks expediently, scalably, and pragmatically while keeping the mission at the forefront. You will make sound engineering decisions to deliver successful outcomes on time and with high quality. Beyond building our systems, you will also work directly with customers to deploy them.  
**WHAT YOU'LL DO**
* Work on challenging problems in a fast\-paced environment from across our portfolio of programs and products:
* Simulation solutions for Guidance, Navigation and Control algorithm development
* Software\-In\-The\-Loop (SITL) solutions
* Hardware\-In\-The\-Loop (HITL) solutions
* Monte\-Carlo simulation analysis
* Simulation and Test data analysis tools and processes
* Work with multi\-disciplinary subject matter experts to understand and adequately model pertinent sub\-system, system and system of system dynamics
* Work with internal and external customers to understand simulation requirements and develop efficient modeling and simulation solutions
* Identify problems; solve them: implement robust, high\-quality solutions
#### **REQUIRED QUALIFICATIONS**
* Currently possesses and is able to maintain an active U.S. Top Secret security clearance
* Bachelor's Degree or higher in engineering, computer science, mathematics, physics, chemistry, or related technical discipline
* Experience with aerospace/aeronautical systems (including rotorcraft/VTOL/skid\-to\-turn)
* Experience in flight dynamics/platform physics and control
* Proficiency with C/C\+\+
* Advanced proficiency with scientific computing systems (Mathworks products (e.g., MATLAB, SIMULINK etc.), scientific Python (e.g., numpy, scipy)
* Flight test data processing/sim correlation experience
* Experience with developing sub\-system and system level models (Air vehicle, ground vehicles, ground based sensors and other types of complex systems)
#### **PREFERRED QUALIFICATIONS**
* Advanced proficiency with C/C\+\+ and Python
* Flight test support experience
* Experience with SITL and HITL simulation infrastructure design, development and deployment for complex systems
* Experience with developing emulated/simulation interfaces for on\-board avionics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
      <c r="A39" t="inlineStr">
        <is>
          <t>in-1c3ffe7d15258bff</t>
        </is>
      </c>
      <c r="B39" t="inlineStr">
        <is>
          <t>Software Engineer, DevOps, Discovery</t>
        </is>
      </c>
      <c r="C39" t="inlineStr">
        <is>
          <t>Anduril</t>
        </is>
      </c>
      <c r="D39" t="inlineStr">
        <is>
          <t>indeed</t>
        </is>
      </c>
      <c r="E39" t="inlineStr"/>
      <c r="F39" t="inlineStr"/>
      <c r="G39" t="inlineStr">
        <is>
          <t>Seattle, WA, US</t>
        </is>
      </c>
      <c r="H39" s="2" t="n">
        <v>46050</v>
      </c>
      <c r="I3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Discovery team at Anduril is at the forefront of incubating and maturing high\-potential, software\-defined, AI\-native offerings that meet the toughest, newest challenges across hardware, software, space, and cyber domains. We're the architects of mission autonomy and mesh networking, delivering scalable hardware solutions that meet some of the most urgent national security needs. By working hand\-in\-hand with elite teams in Perception, AI, Motion Planning, Hardware, Test Engineering, Space, Networking, and Vehicle hardware, we craft cutting\-edge, end\-to\-end systems that redefine mission success.
### **ABOUT THE JOB**
As a DevOps Software Engineer on the Discovery team, you will solve a wide variety of problems involving networking, autonomy, systems integration, robotics, and more, while making pragmatic engineering tradeoffs along the way. Your efforts will ensure that Anduril products seamlessly work together to achieve critical outcomes. You are not a DevOps person who knows a little coding, you are a coder who knows CI/CD.  
You'll work closely with software, data, and operations engineers to turn designs into working systems—streamlining development, improving performance, and keeping production stable as we scale. You'll also collaborate with digital, manufacturing, and corporate technology teams across Anduril in a high\-tech, fast\-paced culture of innovation focused on solving real problems and delivering results.  
Above all, Software Engineers must be driven by a "Whatever It Takes" mindset—executing in an expedient, scalable, and pragmatic way while keeping the mission top\-of\-mind and making sound engineering decisions to deliver successful outcomes on\-time and with high quality. Not only will you build our systems, but you'll also work directly with customers to deploy it.  
**WHAT YOU'LL DO**
* Build and Manage CI/CD Pipelines: Develop and maintain CI/CD pipelines using tools like CircleCI, GitHub Actions, and Jfrog Artifactory to ensure seamless integration and deployment of machine learning models and applications.
* Infrastructure as Code (IaC): Utilize Terraform and Ansible to automate infrastructure provisioning and management on cloud platforms such as Azure, AWS, or Google Cloud Platform (GCP).
* Containerization and Orchestration: Use Kubernetes to ensure reliable deployment and scaleability of applications.
* Model Management and Deployment: Set up and maintain model registries and feature stores (e.g., MLflow, Kubeflow), and manage deployment pipelines for both batch and real\-time inference.
* Monitoring and Logging: Establish comprehensive monitoring and logging solutions using tools like ELK Stack (Elasticsearch, Logstash, Kibana), Prometheus, Vector, Loki, and Grafana to ensure the smooth operation of deployment environments.
* Collaborate with Cross\-Functional Teams: Work closely with development, data science, and operations teams to foster collaboration and ensure the efficient and effective deployment of machine learning models.
#### **REQUIRED QUALIFICATIONS**
* Currently possesses and is able to maintain an active U.S. Top Secret security clearance
* Strong engineering background from industry or school, ideally in areas/fields such as Computer Science, Software Engineering, Mathematics, or Physics
* 3\+ years working with a variety of programming languages such as Java, Python, C\+\+, Rust, Go, JavaScript, etc.
* Experience with CI/CD tools like GitHub Actions, CircleCI, FluxCD, Jfrog Artifactory, and Git.
* Proficiency with IaC tools (Terraform, Ansible).
* Experience with cloud platforms (Azure, AWS, GCP).
* Proficiency in containerization (Docker) and container orchestration (Kubernetes).
* Ability to quickly understand and navigate complex systems and established code bases
* A desire to work on critical software that has a real\-world impact
#### **PREFERRED QUALIFICATIONS**
* Strong background with focus in Physics, Mathematics, and/or Motion Planning to inform modeling \&amp; simulation (M\&amp;S) and physical systems
* Developing and testing multi\-agent autonomous systems and deploying in real\-world environments
* Familiarity with observability concepts and tools.
* Knowledge of security best practices for DevOps and MLOps.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0">
      <c r="A40" t="inlineStr">
        <is>
          <t>in-efa9a1749e0b9248</t>
        </is>
      </c>
      <c r="B40" t="inlineStr">
        <is>
          <t>Senior Software Developer</t>
        </is>
      </c>
      <c r="C40" t="inlineStr">
        <is>
          <t>AtkinsRéalis</t>
        </is>
      </c>
      <c r="D40" t="inlineStr">
        <is>
          <t>indeed</t>
        </is>
      </c>
      <c r="E40" t="inlineStr"/>
      <c r="F40" t="inlineStr"/>
      <c r="G40" t="inlineStr">
        <is>
          <t>Tallahassee, FL, US</t>
        </is>
      </c>
      <c r="H40" s="2" t="n">
        <v>46050</v>
      </c>
      <c r="I40" t="inlineStr">
        <is>
          <t>**Overview**
------------
We are hiring! AtkinsRéalis is seeking a **Senior Software Developer** to work on a variety of exciting projects in Florida. This position will report full\-time to our client office located in **Tallahassee, FL (Not Remote).**
**Your role**
-------------
* Conducts client needs analyses and may manage project development lifecycle for routine to semi\-complex projects.
* Analyzes complex technical problems and devises new approaches and alternative solutions.
* Translates business requirements into software specifications for routine to semi\-complex projects.
* Leads code reviews and participates in code review standards development and improvement.
* Implements, develops and evaluates plans and criteria for software development Best Practices groups. May lead one or more Best Practices working groups.
* Prepares data documentation for application development projects, following prescribed Best Practices.
* Leads application design for projects. May lead the design of unique design patterns to meet complex project requirements.
* Develops customized applications by writing well\-documented code in the applicable environment to meet documented software requirements.
* Provides database design insight and performs database management tasks.
* Exhibits mastery of one or more programming languages and/or platforms.
* Performs maintenance tasks on existing projects following the project's'established architecture/design.
* Maintains continued knowledge of technology developments in the field and use of applicable programming languages in order to act in an advisory role to our client and act as a mentor to other development resources.
* Implements new technologies in the field of software development to meet complex project requirements.
* Continually demonstrates ability to reuse existing code and work within reusable architectures.
* Leads documentation and diagramming of business and technical requirements for routine to semi\-complex projects.
* Participates in scope of work and estimate development utilizing technical domain knowledge; may lead scope and estimate for semi\-complex projects.
* Plans and organizes the work of other Software Developers for project assignments.
* Performs such other duties as the Supervisor may from time to time deem necessary.
**About you**
-------------
* B.S. or B.A in Computer Science or IT\-related discipline with 5\-10\+ years of relevant experience in computer programming and software development, or B.S. in Engineering with five years post professional licensure and relevant experience. Non\-degreed practitioners must demonstrate at least six years of direct experience in lieu of degree.
* Must have extensive experience with the following: Enterprise Solutions software, Power BI, SharePoint, SQL Server and other databases such as Oracle.
* C\#, Net Platform, ASP.Net Core experience.
* LRE \- Classic ASP \- not Classic ASP.Net \- using JavaScript and VBScript.
* DQE \- C\# in .Net with Angular\-JS.
* Must have extensive experience in overseeing the design and development of large applications, including application development processes and quality control while coordinating multiple programmers.
* Must have broad experience with database design and/or
administration of enterprise relational database management systems.
* Should demonstrate excellent interpersonal, technical writing and communication skills.
* Ability to report to our client office 5 days per week.
* An industry recognized certification, i.e., Microsoft Certified Solution Developer desired, or professional registration in the case of incumbents with Engineering degrees.
**Rewards \&amp; benefits**
-----------------------
At AtkinsRéalis, our values—Safety, Integrity, Collaboration, Innovation, and Excellence—are more than just words. They are the foundation of who we are and how we work. These principles shape our culture, guide our decisions, and inspire us to create an environment where every team member feels empowered to grow, succeed, and make a meaningful impact.
Depending on your employment status, AtkinsRéalis benefits may include medical, dental, vision, company\-paid life and short\- and long\-term disability benefits, employer\-matched 401(k) with 100% vesting, employee stock purchase plan, Paid Time Off, leaves of absences options, flexible work options, recognition and employee satisfaction programs, employee assistance program, and voluntary benefits.
**About AtkinsRéalis**
----------------------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
Expected compensation range is between $80k\-$120k\+ annually depending on skills, experience, and geographical location.
**Are you ready to expand your career with us? Apply today and help us shape something extraordinary.**
**AtkinsRéalis is an equal opportunity, Drug\-Free employer EOE/Veteran/Disability**
 **AtkinsRéalis cares about your privacy** and is committed to protecting your privacy. Please consult our Privacy Notice on our Careers site to know more about how we collect, use and transfer your Personal Data. By submitting your personal information to AtkinsRéalis, you confirm that you have read and accept our Privacy Notice.
**Note to staffing and direct hire agencies:**
In the event a recruiter or agency who is not on our preferred supplier list submits a resume/candidate to anyone in the company, AtkinsRéalis family of companies, we explicitly reserve the right to recruit and hire the candidate(s) at our discretion and without any financial obligation to the recruiter or agency. https://careers.atkinsrealis.com/recruitment\-agencies</t>
        </is>
      </c>
    </row>
    <row r="41">
      <c r="A41" t="inlineStr">
        <is>
          <t>in-2c1da9f1e1c3d950</t>
        </is>
      </c>
      <c r="B41" t="inlineStr">
        <is>
          <t>Staff Software Engineer (Remote)</t>
        </is>
      </c>
      <c r="C41" t="inlineStr">
        <is>
          <t>Stryker</t>
        </is>
      </c>
      <c r="D41" t="inlineStr">
        <is>
          <t>indeed</t>
        </is>
      </c>
      <c r="E41" t="inlineStr"/>
      <c r="F41" t="inlineStr"/>
      <c r="G41" t="inlineStr">
        <is>
          <t>Portage, MI, US</t>
        </is>
      </c>
      <c r="H41" s="2" t="n">
        <v>46050</v>
      </c>
      <c r="I41" t="inlineStr">
        <is>
          <t>### **Why join Stryker?**
Looking for a place that values your unique talents? Discover Stryker's award\-winning culture.  
We are proud to offer you our total rewards package which includes bonuses, healthcare, insurance benefits, retirement programs, wellness programs, as well as service and performance awards – not to mention various social and recreational activities, all of which are location specific.### **Job description**
We are excited to be named one of the World’s Best Workplaces by Fortune Magazine! We are proud to offer you 12 paid holidays annually. For an overview of our benefits and time off, please follow this link to learn more:US Stryker employee benefits.
As a Staff Software Engineer, within the Customer Solutions team, you will directly influence how our U.S. commercial organization manages accounts, deepens customer relationships, and accelerates growth. You’ll partner across the business to build Salesforce driven solutions that enhance our selling capabilities and elevate the customer experience.
 **What You Will Do**
* Partner with Customer Solutions teams to translate business needs into Salesforce based solutions that improve account management and customer engagement.
* Conduct root cause analysis on user reported issues and implement timely, scalable resolutions.
* Analyze requirements for new features and document technical specifications to support development and governance.
* Design, develop, and maintain custom software, database components, and automated testing code to support platform stability and code coverage goals.
* Manage system changes through source code repositories, ensuring accurate version control and production ready deployments.
* Coordinate QA and UAT testing activities to verify and validate new functionality before release.
* Collaborate with Release Management, Technical Governance, and Change Advisory teams to ensure all solutions meet organizational, regulatory, and security standards.
* Build strong working relationships with business stakeholders to understand core processes, drive adoption, and enhance solution effectiveness.
 **What You Will Need**
**Required**
* Bachelor’s degree in Computer Science, Engineering, Information Systems, or a related field.
* Minimum 4 years of Software Engineering experience.
* Minimum 2 years of Salesforce development experience.
* Proficiency in an object oriented programming language (C\#, Java, or similar).
 **Preferred**
* Experience with cloud based or enterprise SaaS software development.
* Salesforce Certified Platform Developer I (PDI) or Salesforce Certified Platform Developer II (PDII) certifications.
* Salesforce Administrator Certification.
* Experience with Oracle CPQ.
$102,600\.00 \- $222,300\.00 salary plus bonus eligible \+ benefits. Individual pay is based on skills, experience, and other relevant factors.
Posted Date: 01/29/2026  
This role will be posted for a minimum of 3 days.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42">
      <c r="A42" t="inlineStr">
        <is>
          <t>in-a5081f8444e6bdc2</t>
        </is>
      </c>
      <c r="B42" t="inlineStr">
        <is>
          <t>Principal Software Engineering</t>
        </is>
      </c>
      <c r="C42" t="inlineStr">
        <is>
          <t>AT&amp;T</t>
        </is>
      </c>
      <c r="D42" t="inlineStr">
        <is>
          <t>indeed</t>
        </is>
      </c>
      <c r="E42" t="inlineStr"/>
      <c r="F42" t="inlineStr"/>
      <c r="G42" t="inlineStr">
        <is>
          <t>Bothell, WA, US</t>
        </is>
      </c>
      <c r="H42" s="2" t="n">
        <v>46050</v>
      </c>
      <c r="I42" t="inlineStr">
        <is>
          <t>**Job Description:**
**This position requires office presence of a minimum of 5 days per week and is only located in the location(s) posted. No relocation is offered.**
**What you'll do:**
Join a strategic initiative to transform our broadband device software development organization. As a Software Engineer, you will contribute to the development of high\-quality, innovative software for the next generation of broadband gateways serving 15 million\+ customers. You will leverage your expertise to drive technical excellence, integrate AI solutions, and champion a quality\-first approach to software delivery. Your individual contributions will help differentiate our software in a highly competitive market and play a vital role in shaping industry\-leading products.
Embedded Linux Software development for Broadband Customer Premise Equipment (CPE).
* Migrating CPE from a proprietary software platform to an Opensource Prplware (OpenWRT) based software solution.
* Design, Develop and Document existing systems to improve reliability and develop new innovative features.
* Software development for new Hardware with cutting\-edge features and technology.
* Manage ongoing software architectural updates that include new Prplware, OpenWRT and Linux Kernel versions.
* Development in an Agile environment with up to 5 releases a year.
* Develop automated testing to validate new features.
* Develop applications to run in a Lifecycle Management (LCM) container on the Broadband CPE.
 **What you'll bring:**
* Knowledge of Linux operating system, process execution, multi\-process environments, inter\-process communication. Good understanding of networking fundamentals, UDP/TCP basics, packet flow through the Linux packet processing stack. Understanding of Linux firewall and routing concepts. Knowledge of common networking protocols: DHCP, DNS. Familiarity with tcpdump and network protocol analysis.
* Knowlege of wifi concepts, AP and station roles, association and authentication of wifi stations, configuration of ssids.
* Familiarity with the gcc toolchain and debugging stack traces. Familiarity with syslog and logging concepts.
* Experience in an Agile development environment.
* Extensive experience with C programming. Familiarity with standard C libraries, and other common libraries like libssl, libcrypto, libcurl. Knowledge of prplware libraries. Familiarity with the OpenWrt build system, and its IPC mechanism ubus, overlayfs, and its config system UCI.
* 7\+ years of experience in embedded software development.
* Track record of creating innovative solutions and new applications through the design, development, and coding for innovative Consumer and business applications.
 **What you'll need:**
* Bachelors degree (BS/AA) desired in Computer Science or equivalent.
 **What we offer:**
* A pivotal leadership role in reshaping our broadband software capabilities.
* Opportunity to build a modern, AI\-augmented engineering culture.
* Direct impact on millions of customers and the company’s market position.
* Competitive compensation and benefits.
Our **Principal Software Engineers** earn between $174,100\.00 \- $261,100\.00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Dallas, Texas**Salary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43">
      <c r="A43" t="inlineStr">
        <is>
          <t>in-7d0ad8e3301c55c4</t>
        </is>
      </c>
      <c r="B43" t="inlineStr">
        <is>
          <t>Principal Software Engineering</t>
        </is>
      </c>
      <c r="C43" t="inlineStr">
        <is>
          <t>AT&amp;T</t>
        </is>
      </c>
      <c r="D43" t="inlineStr">
        <is>
          <t>indeed</t>
        </is>
      </c>
      <c r="E43" t="inlineStr"/>
      <c r="F43" t="inlineStr"/>
      <c r="G43" t="inlineStr">
        <is>
          <t>Dallas, TX, US</t>
        </is>
      </c>
      <c r="H43" s="2" t="n">
        <v>46050</v>
      </c>
      <c r="I43" t="inlineStr">
        <is>
          <t>**Job Description:**
**This position requires office presence of a minimum of 5 days per week and is only located in the location(s) posted. No relocation is offered.**
**What you'll do:**
Join a strategic initiative to transform our broadband device software development organization. As a Software Engineer, you will contribute to the development of high\-quality, innovative software for the next generation of broadband gateways serving 15 million\+ customers. You will leverage your expertise to drive technical excellence, integrate AI solutions, and champion a quality\-first approach to software delivery. Your individual contributions will help differentiate our software in a highly competitive market and play a vital role in shaping industry\-leading products.
Embedded Linux Software development for Broadband Customer Premise Equipment (CPE).
* Migrating CPE from a proprietary software platform to an Opensource Prplware (OpenWRT) based software solution.
* Design, Develop and Document existing systems to improve reliability and develop new innovative features.
* Software development for new Hardware with cutting\-edge features and technology.
* Manage ongoing software architectural updates that include new Prplware, OpenWRT and Linux Kernel versions.
* Development in an Agile environment with up to 5 releases a year.
* Develop automated testing to validate new features.
* Develop applications to run in a Lifecycle Management (LCM) container on the Broadband CPE.
 **What you'll bring:**
* Knowledge of Linux operating system, process execution, multi\-process environments, inter\-process communication. Good understanding of networking fundamentals, UDP/TCP basics, packet flow through the Linux packet processing stack. Understanding of Linux firewall and routing concepts. Knowledge of common networking protocols: DHCP, DNS. Familiarity with tcpdump and network protocol analysis.
* Knowlege of wifi concepts, AP and station roles, association and authentication of wifi stations, configuration of ssids.
* Familiarity with the gcc toolchain and debugging stack traces. Familiarity with syslog and logging concepts.
* Experience in an Agile development environment.
* Extensive experience with C programming. Familiarity with standard C libraries, and other common libraries like libssl, libcrypto, libcurl. Knowledge of prplware libraries. Familiarity with the OpenWrt build system, and its IPC mechanism ubus, overlayfs, and its config system UCI.
* 7\+ years of experience in embedded software development.
* Track record of creating innovative solutions and new applications through the design, development, and coding for innovative Consumer and business applications.
 **What you'll need:**
* Bachelors degree (BS/AA) desired in Computer Science or equivalent.
 **What we offer:**
* A pivotal leadership role in reshaping our broadband software capabilities.
* Opportunity to build a modern, AI\-augmented engineering culture.
* Direct impact on millions of customers and the company’s market position.
* Competitive compensation and benefits.
Our **Principal Software Engineers** earn between $174,100\.00 \- $261,100\.00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Dallas, Texas**Salary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44">
      <c r="A44" t="inlineStr">
        <is>
          <t>in-f65807557e049d68</t>
        </is>
      </c>
      <c r="B44" t="inlineStr">
        <is>
          <t>Software Engineer</t>
        </is>
      </c>
      <c r="C44" t="inlineStr">
        <is>
          <t>CACI International</t>
        </is>
      </c>
      <c r="D44" t="inlineStr">
        <is>
          <t>indeed</t>
        </is>
      </c>
      <c r="E44" t="inlineStr"/>
      <c r="F44" t="inlineStr"/>
      <c r="G44" t="inlineStr">
        <is>
          <t>VA, US</t>
        </is>
      </c>
      <c r="H44" s="2" t="n">
        <v>46050</v>
      </c>
      <c r="I44" t="inlineStr">
        <is>
          <t>Job Title: Software Engineer
Job Category: Engineering
Time Type: Full time
Minimum Clearance Required to Start: Secret
Employee Type: Regular
Percentage of Travel Required: Up to 10%
Type of Travel: Continental US
\* \* \***The Opportunity:**
CACI is currently looking for a Full Stack Developer with Agile methodology experience to join our Defense Personal Property System (DPS) team. You will serve as an Agile Scrum team member providing software development and maintenance for the delivery of releasable software in short sprint cycles. In addition, you will be responsible for activities associated with delivery of software solutions associated with customer\-defined systems and software projects by working in close collaboration with software developers/engineers, stakeholders, and end users within Agile processes.
**Responsibilities:**
* Be a part of a dynamic, close\-knit team of mid\- to senior\-level professionals.
* Design, develop, and implement custom software and database application capabilities for legacy and modernized systems with limited oversight
* Act as a member of a product team supporting teammates and collaborating with a “do what it takes” attitude to ensure product and team success
* Provide improvements to the product(s) being supported
* Actively participate in release and sprint planning, artifact creation, sprint testing, regression testing, demonstrations and retrospectives and solution releases
* Support release planning with conceptual design and development / refinement of software engineering guidelines
* Analyze complex project\-related problems and creating innovative solutions involving, scheduling, technology, methodology, tools, and solution components
* Provide mentoring to junior members of the team
* Present ideas for system improvements. Conduct impact analysis for software changes. Produce detailed specifications and writes software code.
* Work closely with business analysts, designers, and subject matter experts to understand functional requirements.
**Qualifications:**
*Required:*
* Bachelor's degree in Computer Science or related field or equivalent combination of education and experience.
* Minimum of 5 years of related experience.
* Must have a current and active secret clearance.
* Solid knowledge of Java (Object Oriented Programming concepts).
* React and Redux JavaScript libraries experience.
* PostgreSQL experience.
* Experience with Google Go.
* Solid knowledge of Amazon Web Services (AWS) Cloud Service Offerings (CSO).
* Adheres to program configuration change control standards.
* Maintains knowledge of feature and technical changes in the application.
* Experience under formal software development processes.
* Critical thinker with the ability to demystify complex technical requirements.
* Agile certification.
* Knowledge of Secure coding practices, source code vulnerability mitigation, and remediation.
*Desired:*
* Certification in Scaled Agile Framework (SAFe) methodology
* Experience with Spring framework
* Familiarity with Service Oriented Architecture / Web Services – SOAP / REST, JUNIT – Mockito, and MAVEN
* Experience with Markup Languages like XML and JSON
* Basic database knowledge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$82,100\-$172,400*CACI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5">
      <c r="A45" t="inlineStr">
        <is>
          <t>in-266b2d5652a16117</t>
        </is>
      </c>
      <c r="B45" t="inlineStr">
        <is>
          <t>Software Engineer TS/SCI</t>
        </is>
      </c>
      <c r="C45" t="inlineStr">
        <is>
          <t>CACI International</t>
        </is>
      </c>
      <c r="D45" t="inlineStr">
        <is>
          <t>indeed</t>
        </is>
      </c>
      <c r="E45" t="inlineStr"/>
      <c r="F45" t="inlineStr"/>
      <c r="G45" t="inlineStr">
        <is>
          <t>Denver, CO, US</t>
        </is>
      </c>
      <c r="H45" s="2" t="n">
        <v>46050</v>
      </c>
      <c r="I45" t="inlineStr">
        <is>
          <t>Job Title: Software Engineer TS/SCI
Job Category: Engineering
Time Type: Full time
Minimum Clearance Required to Start: TS/SCI
Employee Type: Regular
Percentage of Travel Required: Up to 10%
Type of Travel: Local
Anticipated Posting End: 3/16/2026 **The Opportunity:**  
Are you ready to apply your expertise in software development to help shape the future of mission\-critical systems? Join our dynamic team in designing, developing, and maintaining cutting\-edge mission management applications built on cloud\-native, microservices architectures. As a software developer on this program, you'll collaborate with multiple product teams and immerse yourself in modern development practices, working within an agile framework to support and modernize mission management systems for our customers. Some Continental US and international travel may be required up to 10% as well as surge support.  
**Responsibilities:**
* You will focus on developing microservices and a user interface (UI) for data\-rich applications with complex workflows.
* Your daily work will involve developing and maintaining Linux\-based applications using Java and Python.
* You'll design and implement software solutions while scripting and automating processes using Bash and other scripting languages.
* Your role will involve writing automated tests, deploying to an automated
* DevSecOps pipeline, and contributing to the technical direction of the project.
* You will collaborate respectfully with teammates, always keeping user mission first.
* You will be part of a responsive team where communication skills and the ability to solve problems are critical to our success.
* Culture of sharing information amongst teammates and management team.
* Be dedicated to mission and product success
* Provide support to test, integration, and deployment of the software baseline.
* Be self\-motivated understanding technical concepts, have good communication skills, and able and willing to collaborate on technical items with the larger team.
* Be familiar with the good development and configuration management practices and have previous development experience
**Qualifications:**
**Required:**
* Clearance: Must have a TS/SCI clearance, a TS/SCI with a Poly is preferred.
* Education: Bachelor's degree in a STEM field or equivalent experience
* Experience: At least 5 years of software development experience
* Must be available to work in\-person at the CACI facility in Sterling, VA, Santa Clara, CA or Aurora, CO
* Experience working across the full stack using Java, Hibernate, Vue3, JavaScript, CSS, and HTML.
* A DoD 8570\-compliant certification or ability to achieve certification within 2\-months of hire (GSEC, Security\+ CE, CASP\+ CE, CISA, CISSP (or Associate)
* Experience developing within Linux environment
* Experience with version control systems (e.g. git, svn)
* Experience with Scripting languages (e.g. Bash, etc.)
* Experience with micro services (nomad, Docker, Kubernetes)
**Desired:**
* Experience with Agile methodologies and DevOps practices
* Familiarity with Test\-Driven Development (TDD) and automated testing tools
* Experience with databases such as Oracle, Elastic, MySQL, Redis, etc.
* Experience with Git and GitLab for version control
* Current Security\+ certification
* Collaboration: Demonstrated experience working effectively in a team environment
* Knowledge of orchestration and containerization tools and techniques (e.g. Docker, Kubernetes, Nomad, Consul)
* DevOps experience for working with and setting up build pipelines in Jenkins
* Adaptability: Eagerness to learn new technologies and improve existing skills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$108,400 \- 227,500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6">
      <c r="A46" t="inlineStr">
        <is>
          <t>in-a60dc6f1a4e26ddc</t>
        </is>
      </c>
      <c r="B46" t="inlineStr">
        <is>
          <t>Senior Software Engineer</t>
        </is>
      </c>
      <c r="C46" t="inlineStr">
        <is>
          <t>Nightwing</t>
        </is>
      </c>
      <c r="D46" t="inlineStr">
        <is>
          <t>indeed</t>
        </is>
      </c>
      <c r="E46" t="inlineStr"/>
      <c r="F46" t="inlineStr"/>
      <c r="G46" t="inlineStr">
        <is>
          <t>Annapolis Junction, MD, US</t>
        </is>
      </c>
      <c r="H46" s="2" t="n">
        <v>46050</v>
      </c>
      <c r="I46"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seasoned** **Senior Software Engineer** **to lead the design and delivery of complex, mission\-critical software systems. In this role, you’ll operate with a high degree of autonomy, tackle high\-visibility challenges, and help shape solutions that directly support critical operations.**
-------------------------------------------------------------------------------------------------------------------------------------------------------------------------------------------------------------------------------------------------------------------------------------------------------------------------
**\*\* Candidates must have an active TS/SCI with CI Poly clearance \*\***
Location: Annapolis Junction, Maryland
**Key Job Responsibilities:**
-----------------------------
* **Lead the design, development, testing, and deployment of sophisticated software systems supporting mission\-critical programs.**
----------------------------------------------------------------------------------------------------------------------------------
* **Apply advanced software engineering principles and agile methodologies to deliver scalable, secure, and high\-performance applications.**
-------------------------------------------------------------------------------------------------------------------------------------------
* **Work independently on complex functional tasks while contributing to the overall technical direction of the program.**
------------------------------------------------------------------------------------------------------------------------
* **Collaborate closely with cross\-functional teams to ensure solutions meet technical, functional, and security requirements across the full development lifecycle.**
---------------------------------------------------------------------------------------------------------------------------------------------------------------------
* **Provide technical leadership by mentoring junior engineers and, when assigned, overseeing the work of staff supporting specific initiatives.**
------------------------------------------------------------------------------------------------------------------------------------------------
* **Support high\-visibility efforts where reliability, performance, and security are paramount.**
------------------------------------------------------------------------------------------------
**Minimum Requirements:**
-------------------------
* **10\+ years of professional software engineering experience, or a qualifying substitution as defined by program guidelines.**
------------------------------------------------------------------------------------------------------------------------------
* **Current TS/SCI CI Poly**
--------------------------
* **IAT Level II certification compliance (required).**
-----------------------------------------------------
* **Proven experience delivering complex systems in environments with stringent security and operational requirements.**
----------------------------------------------------------------------------------------------------------------------
* **Strong ability to work independently while influencing team success and technical outcomes.**
-----------------------------------------------------------------------------------------------
**Please Note: This position is Contingent Upon Award**
-------------------------------------------------------
Active and transferable U.S. government issued security clearance is required prior to start date. U.S. citizenship is required, as only U.S. citizens are eligible for a security clearance.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47">
      <c r="A47" t="inlineStr">
        <is>
          <t>in-4377a51be82f1db3</t>
        </is>
      </c>
      <c r="B47" t="inlineStr">
        <is>
          <t>Software Engineer 2 (Senior Level) - 26-00981</t>
        </is>
      </c>
      <c r="C47" t="inlineStr">
        <is>
          <t>NavitasPartners</t>
        </is>
      </c>
      <c r="D47" t="inlineStr">
        <is>
          <t>indeed</t>
        </is>
      </c>
      <c r="E47" t="inlineStr"/>
      <c r="F47" t="inlineStr"/>
      <c r="G47" t="inlineStr">
        <is>
          <t>San Antonio, TX, US</t>
        </is>
      </c>
      <c r="H47" s="2" t="n">
        <v>46050</v>
      </c>
      <c r="I47" t="inlineStr">
        <is>
          <t>**Job Title:** **Software Engineer 2 (Senior Level)**
-----------------------------------------------------
**Location:** Austin, TX  
**Duration:** 3 Months  
**Work Arrangement:** 100% On\-site
**Position Overview**
---------------------
We are seeking a highly experienced Software Engineer to perform senior\-level application development, enhancement, and maintenance activities for complex enterprise systems. This role requires deep technical expertise in modern web technologies, strong leadership across the SDLC, and the ability to modernize legacy systems while ensuring data integrity, security, and performance.
**Primary Responsibilities**
----------------------------
* Perform highly advanced, senior\-level computer programming and software engineering work
* Analyze business needs, system workflows, data usage, and technical processes to design efficient software solutions
* Design system specifications, development standards, and programming architectures
* Write, test, debug, and document complex client/server and web\-based applications
* Develop and enhance front\-end and back\-end web applications using:
	+ C\# (.NET / .NET Core)
	+ Blazor
	+ HTML5, CSS, JavaScript
	+ SQL, Stored Procedures
	+ Oracle and SQL Server
* Design and implement specialized programs or routines to supplement and enhance application functionality
* Collaborate closely with systems analysts, architects, and business stakeholders to gather and validate requirements
* Diagnose application issues, perform root\-cause analysis, and implement long\-term resolutions
* Support and maintain enterprise licensing systems, including modernization and migration to current platforms while ensuring seamless legacy data portability
* Utilize development tools such as Visual Studio, DevExpress, and modern database platforms to deliver secure, scalable, and user\-friendly solutions
* Lead SDLC activities from requirements through deployment, including release coordination and change management
* Ensure application modifications comply with information security and network security standards
* Conduct research and analysis to recommend and implement application and process improvements
* Produce technical documentation, system change records, and release notes
* Present application changes and enhancements to stakeholders for review and approval
* Mentor and provide technical direction to development team members, including code reviews and validation
* Perform other duties as assigned
**Required Qualifications**
---------------------------
* Bachelor’s degree (or higher) in Computer Science, Information Systems, or a related field
* **8\+ years** of senior\-level experience analyzing and improving software application workflows
* **8\+ years** of experience performing root\-cause analysis and issue resolution
* **8\+ years** of experience leading the design and development of web\-based software applications
* **8\+ years** of experience programming with technologies including:
	+ .NET / C\#
	+ HTML / HTML5
	+ CSS
	+ JavaScript
	+ SQL and Stored Procedures
	+ Oracle and SQL Server
* **8\+ years** of experience independently performing complex tasks across all phases of the SDLC
* **8\+ years** of experience in software application administration and management
* **8\+ years** of experience leading SDLC initiatives from scope definition through deployment
* **6\+ years** of experience working within Agile SDLC methodologies
* **6\+ years** of experience collaborating across multiple teams for requirements gathering, development, and maintenance
* **5\+ years** of experience implementing application changes to meet information security and network security requirements
* **5\+ years** of experience leading and directing development teams, including code review and approval
* **5\+ years** of experience producing technical documentation, system changes, and release notes
* **5\+ years** of experience presenting in\-person software demonstrations for stakeholder approval
* **4\+ years** of experience using Agile tools such as Azure DevOps, Jira, or similar
* **2\+ years** of hands\-on experience developing applications using **C\# .NET Blazor**
**Preferred Qualifications**
----------------------------
* Experience migrating or porting applications from **Java to C\# .NET Blazor**
* Strong knowledge of **responsive web design** best practices
* Experience implementing **Web Content Accessibility Guidelines (WCAG)**
* Prior experience supporting large\-scale enterprise or government systems</t>
        </is>
      </c>
    </row>
    <row r="48">
      <c r="A48" t="inlineStr">
        <is>
          <t>in-cce2081120e541d8</t>
        </is>
      </c>
      <c r="B48" t="inlineStr">
        <is>
          <t>Software Engineer 2 - 26-00980</t>
        </is>
      </c>
      <c r="C48" t="inlineStr">
        <is>
          <t>NavitasPartners</t>
        </is>
      </c>
      <c r="D48" t="inlineStr">
        <is>
          <t>indeed</t>
        </is>
      </c>
      <c r="E48" t="inlineStr"/>
      <c r="F48" t="inlineStr"/>
      <c r="G48" t="inlineStr">
        <is>
          <t>Austin, TX, US</t>
        </is>
      </c>
      <c r="H48" s="2" t="n">
        <v>46050</v>
      </c>
      <c r="I48" t="inlineStr">
        <is>
          <t>**Job Title:** **Software Engineer 2**
--------------------------------------
**Location:** Austin, TX  
**Duration:** 3 Months  
**Work Arrangement:** 100% On\-site
**Position Overview:**
----------------------
We are seeking an experienced Software Engineer to perform advanced application development and maintenance for enterprise web\-based systems. This role involves designing, developing, testing, and supporting modern front\-end and back\-end solutions, as well as migrating legacy systems to scalable, interactive platforms. The ideal candidate will collaborate closely with technical and business stakeholders to deliver secure, efficient, and high\-quality software solutions.
**Primary Responsibilities:**
-----------------------------
* Perform advanced computer programming and software development activities
* Design, develop, test, debug, and document complex client/server and web\-based applications
* Analyze system requirements, workflows, data usage, and business processes to design effective solutions
* Develop and enhance front\-end and back\-end web applications using:
	+ C\# (.NET / .NET Core)
	+ Blazor
	+ HTML5, CSS
	+ SQL, Stored Procedures
	+ Oracle and SQL Server databases
* Design and implement specialized programs or routines to supplement and enhance application functionality
* Collaborate with systems analysts, architects, and business teams to gather and validate requirements
* Diagnose application issues and implement code fixes and enhancements to maintain system stability
* Support modernization efforts, including migration of legacy standalone databases to interactive platforms using Oracle DB
* Utilize development tools such as Visual Studio and DevExpress to build scalable, high\-performance applications
* Conduct research and analysis to recommend and implement application enhancements
* Recommend improvements to application development processes and standards
* Participate in Agile SDLC activities, including planning, development, testing, and demonstrations
* Present software changes and enhancements to stakeholders for review and approval
* Perform other duties as assigned
**Required Qualifications:**
----------------------------
* Bachelor’s degree (or higher) in Computer Science, Information Systems, or a related field
* **4\+ years** of experience developing web\-based software applications
* **4\+ years** of experience programming with technologies including:
	+ .NET / C\#
	+ HTML / HTML5
	+ CSS
	+ JavaScript
	+ SQL and Stored Procedures
	+ Oracle and SQL Server
* **3\+ years** of experience working in an Agile SDLC environment
* **3\+ years** of experience collaborating within development teams across the SDLC lifecycle
* **3\+ years** of experience gathering requirements, implementing enhancements, and maintaining applications
* **3\+ years** of experience presenting software changes or demonstrations to stakeholders
* **2\+ years** of experience using Agile tools such as Azure DevOps, Jira, or similar
* **1\+ year** of hands\-on experience developing applications using **C\# .NET Blazor**
**Preferred Qualifications:**
-----------------------------
* Experience migrating or porting applications from **Java to C\# .NET Blazor**
* Experience implementing **responsive web design** best practices
* Knowledge of and experience implementing **Web Content Accessibility Guidelines (WCAG)**
* Prior experience supporting enterprise or government systems</t>
        </is>
      </c>
    </row>
    <row r="49">
      <c r="A49" t="inlineStr">
        <is>
          <t>in-7e1a609addea4e18</t>
        </is>
      </c>
      <c r="B49" t="inlineStr">
        <is>
          <t>Software Engineer 2 (Senior Level) - 26-00981</t>
        </is>
      </c>
      <c r="C49" t="inlineStr">
        <is>
          <t>NavitasPartners</t>
        </is>
      </c>
      <c r="D49" t="inlineStr">
        <is>
          <t>indeed</t>
        </is>
      </c>
      <c r="E49" t="inlineStr"/>
      <c r="F49" t="inlineStr"/>
      <c r="G49" t="inlineStr">
        <is>
          <t>Houston, TX, US</t>
        </is>
      </c>
      <c r="H49" s="2" t="n">
        <v>46050</v>
      </c>
      <c r="I49" t="inlineStr">
        <is>
          <t>**Job Title:** **Software Engineer 2 (Senior Level)**
-----------------------------------------------------
**Location:** Austin, TX  
**Duration:** 3 Months  
**Work Arrangement:** 100% On\-site
**Position Overview**
---------------------
We are seeking a highly experienced Software Engineer to perform senior\-level application development, enhancement, and maintenance activities for complex enterprise systems. This role requires deep technical expertise in modern web technologies, strong leadership across the SDLC, and the ability to modernize legacy systems while ensuring data integrity, security, and performance.
**Primary Responsibilities**
----------------------------
* Perform highly advanced, senior\-level computer programming and software engineering work
* Analyze business needs, system workflows, data usage, and technical processes to design efficient software solutions
* Design system specifications, development standards, and programming architectures
* Write, test, debug, and document complex client/server and web\-based applications
* Develop and enhance front\-end and back\-end web applications using:
	+ C\# (.NET / .NET Core)
	+ Blazor
	+ HTML5, CSS, JavaScript
	+ SQL, Stored Procedures
	+ Oracle and SQL Server
* Design and implement specialized programs or routines to supplement and enhance application functionality
* Collaborate closely with systems analysts, architects, and business stakeholders to gather and validate requirements
* Diagnose application issues, perform root\-cause analysis, and implement long\-term resolutions
* Support and maintain enterprise licensing systems, including modernization and migration to current platforms while ensuring seamless legacy data portability
* Utilize development tools such as Visual Studio, DevExpress, and modern database platforms to deliver secure, scalable, and user\-friendly solutions
* Lead SDLC activities from requirements through deployment, including release coordination and change management
* Ensure application modifications comply with information security and network security standards
* Conduct research and analysis to recommend and implement application and process improvements
* Produce technical documentation, system change records, and release notes
* Present application changes and enhancements to stakeholders for review and approval
* Mentor and provide technical direction to development team members, including code reviews and validation
* Perform other duties as assigned
**Required Qualifications**
---------------------------
* Bachelor’s degree (or higher) in Computer Science, Information Systems, or a related field
* **8\+ years** of senior\-level experience analyzing and improving software application workflows
* **8\+ years** of experience performing root\-cause analysis and issue resolution
* **8\+ years** of experience leading the design and development of web\-based software applications
* **8\+ years** of experience programming with technologies including:
	+ .NET / C\#
	+ HTML / HTML5
	+ CSS
	+ JavaScript
	+ SQL and Stored Procedures
	+ Oracle and SQL Server
* **8\+ years** of experience independently performing complex tasks across all phases of the SDLC
* **8\+ years** of experience in software application administration and management
* **8\+ years** of experience leading SDLC initiatives from scope definition through deployment
* **6\+ years** of experience working within Agile SDLC methodologies
* **6\+ years** of experience collaborating across multiple teams for requirements gathering, development, and maintenance
* **5\+ years** of experience implementing application changes to meet information security and network security requirements
* **5\+ years** of experience leading and directing development teams, including code review and approval
* **5\+ years** of experience producing technical documentation, system changes, and release notes
* **5\+ years** of experience presenting in\-person software demonstrations for stakeholder approval
* **4\+ years** of experience using Agile tools such as Azure DevOps, Jira, or similar
* **2\+ years** of hands\-on experience developing applications using **C\# .NET Blazor**
**Preferred Qualifications**
----------------------------
* Experience migrating or porting applications from **Java to C\# .NET Blazor**
* Strong knowledge of **responsive web design** best practices
* Experience implementing **Web Content Accessibility Guidelines (WCAG)**
* Prior experience supporting large\-scale enterprise or government systems</t>
        </is>
      </c>
    </row>
    <row r="50">
      <c r="A50" t="inlineStr">
        <is>
          <t>in-5ff9e7edc98ea775</t>
        </is>
      </c>
      <c r="B50" t="inlineStr">
        <is>
          <t>Software Engineer 2 - 26-00980</t>
        </is>
      </c>
      <c r="C50" t="inlineStr">
        <is>
          <t>NavitasPartners</t>
        </is>
      </c>
      <c r="D50" t="inlineStr">
        <is>
          <t>indeed</t>
        </is>
      </c>
      <c r="E50" t="inlineStr"/>
      <c r="F50" t="inlineStr"/>
      <c r="G50" t="inlineStr">
        <is>
          <t>Houston, TX, US</t>
        </is>
      </c>
      <c r="H50" s="2" t="n">
        <v>46050</v>
      </c>
      <c r="I50" t="inlineStr">
        <is>
          <t>**Job Title:** **Software Engineer 2**
--------------------------------------
**Location:** Austin, TX  
**Duration:** 3 Months  
**Work Arrangement:** 100% On\-site
**Position Overview:**
----------------------
We are seeking an experienced Software Engineer to perform advanced application development and maintenance for enterprise web\-based systems. This role involves designing, developing, testing, and supporting modern front\-end and back\-end solutions, as well as migrating legacy systems to scalable, interactive platforms. The ideal candidate will collaborate closely with technical and business stakeholders to deliver secure, efficient, and high\-quality software solutions.
**Primary Responsibilities:**
-----------------------------
* Perform advanced computer programming and software development activities
* Design, develop, test, debug, and document complex client/server and web\-based applications
* Analyze system requirements, workflows, data usage, and business processes to design effective solutions
* Develop and enhance front\-end and back\-end web applications using:
	+ C\# (.NET / .NET Core)
	+ Blazor
	+ HTML5, CSS
	+ SQL, Stored Procedures
	+ Oracle and SQL Server databases
* Design and implement specialized programs or routines to supplement and enhance application functionality
* Collaborate with systems analysts, architects, and business teams to gather and validate requirements
* Diagnose application issues and implement code fixes and enhancements to maintain system stability
* Support modernization efforts, including migration of legacy standalone databases to interactive platforms using Oracle DB
* Utilize development tools such as Visual Studio and DevExpress to build scalable, high\-performance applications
* Conduct research and analysis to recommend and implement application enhancements
* Recommend improvements to application development processes and standards
* Participate in Agile SDLC activities, including planning, development, testing, and demonstrations
* Present software changes and enhancements to stakeholders for review and approval
* Perform other duties as assigned
**Required Qualifications:**
----------------------------
* Bachelor’s degree (or higher) in Computer Science, Information Systems, or a related field
* **4\+ years** of experience developing web\-based software applications
* **4\+ years** of experience programming with technologies including:
	+ .NET / C\#
	+ HTML / HTML5
	+ CSS
	+ JavaScript
	+ SQL and Stored Procedures
	+ Oracle and SQL Server
* **3\+ years** of experience working in an Agile SDLC environment
* **3\+ years** of experience collaborating within development teams across the SDLC lifecycle
* **3\+ years** of experience gathering requirements, implementing enhancements, and maintaining applications
* **3\+ years** of experience presenting software changes or demonstrations to stakeholders
* **2\+ years** of experience using Agile tools such as Azure DevOps, Jira, or similar
* **1\+ year** of hands\-on experience developing applications using **C\# .NET Blazor**
**Preferred Qualifications:**
-----------------------------
* Experience migrating or porting applications from **Java to C\# .NET Blazor**
* Experience implementing **responsive web design** best practices
* Knowledge of and experience implementing **Web Content Accessibility Guidelines (WCAG)**
* Prior experience supporting enterprise or government systems</t>
        </is>
      </c>
    </row>
    <row r="51">
      <c r="A51" t="inlineStr">
        <is>
          <t>in-9970b2942fe19639</t>
        </is>
      </c>
      <c r="B51" t="inlineStr">
        <is>
          <t>Software Engineer 2 - 26-00980</t>
        </is>
      </c>
      <c r="C51" t="inlineStr">
        <is>
          <t>NavitasPartners</t>
        </is>
      </c>
      <c r="D51" t="inlineStr">
        <is>
          <t>indeed</t>
        </is>
      </c>
      <c r="E51" t="inlineStr"/>
      <c r="F51" t="inlineStr"/>
      <c r="G51" t="inlineStr">
        <is>
          <t>Round Rock, TX, US</t>
        </is>
      </c>
      <c r="H51" s="2" t="n">
        <v>46050</v>
      </c>
      <c r="I51" t="inlineStr">
        <is>
          <t>**Job Title:** **Software Engineer 2**
--------------------------------------
**Location:** Austin, TX  
**Duration:** 3 Months  
**Work Arrangement:** 100% On\-site
**Position Overview:**
----------------------
We are seeking an experienced Software Engineer to perform advanced application development and maintenance for enterprise web\-based systems. This role involves designing, developing, testing, and supporting modern front\-end and back\-end solutions, as well as migrating legacy systems to scalable, interactive platforms. The ideal candidate will collaborate closely with technical and business stakeholders to deliver secure, efficient, and high\-quality software solutions.
**Primary Responsibilities:**
-----------------------------
* Perform advanced computer programming and software development activities
* Design, develop, test, debug, and document complex client/server and web\-based applications
* Analyze system requirements, workflows, data usage, and business processes to design effective solutions
* Develop and enhance front\-end and back\-end web applications using:
	+ C\# (.NET / .NET Core)
	+ Blazor
	+ HTML5, CSS
	+ SQL, Stored Procedures
	+ Oracle and SQL Server databases
* Design and implement specialized programs or routines to supplement and enhance application functionality
* Collaborate with systems analysts, architects, and business teams to gather and validate requirements
* Diagnose application issues and implement code fixes and enhancements to maintain system stability
* Support modernization efforts, including migration of legacy standalone databases to interactive platforms using Oracle DB
* Utilize development tools such as Visual Studio and DevExpress to build scalable, high\-performance applications
* Conduct research and analysis to recommend and implement application enhancements
* Recommend improvements to application development processes and standards
* Participate in Agile SDLC activities, including planning, development, testing, and demonstrations
* Present software changes and enhancements to stakeholders for review and approval
* Perform other duties as assigned
**Required Qualifications:**
----------------------------
* Bachelor’s degree (or higher) in Computer Science, Information Systems, or a related field
* **4\+ years** of experience developing web\-based software applications
* **4\+ years** of experience programming with technologies including:
	+ .NET / C\#
	+ HTML / HTML5
	+ CSS
	+ JavaScript
	+ SQL and Stored Procedures
	+ Oracle and SQL Server
* **3\+ years** of experience working in an Agile SDLC environment
* **3\+ years** of experience collaborating within development teams across the SDLC lifecycle
* **3\+ years** of experience gathering requirements, implementing enhancements, and maintaining applications
* **3\+ years** of experience presenting software changes or demonstrations to stakeholders
* **2\+ years** of experience using Agile tools such as Azure DevOps, Jira, or similar
* **1\+ year** of hands\-on experience developing applications using **C\# .NET Blazor**
**Preferred Qualifications:**
-----------------------------
* Experience migrating or porting applications from **Java to C\# .NET Blazor**
* Experience implementing **responsive web design** best practices
* Knowledge of and experience implementing **Web Content Accessibility Guidelines (WCAG)**
* Prior experience supporting enterprise or government systems</t>
        </is>
      </c>
    </row>
    <row r="52">
      <c r="A52" t="inlineStr">
        <is>
          <t>in-ba45f30c9a899bb6</t>
        </is>
      </c>
      <c r="B52" t="inlineStr">
        <is>
          <t>Software Engineer 2 (Senior Level) - 26-00981</t>
        </is>
      </c>
      <c r="C52" t="inlineStr">
        <is>
          <t>NavitasPartners</t>
        </is>
      </c>
      <c r="D52" t="inlineStr">
        <is>
          <t>indeed</t>
        </is>
      </c>
      <c r="E52" t="inlineStr"/>
      <c r="F52" t="inlineStr"/>
      <c r="G52" t="inlineStr">
        <is>
          <t>Austin, TX, US</t>
        </is>
      </c>
      <c r="H52" s="2" t="n">
        <v>46050</v>
      </c>
      <c r="I52" t="inlineStr">
        <is>
          <t>**Job Title:** **Software Engineer 2 (Senior Level)**
-----------------------------------------------------
**Location:** Austin, TX  
**Duration:** 3 Months  
**Work Arrangement:** 100% On\-site
**Position Overview**
---------------------
We are seeking a highly experienced Software Engineer to perform senior\-level application development, enhancement, and maintenance activities for complex enterprise systems. This role requires deep technical expertise in modern web technologies, strong leadership across the SDLC, and the ability to modernize legacy systems while ensuring data integrity, security, and performance.
**Primary Responsibilities**
----------------------------
* Perform highly advanced, senior\-level computer programming and software engineering work
* Analyze business needs, system workflows, data usage, and technical processes to design efficient software solutions
* Design system specifications, development standards, and programming architectures
* Write, test, debug, and document complex client/server and web\-based applications
* Develop and enhance front\-end and back\-end web applications using:
	+ C\# (.NET / .NET Core)
	+ Blazor
	+ HTML5, CSS, JavaScript
	+ SQL, Stored Procedures
	+ Oracle and SQL Server
* Design and implement specialized programs or routines to supplement and enhance application functionality
* Collaborate closely with systems analysts, architects, and business stakeholders to gather and validate requirements
* Diagnose application issues, perform root\-cause analysis, and implement long\-term resolutions
* Support and maintain enterprise licensing systems, including modernization and migration to current platforms while ensuring seamless legacy data portability
* Utilize development tools such as Visual Studio, DevExpress, and modern database platforms to deliver secure, scalable, and user\-friendly solutions
* Lead SDLC activities from requirements through deployment, including release coordination and change management
* Ensure application modifications comply with information security and network security standards
* Conduct research and analysis to recommend and implement application and process improvements
* Produce technical documentation, system change records, and release notes
* Present application changes and enhancements to stakeholders for review and approval
* Mentor and provide technical direction to development team members, including code reviews and validation
* Perform other duties as assigned
**Required Qualifications**
---------------------------
* Bachelor’s degree (or higher) in Computer Science, Information Systems, or a related field
* **8\+ years** of senior\-level experience analyzing and improving software application workflows
* **8\+ years** of experience performing root\-cause analysis and issue resolution
* **8\+ years** of experience leading the design and development of web\-based software applications
* **8\+ years** of experience programming with technologies including:
	+ .NET / C\#
	+ HTML / HTML5
	+ CSS
	+ JavaScript
	+ SQL and Stored Procedures
	+ Oracle and SQL Server
* **8\+ years** of experience independently performing complex tasks across all phases of the SDLC
* **8\+ years** of experience in software application administration and management
* **8\+ years** of experience leading SDLC initiatives from scope definition through deployment
* **6\+ years** of experience working within Agile SDLC methodologies
* **6\+ years** of experience collaborating across multiple teams for requirements gathering, development, and maintenance
* **5\+ years** of experience implementing application changes to meet information security and network security requirements
* **5\+ years** of experience leading and directing development teams, including code review and approval
* **5\+ years** of experience producing technical documentation, system changes, and release notes
* **5\+ years** of experience presenting in\-person software demonstrations for stakeholder approval
* **4\+ years** of experience using Agile tools such as Azure DevOps, Jira, or similar
* **2\+ years** of hands\-on experience developing applications using **C\# .NET Blazor**
**Preferred Qualifications**
----------------------------
* Experience migrating or porting applications from **Java to C\# .NET Blazor**
* Strong knowledge of **responsive web design** best practices
* Experience implementing **Web Content Accessibility Guidelines (WCAG)**
* Prior experience supporting large\-scale enterprise or government systems</t>
        </is>
      </c>
    </row>
    <row r="53">
      <c r="A53" t="inlineStr">
        <is>
          <t>in-b4acf829d2ad5838</t>
        </is>
      </c>
      <c r="B53" t="inlineStr">
        <is>
          <t>Software Engineer 2 - 26-00980</t>
        </is>
      </c>
      <c r="C53" t="inlineStr">
        <is>
          <t>NavitasPartners</t>
        </is>
      </c>
      <c r="D53" t="inlineStr">
        <is>
          <t>indeed</t>
        </is>
      </c>
      <c r="E53" t="inlineStr"/>
      <c r="F53" t="inlineStr"/>
      <c r="G53" t="inlineStr">
        <is>
          <t>San Antonio, TX, US</t>
        </is>
      </c>
      <c r="H53" s="2" t="n">
        <v>46050</v>
      </c>
      <c r="I53" t="inlineStr">
        <is>
          <t>**Job Title:** **Software Engineer 2**
--------------------------------------
**Location:** Austin, TX  
**Duration:** 3 Months  
**Work Arrangement:** 100% On\-site
**Position Overview:**
----------------------
We are seeking an experienced Software Engineer to perform advanced application development and maintenance for enterprise web\-based systems. This role involves designing, developing, testing, and supporting modern front\-end and back\-end solutions, as well as migrating legacy systems to scalable, interactive platforms. The ideal candidate will collaborate closely with technical and business stakeholders to deliver secure, efficient, and high\-quality software solutions.
**Primary Responsibilities:**
-----------------------------
* Perform advanced computer programming and software development activities
* Design, develop, test, debug, and document complex client/server and web\-based applications
* Analyze system requirements, workflows, data usage, and business processes to design effective solutions
* Develop and enhance front\-end and back\-end web applications using:
	+ C\# (.NET / .NET Core)
	+ Blazor
	+ HTML5, CSS
	+ SQL, Stored Procedures
	+ Oracle and SQL Server databases
* Design and implement specialized programs or routines to supplement and enhance application functionality
* Collaborate with systems analysts, architects, and business teams to gather and validate requirements
* Diagnose application issues and implement code fixes and enhancements to maintain system stability
* Support modernization efforts, including migration of legacy standalone databases to interactive platforms using Oracle DB
* Utilize development tools such as Visual Studio and DevExpress to build scalable, high\-performance applications
* Conduct research and analysis to recommend and implement application enhancements
* Recommend improvements to application development processes and standards
* Participate in Agile SDLC activities, including planning, development, testing, and demonstrations
* Present software changes and enhancements to stakeholders for review and approval
* Perform other duties as assigned
**Required Qualifications:**
----------------------------
* Bachelor’s degree (or higher) in Computer Science, Information Systems, or a related field
* **4\+ years** of experience developing web\-based software applications
* **4\+ years** of experience programming with technologies including:
	+ .NET / C\#
	+ HTML / HTML5
	+ CSS
	+ JavaScript
	+ SQL and Stored Procedures
	+ Oracle and SQL Server
* **3\+ years** of experience working in an Agile SDLC environment
* **3\+ years** of experience collaborating within development teams across the SDLC lifecycle
* **3\+ years** of experience gathering requirements, implementing enhancements, and maintaining applications
* **3\+ years** of experience presenting software changes or demonstrations to stakeholders
* **2\+ years** of experience using Agile tools such as Azure DevOps, Jira, or similar
* **1\+ year** of hands\-on experience developing applications using **C\# .NET Blazor**
**Preferred Qualifications:**
-----------------------------
* Experience migrating or porting applications from **Java to C\# .NET Blazor**
* Experience implementing **responsive web design** best practices
* Knowledge of and experience implementing **Web Content Accessibility Guidelines (WCAG)**
* Prior experience supporting enterprise or government systems</t>
        </is>
      </c>
    </row>
    <row r="54">
      <c r="A54" t="inlineStr">
        <is>
          <t>in-dadf4c83e4e416dd</t>
        </is>
      </c>
      <c r="B54" t="inlineStr">
        <is>
          <t>Software Engineer 2 (Senior Level) - 26-00981</t>
        </is>
      </c>
      <c r="C54" t="inlineStr">
        <is>
          <t>NavitasPartners</t>
        </is>
      </c>
      <c r="D54" t="inlineStr">
        <is>
          <t>indeed</t>
        </is>
      </c>
      <c r="E54" t="inlineStr"/>
      <c r="F54" t="inlineStr"/>
      <c r="G54" t="inlineStr">
        <is>
          <t>Round Rock, TX, US</t>
        </is>
      </c>
      <c r="H54" s="2" t="n">
        <v>46050</v>
      </c>
      <c r="I54" t="inlineStr">
        <is>
          <t>**Job Title:** **Software Engineer 2 (Senior Level)**
-----------------------------------------------------
**Location:** Austin, TX  
**Duration:** 3 Months  
**Work Arrangement:** 100% On\-site
**Position Overview**
---------------------
We are seeking a highly experienced Software Engineer to perform senior\-level application development, enhancement, and maintenance activities for complex enterprise systems. This role requires deep technical expertise in modern web technologies, strong leadership across the SDLC, and the ability to modernize legacy systems while ensuring data integrity, security, and performance.
**Primary Responsibilities**
----------------------------
* Perform highly advanced, senior\-level computer programming and software engineering work
* Analyze business needs, system workflows, data usage, and technical processes to design efficient software solutions
* Design system specifications, development standards, and programming architectures
* Write, test, debug, and document complex client/server and web\-based applications
* Develop and enhance front\-end and back\-end web applications using:
	+ C\# (.NET / .NET Core)
	+ Blazor
	+ HTML5, CSS, JavaScript
	+ SQL, Stored Procedures
	+ Oracle and SQL Server
* Design and implement specialized programs or routines to supplement and enhance application functionality
* Collaborate closely with systems analysts, architects, and business stakeholders to gather and validate requirements
* Diagnose application issues, perform root\-cause analysis, and implement long\-term resolutions
* Support and maintain enterprise licensing systems, including modernization and migration to current platforms while ensuring seamless legacy data portability
* Utilize development tools such as Visual Studio, DevExpress, and modern database platforms to deliver secure, scalable, and user\-friendly solutions
* Lead SDLC activities from requirements through deployment, including release coordination and change management
* Ensure application modifications comply with information security and network security standards
* Conduct research and analysis to recommend and implement application and process improvements
* Produce technical documentation, system change records, and release notes
* Present application changes and enhancements to stakeholders for review and approval
* Mentor and provide technical direction to development team members, including code reviews and validation
* Perform other duties as assigned
**Required Qualifications**
---------------------------
* Bachelor’s degree (or higher) in Computer Science, Information Systems, or a related field
* **8\+ years** of senior\-level experience analyzing and improving software application workflows
* **8\+ years** of experience performing root\-cause analysis and issue resolution
* **8\+ years** of experience leading the design and development of web\-based software applications
* **8\+ years** of experience programming with technologies including:
	+ .NET / C\#
	+ HTML / HTML5
	+ CSS
	+ JavaScript
	+ SQL and Stored Procedures
	+ Oracle and SQL Server
* **8\+ years** of experience independently performing complex tasks across all phases of the SDLC
* **8\+ years** of experience in software application administration and management
* **8\+ years** of experience leading SDLC initiatives from scope definition through deployment
* **6\+ years** of experience working within Agile SDLC methodologies
* **6\+ years** of experience collaborating across multiple teams for requirements gathering, development, and maintenance
* **5\+ years** of experience implementing application changes to meet information security and network security requirements
* **5\+ years** of experience leading and directing development teams, including code review and approval
* **5\+ years** of experience producing technical documentation, system changes, and release notes
* **5\+ years** of experience presenting in\-person software demonstrations for stakeholder approval
* **4\+ years** of experience using Agile tools such as Azure DevOps, Jira, or similar
* **2\+ years** of hands\-on experience developing applications using **C\# .NET Blazor**
**Preferred Qualifications**
----------------------------
* Experience migrating or porting applications from **Java to C\# .NET Blazor**
* Strong knowledge of **responsive web design** best practices
* Experience implementing **Web Content Accessibility Guidelines (WCAG)**
* Prior experience supporting large\-scale enterprise or government systems</t>
        </is>
      </c>
    </row>
    <row r="55">
      <c r="A55" t="inlineStr">
        <is>
          <t>in-3dd2206018598cc5</t>
        </is>
      </c>
      <c r="B55" t="inlineStr">
        <is>
          <t>Embedded Real-time Software Engineer II</t>
        </is>
      </c>
      <c r="C55" t="inlineStr">
        <is>
          <t>Raytheon</t>
        </is>
      </c>
      <c r="D55" t="inlineStr">
        <is>
          <t>indeed</t>
        </is>
      </c>
      <c r="E55" t="inlineStr"/>
      <c r="F55" t="inlineStr"/>
      <c r="G55" t="inlineStr">
        <is>
          <t>Tucson, AZ, US</t>
        </is>
      </c>
      <c r="H55" s="2" t="n">
        <v>46050</v>
      </c>
      <c r="I55" t="inlineStr">
        <is>
          <t>**Date Posted:**
2026\-01\-29**Country:**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engineers design, develop, and build innovative solutions for the U.S. Government. Experience all aspects of a software development life cycle as a member of a fast\-paced agile team on the leading edge of:
Real\-time systems design
Digital signal processing
Machine Learning and Autonomous Systems
Cyber Security
DevOps technologies and methods
We encourage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Effectors Center of the Software organization, and is an onsite role located in Tucson, AZ.
**What You Will Do**
* Assist and participate in the requirements, design, development and testing of real\-time embedded software, application software, and tools,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Work on problems with defined scope, schedule, and expectations.
* Follow established development practices and processes to maintain the configuration management of software products.
* Ability to obtain program access required.
**What You Will Learn**
* Use new tools that will keep you state\-of\-the\-art.
* Stay updated with the latest advancements in software development and missile technology to drive innovation.
**Qualifications You Must Have**
* Typically requires a Bachelor’s degree in Science, Technology, Engineering, or Mathematics (STEM) and a minimum of two years prior relevant experience.
* Experience with C, C\+\+, or Java.
* Ability to obtain Interim Secret Level U.S. government issued security clearance is required prior to start date with the **ability to obtain program access after start**. U.S. Citizenship is required as only U.S. citizens are eligible for a security clearance.
**Qualifications We Prefer**
* Knowledge of data structures and algorithms, systems software design, operating systems and architectures.
* Knowledge of assembly, C/C\+\+ programming, structured programming concepts.
* Knowledge of object\-oriented design and Unified Model Language.
* Knowledge of statistical and numerical methods.
* Interpersonal and communication skills, both verbal and written.
* Demonstrated ability to work effectively with colleagues and leaders in a team environment.
**What We Offer**
* Our values drive our actions, behaviors, and performance with a vision for a safer, more connected world. At RTX we value: Safety, Trust, Respect, Accountability, Collaboration, and Innovation.
* Relocation Offered Based On Eligibility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Location Information: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6">
      <c r="A56" t="inlineStr">
        <is>
          <t>in-c6511c2489b9d22a</t>
        </is>
      </c>
      <c r="B56" t="inlineStr">
        <is>
          <t>GPU Software Engineer</t>
        </is>
      </c>
      <c r="C56" t="inlineStr">
        <is>
          <t>CAE</t>
        </is>
      </c>
      <c r="D56" t="inlineStr">
        <is>
          <t>indeed</t>
        </is>
      </c>
      <c r="E56" t="inlineStr"/>
      <c r="F56" t="inlineStr"/>
      <c r="G56" t="inlineStr">
        <is>
          <t>Tampa, FL, US</t>
        </is>
      </c>
      <c r="H56" s="2" t="n">
        <v>46050</v>
      </c>
      <c r="I56" t="inlineStr">
        <is>
          <t>Who We Are:* CAE Vision: Our vision is to be the worldwide partner of choice in defense and security, and civil aviation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We are seeking a skilled GPU Software Engineer to join our growing AI \&amp; Data Science team in R\&amp;D. This role is ideal for someone passionate about parallel computing, (General\-Purpose computing on Graphics Processing Units) GPGPU programming, and distributed systems to design and optimize high\-performance applications. The ideal candidate will have a strong background in scalable architectures, GPU acceleration, and multi\-node environments to deliver cutting\-edge solutions for compute\-intensive workloads. This position is onsite with locations in Tampa FL, Arlington TX, or Orlando FL.
Essential Duties and Responsibilities* Design and implement parallel algorithms for large\-scale data processing and scientific computing.
* Develop and optimize GPGPU applications using CUDA, OpenCL, or similar frameworks.
* Architect and maintain distributed systems for high availability and fault tolerance.
* Collaborate with cross\-functional teams to integrate solutions into production environments.
* Benchmark, profile, and tune performance across heterogeneous computing platforms.
* Stay current with emerging technologies in GPU computing and distributed architectures.
Qualifications and Education Requirements* Bachelor’s or Master’s degree in Computer Science, or related field.
* 3\+ years of experience in parallel programming, GPGPU computing, and distributed systems.
* Strong understanding of parallel programming concepts, including multi\-threading, synchronization, and communication.
* Strong proficiency in C/C\+\+, Python, and parallel programming paradigms.
* Familiarity with virtualization technologies, such as Docker and Kubernetes.
* Hands\-on experience with CUDA, OpenCL, or HIP for GPU acceleration.
* Solid understanding of distributed systems, networking, and cluster management tools (e.g., Kubernetes).
* Experience with performance profiling and optimization techniques.
* Understanding of data structures and algorithms, including object\-oriented programming.
* Excellent communication and collaboration skills.
Preferred Skills* Device driver development, including GPU or CPU.
* Knowledge of data exchange standards and APIs, such as DIS.
* Knowledge of containerization and orchestration for workloads.
* Experience with machine learning acceleration on GPUs is a plus.
* Experience with High Performance Computing including parallel and distributed computation is a plus.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Incumbent must be eligible for DoD Personal Security Clearance.
Due to U.S. Government contract requirements, only U.S. citizens are eligible for this role.  
Work Environment and Physical Demands* Duties performed in an office environment and manufacturing facility.
* Must be able to work overtime on and off\-shifts as required.
* May be required to sit down for long lengths of time.
* May be required to climb stairs.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equal opportunity employer, and all qualified applicants will be considered for employment without regard to any protected characteristic, including disability and protected veteran status, as defined under federal, state, or local laws.  
Applicants needing reasonable accommodations should contact their recruiter at any point in the recruitment process. If you need assistance to submit your application because of incompatible assistive technology or a disability, please contact us at hrops@caemilusa.com
About CAE*At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Employer*CAE is an equal opportunity employer committed to providing equal employment opportunities to all applicants and employees without regard to race, color, national origin, age, religion, sex, disability status, protected veteran status, or any other characteristic protected by federal, state or local laws.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
Data Privacy
Privacy Statement \| CAE*CAE thanks all applicants for their interest. However, only those whose background and experience match the requirements of the role will be contacted.*</t>
        </is>
      </c>
    </row>
    <row r="57">
      <c r="A57" t="inlineStr">
        <is>
          <t>in-addab1763ab097d7</t>
        </is>
      </c>
      <c r="B57" t="inlineStr">
        <is>
          <t>Software Engineer II - Mobile</t>
        </is>
      </c>
      <c r="C57" t="inlineStr">
        <is>
          <t>Fanatics</t>
        </is>
      </c>
      <c r="D57" t="inlineStr">
        <is>
          <t>indeed</t>
        </is>
      </c>
      <c r="E57" t="inlineStr"/>
      <c r="F57" t="inlineStr"/>
      <c r="G57" t="inlineStr">
        <is>
          <t>US</t>
        </is>
      </c>
      <c r="H57" s="2" t="n">
        <v>46050</v>
      </c>
      <c r="I57" t="inlineStr">
        <is>
          <t>**Overview**
As a Software Engineer II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II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58">
      <c r="A58" t="inlineStr">
        <is>
          <t>in-246ebbeeff88096c</t>
        </is>
      </c>
      <c r="B58" t="inlineStr">
        <is>
          <t>Senior Software Engineer, Navigation &amp; Robotics</t>
        </is>
      </c>
      <c r="C58" t="inlineStr">
        <is>
          <t>ALPHATEC SPINE, INC.</t>
        </is>
      </c>
      <c r="D58" t="inlineStr">
        <is>
          <t>indeed</t>
        </is>
      </c>
      <c r="E58" t="inlineStr"/>
      <c r="F58" t="inlineStr"/>
      <c r="G58" t="inlineStr">
        <is>
          <t>Carlsbad, CA, US</t>
        </is>
      </c>
      <c r="H58" s="2" t="n">
        <v>46050</v>
      </c>
      <c r="I58" t="inlineStr">
        <is>
          <t>The Senior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 Perform integration and system level testing of software and software/hardware systems
* Develop documentation related to software development projects (design artifacts, test plans/cases, etc.)
* Perform task estimation and develop software projects according to project plan
* Manage multiple tasks/projects and priorities
* Attend surgical cases, engage with surgeons, and maintain familiarity with current company endeavors across technical areas
* Support integration of advanced algorithms into production software applications, including AI/ML image processing systems and image display \&amp; rendering toolkits
* Work closely with R\&amp;D and Marketing teams to support clinical prototyping, testing, and formal evaluation in cadaveric surgical lab settings
* Maintain rigorous version control, unit testing, and documentation to support regulatory evaluation and formal test efforts
* Ability to travel up to 15% of the time
**Requirements**
The requirements listed below are representative of the knowledge, skill, and/or ability required. Reasonable accommodations may be made to enable individuals with disabilities to perform the essential functions.
* Experienced with commercial software development for medical devices (IEC 62304\). Experience with surgical navigation a plus
* Experienced in C\+\+ development in Linux environment. Experience with Qt framework is a plus
* Exposure to 2D\-to\-3D image registration, particularly in intra\-op spine imaging, desired
* Familiarity with image processing and rendering toolkits such as VTK, ITK, OpenCV
* Experience with 3D volumetric imaging (such as CT, CBCT, MRI) and medical image data formats (DICOM)
* Experience with Agile software development methodologies, Git / Azure DevOps / Jira
* Excellent written and verbal communication skills
* Familiarity with 3D geometry for spatial navigation systems a plus
**Education and Experience**
* 5\+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$140,000 Full\-Time Annual Salary  
*Please Note: The employer will not sponsor applicants for work visas for this position.*</t>
        </is>
      </c>
    </row>
    <row r="59">
      <c r="A59" t="inlineStr">
        <is>
          <t>in-cdd96373c23779d0</t>
        </is>
      </c>
      <c r="B59" t="inlineStr">
        <is>
          <t>Lead Software Engineer - Front End</t>
        </is>
      </c>
      <c r="C59" t="inlineStr">
        <is>
          <t>Live Nation</t>
        </is>
      </c>
      <c r="D59" t="inlineStr">
        <is>
          <t>indeed</t>
        </is>
      </c>
      <c r="E59" t="inlineStr"/>
      <c r="F59" t="inlineStr"/>
      <c r="G59" t="inlineStr">
        <is>
          <t>Remote, US</t>
        </is>
      </c>
      <c r="H59" s="2" t="n">
        <v>46050</v>
      </c>
      <c r="I59" t="inlineStr">
        <is>
          <t>Job Summary:
**Location:** Work From Home California
**Division:** Sponsorship group
**Line Manager:** VP \- Engineering, Sponsorship
**Contract Terms:** Full time
**THE TEAM**
As a Lead Software Engineer, you will lead the development of projects under the Upsells vertical of our Sponsorship division. You will be accountable for working in a fast paced environment and collaborating with engineers across multiple teams. You will build highly scalable, modular solutions that solve complex business needs while keeping the user experience front and center.
**THE JOB**
You will lead, manage and inspire engineers to deliver projects with high quality standards. You will be responsible for collaborating with other functions like product, design, PMO and business to understand the business needs and translate them into working software.
This position may require you to occasionally work outside of standard business hours and participate in an on\-call rotation to provide support 24/7\.
**WHAT YOU WILL BE DOING**
* Lead a team of front end engineers of mixed levels and skill sets
* Participate and drive development work across globally distributed software teams
* Provide technical guidance to the team, including architecture and design decisions, code reviews, and technical problem\-solving
* Own the full development and deployment cycle for your team’s software and product
* Encourage and grow developers in their craft through mentorship and leadership
* Organize, prioritize; multitask while coordinating team efforts, reporting to stakeholders and management on the progress of goals
* Connect with a series of stakeholders to gather as much information as possible regarding the problem at hand, and implement short to mid\-term strategies to evolve products for future success. (UX / Design / Product / PMO…etc.)
* Make technical recommendations outside of the immediate team
* Debug and triage production application issues, often not your own
* Automate testing, deployments, performance, and recovery
**WHAT YOU NEED TO KNOW (or TECHNICAL SKILLS)**
* 6\+ years experience as a front end engineer, with at least 2 years as a lead engineer.
* Expert level knowledge of frontend design patterns
* Experience with Agile methodologies
* Experience working with React, NextJS, GraphQL and CSS
* Experience working as a backend software engineer will be considered as a plus.
* Experience working in a distributed systems environment with micro\-frontends and microservices
* Experience working with AWS or other Cloud Provider
* Experience with CI/CD servers (Gitlab/Jenkins)
* Experience with Docker and Kubernetes or other orchestration/scheduling framework
* Experience building high performance and resilient applications operating at web scale.
* Experience building applications to be gracefully degradable.
* Experience working on legacy applications and migrations would be a plus.
**YOU (BEHAVIOURAL SKILLS)**
* Strong communication skills and the ability to collaborate closely with remote team members
* Ability to clearly communicate technical topics to non\-technical people
* Experience of mentoring team members and will delegate work accordingly
**BENEFITS \&amp; PERKS**
Through our ‘Taking Care of Our Own’ program, we provide benefits across six key pillars:
* **HEALTH** : Medical, vision, dental and mental health benefits for you and your family, with access to a health care concierge, and Flexible or Health Savings Accounts (FSA or HSA)
* **YOURSELF** : Free concert tickets, generous paid time off including paid holidays, sick time, and personal days
* **WEALTH** **:** 401(k) program with company match, stock reimbursement program
* **FAMILY** **:** New parent programs including caregiver leave, plus fertility, adoption, foster, or surrogacy support
* **CAREER** : Career and skill development programs with School of Live, tuition reimbursement, and student loan repayment
* **OTHERS** **:** Volunteer time off, crowdfunding match
**LIFE AT TICKETMASTER**
We are proud to be a part of Live Nation Entertainment, the world’s largest live entertainment company.  
Our mission at Ticketmaster is to connect people around the world to the live events they love. Ticketmaster is the world’s largest ticket marketplace and the global market leader in live event ticketing products and services. Through official partnerships with thousands of venues, artists, sports teams, festivals, performing arts centers and theaters , Ticketmaster processes 550 million tickets per year across 35\+ different countries.  
We do it all with an intense passion for Live and an inspiring and diverse culture driven by accessible leaders, attentive managers, and enthusiastic teams. If you’re passionate about live entertainment like we are, and you want to work at a company dedicated to helping millions of fans experience it, we want to hear from you.  
**Our work is guided by our values:**
Reliability \- Fans and clients count on us to power their live event experiences and we rely on each other to make it happen.  
Teamwork – While we celebrate individual achievements, we know have more success as a team.  
Integrity \- We are committed to the highest moral and ethical standards on behalf of the countless partners and stakeholders we represent.  
Belonging \- We are committed to building a culture in which all people can be their authentic selves, have an equal voice and opportunities to thrive.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Ticketmaster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Ticketmaster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Ticketmaster also wishes to participate in a timely ,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 Any applicant who requires an accommodation in order to perform the essential functions of the job should contact a Human Resources Representative to request the opportunity to participate in a timely interactive process . Ticketmaster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Ticketmaster recruitment policies are designed to place the most highly qualified persons available in a timely and efficient manner. Ticketmaster may pursue all avenues available, including promotion from within, employee referrals, outside advertising, employment agencies, internet recruiting, job fairs, college recruiting and search firms.
\-
The expected compensation for this position is:
$180 000,00 USD \- $225 000,00 USD
*\*\* Pay is based on a number of factors including market location, qualifications, skills, and experience.*</t>
        </is>
      </c>
    </row>
    <row r="60">
      <c r="A60" t="inlineStr">
        <is>
          <t>in-f0b6dc7d98f6dcb8</t>
        </is>
      </c>
      <c r="B60" t="inlineStr">
        <is>
          <t>Full-Stack Software Engineer 5 - Member Foundations Health</t>
        </is>
      </c>
      <c r="C60" t="inlineStr">
        <is>
          <t>Netflix</t>
        </is>
      </c>
      <c r="D60" t="inlineStr">
        <is>
          <t>indeed</t>
        </is>
      </c>
      <c r="E60" t="inlineStr"/>
      <c r="F60" t="inlineStr"/>
      <c r="G60" t="inlineStr">
        <is>
          <t>Remote, US</t>
        </is>
      </c>
      <c r="H60" s="2" t="n">
        <v>46049</v>
      </c>
      <c r="I6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Member Foundations Health team is part of our Member Engineering organization, working alongside distributed systems engineers and ML researchers. The Member Foundations Health team is responsible for building and maintaining tools that enhance developer productivity and operational excellence. The team will support dozens of engineers in Netflix who are responsible for services that support thousands of queries per second and are crucial for content discovery, including the Homepage, Search and New \&amp; Hot pages.
We are seeking a strong full\-stack engineer to build and maintain tools that enhance developer productivity and operational excellence across Member Experience services.
Snapshot of projects you may work on:
* Collaborate with cross\-functional teams to implement debugging tools for their services.
* Enhance our user interfaces to provide intuitive and seamless experiences for engineers, incorporating feedback and best practices to improve usability and adoption.
Incorporate GenAI tools to enhance developer productivity by automating repetitive tasks.  
* 
We would love to work with you if:
* You are proficient with modern frontend frameworks (e.g. React/Typescript).
* You have experience with at least one backend language/framework (e.g. Java/Spring).
* You have experience building and consuming RESTful APIs (GraphQL is a plus).
* You proactively communicate with cross\-functional teams to drive projects.
* You have a BS/MS in Computer Science, Applied Math, Engineering, or a related field.
* You have experience working with teams distributed across multiple time zones.
It would be nice if:
* You have experience with the latest GenAI stack (LLMs, RAG, Agents/Tools)
* You have experience building distributed backend systems.
You have experience building developer tools.  
*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1">
      <c r="A61" t="inlineStr">
        <is>
          <t>in-49e2709323258c9f</t>
        </is>
      </c>
      <c r="B61" t="inlineStr">
        <is>
          <t>Software Engineer - Ruby on Rails</t>
        </is>
      </c>
      <c r="C61" t="inlineStr">
        <is>
          <t>INSPIRE</t>
        </is>
      </c>
      <c r="D61" t="inlineStr">
        <is>
          <t>indeed</t>
        </is>
      </c>
      <c r="E61" t="inlineStr"/>
      <c r="F61" t="inlineStr"/>
      <c r="G61" t="inlineStr">
        <is>
          <t>Remote, US</t>
        </is>
      </c>
      <c r="H61" s="2" t="n">
        <v>46048</v>
      </c>
      <c r="I61" t="inlineStr">
        <is>
          <t>**About INSPIRE:**
Founded in 1986 as a family\-owned business, INSPIRE has grown into a global leader in event organization, producing over 2,500 events annually across the United States, Mexico, and the Dominican Republic.
At INSPIRE, we understand that the success of live events in the hospitality industry is driven by more than just technology—it’s about the people behind it. We take pride in offering our employees opportunities for growth through career development and succession planning, while fostering a culture focused on customer satisfaction, innovation, and teamwork.
Specializing in live events, we provide cutting\-edge audio\-visual solutions that elevate conferences, meetings, and events within the hospitality space. Our skilled technicians and creative professionals work closely with clients to ensure seamless execution and memorable experiences. By offering personalized, professional service, we build lasting relationships and deliver exceptional results every time.
We are seeking a**Software Engineer** – **(Ruby on Rails)** to work with the **Digital Services** team in **Buffalo, NY or Remote** to develop, deploy, \&amp; maintain software\-based solutions to the meetings \&amp; events industry. This role can be based in Buffalo, NY or Remote where the preferred candidate will be in either the Eastern or Central Time zones within the Continental United States.
We offer competitive benefits including Medical, Dental, and Vision Coverage, Life Insurance, Short\-term, and Long\-term Disability, and Paid Time Off / Holiday, 401(k), along with additional voluntary benefits are available to all full\-time employees at INSPIRE.
**Responsibilities/Skills:**
* Collaborate with our Digital Services team to understand the scope and expectations of the project.
* Professionally maintain all software and create updates regularly to address customer and company concerns.
* Help maintain code quality and organization with peer code review and automated testing.
* Analyze code for weaknesses and errors, and present detailed plans to improve them.
* Analyze and test programs and products before formal launch.
* Strong sense of team collaboration, as well as ability to work independently and meet deadlines with or without supervision.
* Communicate and cooperate with supervisors and coworkers.
* Must be detail oriented and quality driven.
**Requirements:**
* Bachelor's degree in computer science or other equivalent degree/experience.
* Minimum 2\-4\+ years of full\-time Ruby on Rails experience.
* Strong oral and written communication and interpersonal skills.
* Strong individual contribution and effective team contributor.
* Extensive knowledge of software development life cycle, web application development, and project management.
* Experience with source code management and issue tracking systems (GitHub, GitLab, Jira, etc.).
* Experience with relational and NoSQL database structures (PostgreSQL, DynamoDB, etc.).
* Experience with event streaming (Apache Kafka, Amazon SQS, etc.).
* Experience with API integration between internal and third\-party systems.
* Working knowledge of source code management and issue tracking systems (GitHub, GitLab, Jira).
* Experience with web frameworks (Ruby on Rails, Django, Laravel, etc.).
**What Do You Get?**
* Competitive salary and benefits package
* 401(k) plan with company match
* Opportunities for career advancement
* Comprehensive medical, dental, and vision coverage
* Life insurance, disability coverage, paid time off, holidays, and additional voluntary benefits for full\-time employees</t>
        </is>
      </c>
    </row>
    <row r="62">
      <c r="A62" t="inlineStr">
        <is>
          <t>in-be6c5b08c43fc221</t>
        </is>
      </c>
      <c r="B62" t="inlineStr">
        <is>
          <t>Software Engineer</t>
        </is>
      </c>
      <c r="C62" t="inlineStr">
        <is>
          <t>Amazon.com</t>
        </is>
      </c>
      <c r="D62" t="inlineStr">
        <is>
          <t>indeed</t>
        </is>
      </c>
      <c r="E62" t="inlineStr"/>
      <c r="F62" t="inlineStr"/>
      <c r="G62" t="inlineStr">
        <is>
          <t>Seattle, WA, US</t>
        </is>
      </c>
      <c r="H62" s="2" t="n">
        <v>46008</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in-78b3516736bb2b89</t>
        </is>
      </c>
      <c r="B63" t="inlineStr">
        <is>
          <t>Software Engineer</t>
        </is>
      </c>
      <c r="C63" t="inlineStr">
        <is>
          <t>Amazon.com</t>
        </is>
      </c>
      <c r="D63" t="inlineStr">
        <is>
          <t>indeed</t>
        </is>
      </c>
      <c r="E63" t="inlineStr"/>
      <c r="F63" t="inlineStr"/>
      <c r="G63" t="inlineStr">
        <is>
          <t>San Francisco, CA, US</t>
        </is>
      </c>
      <c r="H63" s="2" t="n">
        <v>46008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in-41c8854c703710bc</t>
        </is>
      </c>
      <c r="B64" t="inlineStr">
        <is>
          <t>Software Engineer I</t>
        </is>
      </c>
      <c r="C64" t="inlineStr">
        <is>
          <t>Amazon.com</t>
        </is>
      </c>
      <c r="D64" t="inlineStr">
        <is>
          <t>indeed</t>
        </is>
      </c>
      <c r="E64" t="inlineStr"/>
      <c r="F64" t="inlineStr"/>
      <c r="G64" t="inlineStr">
        <is>
          <t>Irvine, CA, US</t>
        </is>
      </c>
      <c r="H64" s="2" t="n">
        <v>46006</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in-0708ef54d757e2b8</t>
        </is>
      </c>
      <c r="B65" t="inlineStr">
        <is>
          <t>Software Engineer I</t>
        </is>
      </c>
      <c r="C65" t="inlineStr">
        <is>
          <t>Amazon.com</t>
        </is>
      </c>
      <c r="D65" t="inlineStr">
        <is>
          <t>indeed</t>
        </is>
      </c>
      <c r="E65" t="inlineStr"/>
      <c r="F65" t="inlineStr"/>
      <c r="G65" t="inlineStr">
        <is>
          <t>San Francisco, CA, US</t>
        </is>
      </c>
      <c r="H65" s="2" t="n">
        <v>46006</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in-ac054741d43478aa</t>
        </is>
      </c>
      <c r="B66" t="inlineStr">
        <is>
          <t>Software Engineer I</t>
        </is>
      </c>
      <c r="C66" t="inlineStr">
        <is>
          <t>Amazon.com</t>
        </is>
      </c>
      <c r="D66" t="inlineStr">
        <is>
          <t>indeed</t>
        </is>
      </c>
      <c r="E66" t="inlineStr"/>
      <c r="F66" t="inlineStr"/>
      <c r="G66" t="inlineStr">
        <is>
          <t>Seattle, WA, US</t>
        </is>
      </c>
      <c r="H66" s="2" t="n">
        <v>46006</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in-8db23ad9c9bc23ff</t>
        </is>
      </c>
      <c r="B67" t="inlineStr">
        <is>
          <t>Sr Software Engineer, Amazon Ads Exchange</t>
        </is>
      </c>
      <c r="C67" t="inlineStr">
        <is>
          <t>Amazon.com</t>
        </is>
      </c>
      <c r="D67" t="inlineStr">
        <is>
          <t>indeed</t>
        </is>
      </c>
      <c r="E67" t="inlineStr"/>
      <c r="F67" t="inlineStr"/>
      <c r="G67" t="inlineStr">
        <is>
          <t>Arlington, VA, US</t>
        </is>
      </c>
      <c r="H67" s="2" t="n">
        <v>46002</v>
      </c>
      <c r="I67"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in-eddaf88122469696</t>
        </is>
      </c>
      <c r="B68" t="inlineStr">
        <is>
          <t>Sr Software Engineer, Amazon Ads Exchange</t>
        </is>
      </c>
      <c r="C68" t="inlineStr">
        <is>
          <t>Amazon.com</t>
        </is>
      </c>
      <c r="D68" t="inlineStr">
        <is>
          <t>indeed</t>
        </is>
      </c>
      <c r="E68" t="inlineStr"/>
      <c r="F68" t="inlineStr"/>
      <c r="G68" t="inlineStr">
        <is>
          <t>San Francisco, CA, US</t>
        </is>
      </c>
      <c r="H68" s="2" t="n">
        <v>46002</v>
      </c>
      <c r="I68"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in-3c2f50d7a5a34e20</t>
        </is>
      </c>
      <c r="B69" t="inlineStr">
        <is>
          <t>Sr Software Engineer, Amazon Ads Exchange</t>
        </is>
      </c>
      <c r="C69" t="inlineStr">
        <is>
          <t>Amazon.com</t>
        </is>
      </c>
      <c r="D69" t="inlineStr">
        <is>
          <t>indeed</t>
        </is>
      </c>
      <c r="E69" t="inlineStr"/>
      <c r="F69" t="inlineStr"/>
      <c r="G69" t="inlineStr">
        <is>
          <t>Palo Alto, CA, US</t>
        </is>
      </c>
      <c r="H69" s="2" t="n">
        <v>46002</v>
      </c>
      <c r="I6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in-047f2ae821386ea5</t>
        </is>
      </c>
      <c r="B70" t="inlineStr">
        <is>
          <t>Software Engineer I</t>
        </is>
      </c>
      <c r="C70" t="inlineStr">
        <is>
          <t>Amazon.com</t>
        </is>
      </c>
      <c r="D70" t="inlineStr">
        <is>
          <t>indeed</t>
        </is>
      </c>
      <c r="E70" t="inlineStr"/>
      <c r="F70" t="inlineStr"/>
      <c r="G70" t="inlineStr">
        <is>
          <t>San Francisco, CA, US</t>
        </is>
      </c>
      <c r="H70" s="2" t="n">
        <v>46001</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in-70f7c852844e3c15</t>
        </is>
      </c>
      <c r="B71" t="inlineStr">
        <is>
          <t>Software Engineer I</t>
        </is>
      </c>
      <c r="C71" t="inlineStr">
        <is>
          <t>Amazon.com</t>
        </is>
      </c>
      <c r="D71" t="inlineStr">
        <is>
          <t>indeed</t>
        </is>
      </c>
      <c r="E71" t="inlineStr"/>
      <c r="F71" t="inlineStr"/>
      <c r="G71" t="inlineStr">
        <is>
          <t>Seattle, WA, US</t>
        </is>
      </c>
      <c r="H71" s="2" t="n">
        <v>46001</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in-65e517b3c4146ec4</t>
        </is>
      </c>
      <c r="B72" t="inlineStr">
        <is>
          <t>Software Engineer II, Twitch</t>
        </is>
      </c>
      <c r="C72" t="inlineStr">
        <is>
          <t>Amazon.com</t>
        </is>
      </c>
      <c r="D72" t="inlineStr">
        <is>
          <t>indeed</t>
        </is>
      </c>
      <c r="E72" t="inlineStr"/>
      <c r="F72" t="inlineStr"/>
      <c r="G72" t="inlineStr">
        <is>
          <t>Seattle, WA, US</t>
        </is>
      </c>
      <c r="H72" s="2" t="n">
        <v>45995</v>
      </c>
      <c r="I7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in-43cfd993edc24706</t>
        </is>
      </c>
      <c r="B73" t="inlineStr">
        <is>
          <t>Software Engineer II, Android</t>
        </is>
      </c>
      <c r="C73" t="inlineStr">
        <is>
          <t>Amazon.com</t>
        </is>
      </c>
      <c r="D73" t="inlineStr">
        <is>
          <t>indeed</t>
        </is>
      </c>
      <c r="E73" t="inlineStr"/>
      <c r="F73" t="inlineStr"/>
      <c r="G73" t="inlineStr">
        <is>
          <t>Irvine, CA, US</t>
        </is>
      </c>
      <c r="H73" s="2" t="n">
        <v>45995</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in-9432cfcceefd0f44</t>
        </is>
      </c>
      <c r="B74" t="inlineStr">
        <is>
          <t>Software Engineer II, Twitch</t>
        </is>
      </c>
      <c r="C74" t="inlineStr">
        <is>
          <t>Amazon.com</t>
        </is>
      </c>
      <c r="D74" t="inlineStr">
        <is>
          <t>indeed</t>
        </is>
      </c>
      <c r="E74" t="inlineStr"/>
      <c r="F74" t="inlineStr"/>
      <c r="G74" t="inlineStr">
        <is>
          <t>San Francisco, CA, US</t>
        </is>
      </c>
      <c r="H74" s="2" t="n">
        <v>45995</v>
      </c>
      <c r="I7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in-33293656e9173657</t>
        </is>
      </c>
      <c r="B75" t="inlineStr">
        <is>
          <t>Software Engineer II, Android</t>
        </is>
      </c>
      <c r="C75" t="inlineStr">
        <is>
          <t>Amazon.com</t>
        </is>
      </c>
      <c r="D75" t="inlineStr">
        <is>
          <t>indeed</t>
        </is>
      </c>
      <c r="E75" t="inlineStr"/>
      <c r="F75" t="inlineStr"/>
      <c r="G75" t="inlineStr">
        <is>
          <t>San Francisco, CA, US</t>
        </is>
      </c>
      <c r="H75" s="2" t="n">
        <v>45995</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in-a98c8d00262b1974</t>
        </is>
      </c>
      <c r="B76" t="inlineStr">
        <is>
          <t>Software Engineer II, Android</t>
        </is>
      </c>
      <c r="C76" t="inlineStr">
        <is>
          <t>Amazon.com</t>
        </is>
      </c>
      <c r="D76" t="inlineStr">
        <is>
          <t>indeed</t>
        </is>
      </c>
      <c r="E76" t="inlineStr"/>
      <c r="F76" t="inlineStr"/>
      <c r="G76" t="inlineStr">
        <is>
          <t>Seattle, WA, US</t>
        </is>
      </c>
      <c r="H76" s="2" t="n">
        <v>45995</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in-06c919569c229f04</t>
        </is>
      </c>
      <c r="B77" t="inlineStr">
        <is>
          <t>Software Engineer I</t>
        </is>
      </c>
      <c r="C77" t="inlineStr">
        <is>
          <t>Amazon.com</t>
        </is>
      </c>
      <c r="D77" t="inlineStr">
        <is>
          <t>indeed</t>
        </is>
      </c>
      <c r="E77" t="inlineStr"/>
      <c r="F77" t="inlineStr"/>
      <c r="G77" t="inlineStr">
        <is>
          <t>San Francisco, CA, US</t>
        </is>
      </c>
      <c r="H77" s="2" t="n">
        <v>45946</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in-0922f910c8d9a292</t>
        </is>
      </c>
      <c r="B78" t="inlineStr">
        <is>
          <t>Software Engineer I</t>
        </is>
      </c>
      <c r="C78" t="inlineStr">
        <is>
          <t>Amazon.com</t>
        </is>
      </c>
      <c r="D78" t="inlineStr">
        <is>
          <t>indeed</t>
        </is>
      </c>
      <c r="E78" t="inlineStr"/>
      <c r="F78" t="inlineStr"/>
      <c r="G78" t="inlineStr">
        <is>
          <t>Irvine, CA, US</t>
        </is>
      </c>
      <c r="H78" s="2" t="n">
        <v>45946</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in-c4b1563dd32bc24d</t>
        </is>
      </c>
      <c r="B79" t="inlineStr">
        <is>
          <t>Software Engineer II</t>
        </is>
      </c>
      <c r="C79" t="inlineStr">
        <is>
          <t>Amazon.com</t>
        </is>
      </c>
      <c r="D79" t="inlineStr">
        <is>
          <t>indeed</t>
        </is>
      </c>
      <c r="E79" t="inlineStr"/>
      <c r="F79" t="inlineStr"/>
      <c r="G79" t="inlineStr">
        <is>
          <t>Culver City, CA, US</t>
        </is>
      </c>
      <c r="H79" s="2" t="n">
        <v>45938</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in-d1ef540d766cc3b6</t>
        </is>
      </c>
      <c r="B80" t="inlineStr">
        <is>
          <t>Software Engineer II</t>
        </is>
      </c>
      <c r="C80" t="inlineStr">
        <is>
          <t>Amazon.com</t>
        </is>
      </c>
      <c r="D80" t="inlineStr">
        <is>
          <t>indeed</t>
        </is>
      </c>
      <c r="E80" t="inlineStr"/>
      <c r="F80" t="inlineStr"/>
      <c r="G80" t="inlineStr">
        <is>
          <t>Irvine, CA, US</t>
        </is>
      </c>
      <c r="H80" s="2" t="n">
        <v>45938</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in-0dc48c8aa51a96d4</t>
        </is>
      </c>
      <c r="B81" t="inlineStr">
        <is>
          <t>Software Engineer II</t>
        </is>
      </c>
      <c r="C81" t="inlineStr">
        <is>
          <t>Amazon.com</t>
        </is>
      </c>
      <c r="D81" t="inlineStr">
        <is>
          <t>indeed</t>
        </is>
      </c>
      <c r="E81" t="inlineStr"/>
      <c r="F81" t="inlineStr"/>
      <c r="G81" t="inlineStr">
        <is>
          <t>San Francisco, CA, US</t>
        </is>
      </c>
      <c r="H81" s="2" t="n">
        <v>45938</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in-4334417df89d0033</t>
        </is>
      </c>
      <c r="B82" t="inlineStr">
        <is>
          <t>Senior Software Engineer, Machine Learning Accelerator Technology</t>
        </is>
      </c>
      <c r="C82" t="inlineStr">
        <is>
          <t>Amazon Web Services</t>
        </is>
      </c>
      <c r="D82" t="inlineStr">
        <is>
          <t>indeed</t>
        </is>
      </c>
      <c r="E82" t="inlineStr"/>
      <c r="F82" t="inlineStr"/>
      <c r="G82" t="inlineStr">
        <is>
          <t>Austin, TX, US</t>
        </is>
      </c>
      <c r="H82" s="2" t="n">
        <v>45930</v>
      </c>
      <c r="I82"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in-5ccf1bc989b26b74</t>
        </is>
      </c>
      <c r="B83" t="inlineStr">
        <is>
          <t>Senior Software Engineer, Machine Learning Accelerator Technology</t>
        </is>
      </c>
      <c r="C83" t="inlineStr">
        <is>
          <t>Amazon Web Services</t>
        </is>
      </c>
      <c r="D83" t="inlineStr">
        <is>
          <t>indeed</t>
        </is>
      </c>
      <c r="E83" t="inlineStr"/>
      <c r="F83" t="inlineStr"/>
      <c r="G83" t="inlineStr">
        <is>
          <t>Cupertino, CA, US</t>
        </is>
      </c>
      <c r="H83" s="2" t="n">
        <v>45930</v>
      </c>
      <c r="I83"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in-19cecfd0078454b3</t>
        </is>
      </c>
      <c r="B84" t="inlineStr">
        <is>
          <t>Sr Software Engineer</t>
        </is>
      </c>
      <c r="C84" t="inlineStr">
        <is>
          <t>Amazon.com</t>
        </is>
      </c>
      <c r="D84" t="inlineStr">
        <is>
          <t>indeed</t>
        </is>
      </c>
      <c r="E84" t="inlineStr"/>
      <c r="F84" t="inlineStr"/>
      <c r="G84" t="inlineStr">
        <is>
          <t>San Francisco, CA, US</t>
        </is>
      </c>
      <c r="H84" s="2" t="n">
        <v>45921</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in-02e4e4a1aa0f0c2a</t>
        </is>
      </c>
      <c r="B85" t="inlineStr">
        <is>
          <t>Software Engineer II</t>
        </is>
      </c>
      <c r="C85" t="inlineStr">
        <is>
          <t>Amazon.com</t>
        </is>
      </c>
      <c r="D85" t="inlineStr">
        <is>
          <t>indeed</t>
        </is>
      </c>
      <c r="E85" t="inlineStr"/>
      <c r="F85" t="inlineStr"/>
      <c r="G85" t="inlineStr">
        <is>
          <t>San Francisco, CA, US</t>
        </is>
      </c>
      <c r="H85" s="2" t="n">
        <v>45921</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in-ac07462bbbc05a5e</t>
        </is>
      </c>
      <c r="B86" t="inlineStr">
        <is>
          <t>Software Engineer II</t>
        </is>
      </c>
      <c r="C86" t="inlineStr">
        <is>
          <t>Amazon.com</t>
        </is>
      </c>
      <c r="D86" t="inlineStr">
        <is>
          <t>indeed</t>
        </is>
      </c>
      <c r="E86" t="inlineStr"/>
      <c r="F86" t="inlineStr"/>
      <c r="G86" t="inlineStr">
        <is>
          <t>Irvine, CA, US</t>
        </is>
      </c>
      <c r="H86" s="2" t="n">
        <v>45921</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in-0b614ba94d70f949</t>
        </is>
      </c>
      <c r="B87" t="inlineStr">
        <is>
          <t>Sr Software Engineer</t>
        </is>
      </c>
      <c r="C87" t="inlineStr">
        <is>
          <t>Amazon.com</t>
        </is>
      </c>
      <c r="D87" t="inlineStr">
        <is>
          <t>indeed</t>
        </is>
      </c>
      <c r="E87" t="inlineStr"/>
      <c r="F87" t="inlineStr"/>
      <c r="G87" t="inlineStr">
        <is>
          <t>Irvine, CA, US</t>
        </is>
      </c>
      <c r="H87" s="2" t="n">
        <v>45921</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in-49b910920bd83341</t>
        </is>
      </c>
      <c r="B88" t="inlineStr">
        <is>
          <t>Software Engineer I- Ad Demand</t>
        </is>
      </c>
      <c r="C88" t="inlineStr">
        <is>
          <t>Amazon.com</t>
        </is>
      </c>
      <c r="D88" t="inlineStr">
        <is>
          <t>indeed</t>
        </is>
      </c>
      <c r="E88" t="inlineStr"/>
      <c r="F88" t="inlineStr"/>
      <c r="G88" t="inlineStr">
        <is>
          <t>New York, NY, US</t>
        </is>
      </c>
      <c r="H88" s="2" t="n">
        <v>45908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in-ee2279a1c3b21529</t>
        </is>
      </c>
      <c r="B89" t="inlineStr">
        <is>
          <t>Software Engineer I- Ad Demand</t>
        </is>
      </c>
      <c r="C89" t="inlineStr">
        <is>
          <t>Amazon.com</t>
        </is>
      </c>
      <c r="D89" t="inlineStr">
        <is>
          <t>indeed</t>
        </is>
      </c>
      <c r="E89" t="inlineStr"/>
      <c r="F89" t="inlineStr"/>
      <c r="G89" t="inlineStr">
        <is>
          <t>San Francisco, CA, US</t>
        </is>
      </c>
      <c r="H89" s="2" t="n">
        <v>45908</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in-dad05794bf739158</t>
        </is>
      </c>
      <c r="B90" t="inlineStr">
        <is>
          <t>Software Developer Engineer - iOS, Ring</t>
        </is>
      </c>
      <c r="C90" t="inlineStr">
        <is>
          <t>Amazon.com</t>
        </is>
      </c>
      <c r="D90" t="inlineStr">
        <is>
          <t>indeed</t>
        </is>
      </c>
      <c r="E90" t="inlineStr"/>
      <c r="F90" t="inlineStr"/>
      <c r="G90" t="inlineStr">
        <is>
          <t>Hawthorne, CA, US</t>
        </is>
      </c>
      <c r="H90" s="2" t="n">
        <v>45812</v>
      </c>
      <c r="I9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in-12cc74dc2b46af52</t>
        </is>
      </c>
      <c r="B91" t="inlineStr">
        <is>
          <t>Software Developer Engineer - iOS, Ring</t>
        </is>
      </c>
      <c r="C91" t="inlineStr">
        <is>
          <t>Amazon.com</t>
        </is>
      </c>
      <c r="D91" t="inlineStr">
        <is>
          <t>indeed</t>
        </is>
      </c>
      <c r="E91" t="inlineStr"/>
      <c r="F91" t="inlineStr"/>
      <c r="G91" t="inlineStr">
        <is>
          <t>Irvine, CA, US</t>
        </is>
      </c>
      <c r="H91" s="2" t="n">
        <v>45812</v>
      </c>
      <c r="I9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in-723bb1b9cb23bea7</t>
        </is>
      </c>
      <c r="B92" t="inlineStr">
        <is>
          <t>Software Developer Engineer - iOS, Ring</t>
        </is>
      </c>
      <c r="C92" t="inlineStr">
        <is>
          <t>Amazon.com</t>
        </is>
      </c>
      <c r="D92" t="inlineStr">
        <is>
          <t>indeed</t>
        </is>
      </c>
      <c r="E92" t="inlineStr"/>
      <c r="F92" t="inlineStr"/>
      <c r="G92" t="inlineStr">
        <is>
          <t>Austin, TX, US</t>
        </is>
      </c>
      <c r="H92" s="2" t="n">
        <v>45812</v>
      </c>
      <c r="I9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in-1c316766e0bc3720</t>
        </is>
      </c>
      <c r="B93" t="inlineStr">
        <is>
          <t>Senior Software Engineer - Query Processing, Aurora DSQL</t>
        </is>
      </c>
      <c r="C93" t="inlineStr">
        <is>
          <t>Amazon Web Services</t>
        </is>
      </c>
      <c r="D93" t="inlineStr">
        <is>
          <t>indeed</t>
        </is>
      </c>
      <c r="E93" t="inlineStr"/>
      <c r="F93" t="inlineStr"/>
      <c r="G93" t="inlineStr">
        <is>
          <t>East Palo Alto, CA, US</t>
        </is>
      </c>
      <c r="H93" s="2" t="n">
        <v>45796</v>
      </c>
      <c r="I9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in-41bbb7fe20817ca3</t>
        </is>
      </c>
      <c r="B94" t="inlineStr">
        <is>
          <t>Senior Software Engineer - Query Processing, Aurora DSQL</t>
        </is>
      </c>
      <c r="C94" t="inlineStr">
        <is>
          <t>Amazon Web Services</t>
        </is>
      </c>
      <c r="D94" t="inlineStr">
        <is>
          <t>indeed</t>
        </is>
      </c>
      <c r="E94" t="inlineStr"/>
      <c r="F94" t="inlineStr"/>
      <c r="G94" t="inlineStr">
        <is>
          <t>Seattle, WA, US</t>
        </is>
      </c>
      <c r="H94" s="2" t="n">
        <v>45796</v>
      </c>
      <c r="I9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in-a22113d4335838c8</t>
        </is>
      </c>
      <c r="B95" t="inlineStr">
        <is>
          <t>Staff Software Engineer, Backend In-Car Experience</t>
        </is>
      </c>
      <c r="C95" t="inlineStr">
        <is>
          <t>Waymo</t>
        </is>
      </c>
      <c r="D95" t="inlineStr">
        <is>
          <t>indeed</t>
        </is>
      </c>
      <c r="E95">
        <f>HYPERLINK("https://www.indeed.com/viewjob?jk=a22113d4335838c8", "https://www.indeed.com/viewjob?jk=a22113d4335838c8")</f>
        <v/>
      </c>
      <c r="F95">
        <f>HYPERLINK("https://careers.withwaymo.com/jobs/staff-software-engineer-backend-in-car-experience-mountain-view-california-united-states", "https://careers.withwaymo.com/jobs/staff-software-engineer-backend-in-car-experience-mountain-view-california-united-states")</f>
        <v/>
      </c>
      <c r="G95" t="inlineStr">
        <is>
          <t>Mountain View, CA, US</t>
        </is>
      </c>
      <c r="H95" s="3" t="n">
        <v>46050</v>
      </c>
      <c r="I95" t="inlineStr">
        <is>
          <t>MOUNTAIN VIEW, CALIFORNIA, UNITED STATES
FULL\-TIME
SOFTWARE ENGINEERING
4548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At Waymo, we are building the world's most experienced driver. The In\-Car Experience team is at the center of how our riders interact with our autonomous vehicle technology. We design and build the user\-facing software and systems within the car, creating a safe and intuitive experience for every trip. Join us to define the future of in\-car interactions for autonomous ride\-hailing.
In this role, you will own the backend systems and API surfaces that power the rider experience, acting as the bridge between the autonomous vehicle, the cloud, and user\-facing applications.
**You will:**
* Design and build scalable backend services and APIs (gRPC/Protobuf) that power in\-car features such as trip status, media streaming, and cabin controls.
* Architect high\-availability systems that manage the synchronization of state between the cloud and the autonomous vehicle fleet in real\-time.
* Work closely with Android client engineers, Product Managers, and Vehicle Software teams to define data contracts and system behaviors.
* Optimize data pipelines for low\-latency delivery to ensure a responsive and "magical" rider experience, even in varying network conditions.
* Manage the full software development life\-cycle of backend services, focusing on security, reliability, and observability for safety\-sensitive systems.
**You have:**
* Bachelor’s degree in Computer Science or equivalent practical experience.
* 5\+ years of professional software development experience working on backend systems.
* Proficiency in C\+\+, Java, or Go, with a strong understanding of concurrent programming.
* Experience designing and implementing distributed systems, microservices, and defining robust APIs (REST or gRPC).
* Experience leading technical designs, making architectural trade\-offs, and mentoring other engineers.
* Excellent communication skills and ability to collaborate effectively with diverse engineering teams.
**We prefer:**
* Experience with Google’s infrastructure (Spanner, Stubby/gRPC, Borg/Kubernetes) or similar large\-scale cloud platforms (AWS/Azure).
* Background in IoT, connected devices, or automotive telematics (handling intermittent connectivity, bandwidth constraints, and device shadows).
* Experience with real\-time data streaming and event\-driven architectures.
* Knowledge of the Android ecosystem from a platform/backend perspective.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96">
      <c r="A96" t="inlineStr">
        <is>
          <t>in-e9c318a38892b304</t>
        </is>
      </c>
      <c r="B96" t="inlineStr">
        <is>
          <t>Software Engineer III--Java</t>
        </is>
      </c>
      <c r="C96" t="inlineStr">
        <is>
          <t>Truist</t>
        </is>
      </c>
      <c r="D96" t="inlineStr">
        <is>
          <t>indeed</t>
        </is>
      </c>
      <c r="E96">
        <f>HYPERLINK("https://www.indeed.com/viewjob?jk=e9c318a38892b304", "https://www.indeed.com/viewjob?jk=e9c318a38892b304")</f>
        <v/>
      </c>
      <c r="F96">
        <f>HYPERLINK("https://careers.truist.com/us/en/job/TBJTBFUSR0110788EXTERNALENUS/Software-Engineer-III-Java?utm_source=indeed&amp;utm_medium=phenom-feeds", "https://careers.truist.com/us/en/job/TBJTBFUSR0110788EXTERNALENUS/Software-Engineer-III-Java?utm_source=indeed&amp;utm_medium=phenom-feeds")</f>
        <v/>
      </c>
      <c r="G96" t="inlineStr">
        <is>
          <t>Charlotte, NC, US</t>
        </is>
      </c>
      <c r="H96" s="3" t="n">
        <v>46050</v>
      </c>
      <c r="I9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Master’s degree and ten\+ years of experience or an equivalent combination of education and work experience
2\. Banking or financial services experience. Knowledge of one or more of the following: Solid foundation in data structures, algorithms, and software design with strong analytical and debugging skills
 3\. Experience with build tools, such as Git, Maven, and Jenkins. Proven ability to write comprehensive unit and integration tests
4\. Proven experience in **application development and migration** using **Java/JEE**, **Spring**, and **Spring Boot**.
5\. Hands\-on expertise with **AWS services** and **microservices\-based API development**.
6\. Strong knowledge of **Unix environments** (Linux or AIX).
7\. Practical experience with **messaging systems** such as **IBM MQ** and **Apache Kafka**.
8\. Proficiency in **SQL databases**, including **development**, **data loading**, and **performance optimization**.
9\. Experience in **deploying distributed applications**.
10\. Familiarity with **Agile methodologies**.
11\. Excellent **communication and interpersonal skills**.
12\. Working knowledge of **ServiceNow**.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7">
      <c r="A97" t="inlineStr">
        <is>
          <t>in-edff0f738198b195</t>
        </is>
      </c>
      <c r="B97" t="inlineStr">
        <is>
          <t>Software Engineer II</t>
        </is>
      </c>
      <c r="C97" t="inlineStr">
        <is>
          <t>Truist</t>
        </is>
      </c>
      <c r="D97" t="inlineStr">
        <is>
          <t>indeed</t>
        </is>
      </c>
      <c r="E97">
        <f>HYPERLINK("https://www.indeed.com/viewjob?jk=edff0f738198b195", "https://www.indeed.com/viewjob?jk=edff0f738198b195")</f>
        <v/>
      </c>
      <c r="F97">
        <f>HYPERLINK("https://careers.truist.com/us/en/job/TBJTBFUSR0110406EXTERNALENUS/Software-Engineer-II?utm_source=indeed&amp;utm_medium=phenom-feeds", "https://careers.truist.com/us/en/job/TBJTBFUSR0110406EXTERNALENUS/Software-Engineer-II?utm_source=indeed&amp;utm_medium=phenom-feeds")</f>
        <v/>
      </c>
      <c r="G97" t="inlineStr">
        <is>
          <t>Raleigh, NC, US</t>
        </is>
      </c>
      <c r="H97" s="3" t="n">
        <v>46050</v>
      </c>
      <c r="I9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Master’s degree and ten\+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8">
      <c r="A98" t="inlineStr">
        <is>
          <t>in-42061e58d65c606c</t>
        </is>
      </c>
      <c r="B98" t="inlineStr">
        <is>
          <t>Full Stack Software Engineer</t>
        </is>
      </c>
      <c r="C98" t="inlineStr">
        <is>
          <t>Ford Motor Company</t>
        </is>
      </c>
      <c r="D98" t="inlineStr">
        <is>
          <t>indeed</t>
        </is>
      </c>
      <c r="E98">
        <f>HYPERLINK("https://www.indeed.com/viewjob?jk=42061e58d65c606c", "https://www.indeed.com/viewjob?jk=42061e58d65c606c")</f>
        <v/>
      </c>
      <c r="F98">
        <f>HYPERLINK("https://efds.fa.em5.oraclecloud.com/hcmUI/CandidateExperience/en/sites/CX_1/requisitions/preview/56794", "https://efds.fa.em5.oraclecloud.com/hcmUI/CandidateExperience/en/sites/CX_1/requisitions/preview/56794")</f>
        <v/>
      </c>
      <c r="G98" t="inlineStr">
        <is>
          <t>Dearborn, MI, US</t>
        </is>
      </c>
      <c r="H98" s="3" t="n">
        <v>46050</v>
      </c>
      <c r="I98" t="inlineStr">
        <is>
          <t>The VIN Wholesale portal is a mission\-critical platform at the intersection of manufacturing and retail. We bridge the gap between Ford’s production plants and our dealership network, ensuring that the right vehicles reach the right regions at the right time. By aligning product availability with regional marketing strategies, we empower dealers to meet customer expectations and drive brand loyalty.
As a Full Stack Software Engineer on this team, you won't just be writing code; you will be architecting the digital supply chain that moves Ford’s fleet into the hands of our customers.
We are looking for a seasoned Full Stack Software Engineer with at least 5 years of experience who is passionate about **Software Craftsmanship** . You are someone who believes in "building it right the first time" using Test\-Driven Development (TDD) and modern CI/CD practices. You will work across the entire stack from crafting intuitive UIs in React to building high\-performance, secure microservices in Kotlin and Java 17\+.
* Bachelor’s Degree in Computer Science, or equivalent professional experience.
* Experience with **Tekton** and **GitHub Actions** for CI/CD.
* A history of using **Feature Flags** for controlled releases and immediate rollbacks.
* Strong communication skills with the ability to influence technical direction across teams.
Full Stack Software Engineer proficient in React/Angular and Kotlin/Java Spring Boot, possessing at least 5 years of relevant experience.  
* 
**What You’ll Need (Required Skills)**  
* **Backend Expertise** : 5\+ years of experience with Kotlin or Java 17\+. Deep proficiency in Spring Boot (including Spring Security) and modern design patterns.
* **Frontend Mastery** : Strong background in React (or Angular) for building responsive, user\-centric interfaces.
* **Cloud \&amp; Infrastructure** : Hands\-on experience with Google Cloud Platform (GCP) and API management via APIGEE Gateway.
* **Data Management** : Proficiency in PostgreSQL and MongoDB (NoSQL), including querying and schema design.
* **DevSecOps Tooling** : Experience with Git, Gradle, and security/quality tools such as SonarQube, 42 Crunch, FOSSA, and Cycode.
* **The "Craftsman" Mindset** : Practical experience with TDD (Test\-Driven Development) and BDD (Behavior\-Driven Development) in an Agile environment.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position is a salary grade **8** .
This position is a salary grade **8** and ranges from **$113,580\-190,500**
***\* Please note: This is a hybrid role, you are expected to relocate if you are not within commutable distance, and responsible to be on site at minimum 3\+ day per week*** **\***
***\*Visa Sponsorship is not provided for this role*** **\***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LI\-Hybrid
\#LI\-GH2
* **End to End Delivery:** Design, develop, and maintain full\-stack components including UI, business logic, and data integration tiers.
* **Product Collaboration:** Partner closely with Product Managers to translate complex business use cases into elegant technical prototypes and scalable solutions.
* **Agile Leadership:** Actively participate in all Agile ceremonies (backlog grooming, daily stand\-ups, retrospectives) and contribute to a culture of continuous improvement.
* **Quality \&amp; Security First:** Take full ownership of code quality using tools like SonarQube and Cycode. You will write automated unit and functional tests as a standard part of your workflow.
* **Modern DevOps:** Manage and optimize CI/CD pipelines using GitHub Actions and Tekton to ensure seamless, frequent deployments.
* **Innovation \&amp; Mentorship:** Research emerging technologies, influence enterprise\-wide tech shifts, and help simplify complex technical concepts for non\-technical stakeholders.</t>
        </is>
      </c>
    </row>
    <row r="99">
      <c r="A99" t="inlineStr">
        <is>
          <t>in-678083a45ff9929e</t>
        </is>
      </c>
      <c r="B99" t="inlineStr">
        <is>
          <t>Senior Staff Software Engineer</t>
        </is>
      </c>
      <c r="C99" t="inlineStr">
        <is>
          <t>Intuit</t>
        </is>
      </c>
      <c r="D99" t="inlineStr">
        <is>
          <t>indeed</t>
        </is>
      </c>
      <c r="E99">
        <f>HYPERLINK("https://www.indeed.com/viewjob?jk=678083a45ff9929e", "https://www.indeed.com/viewjob?jk=678083a45ff9929e")</f>
        <v/>
      </c>
      <c r="F99">
        <f>HYPERLINK("https://dsp.prng.co/yIYjLAb", "https://dsp.prng.co/yIYjLAb")</f>
        <v/>
      </c>
      <c r="G99" t="inlineStr">
        <is>
          <t>New York, NY, US</t>
        </is>
      </c>
      <c r="H99" s="3" t="n">
        <v>46050</v>
      </c>
      <c r="I99" t="inlineStr">
        <is>
          <t>**Overview**
------------
Come join the Intuit as a Senior Staff Software Engineer and help us power prosperity around the world. We are looking for engineers that love to take on new challenges, solve tough problems, and have deep empathy for our customers. You’ll work with a small group of passionate engineers, product managers and designers.
 **Responsibilities**
Drives velocity in the organization by accelerating customer, business, and technology outcomes by identifying and driving key opportunities across the company.
Drives significant technology initiatives end\-to\-end, including horizontal layers of the architecture.
Understands customer behaviors and partners with cross\-functional partners to influence and drive end\-to\-end solutions for customer problems.
Drives design and implementation of durable software solutions that will solve critical customer problems in a fast\-paced environment
Executes with a boundaryless mindset and contributes to solutions outsideof their primary area of ownership.
Knowledge of building AI native applications
Guides the applicability of AI to customer problems through a deep understanding of the value and limitations of AI technologies.
Understands evaluation tools to validate and measure the accuracy of solutions.
High\-level understanding of how AI models work, the different types of AI models that exist, and their pros and cons.
Understanding of the latest tools and technologies that apply AI to real\-world applications.
Creates robust, scalable, and secure technical designs, effectively implementing them to balance short\-term and long\-term objectives, ensuring high availability and optimal performance of applications
Passionate for continuous learning, experimenting, and applying cutting\-edge technology and software paradigms to solve customer problems
 Team/ Collaboration:
Partners with other groups both inside and outside of Intuit for cross\-functional design, development, and integration
Works with cross\-functional team members from Architecture, Product Management, and Operations to design, develop, test, and release features
 Community:
Contributes to standards, patterns, and best practices that improve the engineering community.
Provide perspective on leading industry trends, recommendations on new and emerging technologies, technology prototypes, patent proposals, and engineering process improvements.
Ability to drive velocity in a highly matrixed environment, partnering with numerous stakeholders
8\+ years of experience developing systems/software for large business environments.
5\+ years of experience designing complex distributed systems, management products, or business applications.
Full\-stack development experience with AI technologies/tools and apply it to user experiences or backend solutions.
Experience with AI technologies like SageMaker, Vert.x, LangChain, Large Language Models, Prompt Engineering, DialogFlow, Python
Experience with at least one of the following:
Front\-end technologies like React, Angular, SwiftUI (iOS), Kotlin (Android)
Back\-end technologies like Java, Typescript, Spring, Express (NodeJS)
Prior working experience in a cloud computing environment like AWS/GCP is highly desired.
Prior experience working in teams that have built AI native applications for 1\+ years
BS/MS in Computer Science or related area.
 **Qualifications**
Team player possessing strong analytical, problem\-solving, and communication skills
Strong mentoring skills. Able to influence and communicate effectively with both technical and non\-technical people
Prefers working in a team and collaborates with other cross\-functional partners.
Ability to work effectively in a fast\-paced, complex technical environment.
Excellent communication skills. Communicates clearly, succinctly, and persuasively to all levels of employees, customers, and management (including executives)
"Self\-starter" attitude and the ability to make decisions independently
Experience driving for results across cross\-functional teams while maintaining effective working relationships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$ 214,000\- 289,500</t>
        </is>
      </c>
    </row>
    <row r="100">
      <c r="A100" t="inlineStr">
        <is>
          <t>in-b7856dbcd955bb23</t>
        </is>
      </c>
      <c r="B100" t="inlineStr">
        <is>
          <t>Software Engineer 1</t>
        </is>
      </c>
      <c r="C100" t="inlineStr">
        <is>
          <t>Intuit</t>
        </is>
      </c>
      <c r="D100" t="inlineStr">
        <is>
          <t>indeed</t>
        </is>
      </c>
      <c r="E100">
        <f>HYPERLINK("https://www.indeed.com/viewjob?jk=b7856dbcd955bb23", "https://www.indeed.com/viewjob?jk=b7856dbcd955bb23")</f>
        <v/>
      </c>
      <c r="F100">
        <f>HYPERLINK("https://dsp.prng.co/B7i5YYb", "https://dsp.prng.co/B7i5YYb")</f>
        <v/>
      </c>
      <c r="G100" t="inlineStr">
        <is>
          <t>Mountain View, CA, US</t>
        </is>
      </c>
      <c r="H100" s="3" t="n">
        <v>46050</v>
      </c>
      <c r="I100" t="inlineStr">
        <is>
          <t>**Overview**
------------
This is an early\-career position where you’ll gain hands\-on experience building frontend features, fixing bugs, and learning modern web development practices. You will work with senior engineers and cross\-functional partners to deliver customer\-first solutions that simplify financial workflows for millions of small businesses.
 **Responsibilities**
* Implement simple UI features or bug fixes using JavaScript, HTML, and CSS within established architecture.
* Collaborate with senior engineers, designers, and product managers in an agile development team.
* Write well\-documented, testable code and participate in code reviews.
* Assist in integrating frontend components with backend APIs and services.
* Debug and resolve defects with guidance from more experienced engineers.
* Learn and apply engineering best practices such as test\-driven development (TDD), accessibility, and responsive design.
* Gain exposure to the Fintech domain, including customer experiences related to invoicing, payments, and money movement.
 **Qualifications**
* Bachelor’s degree in Computer Science or related field, or equivalent practical experience.
* Academic or personal project experience with frontend technologies (JavaScript, HTML, CSS) and backend technologies (Java, Python).
* Understanding of basic programming concepts, version control, and software testing.
* Willingness to learn secure software development practices and CI/CD workflows.
* Strong problem\-solving mindset and a collaborative, growth\-oriented attitude.
* Familiarity with any JavaScript SPA framework (e.g., React, Angular)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01">
      <c r="A101" t="inlineStr">
        <is>
          <t>in-913c44fcb2a72042</t>
        </is>
      </c>
      <c r="B101" t="inlineStr">
        <is>
          <t>Senior Software Engineer</t>
        </is>
      </c>
      <c r="C101" t="inlineStr">
        <is>
          <t>Empirx Health</t>
        </is>
      </c>
      <c r="D101" t="inlineStr">
        <is>
          <t>indeed</t>
        </is>
      </c>
      <c r="E101">
        <f>HYPERLINK("https://www.indeed.com/viewjob?jk=913c44fcb2a72042", "https://www.indeed.com/viewjob?jk=913c44fcb2a72042")</f>
        <v/>
      </c>
      <c r="F101">
        <f>HYPERLINK("https://workforcenow.adp.com/mascsr/default/mdf/recruitment/recruitment.html?cid=443e85e1-8bb3-4959-a05a-7e75939f9885&amp;ccId=9201285461928_3&amp;jobId=569552&amp;jwId=9201285461928_1&amp;source=IN&amp;lang=en_US", "https://workforcenow.adp.com/mascsr/default/mdf/recruitment/recruitment.html?cid=443e85e1-8bb3-4959-a05a-7e75939f9885&amp;ccId=9201285461928_3&amp;jobId=569552&amp;jwId=9201285461928_1&amp;source=IN&amp;lang=en_US")</f>
        <v/>
      </c>
      <c r="G101" t="inlineStr">
        <is>
          <t>US</t>
        </is>
      </c>
      <c r="H101" s="3" t="n">
        <v>46050</v>
      </c>
      <c r="I101" t="inlineStr">
        <is>
          <t>Senior Software Engineer
EmpiRx Health is the leading clinically\-driven pharmacy benefits management company. As the pioneer in value\-based pharmacy care, EmpiRx Health puts its customers and members first by enabling them to take control of their pharmacy benefits, healthcare outcomes, and financial results.  
We place more emphasis on member care than any other PBM by focusing on health outcomes first. Our pharmacists and clinicians are at the center of everything we do―and our population health solution delivers tailored strategies for our clients. Leveraging our newly launched, AI\-powered pharmacy care platform, Clinically*™*, EmpiRx Health’s pharmacists and client experience teams provide the highest quality pharmacy care to our clients and their members. This enables benefits plan sponsors to keep their members healthy, happy, and productive, while substantially reducing prescription drug spending, which has been on an explosive growth trajectory in recent years.  
The Senior Software Engineer is an experienced professional who participates in designing, developing, and maintaining EmpiRx Health’s products across front\-end, back\-end, and cloud platforms. This role applies Computer Science expertise, industry best practices, and healthcare domain knowledge to deliver high\-quality, scalable solutions. As part of a collaborative team, the engineer is responsible for coding, testing, and integrating web, mobile, and cloud systems to create innovative, well\-architected applications.
We are looking for someone who possesses the following qualities: **Key Responsibilities:** **Application Development*** Partner with product managers to understand business requirements and implement technical solutions.
* Collaborate with UX/UI designers to implement intuitive and accessible user interfaces.
* Develop, test, and maintain efficient, reusable, and reliable code using modern frameworks and languages.
* Participate in peer code reviews and provide constructive feedback.
* Optimize system performance, scalability, and reliability for post\-deployment.
* Work with SQL and cloud\-based storage solutions (e.g., Azure Blob Storage, Data Lake).
* Create and maintain unit tests and integration tests.
* Troubleshoot and resolve application issues.
* Identify and address technical debts part of ongoing development.
* **Design and Architecture**
* Contribute to architecture and design decisions under guidance from Principal engineer.
* Apply best practices for mobile, web, and backend systems.
* Design and consume RESTful APIs within microservices architecture.
* Create and maintain clear and accurate technical documentation.
* Stay informed about emerging technologies and industry best practices.
**Communication*** Communicate progress, risks, and blockers to team members and stakeholders.
* Collaborate effectively with cross\-functional teams.
* Use tools like Azure DevOps, Teams, and Lucid Chart for effective collaboration.
 **Required Qualifications \&amp; Experience:*** 5\+years in software engineering with a degree;8\+years without a degree.
* 3\+ years building web\-based applications.
* 1\+ year delivering software in the public cloud environments (Azure, AWS, GCP).
* Strong experience with modern frameworks (e.g. React, Angular, .NET Core) and proficiency in one or more languages (Java, C\#, Python).
* Familiarity with Agile methodologies (Scrum, Kanban).
* Experience with SQL and cloud data technologies.
* Exposure to DevOps practices, CI/CD pipelines, and automation.
* Understanding data security and compliance best practices.
* Strong analytical and problem\-solving skills.
* Excellent written and verbal communication skills.
 **Preferred:*** 2\+ years in PBM or healthcare working with HL7, FHIR, EDI, and PHI.
* Leverage AI Tools (GitHub Copilot, Amazon Q, Claude, etc.) to accelerate coding, testing, and debugging workflows.
* Experience migrating applications to the cloud and converting to microservices based architecture.
* Experience architecting and implementing AI\-powered features.
* Familiarity with Databricks (Data Pipelines / ETL, Delta Lake, Unity Catalog, Databricks SQL, ML flow, etc.).
* Experience with event\-driven architecture using Kafka, RabbitMQ, Azure Service Bus, or Azure Event Grid.
 **Work Environment:** Remote **Benefits And Perks**
Subject to program eligibility, this position qualifies for a robust suite of benefits including: Paid Time Off, a 401(k) program, Health Insurance including Dental \&amp; Vision coverage, Student Loan Reimbursement, Health Savings Account, and an Employee Assistance Program. **EmpiRx Health is an Equal Opportunity Employer**
At EmpiRx Health, we wholeheartedly embrace the power of diversity and the magic of inclusion. The kaleidoscope of unique perspectives, backgrounds, and talents fuels our innovation and sets us apart. We're on a mission to build a team as diverse as the world we serve, where everyone is welcome and celebrated. We're not just breaking down barriers; we're actively erasing them to create an environment where opportunity knows no bounds. In unity, we find our strength and invite individuals from all walks of life to join us in our exhilarating journey to shape a brighter, more inclusive future together.  
Note: This job description is a general outline of responsibilities and qualifications for the role. Additional duties may be assigned, and the position may evolve to meet the organization's needs.</t>
        </is>
      </c>
    </row>
    <row r="102">
      <c r="A102" t="inlineStr">
        <is>
          <t>in-dd2413e78e68d94e</t>
        </is>
      </c>
      <c r="B102" t="inlineStr">
        <is>
          <t>Principal Software Engineer</t>
        </is>
      </c>
      <c r="C102" t="inlineStr">
        <is>
          <t>Empirx Health</t>
        </is>
      </c>
      <c r="D102" t="inlineStr">
        <is>
          <t>indeed</t>
        </is>
      </c>
      <c r="E102">
        <f>HYPERLINK("https://www.indeed.com/viewjob?jk=dd2413e78e68d94e", "https://www.indeed.com/viewjob?jk=dd2413e78e68d94e")</f>
        <v/>
      </c>
      <c r="F102">
        <f>HYPERLINK("https://workforcenow.adp.com/mascsr/default/mdf/recruitment/recruitment.html?cid=443e85e1-8bb3-4959-a05a-7e75939f9885&amp;ccId=9201285461928_3&amp;jobId=569554&amp;jwId=9201285461928_1&amp;source=IN&amp;lang=en_US", "https://workforcenow.adp.com/mascsr/default/mdf/recruitment/recruitment.html?cid=443e85e1-8bb3-4959-a05a-7e75939f9885&amp;ccId=9201285461928_3&amp;jobId=569554&amp;jwId=9201285461928_1&amp;source=IN&amp;lang=en_US")</f>
        <v/>
      </c>
      <c r="G102" t="inlineStr">
        <is>
          <t>US</t>
        </is>
      </c>
      <c r="H102" s="3" t="n">
        <v>46050</v>
      </c>
      <c r="I102" t="inlineStr">
        <is>
          <t>Principal Software Engineer
EmpiRx Health is the leading clinically\-driven pharmacy benefits management company. As the pioneer in value\-based pharmacy care, EmpiRx Health puts its customers and members first by enabling them to take control of their pharmacy benefits, healthcare outcomes, and financial results.  
We place more emphasis on member care than any other PBM by focusing on health outcomes first. Our pharmacists and clinicians are at the center of everything we do―and our population health solution delivers tailored strategies for our clients. Leveraging our newly launched, AI\-powered pharmacy care platform, Clinically*™*, EmpiRx Health’s pharmacists and client experience teams provide the highest quality pharmacy care to our clients and their members. This enables benefits plan sponsors to keep their members healthy, happy, and productive, while substantially reducing prescription drug spending, which has been on an explosive growth trajectory in recent years.  
EmpiRx Health is in unprecedented growth, and we're seeking a highly skilled and experienced Principal Software Engineer. The Principal Software Engineer is an experienced professional who designs, develops, and maintains EmpiRx Health’s products across front\-end, back\-end, and cloud platforms. This role applies to deep Computer Science expertise, industry’s best practices, and healthcare domain knowledge to deliver high\-quality, scalable solutions. As part of a collaborative team, the engineer is responsible for coding, testing, and integrating web, mobile, and cloud systems to create innovative, well\-architected applications. **Key Responsibilities:** **Rece Application Development*** Partner with product managers to translate business requirements into technical solutions.
* Collaborate with UX/UI designers to implement intuitive and accessible user interfaces.
* Develop, test, and maintain efficient, reusable, and reliable code using modern frameworks and languages.
* Lead peer code reviews and provide constructive feedback.
* Optimize system performance, scalability, and reliability for post\-deployment.
* Work with SQL, Azure Data Lake, Blob Storage, Containers, and Lakehouse architecture.
* Create and maintain unit tests and integration tests.
* Troubleshoot and resolve application issues.
* Identify and address technical debt proactively.
* Mentor junior engineers and foster a culture of continuous learning.
 **Design and Architecture*** Provide technical leadership in architecture and design decisions.
* Balance ideal architecture with practical delivery timelines.
* Define best practices for mobile, web, and backend systems.
* Design and consume RESTful APIs within microservices architecture.
* Create and maintain clear and comprehensive technical designs.
* Stay current with emerging technologies and industry best practices and recommend improvements.
 **Communication*** Communicate project status, risks, and mitigation strategies to stakeholders.
* Act as a bridge between technical and non\-technical teams.
* Build strong relationships with product managers and cross\-functional partners.
* Use tools like AzureDevops, Teams, and Lucid Chart for effective collaboration.
 **Required Qualiﬁcations:*** 10\+years in software engineering with a degree; 16\+years without a degree.
* 6\+ years building web\-based applications.
* 2\+years delivering software in the public cloud environments (Azure, AWS, GCP).
* Proven experience leading engineering teams.
* Full\-stack experience with React\-Native and Angular with RESTful APIs.
* Strong background in agile methodologies (Scrum, Kanban).
* Demonstrable experience with Azure Data Lake technologies, preferably including Databricks.
* Expertise in Java, Python, C\# and. NET Core.
* Experience with DevOps, CI/CD, and automation.
* Knowledge of data security, HIPAA compliance, and SOC 2 best practices.
* Strong analytical and problem\-solving skills.
* Excellent written and verbal communication skills.
 **Preferred Qualiﬁcations:*** 2\+ years in PBM or health care working with HL7, FHIR, EDI, and PHI.
* Leverage AI Tools (GitHub Copilot, Amazon Q, Claude, etc.) to accelerate coding, testing, and debugging workflows.
* Experience migrating applications to the cloud and converting to microservices based architecture.
* Experience architecting and implementing AI\-powered features.
* Expertise in Databricks (Data Pipelines / ETL, Delta Lake, Unity Catalog, Databricks SQL, MLflow, etc.).
* Experience with event\-driven architecture using Kafka, RabbitMQ, Azure Service Bus, or Azure Event Grid.
 **Work Environment:** Remote **Benefits And Perks**
Subject to program eligibility, this position qualifies for a robust suite of benefits including: Paid Time Off, a 401(k) program, Health Insurance including Dental \&amp; Vision coverage, Student Loan Reimbursement, Health Savings Account, and an Employee Assistance Program. **EmpiRx Health is an Equal Opportunity Employer**
At EmpiRx Health, we wholeheartedly embrace the power of diversity and the magic of inclusion. The kaleidoscope of unique perspectives, backgrounds, and talents fuels our innovation and sets us apart. We're on a mission to build a team as diverse as the world we serve, where everyone is welcome and celebrated. We're not just breaking down barriers; we're actively erasing them to create an environment where opportunity knows no bounds. In unity, we find our strength and invite individuals from all walks of life to join us in our exhilarating journey to shape a brighter, more inclusive future together.  
Note: This job description is a general outline of responsibilities and qualifications for the role. Additional duties may be assigned, and the position may evolve to meet the organization's needs.</t>
        </is>
      </c>
    </row>
    <row r="103">
      <c r="A103" t="inlineStr">
        <is>
          <t>in-b027a7b8e49f84a4</t>
        </is>
      </c>
      <c r="B103" t="inlineStr">
        <is>
          <t>Sr Software Engineer in Test - Mobile</t>
        </is>
      </c>
      <c r="C103" t="inlineStr">
        <is>
          <t>PayPal</t>
        </is>
      </c>
      <c r="D103" t="inlineStr">
        <is>
          <t>indeed</t>
        </is>
      </c>
      <c r="E103">
        <f>HYPERLINK("https://www.indeed.com/viewjob?jk=b027a7b8e49f84a4", "https://www.indeed.com/viewjob?jk=b027a7b8e49f84a4")</f>
        <v/>
      </c>
      <c r="F103">
        <f>HYPERLINK("https://paypal.eightfold.ai/careers?domain=paypal.com&amp;sort_by=relevance&amp;query=R0134010", "https://paypal.eightfold.ai/careers?domain=paypal.com&amp;sort_by=relevance&amp;query=R0134010")</f>
        <v/>
      </c>
      <c r="G103" t="inlineStr">
        <is>
          <t>San Jose, CA, US</t>
        </is>
      </c>
      <c r="H103" s="3" t="n">
        <v>46050</v>
      </c>
      <c r="I10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We are looking for a skilled Software Development Engineer in Test (SDET) with expertise in Android and iOS mobile app testing and automation. The ideal candidate will design, develop, and maintain automated test frameworks, ensuring high\-quality and reliable mobile applications. This role involves close collaboration with developers, product managers, and QA teams to identify and resolve issues early in the development lifecycle. Come join our team!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**What you will do**  
Develop and maintain automated test scripts for Android and iOS applications.  
* Build and optimize mobile testing frameworks and CI/CD pipelines.
* Perform functional, regression, and performance testing using automation tools.
* Identify, analyze, and report bugs, ensuring comprehensive test coverage.
* Collaborate with cross\-functional teams to define quality standards and best practices.
**About you*** Proven experience in mobile app automation for Android and iOS platforms.
* Proficiency in testing frameworks like Appium, Espresso, and XCTest.
* Strong programming skills in Python, NodeJS, Kotlin, or Swift.
* Familiarity with CI/CD tools such as Jenkins, GitHub Actions, or similar.
* Excellent problem\-solving and communication skills.
The base pay for this role will depend on where you work and the relevant experience and expertise you bring. The expected range of pay for this role by location is:
Primary Location \| Pay Range:
San Jose, California \| ($143,500 \- $212,850\)
Additional compensation for this role may include an annual performance bonus, equity, or other incentive compensation, as applicable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04">
      <c r="A104" t="inlineStr">
        <is>
          <t>in-69fbce490a89ad04</t>
        </is>
      </c>
      <c r="B104" t="inlineStr">
        <is>
          <t>Director, Software Engineering (Card Technology)</t>
        </is>
      </c>
      <c r="C104" t="inlineStr">
        <is>
          <t>Information Technology Senior Management Forum</t>
        </is>
      </c>
      <c r="D104" t="inlineStr">
        <is>
          <t>indeed</t>
        </is>
      </c>
      <c r="E104">
        <f>HYPERLINK("https://www.indeed.com/viewjob?jk=69fbce490a89ad04", "https://www.indeed.com/viewjob?jk=69fbce490a89ad04")</f>
        <v/>
      </c>
      <c r="F104">
        <f>HYPERLINK("https://jobs.itsmfleaders.org/job/4lkl5v/director-software-engineering-(card-technology)/richmond/va", "https://jobs.itsmfleaders.org/job/4lkl5v/director-software-engineering-(card-technology)/richmond/va")</f>
        <v/>
      </c>
      <c r="G104" t="inlineStr">
        <is>
          <t>Richmond, VA, US</t>
        </is>
      </c>
      <c r="H104" s="3" t="n">
        <v>46050</v>
      </c>
      <c r="I104" t="inlineStr">
        <is>
          <t>Posted Date
1/29/2026
Description
Director, Software Engineering (Card Technology)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1\+ years of experience with IVR (Interactive Voice Response)
* 1\+ years of experience with Conversational AI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(Card Technology)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1\+ years of experience with IVR (Interactive Voice Response)
* 1\+ years of experience with Conversational AI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105">
      <c r="A105" t="inlineStr">
        <is>
          <t>in-28642f1f0f1dd6f9</t>
        </is>
      </c>
      <c r="B105" t="inlineStr">
        <is>
          <t>Senior Manager, Software Engineering, Full Stack Enterprise Website - Capital One Software (Remote)</t>
        </is>
      </c>
      <c r="C105" t="inlineStr">
        <is>
          <t>Information Technology Senior Management Forum</t>
        </is>
      </c>
      <c r="D105" t="inlineStr">
        <is>
          <t>indeed</t>
        </is>
      </c>
      <c r="E105">
        <f>HYPERLINK("https://www.indeed.com/viewjob?jk=28642f1f0f1dd6f9", "https://www.indeed.com/viewjob?jk=28642f1f0f1dd6f9")</f>
        <v/>
      </c>
      <c r="F105">
        <f>HYPERLINK("https://jobs.itsmfleaders.org/job/mv8ejr/senior-manager-software-engineering-full-stack-enterprise-website-capital-one-software-(remote)/richmond/va", "https://jobs.itsmfleaders.org/job/mv8ejr/senior-manager-software-engineering-full-stack-enterprise-website-capital-one-software-(remote)/richmond/va")</f>
        <v/>
      </c>
      <c r="G105" t="inlineStr">
        <is>
          <t>Richmond, VA, US</t>
        </is>
      </c>
      <c r="H105" s="3" t="n">
        <v>46050</v>
      </c>
      <c r="I105" t="inlineStr">
        <is>
          <t>Posted Date
1/29/2026
Description
Senior Manager, Software Engineering, Full Stack Enterprise Website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Manager, you’ll have the opportunity to be on the forefront of building this business and bring these tools to market.
 **What You’ll Do:**
* Lead a team of developers with deep experience in distributed microservices and full stack systems to develop, launch, and manage a B2B enterprise website.
* Perform web development on Front End Applications leveraging a test\-driven development pattern.
* Own the technical design and development of cross\-functional, multi\-platform application systems to create a single, cohesive digital customer experience in collaboration with partner product teams.
* Share your passion for staying on top of tech trends, experimenting with and learning new technologies, participating in internal \&amp; external technology communities, and mentoring other members of the engineering community.
* Collaborate with digital product managers, UX designers, and content strategists to deliver robust, cloud\-based digital experiences that drive traffic, engagement, and sales pipeline.
* Utilize programming languages like JavaScript (Angular, React, Node), HTML/CSS, TypeScript and Java, Tailwind CSS, Next.js, open source frameworks, RESTful web services, and work on cross\-browser and cross\-device development.
* Managing and securing website infrastructures with integrated marketing automation, CRM, analytics, and experiential platforms.
 **Basic Qualifications:**
* Bachelor’s Degree
* At least 6 years of experience in software engineering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Enterprise Website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Senior Manager, you’ll have the opportunity to be on the forefront of building this business and bring these tools to market.
 **What You’ll Do:**
* Lead a team of developers with deep experience in distributed microservices and full stack systems to develop, launch, and manage a B2B enterprise website.
* Perform web development on Front End Applications leveraging a test\-driven development pattern.
* Own the technical design and development of cross\-functional, multi\-platform application systems to create a single, cohesive digital customer experience in collaboration with partner product teams.
* Share your passion for staying on top of tech trends, experimenting with and learning new technologies, participating in internal \&amp; external technology communities, and mentoring other members of the engineering community.
* Collaborate with digital product managers, UX designers, and content strategists to deliver robust, cloud\-based digital experiences that drive traffic, engagement, and sales pipeline.
* Utilize programming languages like JavaScript (Angular, React, Node), HTML/CSS, TypeScript and Java, Tailwind CSS, Next.js, open source frameworks, RESTful web services, and work on cross\-browser and cross\-device development.
* Managing and securing website infrastructures with integrated marketing automation, CRM, analytics, and experiential platforms.
 **Basic Qualifications:**
* Bachelor’s Degree
* At least 6 years of experience in software engineering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06">
      <c r="A106" t="inlineStr">
        <is>
          <t>in-04572a98fcfd966e</t>
        </is>
      </c>
      <c r="B106" t="inlineStr">
        <is>
          <t>Senior Manager, Software Engineering- Full Stack</t>
        </is>
      </c>
      <c r="C106" t="inlineStr">
        <is>
          <t>Information Technology Senior Management Forum</t>
        </is>
      </c>
      <c r="D106" t="inlineStr">
        <is>
          <t>indeed</t>
        </is>
      </c>
      <c r="E106">
        <f>HYPERLINK("https://www.indeed.com/viewjob?jk=04572a98fcfd966e", "https://www.indeed.com/viewjob?jk=04572a98fcfd966e")</f>
        <v/>
      </c>
      <c r="F106">
        <f>HYPERLINK("https://jobs.itsmfleaders.org/job/rjnmnq/senior-manager-software-engineering-full-stack/plano/tx", "https://jobs.itsmfleaders.org/job/rjnmnq/senior-manager-software-engineering-full-stack/plano/tx")</f>
        <v/>
      </c>
      <c r="G106" t="inlineStr">
        <is>
          <t>Plano, TX, US</t>
        </is>
      </c>
      <c r="H106" s="3" t="n">
        <v>46050</v>
      </c>
      <c r="I106" t="inlineStr">
        <is>
          <t>Posted Date
1/29/2026
Description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07">
      <c r="A107" t="inlineStr">
        <is>
          <t>in-e1adfd014037bb3a</t>
        </is>
      </c>
      <c r="B107" t="inlineStr">
        <is>
          <t>Senior Software Engineer</t>
        </is>
      </c>
      <c r="C107" t="inlineStr">
        <is>
          <t>Information Technology Senior Management Forum</t>
        </is>
      </c>
      <c r="D107" t="inlineStr">
        <is>
          <t>indeed</t>
        </is>
      </c>
      <c r="E107">
        <f>HYPERLINK("https://www.indeed.com/viewjob?jk=e1adfd014037bb3a", "https://www.indeed.com/viewjob?jk=e1adfd014037bb3a")</f>
        <v/>
      </c>
      <c r="F107">
        <f>HYPERLINK("https://jobs.itsmfleaders.org/job/9k4h4u/senior-software-engineer/mclean/va", "https://jobs.itsmfleaders.org/job/9k4h4u/senior-software-engineer/mclean/va")</f>
        <v/>
      </c>
      <c r="G107" t="inlineStr">
        <is>
          <t>McLean, VA, US</t>
        </is>
      </c>
      <c r="H107" s="3" t="n">
        <v>46050</v>
      </c>
      <c r="I107" t="inlineStr">
        <is>
          <t>Posted Date
1/29/2026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**2\+ years of experience with Angular or React**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**2\+ years of experience with Angular or React**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08">
      <c r="A108" t="inlineStr">
        <is>
          <t>in-a4ef446e753958c9</t>
        </is>
      </c>
      <c r="B108" t="inlineStr">
        <is>
          <t>Senior Backend Embedded Software Engineer</t>
        </is>
      </c>
      <c r="C108" t="inlineStr">
        <is>
          <t>Caterpillar</t>
        </is>
      </c>
      <c r="D108" t="inlineStr">
        <is>
          <t>indeed</t>
        </is>
      </c>
      <c r="E108">
        <f>HYPERLINK("https://www.indeed.com/viewjob?jk=a4ef446e753958c9", "https://www.indeed.com/viewjob?jk=a4ef446e753958c9")</f>
        <v/>
      </c>
      <c r="F108">
        <f>HYPERLINK("https://careers.caterpillar.com/en/jobs/r0000346892/senior-backend-embedded-software-engineer/", "https://careers.caterpillar.com/en/jobs/r0000346892/senior-backend-embedded-software-engineer/")</f>
        <v/>
      </c>
      <c r="G108" t="inlineStr">
        <is>
          <t>Mossville, IL, US</t>
        </is>
      </c>
      <c r="H108" s="3" t="n">
        <v>46050</v>
      </c>
      <c r="I108"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*Technology is a competitive differentiator. We collaborate with partners across the enterprise to advance technologies including autonomy and automation, which helps enhance site safety, productivity and efficiency across customer operations worldwide.*
*Our focus isn’t just on what we build, but how we build it. We scale technology solutions across the business. We spearhead product development tools and processes. We collaborate with our partners to provide a seamless experience for our customers. We are obsessed with speed, simplicity and customer outcomes.*
*Cat Technology also owns enterprise\-wide initiatives in innovation, research and development, manufacturing automation and advanced materials, ensuring Caterpillar continues to lead the industry in technological excellence and engineering innovation.*
**Job Summary:**  
Develop, design, implement, and test software for Linux\-based Gen 7 Displays, ensuring system efficiency and stability.
 **What You Will Do:**
* Gather and analyze user/client requirements to create Software Requirements Specification (SRS) documents.
* Write and implement source code in C\+\+ for embedded systems.
* Test and debug embedded system software using various tools and methods to enhance code quality and optimize system performance.
* Collaborate with cross\-functional teams.
 **Degree Requirement**  
Bachelor's degree in Computer Science, Electrical Engineering, Computer Engineering, or an equivalent field.  
**What You Will Have:**
* **Software Development:** Knowledge of software development tools and activities; ability to produce software products or systems in line with product requirements.
* **Analytical Thinking:** Knowledge of techniques and tools that promote effective analysis; ability to determine the root cause of organizational problems and create alternative solutions that resolve these problems.
* **Effective Communications:** Understanding of effective communication concepts, tools and techniques; ability to effectively transmit, receive, and accurately interpret ideas, information, and needs through the application of appropriate communication behaviors.
* **Teamwork:** Knowledge of the necessity and value of teamwork; experience with; ability to work cooperatively towards shared goals and being supportive of others at all levels.
* **Technical Excellence:** Knowledge of a given technology and various application methods; ability to develop and provide solutions to significant technical challenges.
* **Requirements Analysis:** Knowledge of tools, methods, and techniques of requirement analysis; ability to elicit, analyze and record required business functionality and non\-functionality requirements to ensure the success of a system or software development project.
* **Technical Troubleshooting:** Knowledge of technical troubleshooting approaches, tools and techniques; ability to anticipate, recognize, and resolve technical issues on hardware, software, application or operation
* **System Testing:** Experienced in supporting the project leader in developing and executing system test plans. Evaluate system documentation and user manuals for usability, accuracy, and completeness. Evaluate system documentation and user manuals for usability, accuracy, and completeness. Test system components for compliance with functional requirement and drive testing a system's ability to recover from hardware or software failures.
**Considerations For Top Candidates:**
* Extensive experience in C\+\+ within a Linux environment, working in an agile framework, and collaborating with global teams.
* Proficiency in GIT, CAN/J1939, CANoe, Ethernet, Embedded Systems, and Domain Controllers. Also Docker, Lauterbach, SonarQube, Design Patterns, CI/CD, Jenkins
* Has knowledge of working with Open Source libraries
* Ability to interpret functional and technical requirements.
* Participation in technical and code reviews.
* Ability to lead global team and is proficient in project management as Product Owner
* Preferred candidates will have knowledge of Angular, TypeScript, Figma, and Playwright.
**Summary Pay Range:**
$112,710\.00 \- $169,060\.00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available for eligible applicants.**Posting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09">
      <c r="A109" t="inlineStr">
        <is>
          <t>in-6553b9e271bad187</t>
        </is>
      </c>
      <c r="B109" t="inlineStr">
        <is>
          <t>Senior Software Engineer</t>
        </is>
      </c>
      <c r="C109" t="inlineStr">
        <is>
          <t>Information Technology Senior Management Forum</t>
        </is>
      </c>
      <c r="D109" t="inlineStr">
        <is>
          <t>indeed</t>
        </is>
      </c>
      <c r="E109">
        <f>HYPERLINK("https://www.indeed.com/viewjob?jk=6553b9e271bad187", "https://www.indeed.com/viewjob?jk=6553b9e271bad187")</f>
        <v/>
      </c>
      <c r="F109">
        <f>HYPERLINK("https://jobs.itsmfleaders.org/job/gr5hsh/senior-software-engineer/plano/tx", "https://jobs.itsmfleaders.org/job/gr5hsh/senior-software-engineer/plano/tx")</f>
        <v/>
      </c>
      <c r="G109" t="inlineStr">
        <is>
          <t>Plano, TX, US</t>
        </is>
      </c>
      <c r="H109" s="3" t="n">
        <v>46049</v>
      </c>
      <c r="I109" t="inlineStr">
        <is>
          <t>Posted Date
1/28/2026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10">
      <c r="A110" t="inlineStr">
        <is>
          <t>in-5f4c2efb605b1f6c</t>
        </is>
      </c>
      <c r="B110" t="inlineStr">
        <is>
          <t>Senior Software Engineer</t>
        </is>
      </c>
      <c r="C110" t="inlineStr">
        <is>
          <t>Information Technology Senior Management Forum</t>
        </is>
      </c>
      <c r="D110" t="inlineStr">
        <is>
          <t>indeed</t>
        </is>
      </c>
      <c r="E110">
        <f>HYPERLINK("https://www.indeed.com/viewjob?jk=5f4c2efb605b1f6c", "https://www.indeed.com/viewjob?jk=5f4c2efb605b1f6c")</f>
        <v/>
      </c>
      <c r="F110">
        <f>HYPERLINK("https://jobs.itsmfleaders.org/job/qtmnyw/senior-software-engineer/plano/tx", "https://jobs.itsmfleaders.org/job/qtmnyw/senior-software-engineer/plano/tx")</f>
        <v/>
      </c>
      <c r="G110" t="inlineStr">
        <is>
          <t>Plano, TX, US</t>
        </is>
      </c>
      <c r="H110" s="3" t="n">
        <v>46049</v>
      </c>
      <c r="I110" t="inlineStr">
        <is>
          <t>Posted Date
1/28/2026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11">
      <c r="A111" t="inlineStr">
        <is>
          <t>in-c5d0d8ca4820266d</t>
        </is>
      </c>
      <c r="B111" t="inlineStr">
        <is>
          <t>Senior Software Engineer, Backend</t>
        </is>
      </c>
      <c r="C111" t="inlineStr">
        <is>
          <t>Information Technology Senior Management Forum</t>
        </is>
      </c>
      <c r="D111" t="inlineStr">
        <is>
          <t>indeed</t>
        </is>
      </c>
      <c r="E111">
        <f>HYPERLINK("https://www.indeed.com/viewjob?jk=c5d0d8ca4820266d", "https://www.indeed.com/viewjob?jk=c5d0d8ca4820266d")</f>
        <v/>
      </c>
      <c r="F111">
        <f>HYPERLINK("https://jobs.itsmfleaders.org/job/lutmq3/senior-software-engineer-backend/plano/tx", "https://jobs.itsmfleaders.org/job/lutmq3/senior-software-engineer-backend/plano/tx")</f>
        <v/>
      </c>
      <c r="G111" t="inlineStr">
        <is>
          <t>Plano, TX, US</t>
        </is>
      </c>
      <c r="H111" s="3" t="n">
        <v>46049</v>
      </c>
      <c r="I111" t="inlineStr">
        <is>
          <t>Posted Date
1/28/2026
Description
Senior Software Engineer, Backend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12">
      <c r="A112" t="inlineStr">
        <is>
          <t>in-8b4faf2ce5fa3cb8</t>
        </is>
      </c>
      <c r="B112" t="inlineStr">
        <is>
          <t>Principal Software Engineer</t>
        </is>
      </c>
      <c r="C112" t="inlineStr">
        <is>
          <t>Ally Financial</t>
        </is>
      </c>
      <c r="D112" t="inlineStr">
        <is>
          <t>indeed</t>
        </is>
      </c>
      <c r="E112">
        <f>HYPERLINK("https://www.indeed.com/viewjob?jk=8b4faf2ce5fa3cb8", "https://www.indeed.com/viewjob?jk=8b4faf2ce5fa3cb8")</f>
        <v/>
      </c>
      <c r="F112">
        <f>HYPERLINK("https://ally.avature.net/careers/JobDetail/Principal-Software-Engineer/15781", "https://ally.avature.net/careers/JobDetail/Principal-Software-Engineer/15781")</f>
        <v/>
      </c>
      <c r="G112" t="inlineStr">
        <is>
          <t>Charlotte, NC, US</t>
        </is>
      </c>
      <c r="H112" s="3" t="n">
        <v>46043</v>
      </c>
      <c r="I112" t="inlineStr">
        <is>
          <t>### **General information**
Career area
Technology
Work Location(s)
601 S. Tryon Street, NC
Remote?
No
Ref \#
21548
Posted Date
01\-22\-26
Working time
Full time
### **Ally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 **The Opportunity**
Ally is seeking a Principal backend engineer to help develop software applications supporting Brokerage line of business. This role would be responsible for developing IT solutions that are critical for trading functions. The ideal candidate will have experience working on multiple programming languages along with Cloud technologies. Candidates should have experience with AWS, Java and C\# skills as well as experience with the .Net Framework. Experience in financial technology is preferred, but not required.  
At this time, Ally will not sponsor a new applicant for employment authorization for this position.
### **The Work Itself**
* Collaborate with other developers as a member of an Agile \[Scrum/Kanban] team and provide significant contributions to iterative rapid feature development cycles.
* Use technical knowledge, creativity and company practices and priorities to create solutions to complex business problems.
* Maintain code solutions using Git version control and CI/CD best practices.
* Work with Product Owner to understand business requirements and translate into technical implementation strategies.
* Partner with QA Analysts to ensure quality code is promoted to test environments
* Participate in Agile ceremonies, including daily stand ups, sprint review demonstrations, sprint planning sessions, retrospectives, etc.
* Liaison between product, architecture, and development team members.
* Works directly with product owners to ensure stories contain the right balance of technical direction, best practices, and level of detail.
* Coordinates projects with Engineering and Operations team to reduce impact on application development teams, including build\-out of new development environments.
* Drives continuous improvement through coaching, pair programming, code review processes, and round table discussions.
* Instills strong focus and best practices for creation and maintenance of high\-quality deliverables.
* Communicates effectively with senior leadership and other development teams.
### **The Skills You Bring**
**Required:**
* Bachelors degree in Computer Science, Engineering or a related subject preferred.
* 5\+ years of experience as a backend developer required.
* Proficiency in programming languages Java, C\# along with cloud technology AWS, and DevOps tools Terraform and Gitlab required.
* 2 years of experience serving as a technical lead and work with other team members required.
* 2 years of experience working in an Agile setting with other developers, QA, Scrum Masters and Product Owners required.
* Experience using Relational and/or NoSQL Databases preferred.
* Ability to supervise junior developers and make personnel decisions.
* Ability to manage multiple sophisticated software development projects.
* Ability to debug complex applications during Production Incident triage.
* Knowledge of all phases of software development including design, coding, testing, debugging, implementation, and support.
* Ability to effectively communicate software development issues and recommendations to senior level management within and outside of IT.
* Experience developing code according to acceptance criteria in user stories.
* Ability to debug existing code base and propose viable resolutions.
* Ability to thoroughly understand the business issues surrounding each project.
* Experience with standard change management tools and processes.
###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$110000 \- $180000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113">
      <c r="A113" t="inlineStr">
        <is>
          <t>in-dc9ec687bee1561b</t>
        </is>
      </c>
      <c r="B113" t="inlineStr">
        <is>
          <t>Software Developer</t>
        </is>
      </c>
      <c r="C113" t="inlineStr">
        <is>
          <t>Fox Corporation</t>
        </is>
      </c>
      <c r="D113" t="inlineStr">
        <is>
          <t>indeed</t>
        </is>
      </c>
      <c r="E113">
        <f>HYPERLINK("https://www.indeed.com/viewjob?jk=dc9ec687bee1561b", "https://www.indeed.com/viewjob?jk=dc9ec687bee1561b")</f>
        <v/>
      </c>
      <c r="F113">
        <f>HYPERLINK("https://fox.wd1.myworkdayjobs.com/en-US/Domestic/job/Los-Angeles-California-USA/Sodyware-Developer_R50031281", "https://fox.wd1.myworkdayjobs.com/en-US/Domestic/job/Los-Angeles-California-USA/Sodyware-Developer_R50031281")</f>
        <v/>
      </c>
      <c r="G113" t="inlineStr">
        <is>
          <t>Los Angeles, CA, US</t>
        </is>
      </c>
      <c r="H113" s="3" t="n">
        <v>46050</v>
      </c>
      <c r="I113"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Job Duties:
As part of FOX’s Data Platform team, Fox Cable Network Services, LLC seeks a Software Developer (Senior Data Platform Engineer) to play a key role in envisioning, implementing, and evangelizing new features, pipelines, and platforms that not only delivery data, but insight. Play an essential role in assessing the most impactful data needs throughout the business and lead the charge in identifying automated solutions that help bring data to life. Specific duties include: 1\) Execute FOX Data platform engineering roadmap aligning with product, engineering, platform, data science teams. 2\) Lead and elevate team members with the ability to get the best out of them and build strong engagement and grow their careers. 3\) Build partnerships with cross\-functional teams to have better collaboration with engineering, product, data science and scrum masters. 4\) Identify the data needed for FOX business problems and implement data observability, ensure quality, ETL completeness and availability of data, with proactive altering solutions. 5\) Build data products, features, tools, and frameworks that enable and empower data engineering and analytics teams across FOX with its data. Discern appreciation of best practices in designing data lakes/lake houses as well as mentor junior members and be involved in peer review and recommendation. Telecommuting is permitted up to 50%/week within normal commuting distance of Fox office in Los Angeles, CA.
Job Requirements:
Requires a Bachelor’s degree in Computer Science, Computer Engineering, Information Systems, Engineering or related field, plus five (5\) years of progressive, post\-baccalaureate experience in data platform engineering or related data engineering experience, including experience in delivering high quality, production ready code; SQL, T\-SQL, PostgreSQL; and relational and multi\-dimensional databases* Specific skills: Also requires experience or knowledge in the following: 1\) AWS security services including KMS, Parameter Stores and Secret Managers; 2\) AWS analytical tech stack and services such as Glue, Athena and Lake Formation; 3\) CI/CD, GitHub, Terraform and CloudFormation or CDK; 4\) Blue/green deployment for Lambda and microservices; 5\) Elastic Containers and Elastic Container Services; 6\) Distributed data architectures and big data processing technologies such as Spark, EMR, Hadoop and Hive; and 7\) Python or similar scripting language
* Any level of experience or knowledge in the specific skills is acceptable.
Telecommuting is permitted up to 50%/week within normal commuting distance of Fox office in Los Angeles, CA.
\#LI\-DNI*We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$184,558\.00\-203,013\.00 annually.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114">
      <c r="A114" t="inlineStr">
        <is>
          <t>in-088de16ef7502622</t>
        </is>
      </c>
      <c r="B114" t="inlineStr">
        <is>
          <t>Senior Software Engineer, Twitch</t>
        </is>
      </c>
      <c r="C114" t="inlineStr">
        <is>
          <t>Amazon.com</t>
        </is>
      </c>
      <c r="D114" t="inlineStr">
        <is>
          <t>indeed</t>
        </is>
      </c>
      <c r="E114">
        <f>HYPERLINK("https://www.indeed.com/viewjob?jk=088de16ef7502622", "https://www.indeed.com/viewjob?jk=088de16ef7502622")</f>
        <v/>
      </c>
      <c r="F114">
        <f>HYPERLINK("https://www.amazon.jobs/jobs/3138042/senior-software-engineer-twitch?cmpid=DA_INAD200785B", "https://www.amazon.jobs/jobs/3138042/senior-software-engineer-twitch?cmpid=DA_INAD200785B")</f>
        <v/>
      </c>
      <c r="G114" t="inlineStr">
        <is>
          <t>San Francisco, CA, US</t>
        </is>
      </c>
      <c r="H114" s="3" t="n">
        <v>45995</v>
      </c>
      <c r="I1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in-5ba550046f2af2ef</t>
        </is>
      </c>
      <c r="B115" t="inlineStr">
        <is>
          <t>Senior Software Engineer, Twitch</t>
        </is>
      </c>
      <c r="C115" t="inlineStr">
        <is>
          <t>Amazon.com</t>
        </is>
      </c>
      <c r="D115" t="inlineStr">
        <is>
          <t>indeed</t>
        </is>
      </c>
      <c r="E115">
        <f>HYPERLINK("https://www.indeed.com/viewjob?jk=5ba550046f2af2ef", "https://www.indeed.com/viewjob?jk=5ba550046f2af2ef")</f>
        <v/>
      </c>
      <c r="F115">
        <f>HYPERLINK("https://www.amazon.jobs/jobs/3138042/senior-software-engineer-twitch?cmpid=DA_INAD200785B", "https://www.amazon.jobs/jobs/3138042/senior-software-engineer-twitch?cmpid=DA_INAD200785B")</f>
        <v/>
      </c>
      <c r="G115" t="inlineStr">
        <is>
          <t>Seattle, WA, US</t>
        </is>
      </c>
      <c r="H115" s="3" t="n">
        <v>45995</v>
      </c>
      <c r="I1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in-bdea777f476d70d6</t>
        </is>
      </c>
      <c r="B116" t="inlineStr">
        <is>
          <t>Staff Software Engineer</t>
        </is>
      </c>
      <c r="C116" t="inlineStr">
        <is>
          <t>Intuit</t>
        </is>
      </c>
      <c r="D116" t="inlineStr">
        <is>
          <t>indeed</t>
        </is>
      </c>
      <c r="E116">
        <f>HYPERLINK("https://www.indeed.com/viewjob?jk=bdea777f476d70d6", "https://www.indeed.com/viewjob?jk=bdea777f476d70d6")</f>
        <v/>
      </c>
      <c r="F116">
        <f>HYPERLINK("https://dsp.prng.co/Kruu_ob", "https://dsp.prng.co/Kruu_ob")</f>
        <v/>
      </c>
      <c r="G116" t="inlineStr">
        <is>
          <t>Mountain View, CA, US</t>
        </is>
      </c>
      <c r="H116" s="3" t="n">
        <v>46050</v>
      </c>
      <c r="I116" t="inlineStr">
        <is>
          <t>**Overview**
------------
Come join the QuickBooks Online team in the Small Business AI Group at Intuit to help us manage \&amp; scale our flagship products to accelerate agentic AI journey. We are looking for a passionate engineer with experience in AI, engineering and other Cloud Native compute technologies. This position will be responsible for designing, developing, building, integrating, delivering AI experiences for small businesses around the world. **Responsibilities**
* 8\+ years experience designing and developing web applications
* 3\+ years experience building and operating public cloud infrastructure solutions, AWS preferred.
* BS/MS in computer science or equivalent work experience.
* Expertise with Java, Kotlin, Python, Kubernetes, Docker, Jenkins, Maven/Gradle
* Full\-stack development experience with AI technologies/tools and apply it to user experiences or backend solutions.
* Experience with AI technologies like SageMaker, Vert.x, LangChain, Large Language Models, Prompt Engineering, DialogFlow, Python, Agentic AI, Vector Search
* Expertise with AWS, Oracle, PostgreSQL, DynamoDB, REST, GraphQL.
* Hands on experience with Amazon web services: EC2, OpenSearch (or ElasticSearch), Aurora PostgreSQL, CloudWatch, CloudFormation, Apache Flink or Apache Spark
* Operational excellence: minimize costs and maximize uptime/availability
* Excellent communication skills: demonstrated ability to explain complex technical topics in an engaging way to both technical and non\-technical audiences, both written and verbally
* Strong leadership experience: leading meetings, driving small teams, providing technical customer support, coordinating cross\-functional alignment, evangelizing vision, building an inclusive and high\-performance culture, attracting and retaining key talent
* Strategic mindset: influences the team and platform’s short and long\-term strategy for maximum business impact
* Driven, motivated team player with a Get Stuff Done mentality!
 **Qualifications**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Knowledge of building AI native applications
* Passionate for continuous learning, experimenting, and applying cutting\-edge technology and software paradigms to solve customer problems
* Roughly 75% hands\-on coding
* Guides the applicability of AI to customer problems through a deep understanding of the value and limitations of AI technologies.
* Generate technical documentation and presentations to communicate architectural and design options, and educate development teams and business users
* Resolve defects/bugs during QA testing, pre\-production, production, and post\-release patches
* Work cross\-functionally with various Intuit teams including: product management, analysts, data scientists, and data infrastructure
* Attend on\-call rotations, resolve incidents and use the learnings to improve overall application design
* Conduct design and code reviews \- create technical documentation
* Estimate and sequence of individual activities as inputs to project plans
* Analyze and synthesize a variety of inputs to create software and services.
* Identify dependencies as inputs to project plans
* Collaborates effectively with peer engineers and architects to solve complex problems spanning their respective areas to deliver end\-to\-end quality in our technology and customer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17">
      <c r="A117" t="inlineStr">
        <is>
          <t>in-a6753b0b139de9a1</t>
        </is>
      </c>
      <c r="B117" t="inlineStr">
        <is>
          <t>Lead Software Engineer, Gen AI</t>
        </is>
      </c>
      <c r="C117" t="inlineStr">
        <is>
          <t>Caterpillar</t>
        </is>
      </c>
      <c r="D117" t="inlineStr">
        <is>
          <t>indeed</t>
        </is>
      </c>
      <c r="E117">
        <f>HYPERLINK("https://www.indeed.com/viewjob?jk=a6753b0b139de9a1", "https://www.indeed.com/viewjob?jk=a6753b0b139de9a1")</f>
        <v/>
      </c>
      <c r="F117">
        <f>HYPERLINK("https://careers.caterpillar.com/en/jobs/r0000346723/lead-software-engineer-gen-ai/", "https://careers.caterpillar.com/en/jobs/r0000346723/lead-software-engineer-gen-ai/")</f>
        <v/>
      </c>
      <c r="G117" t="inlineStr">
        <is>
          <t>Chicago, IL, US</t>
        </is>
      </c>
      <c r="H117" s="3" t="n">
        <v>46050</v>
      </c>
      <c r="I11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Lead Software Engineer you will work on Generative AI projects focused building assistants, agents, GenAI tooling and software. Join our innovative team and contribute to the development of cutting\-edge AI solutions at Cat Digital.
**What You Will Do:**
* Develop and deploy Gen AI solutions utilizing Python and OOP principles.
* Implement and manage CI/CD pipelines using GitHub Actions.
* Deploy solutions on AWS using CloudFormation.
* Work with frameworks such as LangChain, LangGraph, Semantic Kernel, and Crew.ai.
* Apply knowledge of Large Language Models (LLMs) and Prompt Engineering concepts.
* Develop and deploy services using FastAPI on AWS.
* Collaborate with data scientists to refactor analytics solutions for production, ensuring scalability and efficiency.
* Assist in the development of machine learning and AI pipelines using Apache Airflow.
**What You Will Have:**
* **Software Development:** Knowledge of software development tools and activities; ability to produce software products or systems in line with product requirements.
* **Software Development Life Cycle:** Knowledge of software development life cycle; ability to use a structured methodology for delivering and managing new or enhanced software products to the marketplace.
* **Software Product Design/Architecture:** Knowledge of software product design; ability to convert market requirements into the software product design.
* **Software Product Technical Knowledge:** Knowledge of technical aspects of a software products; ability to design, configure and integrate technical aspects of software products.
* **Software Product Testing:** Knowledge of software product testing; ability to design, plan, and execute testing strategies and tactics to ensure software product quality and adherence to stated requirements.
**Top Candidates Will Also Have:**
* As technical lead you will have the ability to manage larger and more complex projects.
* Software development experience and solid working knowledge of OOP principles
* Experience in designing and developing software applications in Python and/or GoLang
* Experience with Python libraries such as FastAPI, LangGraph, and LangChain
* Experience working with Git version control on medium to large teams
* Exceptional communication skills with experience working on a cross functional team
* Deploying software using GitHub Actions or similar
* Experience with AWS components such as Sagemaker Studio, Lambda, API Gateway, and RDS
* Technical writing skills
**Additional Details:**
* This position has the option to be based out of either our Chicago, IL; Peoria, IL; or Irving, TX (Dallas) offices
* Relocation Assistance is NOT available for this role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January 29,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18">
      <c r="A118" t="inlineStr">
        <is>
          <t>in-6ea898beb1d93c6e</t>
        </is>
      </c>
      <c r="B118" t="inlineStr">
        <is>
          <t>Sr. Backend Engineer - AI Services (Remote)</t>
        </is>
      </c>
      <c r="C118" t="inlineStr">
        <is>
          <t>Tealium</t>
        </is>
      </c>
      <c r="D118" t="inlineStr">
        <is>
          <t>indeed</t>
        </is>
      </c>
      <c r="E118">
        <f>HYPERLINK("https://www.indeed.com/viewjob?jk=6ea898beb1d93c6e", "https://www.indeed.com/viewjob?jk=6ea898beb1d93c6e")</f>
        <v/>
      </c>
      <c r="F118">
        <f>HYPERLINK("https://tealium.wd1.myworkdayjobs.com/en-US/Careers/job/Remote-USA/Sr-Backend-Engineer---AI-Services--Remote-_", "https://tealium.wd1.myworkdayjobs.com/en-US/Careers/job/Remote-USA/Sr-Backend-Engineer---AI-Services--Remote-_")</f>
        <v/>
      </c>
      <c r="G118" t="inlineStr">
        <is>
          <t>Remote, US</t>
        </is>
      </c>
      <c r="H118" s="3" t="n">
        <v>46050</v>
      </c>
      <c r="I118" t="inlineStr">
        <is>
          <t>*When applying for roles at Tealium, please use our official careers page or LinkedIn company profile. All other sites where Tealium careers may appear may not be legitimate.*
WHO WE ARE
Tealium is the trusted leader in real\-time Customer Data Platforms (CDP), helping organizations unify their customer data to deliver more personalized, privacy\-conscious experiences. As the demand for connected, intelligent customer engagement grows, Tealium’s leadership in CDP is translating directly into leadership in enabling enterprise AI strategies. By providing clean, consented, and actionable data, Tealium empowers its customers to accelerate the adoption of AI and machine learning, fueling smarter personalization, predictive insights, and business outcomes at scale.
More than 800 leading global brands trust Tealium to power their customer data strategies and deliver real\-time, personalized experiences at scale.
Team Tealium has team members present in nearly 20 countries worldwide, serving customers across more than 30 countries. We win together with respect and appreciation for the talents required of all positions and the people who contribute to each of these. We are intentional about our WOWs (Ways of Work) culture, our investment in our team members, and how we care and connect.
With an extraordinary portfolio of investors (including Georgian, Silver Lake Waterman, Battery, and others) and deep industry experience, Tealium has the financial backing, profitability, and expertise to continue to outpace competitors and lead the way in innovation. Today, Tealium holds over 50 patents, and a few of the recent industry recognitions include:* A Leader in the 2025 Gartner® Magic Quadrant™ for Customer Data Platforms
* 2025 TrustRadius Award Winner: Buyer’s Choice
* 2024 Invoca Partner Collaboration Award
* 2024 G2 Leader in Tag Management \&amp; Enterprise Data Governance
* Tealium Customer Data Hub achieved the Top Rated Award by TrustRadius (2024\)
* Named on Destination CRM’s 2024 Top 100 Technologies List for Sales
* Named on the 2024 Best and Brightest in the Nation list
* BuiltIn’s 2024 Best Place to Work
WHAT WE ARE LOOKING FOR
Tealium is seeking a Senior Backend Engineer to join our AI Services team. You’ll build and run the backend services and data/ML pipelines that power AI across Tealium’s Customer Data Platform, making high\-volume, real\-time, privacy\-conscious customer data usable for intelligent experiences.  
You will own services end\-to\-end—from design and implementation through testing, deployment, and operations—in a modern, cloud\-native environment.* An experienced backend engineer comfortable with distributed systems and data/ML workflows in production.
* Someone who can own services end\-to\-end: design, implementation, testing, deployment, and operations.
* Strong ability to read, debug, and improve existing complex codebases, not just write greenfield services.
* A collaborator who works effectively with product managers, data scientists, and other engineering teams.
* An engineer who cares deeply about code quality, reliability, testing, and observability.
YOUR DAY TO DAY* Design, build, and operate backend services and APIs that power Tealium’s AI/ML capabilities (real\-time scoring, batch enrichment, model\-driven personalization).
* Implement and maintain data and ML pipelines for ingestion, transformation, feature computation, and inference (batch and streaming).
* Work with streaming and messaging systems (for example, Kafka) to handle high\-volume event data reliably and efficiently.
* Use distributed data processing frameworks (for example, Spark or cloud data platforms) to build scalable batch and near real\-time jobs.
* Partner with data scientists and ML engineers to productionize models and integrate them into online and offline systems.
* Deploy and operate services in AWS using containers (Docker), Kubernetes/EKS, and Infrastructure as Code (for example, Terraform or equivalent).
* Maintain strong testing discipline with unit and integration tests for services and pipelines.
* Improve observability with structured logs, metrics, dashboards, and alerts to ensure reliability and fast incident response.
* Mentor and provide technical guidance to other engineers, helping raise the bar on design, implementation, and operational excellence across the team.
WHAT YOU BRING TO TEALIUM* 4\+ years building backend services and/or data/ML pipelines in production.
* Demonstrated experience owning services end\-to\-end (design, implementation, testing, deployment, operations).
* Strong ability to read and improve existing complex codebases.
* Strong proficiency in Java or Kotlin (or another JVM language) with a modern web framework.
* Strong foundation in distributed systems and service‑oriented architectures, including experience with RESTful APIs, asynchronous processing, and event‑driven designs.
* Experience with streaming or messaging systems (for example, Kafka).
* Experience with distributed data processing (for example, Spark or cloud data platforms).
* Hands\-on experience with AWS or another major cloud provider.
* Familiarity with Infrastructure as Code (for example, Terraform or equivalent).
* Experience with CI/CD pipelines and containerized services (Docker, Kubernetes).
* Strong unit and integration testing habits and basic observability practices (logs, metrics, dashboards, alerts).
* Bonus: Experience building platforms or services that support machine learning or AI‑driven features (such as model serving, feature stores, or experimentation platforms), Python, Databricks, MLflow, Spark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 Employees and their families are eligible for medical, dental, vision, life, and disability insurance.
* Employees have the option to enroll in our 401k plan and are eligible to receive contributions for company matching.
* Employees are eligible for flexible paid time\-off and extended paid parental leave.
* We offer 11 paid holidays annually with an additional Healium Be\-Well break for most employees.
* We offer 15 hours of paid work time for volunteer activities and programs.
* Our sick leave accrual is the following for our employees:
	+ Exempt CA employees (not including San Francisco) including NY : accrue 40 hours each year. Unused sick leave carries over into the next year. Employees cannot exceed 80 hours in a given year.
	+ Exempt Non \- CA employees (not including NY) including SF: Accrue 1 hour every 30 hours worked. Cannot exceed 180 hours in the calendar year.
	+ Non\-Exempt: accrue 1 hour every 30 hours worked. Unused carries over to the next year. Not to exceed 108 hours in a calendar year.
An overview of our benefits and perks can be found on our careers page, https://tealium.com/careers/. Additional details regarding the benefits package will be provided during your interview process.
Compensation Range \- $140,000 \- $156,000 Base \+ Variable
\#LI\-KK1
\#LI\-Remote
WHY YOU WANT TO WORK HERE
At Tealium, we don’t just offer the ordinary, we provide the extraordinary:* Tealium WOWs (Ways of Work), our award winning culture is how with think, act and connect together at Tealium
* Mosaic, our commitment to diversity, equity and inclusion is grounded in our mosaic of diverse perspectives and shared belonging as we live in work across the US and in nearly 20 countries
* Tealium Cares, to promote caring in our communities, 15 hours of paid work time for volunteer activities and programs is offered annually
* Tealium Connects (remote\-first working), enabling many of us to choose where we do our best work and offering new hire stipends to assist with purchasing things we need to support a successful home office environment
* Tealium Ownership, share in the success of Tealium by becoming an owner of Tealium beginning with new hire equity grants
* Tealium Time, paid time\-off policy to offer flexibility to take time when needed and robust leave programs, including extended paid parental leave and company holidays
* Healium, health and wellness programs to help us be our best selves in the experiences of health, physical, mental, social, and even financial well\-being and wellness
* Tealium LIFT (Learning is Facilitated at Tealium), offering a myriad of professional development opportunities with over 6,000 courses available on demand to best\-in\-class manager and leadership development programs
* Health and Related Benefits Programs,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Offerings vary by level and location.</t>
        </is>
      </c>
    </row>
    <row r="119">
      <c r="A119" t="inlineStr">
        <is>
          <t>in-bdb6b22f7c6fe09b</t>
        </is>
      </c>
      <c r="B119" t="inlineStr">
        <is>
          <t>(USA) Senior, Software Engineer</t>
        </is>
      </c>
      <c r="C119" t="inlineStr">
        <is>
          <t>Walmart</t>
        </is>
      </c>
      <c r="D119" t="inlineStr">
        <is>
          <t>indeed</t>
        </is>
      </c>
      <c r="E119">
        <f>HYPERLINK("https://www.indeed.com/viewjob?jk=bdb6b22f7c6fe09b", "https://www.indeed.com/viewjob?jk=bdb6b22f7c6fe09b")</f>
        <v/>
      </c>
      <c r="F119">
        <f>HYPERLINK("https://click.appcast.io/t/-VdvchJ-X6yg8CxJe-g0ADVbMqD6G6JXd3y9tr1gR0A=", "https://click.appcast.io/t/-VdvchJ-X6yg8CxJe-g0ADVbMqD6G6JXd3y9tr1gR0A=")</f>
        <v/>
      </c>
      <c r="G119" t="inlineStr">
        <is>
          <t>Bentonville, AR, US</t>
        </is>
      </c>
      <c r="H119" s="3" t="n">
        <v>46050</v>
      </c>
      <c r="I119" t="inlineStr">
        <is>
          <t>**Position Summary...**
-----------------------
**What you'll do...**
---------------------
Walmart’s Transactional System provides core transactional systems to enable segment and technology partners in creating wonderful omni experiences with speed and leverage. We are a highly motivated group of engineers, working in an  
Payment area with agile methodology to solve sophisticated and high impact problems.Our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personalization.**What you'll do:*** Leads and participates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 Leads the work of other small groups of four to six engineers, including offshore associates, for assigned Engineering projects by proving pertinent documents, direction, and examples; identifying short and long term solutions and timeline; reviewing and providing feedback for proposed solutions; and performing design and code reviews of changes.
*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Provides support to the business by responding to user's questions, concerns, and issues (for example, technical feasibility, implementation strategies); identifying short\- and long\-term solutions; facilitating resolutions; and leading cross\-functional partnership.
* Leads the discovery phase of medium to large projects to come up with high level design by partnering with the product management, project management, business and user experience teams; and obtaining cross\-function approvals.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Lead automation efforts for multiple teams by working closely with developers to create automation roadmap, enhance build processes to align with roadmap, debug build issues, proactively integrate enterprise tool changes to team build processes, define and incorporate deployment gates and rollout processes, create reports and dashboards to show progress and trends, educating team on automation, pipelines, reports, and processes.
**What you'll bring:*** Bachelor's degree in Computer Science or Computer Information Systems
* 7\+ years of programming experience in architecting highly scalable \&amp; performing Web Applications
* 5\+ years of experience programming in Java/J2EE, Spring Boot, REST Services, and related technologies. 3\+ years of experience with Cloud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**About Walmart Global Tech**Imagine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\&amp; Perks**Beyond competitive pay, you can receive incentive awards for your performance. Other great perks include 401(k) match, stock purchase plan, paid maternity and parental leave, PTO, multiple health plans, and much more.**Equal Opportunity Employer**Walmart,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Bellevue, Washington US\-11075: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0">
      <c r="A120" t="inlineStr">
        <is>
          <t>in-027bf9639e61c2dc</t>
        </is>
      </c>
      <c r="B120" t="inlineStr">
        <is>
          <t>Senior Manager, Software Engineering - Agentic Care</t>
        </is>
      </c>
      <c r="C120" t="inlineStr">
        <is>
          <t>Spring Health</t>
        </is>
      </c>
      <c r="D120" t="inlineStr">
        <is>
          <t>indeed</t>
        </is>
      </c>
      <c r="E120">
        <f>HYPERLINK("https://www.indeed.com/viewjob?jk=027bf9639e61c2dc", "https://www.indeed.com/viewjob?jk=027bf9639e61c2dc")</f>
        <v/>
      </c>
      <c r="F120">
        <f>HYPERLINK("https://grnh.se/vzr85aui5us", "https://grnh.se/vzr85aui5us")</f>
        <v/>
      </c>
      <c r="G120" t="inlineStr">
        <is>
          <t>San Francisco Bay Area, CA, US</t>
        </is>
      </c>
      <c r="H120" s="3" t="n">
        <v>46050</v>
      </c>
      <c r="I120" t="inlineStr">
        <is>
          <t>**Our mission: to eliminate every barrier to mental health.**
-------------------------------------------------------------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**Our mission: to eliminate every barrier to mental health.**
At Spring Health, we're on a mission to revolutionize mental healthcare by removing every barrier that prevents people from getting the help they need, when they need it. Our clinically validated technology,**Precision Mental Healthcare**,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J.P. Morgan Chase,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William K Warren Foundation, Northzone, RRE Ventures, and many more. Thanks to their partnership and our latest Series E Funding, our current valuation has reached $3\.3 billion. We're just getting started—join us on our journey to make mental healthcare accessible to everyone, everywhere.
Reporting to the Director of Engineering, Care Delivery, you will build and lead a new team that delivers agentic AI experiences that make the care journey adaptive, and accessible for everyone \- empowering both patients and providers. You'll partner with product, design, clinical leaders, data science, and AI/ML platform teams to create safe, measurable, and delightful end\-to\-end care experiences. In this high\-visibility role you'll shape the technical strategy, define the roadmap, and drive execution to transform mental healthcare with responsible, production\-grade AI.
Please note that this is a **hybrid role based in San Francisco**. Candidates are expected to be in office 2\-3 days a week.
**What you'll be doing**
------------------------
* Build and lead a zero\-to\-one team of full\-stack and Applied AI engineers to ship member\- and provider\-facing agentic experiences.
* Collaborate closely with product, design, clinical experts and AI platform teams to define and drive the technical vision and roadmap for Agentic Care.
* Recruit, onboard, and mentor engineers; foster a mission\-driven culture centered on velocity, ownership, and high safety/quality bars for AI features.
* Develop your team through regular one\-on\-ones, mentorship, and constructive feedback.
* Ensure operational excellence: SLOs/SLIs, on\-call and incident management, observability, tech debt management, and developer experience.
Drive execution across teams and organizations, aligning initiatives with broader clinical and strategic priorities.  
* 
**What success looks like in this role**
----------------------------------------
* Launch an agentic care experience within the first quarter, with measurable impact.
* Delight both members and providers with market\-leading usability and satisfaction (CSAT \&gt; 4\.5 for each audience).
* Hire and grow a diverse founding team, develop future leaders, and cultivate a culture of ownership, empathy, and purposeful innovation.
* Evaluate the tradeoffs to unlock rapid iteration, while allowing for future scalability and seamless integration with the broader Spring Health ecosystem.
* Elevate engineering excellence by fostering an environment that values ownership, collaboration, and purposeful innovation.
**Minimum Requirements**
* Passion for mental health and building products that materially improve clinical outcomes and access to care.
* Experience with the AI product lifecycle: context engineering, function/tool calling, RAG pipelines, safety/guardrails, evals.
* 2\+ years of experience managing and leading a high\-output engineering team building user\-facing products.
* 6\+ years of experience building and scaling systems as an individual contributor.
* Organizational leadership experience, including collaborating with executive leadership.
* Excellent communication skills, both verbal and written.
* Proven success mentoring teams of senior engineers over multi\-quarter or multi\-year projects.
* Strong commitment to understanding and advocating for users' needs, crafting exceptional product experiences.
**Preferred Qualifications**
* Track record building and managing teams that shipped 01 AI\-powered products (LLM apps, agents, copilots) in production.
* Experience in high\-growth startup environments.
* Healthcare/clinical tech experience, building user\-facing products that focus on evidence\-based solutions.
* Adept at prioritizing business objectives, creating new areas of investment, anticipating risks, and providing deep technical expertise.
* Experience leading distributed teams across time zones.
The target base salary range for this position is $207,000 \- $233,000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Database**at minimum to ensure competitive and fair pay.
**Benefits provided by Spring Health:**
**Note**: We have even more benefits than listed here and below, your recruiter will provide more in\-depth information as you continue in the interview process. All benefits are subject to individual plan requirements and eligibility criteria.  
* Health, Dental, Vision benefits start on your first day at Spring Health. You and your dependents also receive an individual **One Medical**account which is valued at $199/year per user. HSA and FSA plans are also available.
* Employer sponsored 401(k) match of up to 2%
* A yearly allotment of no cost visits to the Spring Health network of therapists, coaches, and medication management providers for you and your dependents.
* Generous paid time off, 10 sick days, 12 paid holidays throughout the year, and a 1 month sabbatical leave granted at your 4 year anniversary
* We offer parental leave up to 18 weeks, depending on your eligibility including tenure and medical situation.
* Access to fertility care support through **Carrot**, in addition to $4,000 reimbursement for related fertility expenses.
* Access to**Wellhub**, an on\-demand virtual benefit that provides wellbeing coaching, and budget management.
* Up to $1,000 Professional Development Reimbursement a year.
* $200 per year donation matching to support your favorite causes.
***\[This text is boilerplate in Greenhouse and the TA team will update this as needed!]***
Don't meet every requirement? Studies have shown that **women, communities of color and historically underrepresented** talent are less likely to apply to jobs unless they meet every single qualification. At Spring Health **we are dedicated** to building a diverse, inclusive and authentic workplace
To ensure intentional and equitable hiring practices, we use a balanced candidate slate in our interviews. This approach **guarantees** that our pool of qualified candidates includes individuals who are **underrepresented** in our organization at *all levels.* This is a key performance indicator (KPI) for our recruiting and hiring teams, reported quarterly to maintain accountability.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21">
      <c r="A121" t="inlineStr">
        <is>
          <t>in-8fec2761ad6f1377</t>
        </is>
      </c>
      <c r="B121" t="inlineStr">
        <is>
          <t>Sr. Software Engineer (ML), AGI Customization</t>
        </is>
      </c>
      <c r="C121" t="inlineStr">
        <is>
          <t>Amazon.com</t>
        </is>
      </c>
      <c r="D121" t="inlineStr">
        <is>
          <t>indeed</t>
        </is>
      </c>
      <c r="E121">
        <f>HYPERLINK("https://www.indeed.com/viewjob?jk=8fec2761ad6f1377", "https://www.indeed.com/viewjob?jk=8fec2761ad6f1377")</f>
        <v/>
      </c>
      <c r="F121">
        <f>HYPERLINK("https://www.amazon.jobs/jobs/3127625/sr-software-engineer-ml-agi-customization?cmpid=DA_INAD200785B", "https://www.amazon.jobs/jobs/3127625/sr-software-engineer-ml-agi-customization?cmpid=DA_INAD200785B")</f>
        <v/>
      </c>
      <c r="G121" t="inlineStr">
        <is>
          <t>Sunnyvale, CA, US</t>
        </is>
      </c>
      <c r="H121" s="3" t="n">
        <v>45964</v>
      </c>
      <c r="I1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in-52e17319c05ee0b0</t>
        </is>
      </c>
      <c r="B122" t="inlineStr">
        <is>
          <t>Sr. Software Engineer (ML), AGI Customization</t>
        </is>
      </c>
      <c r="C122" t="inlineStr">
        <is>
          <t>Amazon.com</t>
        </is>
      </c>
      <c r="D122" t="inlineStr">
        <is>
          <t>indeed</t>
        </is>
      </c>
      <c r="E122">
        <f>HYPERLINK("https://www.indeed.com/viewjob?jk=52e17319c05ee0b0", "https://www.indeed.com/viewjob?jk=52e17319c05ee0b0")</f>
        <v/>
      </c>
      <c r="F122">
        <f>HYPERLINK("https://www.amazon.jobs/jobs/3127625/sr-software-engineer-ml-agi-customization?cmpid=DA_INAD200785B", "https://www.amazon.jobs/jobs/3127625/sr-software-engineer-ml-agi-customization?cmpid=DA_INAD200785B")</f>
        <v/>
      </c>
      <c r="G122" t="inlineStr">
        <is>
          <t>Boston, MA, US</t>
        </is>
      </c>
      <c r="H122" s="3" t="n">
        <v>45964</v>
      </c>
      <c r="I1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in-4d7fe7721afff5af</t>
        </is>
      </c>
      <c r="B123" t="inlineStr">
        <is>
          <t>Sr. Software Engineer (ML), AGI Foundations</t>
        </is>
      </c>
      <c r="C123" t="inlineStr">
        <is>
          <t>Amazon.com</t>
        </is>
      </c>
      <c r="D123" t="inlineStr">
        <is>
          <t>indeed</t>
        </is>
      </c>
      <c r="E123">
        <f>HYPERLINK("https://www.indeed.com/viewjob?jk=4d7fe7721afff5af", "https://www.indeed.com/viewjob?jk=4d7fe7721afff5af")</f>
        <v/>
      </c>
      <c r="F123">
        <f>HYPERLINK("https://www.amazon.jobs/jobs/2993074/sr-software-engineer-ml-agi-foundations?cmpid=DA_INAD200785B", "https://www.amazon.jobs/jobs/2993074/sr-software-engineer-ml-agi-foundations?cmpid=DA_INAD200785B")</f>
        <v/>
      </c>
      <c r="G123" t="inlineStr">
        <is>
          <t>Bellevue, WA, US</t>
        </is>
      </c>
      <c r="H123" s="3" t="n">
        <v>45803</v>
      </c>
      <c r="I12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24">
      <c r="A124" t="inlineStr">
        <is>
          <t>in-b168e2bda25a9661</t>
        </is>
      </c>
      <c r="B124" t="inlineStr">
        <is>
          <t>Sr. Software Engineer (ML), AGI Foundations</t>
        </is>
      </c>
      <c r="C124" t="inlineStr">
        <is>
          <t>Amazon.com</t>
        </is>
      </c>
      <c r="D124" t="inlineStr">
        <is>
          <t>indeed</t>
        </is>
      </c>
      <c r="E124">
        <f>HYPERLINK("https://www.indeed.com/viewjob?jk=b168e2bda25a9661", "https://www.indeed.com/viewjob?jk=b168e2bda25a9661")</f>
        <v/>
      </c>
      <c r="F124">
        <f>HYPERLINK("https://www.amazon.jobs/jobs/2993074/sr-software-engineer-ml-agi-foundations?cmpid=DA_INAD200785B", "https://www.amazon.jobs/jobs/2993074/sr-software-engineer-ml-agi-foundations?cmpid=DA_INAD200785B")</f>
        <v/>
      </c>
      <c r="G124" t="inlineStr">
        <is>
          <t>Sunnyvale, CA, US</t>
        </is>
      </c>
      <c r="H124" s="3" t="n">
        <v>45803</v>
      </c>
      <c r="I12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25">
      <c r="A125" t="inlineStr">
        <is>
          <t>in-af582bf644d9ae11</t>
        </is>
      </c>
      <c r="B125" t="inlineStr">
        <is>
          <t>Software Engineer- AI/ML, AWS Neuron Distributed Training</t>
        </is>
      </c>
      <c r="C125" t="inlineStr">
        <is>
          <t>Amazon Web Services</t>
        </is>
      </c>
      <c r="D125" t="inlineStr">
        <is>
          <t>indeed</t>
        </is>
      </c>
      <c r="E125">
        <f>HYPERLINK("https://www.indeed.com/viewjob?jk=af582bf644d9ae11", "https://www.indeed.com/viewjob?jk=af582bf644d9ae11")</f>
        <v/>
      </c>
      <c r="F125">
        <f>HYPERLINK("https://www.amazon.jobs/jobs/2937757/software-engineer-aiml-aws-neuron-distributed-training?cmpid=DA_INAD200785B", "https://www.amazon.jobs/jobs/2937757/software-engineer-aiml-aws-neuron-distributed-training?cmpid=DA_INAD200785B")</f>
        <v/>
      </c>
      <c r="G125" t="inlineStr">
        <is>
          <t>Seattle, WA, US</t>
        </is>
      </c>
      <c r="H125" s="3" t="n">
        <v>45727</v>
      </c>
      <c r="I1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in-f8d3170d6dd57d0b</t>
        </is>
      </c>
      <c r="B126" t="inlineStr">
        <is>
          <t>Software Engineer- AI/ML, AWS Neuron Distributed Training</t>
        </is>
      </c>
      <c r="C126" t="inlineStr">
        <is>
          <t>Amazon Web Services</t>
        </is>
      </c>
      <c r="D126" t="inlineStr">
        <is>
          <t>indeed</t>
        </is>
      </c>
      <c r="E126">
        <f>HYPERLINK("https://www.indeed.com/viewjob?jk=f8d3170d6dd57d0b", "https://www.indeed.com/viewjob?jk=f8d3170d6dd57d0b")</f>
        <v/>
      </c>
      <c r="F126">
        <f>HYPERLINK("https://www.amazon.jobs/jobs/2937757/software-engineer-aiml-aws-neuron-distributed-training?cmpid=DA_INAD200785B", "https://www.amazon.jobs/jobs/2937757/software-engineer-aiml-aws-neuron-distributed-training?cmpid=DA_INAD200785B")</f>
        <v/>
      </c>
      <c r="G126" t="inlineStr">
        <is>
          <t>Cupertino, CA, US</t>
        </is>
      </c>
      <c r="H126" s="3" t="n">
        <v>45727</v>
      </c>
      <c r="I1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in-5adc5afd871b9b8f</t>
        </is>
      </c>
      <c r="B127" t="inlineStr">
        <is>
          <t>Sr. Software Engineer- AI/ML, AWS Neuron Distributed Training</t>
        </is>
      </c>
      <c r="C127" t="inlineStr">
        <is>
          <t>Amazon Web Services</t>
        </is>
      </c>
      <c r="D127" t="inlineStr">
        <is>
          <t>indeed</t>
        </is>
      </c>
      <c r="E127">
        <f>HYPERLINK("https://www.indeed.com/viewjob?jk=5adc5afd871b9b8f", "https://www.indeed.com/viewjob?jk=5adc5afd871b9b8f")</f>
        <v/>
      </c>
      <c r="F127">
        <f>HYPERLINK("https://www.amazon.jobs/jobs/2912412/sr-software-engineer-aiml-aws-neuron-distributed-training?cmpid=DA_INAD200785B", "https://www.amazon.jobs/jobs/2912412/sr-software-engineer-aiml-aws-neuron-distributed-training?cmpid=DA_INAD200785B")</f>
        <v/>
      </c>
      <c r="G127" t="inlineStr">
        <is>
          <t>Seattle, WA, US</t>
        </is>
      </c>
      <c r="H127" s="3" t="n">
        <v>45713</v>
      </c>
      <c r="I1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in-29907d9f994f1666</t>
        </is>
      </c>
      <c r="B128" t="inlineStr">
        <is>
          <t>Sr. Software Engineer- AI/ML, AWS Neuron Distributed Training</t>
        </is>
      </c>
      <c r="C128" t="inlineStr">
        <is>
          <t>Amazon Web Services</t>
        </is>
      </c>
      <c r="D128" t="inlineStr">
        <is>
          <t>indeed</t>
        </is>
      </c>
      <c r="E128">
        <f>HYPERLINK("https://www.indeed.com/viewjob?jk=29907d9f994f1666", "https://www.indeed.com/viewjob?jk=29907d9f994f1666")</f>
        <v/>
      </c>
      <c r="F128">
        <f>HYPERLINK("https://www.amazon.jobs/jobs/2912412/sr-software-engineer-aiml-aws-neuron-distributed-training?cmpid=DA_INAD200785B", "https://www.amazon.jobs/jobs/2912412/sr-software-engineer-aiml-aws-neuron-distributed-training?cmpid=DA_INAD200785B")</f>
        <v/>
      </c>
      <c r="G128" t="inlineStr">
        <is>
          <t>Cupertino, CA, US</t>
        </is>
      </c>
      <c r="H128" s="3" t="n">
        <v>45713</v>
      </c>
      <c r="I1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in-dcf418a79d182f3e</t>
        </is>
      </c>
      <c r="B129" t="inlineStr">
        <is>
          <t>Staff Software Engineer - Fulfillment Logistics</t>
        </is>
      </c>
      <c r="C129" t="inlineStr">
        <is>
          <t>Uber</t>
        </is>
      </c>
      <c r="D129" t="inlineStr">
        <is>
          <t>indeed</t>
        </is>
      </c>
      <c r="E129">
        <f>HYPERLINK("https://www.indeed.com/viewjob?jk=dcf418a79d182f3e", "https://www.indeed.com/viewjob?jk=dcf418a79d182f3e")</f>
        <v/>
      </c>
      <c r="F129">
        <f>HYPERLINK("https://tnl2.jometer.com/v2/job?jz=5wqzsf704821a4952f1354efc951b8a8849d5KMAAKAAAAABQ&amp;iis=Job%20Board%20-%20Recruitment%20Marketing&amp;iisn=Indeed%20Organic", "https://tnl2.jometer.com/v2/job?jz=5wqzsf704821a4952f1354efc951b8a8849d5KMAAKAAAAABQ&amp;iis=Job%20Board%20-%20Recruitment%20Marketing&amp;iisn=Indeed%20Organic")</f>
        <v/>
      </c>
      <c r="G129" t="inlineStr">
        <is>
          <t>Sunnyvale, CA, US</t>
        </is>
      </c>
      <c r="H129" s="3" t="n">
        <v>46051</v>
      </c>
      <c r="I129" t="inlineStr">
        <is>
          <t>**About the Team**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**About the Role**
We are looking for a Software Engineer to join the Fulfillment logistics (Supply and Order Fulfillment) team. Over the next few years, this team will be innovating with new offerings such as Autonomous Vehicles integrations, Multi\-Job Orders, Digital and Field Tasks, Third\-Party Drivers, and Package Delivery, while reimagining and re\-envisioning the Fulfillment Platform end to end. This is a high\-impact role where you will partner closely with Engineering, Product, and Operations leaders across the company to launch new products, scale critical platforms, and improve the overall efficiency, reliability, and performance of the Uber marketplace.
You can get a glimpse of the work we do in Fulfillment
* https://eng.uber.com/fulfillment\-platform\-rearchitecture/
* https://eng.uber.com/building\-ubers\-fulfillment\-platform/
**What You'll Do**
* Lead the design and architecture of the next phase of fulfillment and product lines for our 1P, 3P, and SaaS customers, prioritizing scalability, reliability, and efficiency.
* Collaborate with several cross\-functional teams to define requirements and translate them into technical specifications.
* Optimize existing Fulfillment platform capabilities for efficiency, speed, and accuracy.
* Devise and implement solutions that seamlessly scale with the growing needs of our user base.
* Mentor junior engineers, fostering a culture of knowledge exchange and continuous improvement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**Basic Qualifications*** A Bachelor's Degree in Computer Science or a related field (or equivalent experience).
* 8\+ years of full\-time engineering experience
* Systematic problem\-solving approach and knowledge of algorithms, data structures and complexity analysis.
* Strong understanding of distributed systems or stream processing.
* Strong understanding of computer science fundamentals, including object\-oriented design, data structures, algorithm design, problem\-solving, and complexity analysis.
* Proficient in at least one programming language, such as Golang, Java, C\#, or C\+\+.
**Preferred Qualifications**
* 5\+ years of experience building and managing distributed systems.
* Highly efficient coding in Golang, Java or any similar languages.
* Comfortable dealing with system complexity
* Knowledgeable in software engineering best practices throughout the entire software development life cycle, including coding standards, code reviews, source control management, build processes, testing, and operations.
Great sense of ownership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0">
      <c r="A130" t="inlineStr">
        <is>
          <t>in-23da8d4a31677fa5</t>
        </is>
      </c>
      <c r="B130" t="inlineStr">
        <is>
          <t>Staff Software Engineer - Fulfillment Logistics</t>
        </is>
      </c>
      <c r="C130" t="inlineStr">
        <is>
          <t>Uber</t>
        </is>
      </c>
      <c r="D130" t="inlineStr">
        <is>
          <t>indeed</t>
        </is>
      </c>
      <c r="E130">
        <f>HYPERLINK("https://www.indeed.com/viewjob?jk=23da8d4a31677fa5", "https://www.indeed.com/viewjob?jk=23da8d4a31677fa5")</f>
        <v/>
      </c>
      <c r="F130">
        <f>HYPERLINK("https://tnl2.jometer.com/v2/job?jz=5wqzs3cd24b39f32b4c0e2a51adf79c9bba90KMAAKAAAAABQ&amp;iis=Job%20Board%20-%20Recruitment%20Marketing&amp;iisn=Indeed%20Organic", "https://tnl2.jometer.com/v2/job?jz=5wqzs3cd24b39f32b4c0e2a51adf79c9bba90KMAAKAAAAABQ&amp;iis=Job%20Board%20-%20Recruitment%20Marketing&amp;iisn=Indeed%20Organic")</f>
        <v/>
      </c>
      <c r="G130" t="inlineStr">
        <is>
          <t>San Francisco, CA, US</t>
        </is>
      </c>
      <c r="H130" s="3" t="n">
        <v>46051</v>
      </c>
      <c r="I130" t="inlineStr">
        <is>
          <t>**About the Team**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**About the Role**
We are looking for a Software Engineer to join the Fulfillment logistics (Supply and Order Fulfillment) team. Over the next few years, this team will be innovating with new offerings such as Autonomous Vehicles integrations, Multi\-Job Orders, Digital and Field Tasks, Third\-Party Drivers, and Package Delivery, while reimagining and re\-envisioning the Fulfillment Platform end to end. This is a high\-impact role where you will partner closely with Engineering, Product, and Operations leaders across the company to launch new products, scale critical platforms, and improve the overall efficiency, reliability, and performance of the Uber marketplace.
You can get a glimpse of the work we do in Fulfillment
* https://eng.uber.com/fulfillment\-platform\-rearchitecture/
* https://eng.uber.com/building\-ubers\-fulfillment\-platform/
**What You'll Do**
* Lead the design and architecture of the next phase of fulfillment and product lines for our 1P, 3P, and SaaS customers, prioritizing scalability, reliability, and efficiency.
* Collaborate with several cross\-functional teams to define requirements and translate them into technical specifications.
* Optimize existing Fulfillment platform capabilities for efficiency, speed, and accuracy.
* Devise and implement solutions that seamlessly scale with the growing needs of our user base.
* Mentor junior engineers, fostering a culture of knowledge exchange and continuous improvement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**Basic Qualifications*** A Bachelor's Degree in Computer Science or a related field (or equivalent experience).
* 8\+ years of full\-time engineering experience
* Systematic problem\-solving approach and knowledge of algorithms, data structures and complexity analysis.
* Strong understanding of distributed systems or stream processing.
* Strong understanding of computer science fundamentals, including object\-oriented design, data structures, algorithm design, problem\-solving, and complexity analysis.
* Proficient in at least one programming language, such as Golang, Java, C\#, or C\+\+.
**Preferred Qualifications**
* 5\+ years of experience building and managing distributed systems.
* Highly efficient coding in Golang, Java or any similar languages.
* Comfortable dealing with system complexity
* Knowledgeable in software engineering best practices throughout the entire software development life cycle, including coding standards, code reviews, source control management, build processes, testing, and operations.
Great sense of ownership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1">
      <c r="A131" t="inlineStr">
        <is>
          <t>in-bf121de5419e0dd4</t>
        </is>
      </c>
      <c r="B131" t="inlineStr">
        <is>
          <t>Software Developer - TS/SCI</t>
        </is>
      </c>
      <c r="C131" t="inlineStr">
        <is>
          <t>Parsons</t>
        </is>
      </c>
      <c r="D131" t="inlineStr">
        <is>
          <t>indeed</t>
        </is>
      </c>
      <c r="E131">
        <f>HYPERLINK("https://www.indeed.com/viewjob?jk=bf121de5419e0dd4", "https://www.indeed.com/viewjob?jk=bf121de5419e0dd4")</f>
        <v/>
      </c>
      <c r="F131">
        <f>HYPERLINK("https://jobs.parsons.com/jobs/software-developer-ts-sci-chantilly-r-173636-jobs--software-development--", "https://jobs.parsons.com/jobs/software-developer-ts-sci-chantilly-r-173636-jobs--software-development--")</f>
        <v/>
      </c>
      <c r="G131" t="inlineStr">
        <is>
          <t>Chantilly, VA, US</t>
        </is>
      </c>
      <c r="H131" s="3" t="n">
        <v>46050</v>
      </c>
      <c r="I13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Corporation is currently searching for a full\-time **Software Developer Mid Level** position at our Chantilly, VA location. This will lead teams in the design, development, and maintenance of complex systems. We meet customer and mission needs by leveraging cutting\-edge research and technology, using small teams to rapidly get capabilities into the hands of the warfighter. Our technical efforts focus on signal processing, image processing, full\-motion video, mission planning, and data analytics.
As a leading member of our team, you would work on one or more efforts at a time, assisting and managing multiple parts of the development process, from understanding customer requirements, to design, development, testing and deployment. Senior members at BRE also directly assist with winning new work, writing proposals, and interacting with the customer. Since we deal with specific customer needs, it will be necessary to understand the problem, to utilize methods from a potentially wide variety of domains, produce functional solutions, and see the efforts through to completion. Opportunities to cross\-cut technical areas and hone adjacent skills abound.
**Job Responsibilities:**
* Work closely with engineers, analysts, and other developers to brainstorm and implement creative solutions for customer needs.
* Share expertise in software development, signal processing, and data analytics to guide the team toward achieving program objectives.
* Take a leadership role in defining the technical direction of projects, ensuring that the team’s efforts align with customer requirements and mission goals.
* Mentor junior team members, providing guidance on best practices, coding standards, and problem\-solving approaches.
* Contribute to the development of high\-quality software solutions, leveraging programming languages like Python and C/C\+\+ in a Linux environment.
* Collaborate with team members to test and refine code, ensuring reliability, scalability, and performance.
* Work with tools and frameworks such as AWS, Docker, Kubernetes, and machine learning libraries (e.g., PyTorch, TensorFlow) to enhance the team’s capabilities.
* Explore and implement advanced techniques in digital signal processing, geolocation, and high\-performance computing.
* Participate in brainstorming sessions to identify innovative approaches and refine technical designs.
* Provide regular updates to team members and stakeholders, fostering transparency and collaboration.
* Help the team stay ahead of the curve by researching and integrating emerging technologies and methodologies.
* Ensure that the team’s work directly supports the warfighter by delivering functional, reliable, and impactful solutions.
* Take pride in seeing projects through from conception to deployment, knowing that your contributions make a tangible difference.
**Minimum Requirements:**
* Bachelor’s or advanced degree in Electrical Engineering, Computer Science, Computer Engineering, or related discipline
* Minimum of 5 years of experience in software design/development, data structures, and algorithms
* TS/SCI is required
* Minimum of 4 years of experience in a Linux environment and software development
* Minimum of 2 years of Programming Languages: Python, C/C\+\+
* Code management with Git or other common tools
**Preferred Qualifications Include:**
* Tools \&amp; Frameworks: X\-Midas, Git, OpenCV, Amazon Web Services (AWS), Keras, Qt/PyQt, Android
* Digital Signal Processing (DSP) experience
* T/FDOA or other externals geolocation experience
* Machine learning framework experience (PyTorch, Tensorflow)
* Docker/containerization experience
* Experience with Kubernetes
* Gitlab CI/CD experience
* High Performance Computing: CUDA/GPU, Grid Systems, Parallel Processing, Threading
* An active TS/SCI w/polygraph is preferred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$100,900\.00 \- $176,600\.00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2">
      <c r="A132" t="inlineStr">
        <is>
          <t>in-423585c3e11a9543</t>
        </is>
      </c>
      <c r="B132" t="inlineStr">
        <is>
          <t>Principal Software Developer - TS/SCI</t>
        </is>
      </c>
      <c r="C132" t="inlineStr">
        <is>
          <t>Parsons</t>
        </is>
      </c>
      <c r="D132" t="inlineStr">
        <is>
          <t>indeed</t>
        </is>
      </c>
      <c r="E132">
        <f>HYPERLINK("https://www.indeed.com/viewjob?jk=423585c3e11a9543", "https://www.indeed.com/viewjob?jk=423585c3e11a9543")</f>
        <v/>
      </c>
      <c r="F132">
        <f>HYPERLINK("https://jobs.parsons.com/jobs/principal-software-developer-ts-sci-chantilly-r-173634-jobs--software-development--", "https://jobs.parsons.com/jobs/principal-software-developer-ts-sci-chantilly-r-173634-jobs--software-development--")</f>
        <v/>
      </c>
      <c r="G132" t="inlineStr">
        <is>
          <t>Chantilly, VA, US</t>
        </is>
      </c>
      <c r="H132" s="3" t="n">
        <v>46050</v>
      </c>
      <c r="I13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Corporation is currently searching for a full\-time **P****rincipal Software Developer** position at our Chantilly, VA location. This will lead teams in the design, development, and maintenance of complex systems. We meet customer and mission needs by leveraging cutting\-edge research and technology, using small teams to rapidly get capabilities into the hands of the warfighter. Our technical efforts focus on signal processing, image processing, full\-motion video, mission planning, and data analytics.
As a leading member of our team, you would work on one or more efforts at a time, assisting and managing multiple parts of the development process, from understanding customer requirements, to design, development, testing and deployment. Senior members at BRE also directly assist with winning new work, writing proposals, and interacting with the customer. Since we deal with specific customer needs, it will be necessary to understand the problem, to utilize methods from a potentially wide variety of domains, produce functional solutions, and see the efforts through to completion. Opportunities to cross\-cut technical areas and hone adjacent skills abound.
**Job Responsibilities:**
* Work closely with engineers, analysts, and other developers to brainstorm and implement creative solutions for customer needs.
* Share expertise in software development, signal processing, and data analytics to guide the team toward achieving program objectives.
* Take a leadership role in defining the technical direction of projects, ensuring that the team’s efforts align with customer requirements and mission goals.
* Mentor junior team members, providing guidance on best practices, coding standards, and problem\-solving approaches.
* Contribute to the development of high\-quality software solutions, leveraging programming languages like Python and C/C\+\+ in a Linux environment.
* Collaborate with team members to test and refine code, ensuring reliability, scalability, and performance.
* Work with tools and frameworks such as AWS, Docker, Kubernetes, and machine learning libraries (e.g., PyTorch, TensorFlow) to enhance the team’s capabilities.
* Explore and implement advanced techniques in digital signal processing, geolocation, and high\-performance computing.
* Participate in brainstorming sessions to identify innovative approaches and refine technical designs.
* Provide regular updates to team members and stakeholders, fostering transparency and collaboration.
* Help the team stay ahead of the curve by researching and integrating emerging technologies and methodologies.
* Ensure that the team’s work directly supports the warfighter by delivering functional, reliable, and impactful solutions.
* Take pride in seeing projects through from conception to deployment, knowing that your contributions make a tangible difference.
**Minimum Requirements:**
* Bachelor’s or advanced degree in Electrical Engineering, Computer Science, Computer Engineering, or related discipline
* Minimum of 10 years of experience in software design/development, data structures, and algorithms
* TS/SCI is required
* Minimum of 8 years of experience in a Linux environment and software development
* Minimum of 6 years of Programming Languages: Python, C/C\+\+
* Code management with Git or other common tools
**Preferred Qualifications Include:**
* Tools \&amp; Frameworks: X\-Midas, Git, OpenCV, Amazon Web Services (AWS), Keras, Qt/PyQt, Android
* Digital Signal Processing (DSP) experience
* T/FDOA or other externals geolocation experience
* Machine learning framework experience (PyTorch, Tensorflow)
* Docker/containerization experience
* Experience with Kubernetes
* Gitlab CI/CD experience
* High Performance Computing: CUDA/GPU, Grid Systems, Parallel Processing, Threading
* An active TS/SCI w/polygraph is preferred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$144,800\.00 \- $260,600\.00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3">
      <c r="A133" t="inlineStr">
        <is>
          <t>in-e9c5e81bd76db61e</t>
        </is>
      </c>
      <c r="B133" t="inlineStr">
        <is>
          <t>Junior Software Developer - TS/SCI</t>
        </is>
      </c>
      <c r="C133" t="inlineStr">
        <is>
          <t>Parsons</t>
        </is>
      </c>
      <c r="D133" t="inlineStr">
        <is>
          <t>indeed</t>
        </is>
      </c>
      <c r="E133">
        <f>HYPERLINK("https://www.indeed.com/viewjob?jk=e9c5e81bd76db61e", "https://www.indeed.com/viewjob?jk=e9c5e81bd76db61e")</f>
        <v/>
      </c>
      <c r="F133">
        <f>HYPERLINK("https://jobs.parsons.com/jobs/junior-software-developer-ts-sci-chantilly-r-173638-jobs--software-development--", "https://jobs.parsons.com/jobs/junior-software-developer-ts-sci-chantilly-r-173638-jobs--software-development--")</f>
        <v/>
      </c>
      <c r="G133" t="inlineStr">
        <is>
          <t>Chantilly, VA, US</t>
        </is>
      </c>
      <c r="H133" s="3" t="n">
        <v>46050</v>
      </c>
      <c r="I13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Corporation is currently searching for a full\-time **Software Developer Junior** position at our Chantilly, VA location. This will lead teams in the design, development, and maintenance of complex systems. We meet customer and mission needs by leveraging cutting\-edge research and technology, using small teams to rapidly get capabilities into the hands of the warfighter. Our technical efforts focus on signal processing, image processing, full\-motion video, mission planning, and data analytics.
As a leading member of our team, you would work on one or more efforts at a time, assisting and managing multiple parts of the development process, from understanding customer requirements, to design, development, testing and deployment. Senior members at BRE also directly assist with winning new work, writing proposals, and interacting with the customer. Since we deal with specific customer needs, it will be necessary to understand the problem, to utilize methods from a potentially wide variety of domains, produce functional solutions, and see the efforts through to completion. Opportunities to cross\-cut technical areas and hone adjacent skills abound.
**What You'll Be Doing:**
* Work closely with engineers, analysts, and other developers to brainstorm and implement creative solutions for customer needs.
* Share expertise in software development, signal processing, and data analytics to guide the team toward achieving program objectives.
* Take a leadership role in defining the technical direction of projects, ensuring that the team’s efforts align with customer requirements and mission goals.
* Mentor junior team members, providing guidance on best practices, coding standards, and problem\-solving approaches.
* Contribute to the development of high\-quality software solutions, leveraging programming languages like Python and C/C\+\+ in a Linux environment.
* Collaborate with team members to test and refine code, ensuring reliability, scalability, and performance.
* Work with tools and frameworks such as AWS, Docker, Kubernetes, and machine learning libraries (e.g., PyTorch, TensorFlow) to enhance the team’s capabilities.
* Explore and implement advanced techniques in digital signal processing, geolocation, and high\-performance computing.
* Participate in brainstorming sessions to identify innovative approaches and refine technical designs.
* Provide regular updates to team members and stakeholders, fostering transparency and collaboration.
* Help the team stay ahead of the curve by researching and integrating emerging technologies and methodologies.
* Ensure that the team’s work directly supports the warfighter by delivering functional, reliable, and impactful solutions.
* Take pride in seeing projects through from conception to deployment, knowing that your contributions make a tangible difference.
**What Required Skills You'll Bring:**
* Bachelor’s or advanced degree in Electrical Engineering, Computer Science, Computer Engineering, or related discipline
* Minimum of 2 years of experience in software design/development, data structures, and algorithms
* TS/SCI is required
* Minimum of 1 years of experience in a Linux environment and software development
* Minimum of 1 years of Programming Languages: Python, C/C\+\+
* Code management with Git or other common tools
**What Desired Skills You'll Bring:**
* Tools \&amp; Frameworks: X\-Midas, Git, OpenCV, Amazon Web Services (AWS), Keras, Qt/PyQt, Android
* Digital Signal Processing (DSP) experience
* T/FDOA or other externals geolocation experience
* Machine learning framework experience (PyTorch, Tensorflow)
* Docker/containerization experience
* Experience with Kubernetes
* Gitlab CI/CD experience
* High Performance Computing: CUDA/GPU, Grid Systems, Parallel Processing, Threading
* An active TS/SCI w/polygraph is preferred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4">
      <c r="A134" t="inlineStr">
        <is>
          <t>in-7440f7ab06cee9a4</t>
        </is>
      </c>
      <c r="B134" t="inlineStr">
        <is>
          <t>Senior Software Developer - TS/SCI</t>
        </is>
      </c>
      <c r="C134" t="inlineStr">
        <is>
          <t>Parsons</t>
        </is>
      </c>
      <c r="D134" t="inlineStr">
        <is>
          <t>indeed</t>
        </is>
      </c>
      <c r="E134">
        <f>HYPERLINK("https://www.indeed.com/viewjob?jk=7440f7ab06cee9a4", "https://www.indeed.com/viewjob?jk=7440f7ab06cee9a4")</f>
        <v/>
      </c>
      <c r="F134">
        <f>HYPERLINK("https://jobs.parsons.com/jobs/senior-software-developer-ts-sci-chantilly-r-176986-jobs--software-development--", "https://jobs.parsons.com/jobs/senior-software-developer-ts-sci-chantilly-r-176986-jobs--software-development--")</f>
        <v/>
      </c>
      <c r="G134" t="inlineStr">
        <is>
          <t>Chantilly, VA, US</t>
        </is>
      </c>
      <c r="H134" s="3" t="n">
        <v>46050</v>
      </c>
      <c r="I134"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Corporation is currently searching for a full\-time **S****r. Software Developer** position at our Chantilly, VA location. This will lead teams in the design, development, and maintenance of complex systems. We meet customer and mission needs by leveraging cutting\-edge research and technology, using small teams to rapidly get capabilities into the hands of the warfighter. Our technical efforts focus on signal processing, image processing, full\-motion video, mission planning, and data analytics.
As a leading member of our team, you would work on one or more efforts at a time, assisting and managing multiple parts of the development process, from understanding customer requirements, to design, development, testing and deployment. Senior members at BRE also directly assist with winning new work, writing proposals, and interacting with the customer. Since we deal with specific customer needs, it will be necessary to understand the problem, to utilize methods from a potentially wide variety of domains, produce functional solutions, and see the efforts through to completion. Opportunities to cross\-cut technical areas and hone adjacent skills abound.
**Job Responsibilities:**
* Work closely with engineers, analysts, and other developers to brainstorm and implement creative solutions for customer needs.
* Share expertise in software development, signal processing, and data analytics to guide the team toward achieving program objectives.
* Take a leadership role in defining the technical direction of projects, ensuring that the team’s efforts align with customer requirements and mission goals.
* Mentor junior team members, providing guidance on best practices, coding standards, and problem\-solving approaches.
* Contribute to the development of high\-quality software solutions, leveraging programming languages like Python and C/C\+\+ in a Linux environment.
* Collaborate with team members to test and refine code, ensuring reliability, scalability, and performance.
* Work with tools and frameworks such as AWS, Docker, Kubernetes, and machine learning libraries (e.g., PyTorch, TensorFlow) to enhance the team’s capabilities.
* Explore and implement advanced techniques in digital signal processing, geolocation, and high\-performance computing.
* Participate in brainstorming sessions to identify innovative approaches and refine technical designs.
* Provide regular updates to team members and stakeholders, fostering transparency and collaboration.
* Help the team stay ahead of the curve by researching and integrating emerging technologies and methodologies.
* Ensure that the team’s work directly supports the warfighter by delivering functional, reliable, and impactful solutions.
* Take pride in seeing projects through from conception to deployment, knowing that your contributions make a tangible difference.
**Minimum Requirements:**
* Bachelor’s or advanced degree in Electrical Engineering, Computer Science, Computer Engineering, or related discipline
* Minimum of 8 years of experience in software design/development, data structures, and algorithms
* TS/SCI is required
* Minimum of 7 years of experience in a Linux environment and software development
* Minimum of 5 years of Programming Languages: Python, C/C\+\+
* Code management with Git or other common tools
**Preferred Qualifications Include:**
* Tools \&amp; Frameworks: X\-Midas, Git, OpenCV, Amazon Web Services (AWS), Keras, Qt/PyQt, Android
* Digital Signal Processing (DSP) experience
* T/FDOA or other externals geolocation experience
* Machine learning framework experience (PyTorch, Tensorflow)
* Docker/containerization experience
* Experience with Kubernetes
* Gitlab CI/CD experience
* High Performance Computing: CUDA/GPU, Grid Systems, Parallel Processing, Threading
* An active TS/SCI w/polygraph is preferred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35">
      <c r="A135" t="inlineStr">
        <is>
          <t>in-debf9e15aa37218d</t>
        </is>
      </c>
      <c r="B135" t="inlineStr">
        <is>
          <t>SOFTWARE ENGINEER II - APPLICATION DEVELOPMENT</t>
        </is>
      </c>
      <c r="C135" t="inlineStr">
        <is>
          <t>Frost</t>
        </is>
      </c>
      <c r="D135" t="inlineStr">
        <is>
          <t>indeed</t>
        </is>
      </c>
      <c r="E135">
        <f>HYPERLINK("https://www.indeed.com/viewjob?jk=debf9e15aa37218d", "https://www.indeed.com/viewjob?jk=debf9e15aa37218d")</f>
        <v/>
      </c>
      <c r="F135">
        <f>HYPERLINK("https://careers.frostbank.com/us/en/job/R260172/Software-Engineer-II-Application-Development", "https://careers.frostbank.com/us/en/job/R260172/Software-Engineer-II-Application-Development")</f>
        <v/>
      </c>
      <c r="G135" t="inlineStr">
        <is>
          <t>San Antonio, TX, US</t>
        </is>
      </c>
      <c r="H135" s="3" t="n">
        <v>46050</v>
      </c>
      <c r="I135" t="inlineStr">
        <is>
          <t>***It’s about creating solutions that help people.***
Do others often ask you for technology advice and assistance? Are you always looking for innovative ways to help people? Do you like having the autonomy to build new solutions from the ground up? If so, being a Software Engineer at Frost could be the job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**Software Engineer II – Application Development** at Frost, *you* are our code guru, not only configuring the systems but understanding the why’s behind them. Our software engineers believe in collaboration, ingenuity, and truly want to drive design and change in the IT realm. In this role, you will be responsible for designing, configuring, testing, implementing, supporting, and documenting solutions for assigned applications across the organization. You welcome a challenge and want to provide next level experiences to every individual that uses our systems.
**What you’ll do:**
* Design, develop, test and deploy Java\-based microservices to meet business needs and ensure high performance and scalability
* Work closely with product managers, architects, and other engineering teams to define system requirements and deliver high\-quality solutions
* Write clean, maintainable, and efficient code while ensuring application performance, scalability, and security
* Contribute to the continuous improvement of our development processes, frameworks, and tools through active participation in code reviews, pair programming, and mentoring
* Troubleshoot and resolve production issues, ensuring minimal downtime and impact on users
* Collaborate with project teams and other Software Engineers to provide technical support
* Support assigned IT systems/applications by troubleshooting and resolving defects
* Always take action using Integrity, Caring, and Excellence to achieve all\-win outcomes
**What you’ll need:**
* Bachelor’s degree in Computer Science, Engineering, in a related field, or equivalent experience
* Demonstrated ability to independently identify program issues and develop the appropriate solution, typically requiring at least 2 years of experience
* Proficiency in Java and experience with popular frameworks such as Spring Boot, Spring Batch, or similar tools
* Experience with relational databases e.g., SQL Server, Oracle, DB2 or similar, and understanding of database design and optimization
* Familiarity with RESTful API design, integration, and testing, including tools like Postman or Swagger
**Additional Preferred Skills:**
* Strong understanding of commonly\-used concepts, practices, and procedures associated with programming
* Familiarity with CI/CD pipelines and automation tools (Jenkins, GitLab CI, etc.).
* Knowledge of monitoring and logging frameworks
* Ability to work in a fast\-paced, collaborative environment, contributing to both development and operational excellence.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row>
    <row r="136">
      <c r="A136" t="inlineStr">
        <is>
          <t>in-a2808e8cb51c4fd3</t>
        </is>
      </c>
      <c r="B136" t="inlineStr">
        <is>
          <t>Embedded Software Engineer (AH-64000851)</t>
        </is>
      </c>
      <c r="C136" t="inlineStr">
        <is>
          <t>Cirrus Logic</t>
        </is>
      </c>
      <c r="D136" t="inlineStr">
        <is>
          <t>indeed</t>
        </is>
      </c>
      <c r="E136">
        <f>HYPERLINK("https://www.indeed.com/viewjob?jk=a2808e8cb51c4fd3", "https://www.indeed.com/viewjob?jk=a2808e8cb51c4fd3")</f>
        <v/>
      </c>
      <c r="F136">
        <f>HYPERLINK("https://jobs.eu.lever.co/cirrus/61c8b172-d34f-48e8-8304-0d9a42d7ce06?lever-source=Indeed", "https://jobs.eu.lever.co/cirrus/61c8b172-d34f-48e8-8304-0d9a42d7ce06?lever-source=Indeed")</f>
        <v/>
      </c>
      <c r="G136" t="inlineStr">
        <is>
          <t>Chandler, AZ, US</t>
        </is>
      </c>
      <c r="H136" s="3" t="n">
        <v>46050</v>
      </c>
      <c r="I136" t="inlineStr">
        <is>
          <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couldn’t do it without our extraordinary workforce – and that’s where you come in. Join our team and help us continue to make Cirrus Logic an exceptional place to grow your career!  
Cirrus Logic is seeking a highly skilled Embedded Software Engineer to design and develop critical bare\-metal firmware for our industry\-leading mixed\-signal ICs. In this role, you’ll build sophisticated demonstration and validation platforms that showcase our IP and help win new business. You’ll also collaborate closely with field application engineers and customers to integrate our technology into next\-generation consumer products.
### **Responsibilities:**
* Design, develop, and test real\-time embedded firmware for Cirrus Logic ICs.
* Build host\-side applications Python environments to test and demonstrate embedded firmware.
* Collaborate with cross\-functional teams including hardware, software tools, applications, and SQA.
* Collect requirements and document designs and APIs for internal and external stakeholders.
* Support customer integration and field engineering efforts.
### **Required Skills and Qualifications:**
* BS or MS in Computer Science, Electrical Engineering, or related field.
* 5\+ years of experience in real\-time embedded development.
* Strong expertise in bare\-metal firmware development on microcontrollers (ARM, RISC\-V, MIPS).
* Advanced proficiency in C/C\+\+ and solid Python skills.
* Excellent communication and documentation abilities.
* Innovative, creative, lateral thinker with excellent attention to detail, strong quality ethic, and passion to win.
### **Preferred Skills and Qualifications:**
* Familiarity with Git, Meson/Ninja build systems, and GoogleTest.
* Knowledge of debugging tools (JTAG, SWD, GDB) and peripheral interfaces (SPI, I2C, etc.).
* Knowledge of low\-level optimization techniques.
* Experience working with battery power related technologies including charging, gauging and testing.
* Experience with MATLAB for testing, control and algorithm development.
* Experience with audio signal processing and related electronics (codecs, filters, etc.)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137">
      <c r="A137" t="inlineStr">
        <is>
          <t>in-291246729f08863e</t>
        </is>
      </c>
      <c r="B137" t="inlineStr">
        <is>
          <t>Software Engineer ESX CPU &amp; Server Platform</t>
        </is>
      </c>
      <c r="C137" t="inlineStr">
        <is>
          <t>Broadcom</t>
        </is>
      </c>
      <c r="D137" t="inlineStr">
        <is>
          <t>indeed</t>
        </is>
      </c>
      <c r="E137">
        <f>HYPERLINK("https://www.indeed.com/viewjob?jk=291246729f08863e", "https://www.indeed.com/viewjob?jk=291246729f08863e")</f>
        <v/>
      </c>
      <c r="F137">
        <f>HYPERLINK("https://broadcom.wd1.myworkdayjobs.com/es/External_Career/job/USA-CA---Promontory-B/Software-Engineer-ESX-CPU---Server-Platform_R024922", "https://broadcom.wd1.myworkdayjobs.com/es/External_Career/job/USA-CA---Promontory-B/Software-Engineer-ESX-CPU---Server-Platform_R024922")</f>
        <v/>
      </c>
      <c r="G137" t="inlineStr">
        <is>
          <t>CA, US</t>
        </is>
      </c>
      <c r="H137" s="3" t="n">
        <v>46050</v>
      </c>
      <c r="I137" t="inlineStr">
        <is>
          <t>Please Note:
1\. If you are a first time user, please create your candidate login account before you apply for a job.
2\. If you already have a Candidate Account, please Sign\-In before you apply.
Job Description:
At VMware by Broadcom, we are building new possibilities for our customers by accelerating digital business transformation. We're modernizing data centers for greater agility and productivity, integrating public clouds for faster time to market, empowering digital workspaces to improve mobile experiences, and transforming cyber security.  
ESX Operating System is at the core of VMware Cloud Foundation's (VCF) virtualization technology. It is a platform built from scratch for the explicit purpose of running virtual machines. ESX is the operating system and Hypervisor of choice for the majority of the servers in the world, due to its advanced capabilities, performance, and quality. This position is for the ESX CPU and Server platform system kernel team, responsible for the overall Arm and x86 architecture support for ESX kernel and hypervisor. The team owns the core CPU, hardware platform (bring\-ups, boot, chipset, drivers, DDK), virtualization (CPU, IO \&amp;amp; memory), and engages directly with Arm, Intel, AMD and silicon partners on new technologies. The team collaborates with wider teams and cross BUs to build Arm and x86 support across a wide range of hardware technologies, and engages in research to identify, architect future capabilities and future proof the ESX. The team maintains a high bar for quality and works with customers as needed to solve issues.  
In this role the engineer is expected to be able to successfully work on large systems and hardware enablement projects and collaborate across multiple cross\-geo development teams. The candidate should be comfortable with all technical aspects of a project and should be able to represent the team technically internally and externally with partners. In addition, the candidate would need to collaborate with engineers from partner’s software development teams  
to jointly develop solutions on ESX. The candidate would be part of a strong technical team that is fully motivated and engaged, working across the full stack from bootloader to configuration scripts. Further, the candidate is expected to foster a research mindset focused towards developing new solutions.  
Requirements:  
 Minimum BS degree in Computer Science, Computer Engineering or equivalent and 12\+ years of relevant industry experience Or MS degree in Computer Science, Computer Engineering or equivalent and 10\+ years of relevant industry experience.  
 Excellent C programming skills.  
 Solid understanding of modern microprocessor architectures (multiprocessor  
programming, cache architecture, barriers etc.).  
 Strong operating systems and kernel internals knowledge such as Linux/BSDs/Windows NT.  
 Good knowledge of modern computer systems, esp. around I/O \- x86 PC or  
ServerReady Arm. (PCI, ACPI, IOMMUs, DMA, UEFI, etc.).
 Hands on experience in developing OS/Kernel features, device drivers and system software components.
 Expertise in version control and collaborative code review tools such as git, gerrit, perforce.  
 Ability to understand, create, modify, and troubleshoot build issues, makefiles, linux shell scripts.  
 Self\-starting – you will be frequently working outside your or your teammate’s comfort zones.  
 Strong analytical and debugging skills.  
 Excellent oral and written communication skills.  
Desirable:  
 Familiarity with virtualization platforms, such as ESX, KVM, Hyper\-V.  
 Experience with hardware bring\-ups: CPU, boot loaders, chipset, SMP/NUMA, interrupt controller, SMMUs, PCIe quirks.  
 Familiarity with hardware virtualization technologies.  
 Assembly (Arm or x86 or RISC) programming experience.  
 Arm Architecture knowledge highly desirable (AArch64/ARMv8 preferred).  
 Familiarity with kernel performance analysis and optimization.
Must have legal authorization to work in the US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row>
    <row r="138">
      <c r="A138" t="inlineStr">
        <is>
          <t>in-7f1ac4e9846527ed</t>
        </is>
      </c>
      <c r="B138" t="inlineStr">
        <is>
          <t>Software Engineer – Mid-Career</t>
        </is>
      </c>
      <c r="C138" t="inlineStr">
        <is>
          <t>Leidos</t>
        </is>
      </c>
      <c r="D138" t="inlineStr">
        <is>
          <t>indeed</t>
        </is>
      </c>
      <c r="E138">
        <f>HYPERLINK("https://www.indeed.com/viewjob?jk=7f1ac4e9846527ed", "https://www.indeed.com/viewjob?jk=7f1ac4e9846527ed")</f>
        <v/>
      </c>
      <c r="F138">
        <f>HYPERLINK("https://careers.leidos.com/jobs/17283847-software-engineer-mid-career?tm_job=R-00174782&amp;tm_event=view&amp;tm_company=2502", "https://careers.leidos.com/jobs/17283847-software-engineer-mid-career?tm_job=R-00174782&amp;tm_event=view&amp;tm_company=2502")</f>
        <v/>
      </c>
      <c r="G138" t="inlineStr">
        <is>
          <t>San Diego, CA, US</t>
        </is>
      </c>
      <c r="H138" s="3" t="n">
        <v>46050</v>
      </c>
      <c r="I138" t="inlineStr">
        <is>
          <t>**Description**
* The Undersea Systems Division at Leidos currently has an opening for a Software Engineer in San Diego, CA. Candidate will join a fast\-paced engineering group rapid\-prototyping a variety of ocean systems. Collaborate across our medium\-sized team holding complete technical responsibility for custom development and prototyping across many technical disciplines. Team prototyping efforts span from real\-world problem\-solving, all the way through concept development, followed by iterative design and testing, and conclude with product demonstrations. Ideal candidates will bring deep experience in firmware and software design and design processes.
**Primary Responsibilities:**
* Collaborate with team to identify embedded firmware and software requirements and evaluate candidate design approaches for solving wide\-ranging technical problems.
* Architect and design maintainable, robust, and performant embedded firmware and software platforms and related build and test processes.
* Implement, test, integrate, and verify firmware and software implementations satisfy project requirements for functionality, reliability, and usability; and meet team standards and expectations.
* Develop and maintain documentation including engineering documentation, interface control documents (ICD), and software requirements specifications (SRS).
* Communicate regularly across the engineering group to coordinate development efforts, anticipate design changes, prioritize feature implementations and bug fixes, and solicit team feedback.
**Basic Qualifications**
* U.S. Citizen with ability to obtain SECRET security clearance; active SECRET clearance preferred.
* Bachelor’s (or higher) degree from an accredited institution in Computer Science, Computer Engineering, Electronics Engineering, or another STEM field.
* 3\+ years of experience in development and integration for one or more of the listed platforms:
 o Linux kernel and OS (Yocto, Buildroot) embedded microprocessor firmware and software
 o NVIDIA Jetson embedded firmware and software
 o RTOS or Bare\-Metal embedded microcontroller firmware and software
 o Robot Operating System 2 (ROS 2\) software
* Proficiency in the C programming language.
* Working knowledge of common embedded communications protocols (SPI, RS\-232, Ethernet, etc.).
* Working knowledge of software development processes (static analysis, build automation, etc.).
* Familiarity with embedded electronics test equipment (power supplies, oscilloscopes, debuggers).
* Ability to read, understand, and interpret complex technical documents.
* Ability to communicate complex ideas orally and visually.
**Preferred Qualifications**
* 3\+ years of experience in development for one or more of the listed applications:
 o OpenCV (or similar) computer vision algorithms
 o Digital Signal Processing (DSP), digital filtering, or other mathematical algorithms
 o Robotics control system modeling and simulation
* Proficiency in Linux command line tools (grep, etc.) and with Linux shell scripting (Bash, etc.).
* Proficiency in embedded development IDEs and tools (Microchip MPLAB, GCC, GNU Make, etc.).
* Proficiency in software version control processes (Subversion, Git, etc.).
* Proficiency in data processing with (Matlab, Python, etc.).
* Experience in test automation.
* Experience with Graphical User Interfaces.
SUBSEAMSS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January 29,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39">
      <c r="A139" t="inlineStr">
        <is>
          <t>in-8dce6766a38bdde0</t>
        </is>
      </c>
      <c r="B139" t="inlineStr">
        <is>
          <t>Software Engineer - Junior</t>
        </is>
      </c>
      <c r="C139" t="inlineStr">
        <is>
          <t>Leidos</t>
        </is>
      </c>
      <c r="D139" t="inlineStr">
        <is>
          <t>indeed</t>
        </is>
      </c>
      <c r="E139">
        <f>HYPERLINK("https://www.indeed.com/viewjob?jk=8dce6766a38bdde0", "https://www.indeed.com/viewjob?jk=8dce6766a38bdde0")</f>
        <v/>
      </c>
      <c r="F139">
        <f>HYPERLINK("https://careers.leidos.com/jobs/17283848-software-engineer-junior?tm_job=R-00174780&amp;tm_event=view&amp;tm_company=2502", "https://careers.leidos.com/jobs/17283848-software-engineer-junior?tm_job=R-00174780&amp;tm_event=view&amp;tm_company=2502")</f>
        <v/>
      </c>
      <c r="G139" t="inlineStr">
        <is>
          <t>San Diego, CA, US</t>
        </is>
      </c>
      <c r="H139" s="3" t="n">
        <v>46050</v>
      </c>
      <c r="I139" t="inlineStr">
        <is>
          <t>**Description**
**General program information and/or position overview:**
* The Undersea Systems Division at Leidos currently has an opening for a Software Engineer in San Diego, CA. Candidate will join a fast\-paced engineering group rapid\-prototyping a variety of ocean systems. Collaborate across our medium\-sized team holding complete technical responsibility for custom development and prototyping across many technical disciplines. Team prototyping efforts span from real\-world problem\-solving, all the way through concept development, followed by iterative design and testing, and conclude with product demonstrations. Ideal candidates will bring deep experience in firmware and software design and design processes.
**Primary Responsibilities:**
* Collaborate with team to identify embedded firmware and software requirements and evaluate candidate design approaches for solving wide\-ranging technical problems.
* Architect and design maintainable, robust, and performant embedded firmware and software platforms and related build and test processes.
* Implement, test, integrate, and verify firmware and software implementations satisfy project requirements for functionality, reliability, and usability; and meet team standards and expectations.
* Develop and maintain documentation including engineering documentation, interface control documents (ICD), and software requirements specifications (SRS).
* Communicate regularly across the engineering group to coordinate development efforts, anticipate design changes, prioritize feature implementations and bug fixes, and solicit team feedback.
**Basic Qualifications**
* U.S. Citizen with ability to obtain SECRET security clearance; active SECRET clearance preferred.
* Bachelor’s (or higher) degree from an accredited institution in Computer Science, Computer Engineering, Electronics Engineering, or another STEM field.
* 2\+ years of experience in development and integration for one or more of the listed platforms:
 o Linux kernel and OS (Yocto, Buildroot) embedded microprocessor firmware and software
 o NVIDIA Jetson embedded firmware and software
 o RTOS or Bare\-Metal embedded microcontroller firmware and software
 o Robot Operating System 2 (ROS 2\) software
* Proficiency in the C programming language.
* Working knowledge of common embedded communications protocols (SPI, RS\-232, Ethernet, etc.).
* Working knowledge of software development processes (static analysis, build automation, etc.).
* Familiarity with embedded electronics test equipment (power supplies, oscilloscopes, debuggers).
* Ability to read, understand, and interpret complex technical documents.
* Ability to communicate complex ideas orally and visually.
**Preferred Qualifications**
* 2\+ years of experience in development for one or more of the listed applications:
 o OpenCV (or similar) computer vision algorithms
 o Digital Signal Processing (DSP), digital filtering, or other mathematical algorithms
 o Robotics control system modeling and simulation
* Proficiency in Linux command line tools (grep, etc.) and with Linux shell scripting (Bash, etc.).
* Proficiency in embedded development IDEs and tools (Microchip MPLAB, GCC, GNU Make, etc.).
* Proficiency in software version control processes (Subversion, Git, etc.).
* Proficiency in data processing with (Matlab, Python, etc.).
* Experience in test automation.
* Experience with Graphical User Interfaces.
SUBSEAMSS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January 29,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40">
      <c r="A140" t="inlineStr">
        <is>
          <t>in-245d15a85c7a6f06</t>
        </is>
      </c>
      <c r="B140" t="inlineStr">
        <is>
          <t>Sr. Software Developer</t>
        </is>
      </c>
      <c r="C140" t="inlineStr">
        <is>
          <t>Nightwing</t>
        </is>
      </c>
      <c r="D140" t="inlineStr">
        <is>
          <t>indeed</t>
        </is>
      </c>
      <c r="E140">
        <f>HYPERLINK("https://www.indeed.com/viewjob?jk=245d15a85c7a6f06", "https://www.indeed.com/viewjob?jk=245d15a85c7a6f06")</f>
        <v/>
      </c>
      <c r="F140">
        <f>HYPERLINK("https://nwis.wd12.myworkdayjobs.com/NW/job/Sterling-VA/Full-Stack-Developer_JR100925", "https://nwis.wd12.myworkdayjobs.com/NW/job/Sterling-VA/Full-Stack-Developer_JR100925")</f>
        <v/>
      </c>
      <c r="G140" t="inlineStr">
        <is>
          <t>Sterling, VA, US</t>
        </is>
      </c>
      <c r="H140" s="3" t="n">
        <v>46050</v>
      </c>
      <c r="I140"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seek a highly skilled Software Developer who is comfortable development to support a mission critical system. The ideal candidate should be proficient in multiple programming languages and frameworks, demonstrating a solid understanding of the entire software development lifecycle.* Experience developing and maintaining apps in:
	+ Angular
	+ TypeScript
	+ Browser technologies (HTML, HTTP, and CSS)
	+ PostgreSQL
	+ AWS (including Lambdas, API Gateway)
	+ Elasticsearch ELK stack (desired)
	+ Cypress (desired)
* Experience working independently in a fast paced agile scrum software development environment
* Experience using agile dev tools \&amp; practices
	+ Jenkins
	+ Ansible
	+ GitHub
	+ Unit testing
	+ JIRA including keeping stories/tasks up\-to\-date
	+ Confluence
	+ Devops, build automation, and continuous integration
	+ Daily standup
	+ Participating in technical discussions, forums, retrospectives
	+ Participating in routine customer meetings and ad hoc sessions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41">
      <c r="A141" t="inlineStr">
        <is>
          <t>in-61c74901237932f3</t>
        </is>
      </c>
      <c r="B141" t="inlineStr">
        <is>
          <t>Software Engineer, Google Fi Wireless</t>
        </is>
      </c>
      <c r="C141" t="inlineStr">
        <is>
          <t>Google</t>
        </is>
      </c>
      <c r="D141" t="inlineStr">
        <is>
          <t>indeed</t>
        </is>
      </c>
      <c r="E141">
        <f>HYPERLINK("https://www.indeed.com/viewjob?jk=61c74901237932f3", "https://www.indeed.com/viewjob?jk=61c74901237932f3")</f>
        <v/>
      </c>
      <c r="F141">
        <f>HYPERLINK("https://careers.google.com/jobs/results/105281408536060614-software-engineer/", "https://careers.google.com/jobs/results/105281408536060614-software-engineer/")</f>
        <v/>
      </c>
      <c r="G141" t="inlineStr">
        <is>
          <t>Mountain View, CA, US</t>
        </is>
      </c>
      <c r="H141" s="3" t="n">
        <v>46050</v>
      </c>
      <c r="I141" t="inlineStr">
        <is>
          <t>### **Minimum qualifications:**
* Bachelor’s degree or equivalent practical experience.
* 2 years of experience with software development in the Java or Kotlin programming language.
* 1 year of experience with networking protocols.
### **Preferred qualifications:**
* Master's degree or PhD in Computer Science or a related technical field.
* 2 years of experience testing, maintaining, or launching software products.
* 2 years of experience with data structures and algorithms.
* Experience working mobile application development, networking (Wi\-Fi), security software development (VPN).
* Passion for learning new technologies and solving user\-facing problems.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Fi Wireless is Google’s wireless service initiative that connects people to the carrier Wi\-Fi networks and enables positive communication experiences. The team is responsible for building the solution to help make wireless data access a reality.
Google Fi Wireless leverages the best of Google to deliver simple and secure mobile connectivity. Our team is responsible for the entire subscriber journey, from plan selection and device activation to providing award\-winning coverage around the world. Our team's deep expertise spans cellular network operations, iOS and Android app development, and subscription business operations.
The Fi team applies Google's AI to solve complex, real\-world problems \- from AI\-enhanced call audio to AI billing summaries to AI\-powered cohort analysis \- that helps Google Fi customers stay reliably connected to what’s most important to them.
The Fi team is committed to providing team members with the opportunity to build their applied AI skillset, so that all Fi subscribers can benefit from the best of Google's AI models.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develop, test, deploy, maintain, and enhance software solutions for both Android apps and operating systems.
* Develop power and performance optimized solutions for Android phones.
* Debug and fix user reported issues.
* Manage individual projects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2">
      <c r="A142" t="inlineStr">
        <is>
          <t>in-54f71510dcbefba2</t>
        </is>
      </c>
      <c r="B142" t="inlineStr">
        <is>
          <t>Staff Software Engineer, Speech Quality, Cloud AI</t>
        </is>
      </c>
      <c r="C142" t="inlineStr">
        <is>
          <t>Google</t>
        </is>
      </c>
      <c r="D142" t="inlineStr">
        <is>
          <t>indeed</t>
        </is>
      </c>
      <c r="E142">
        <f>HYPERLINK("https://www.indeed.com/viewjob?jk=54f71510dcbefba2", "https://www.indeed.com/viewjob?jk=54f71510dcbefba2")</f>
        <v/>
      </c>
      <c r="F142">
        <f>HYPERLINK("https://careers.google.com/jobs/results/125295818696467142-staff-software-engineer/", "https://careers.google.com/jobs/results/125295818696467142-staff-software-engineer/")</f>
        <v/>
      </c>
      <c r="G142" t="inlineStr">
        <is>
          <t>Sunnyvale, CA, US</t>
        </is>
      </c>
      <c r="H142" s="3" t="n">
        <v>46050</v>
      </c>
      <c r="I142"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 Experience with one or more of the following: speech/audio (e.g., speech recognition), reinforcement learning, deep learning, LLMs, ML infrastructure.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Manage project priorities, deadlines, and deliverables.
* Design, develop, test, deploy, maintain, and enhance large scale software solutions.
* Work on evaluations and data for all things Speech e.g., STT, TTS, A2A.
* Triage customer issues related to model behavior and identifying solutions. Understand how the models and surrounding systems work in order to unblock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3">
      <c r="A143" t="inlineStr">
        <is>
          <t>in-16e8dc2bbe8323a9</t>
        </is>
      </c>
      <c r="B143" t="inlineStr">
        <is>
          <t>Senior Software Engineer, Automated Support, gUP Engineering</t>
        </is>
      </c>
      <c r="C143" t="inlineStr">
        <is>
          <t>Google</t>
        </is>
      </c>
      <c r="D143" t="inlineStr">
        <is>
          <t>indeed</t>
        </is>
      </c>
      <c r="E143">
        <f>HYPERLINK("https://www.indeed.com/viewjob?jk=16e8dc2bbe8323a9", "https://www.indeed.com/viewjob?jk=16e8dc2bbe8323a9")</f>
        <v/>
      </c>
      <c r="F143">
        <f>HYPERLINK("https://careers.google.com/jobs/results/102331418838737606-senior-software-engineer/", "https://careers.google.com/jobs/results/102331418838737606-senior-software-engineer/")</f>
        <v/>
      </c>
      <c r="G143" t="inlineStr">
        <is>
          <t>Pittsburgh, PA, US</t>
        </is>
      </c>
      <c r="H143" s="3" t="n">
        <v>46050</v>
      </c>
      <c r="I143"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Irvine, CA, USA; Pittsburgh, PA, USA**.###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Scaled Solutions team within User \&amp; Products (gUP) Engineering focuses on designing, building, and maintaining technology platforms and tools that enable Google's User \&amp; Products (gUP) organization to deliver support and operations efficiently and effectively across a wide array of products and user bases. By developing these scalable platforms and services, we empower gUP to provide high\-quality support experiences to millions of users and partners globally, while also improving internal operational efficiency. We collaborate closely with product management, UX, other gUP engineering teams, and various operational and product vertical teams to identify opportunities and deliver impactful, far\-reaching technology solutions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architectural vision and lead the design of complex, scalable, and reliable systems and features critical to gUP's support platforms and operational tools.
* Address the most challenging technical problems, often with ambiguous requirements, delivering innovative and robust solutions that provide significant business value.
* Lead the implementation and delivery of large\-scale, multi\-faceted engineering projects, ensuring high standards of code quality, testing, and operational excellence.
* Provide technical leadership and influence across multiple teams; collaborate effectively with cross\-functional partners to align on technical strategy and direction.
* Mentor other engineers, foster a culture of technical excellence, and promote best practices in software development, system design, and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4">
      <c r="A144" t="inlineStr">
        <is>
          <t>in-fe94444afad9cd5b</t>
        </is>
      </c>
      <c r="B144" t="inlineStr">
        <is>
          <t>Staff Software Engineer, Machine Learning Infrastructure</t>
        </is>
      </c>
      <c r="C144" t="inlineStr">
        <is>
          <t>Google</t>
        </is>
      </c>
      <c r="D144" t="inlineStr">
        <is>
          <t>indeed</t>
        </is>
      </c>
      <c r="E144">
        <f>HYPERLINK("https://www.indeed.com/viewjob?jk=fe94444afad9cd5b", "https://www.indeed.com/viewjob?jk=fe94444afad9cd5b")</f>
        <v/>
      </c>
      <c r="F144">
        <f>HYPERLINK("https://careers.google.com/jobs/results/125060523208123078-staff-software-engineer/", "https://careers.google.com/jobs/results/125060523208123078-staff-software-engineer/")</f>
        <v/>
      </c>
      <c r="G144" t="inlineStr">
        <is>
          <t>Mountain View, CA, US</t>
        </is>
      </c>
      <c r="H144" s="3" t="n">
        <v>46050</v>
      </c>
      <c r="I144"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Master’s degree or PhD in Engineering, Computer Science, or a related technical field.
* Experience with developing and applying quantization algorithms.
* Experience with performance analysis and optimization.
* Experience with JAX.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be deep\-diving into low\-level profiles to debug TPU/GPU bottlenecks, while simultaneously communicating effectively with partner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new quantization features to keep pace with the rapidly evolving JAX ecosystem.
* Research and implement experimental quantization algorithms to lead customer adoption rather than just reacting to requests.
* Debug and optimize low\-level performance issues. Use XLA profiling tools to analyze TPU/GPU execution traces, identify bottlenecks, and ensure the lowest\-cost implementation of algorithms.
* Collaborate with the multiple performance teams to align roadmaps and resolve upstream compiler issues that affect quantization quality.
* Write high\-quality documentation, tutorials, and examples for the open\-source community to lower the barrier to entry for new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in-2bcf13bfadeefd1d</t>
        </is>
      </c>
      <c r="B145" t="inlineStr">
        <is>
          <t>Senior Software Engineer, Automated Support, gUP Engineering</t>
        </is>
      </c>
      <c r="C145" t="inlineStr">
        <is>
          <t>Google</t>
        </is>
      </c>
      <c r="D145" t="inlineStr">
        <is>
          <t>indeed</t>
        </is>
      </c>
      <c r="E145">
        <f>HYPERLINK("https://www.indeed.com/viewjob?jk=2bcf13bfadeefd1d", "https://www.indeed.com/viewjob?jk=2bcf13bfadeefd1d")</f>
        <v/>
      </c>
      <c r="F145">
        <f>HYPERLINK("https://careers.google.com/jobs/results/102331418838737606-senior-software-engineer/", "https://careers.google.com/jobs/results/102331418838737606-senior-software-engineer/")</f>
        <v/>
      </c>
      <c r="G145" t="inlineStr">
        <is>
          <t>Sunnyvale, CA, US</t>
        </is>
      </c>
      <c r="H145" s="3" t="n">
        <v>46050</v>
      </c>
      <c r="I145"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Irvine, CA, USA; Pittsburgh, PA, USA**.###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Scaled Solutions team within User \&amp; Products (gUP) Engineering focuses on designing, building, and maintaining technology platforms and tools that enable Google's User \&amp; Products (gUP) organization to deliver support and operations efficiently and effectively across a wide array of products and user bases. By developing these scalable platforms and services, we empower gUP to provide high\-quality support experiences to millions of users and partners globally, while also improving internal operational efficiency. We collaborate closely with product management, UX, other gUP engineering teams, and various operational and product vertical teams to identify opportunities and deliver impactful, far\-reaching technology solutions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architectural vision and lead the design of complex, scalable, and reliable systems and features critical to gUP's support platforms and operational tools.
* Address the most challenging technical problems, often with ambiguous requirements, delivering innovative and robust solutions that provide significant business value.
* Lead the implementation and delivery of large\-scale, multi\-faceted engineering projects, ensuring high standards of code quality, testing, and operational excellence.
* Provide technical leadership and influence across multiple teams; collaborate effectively with cross\-functional partners to align on technical strategy and direction.
* Mentor other engineers, foster a culture of technical excellence, and promote best practices in software development, system design, and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in-c2255a5e39ca8e31</t>
        </is>
      </c>
      <c r="B146" t="inlineStr">
        <is>
          <t>Senior Software Engineer, Automated Support, gUP Engineering</t>
        </is>
      </c>
      <c r="C146" t="inlineStr">
        <is>
          <t>Google</t>
        </is>
      </c>
      <c r="D146" t="inlineStr">
        <is>
          <t>indeed</t>
        </is>
      </c>
      <c r="E146">
        <f>HYPERLINK("https://www.indeed.com/viewjob?jk=c2255a5e39ca8e31", "https://www.indeed.com/viewjob?jk=c2255a5e39ca8e31")</f>
        <v/>
      </c>
      <c r="F146">
        <f>HYPERLINK("https://careers.google.com/jobs/results/102331418838737606-senior-software-engineer/", "https://careers.google.com/jobs/results/102331418838737606-senior-software-engineer/")</f>
        <v/>
      </c>
      <c r="G146" t="inlineStr">
        <is>
          <t>Irvine, CA, US</t>
        </is>
      </c>
      <c r="H146" s="3" t="n">
        <v>46050</v>
      </c>
      <c r="I14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**Sunnyvale, CA, USA; Irvine, CA, USA; Pittsburgh, PA, USA**.###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Scaled Solutions team within User \&amp; Products (gUP) Engineering focuses on designing, building, and maintaining technology platforms and tools that enable Google's User \&amp; Products (gUP) organization to deliver support and operations efficiently and effectively across a wide array of products and user bases. By developing these scalable platforms and services, we empower gUP to provide high\-quality support experiences to millions of users and partners globally, while also improving internal operational efficiency. We collaborate closely with product management, UX, other gUP engineering teams, and various operational and product vertical teams to identify opportunities and deliver impactful, far\-reaching technology solutions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architectural vision and lead the design of complex, scalable, and reliable systems and features critical to gUP's support platforms and operational tools.
* Address the most challenging technical problems, often with ambiguous requirements, delivering innovative and robust solutions that provide significant business value.
* Lead the implementation and delivery of large\-scale, multi\-faceted engineering projects, ensuring high standards of code quality, testing, and operational excellence.
* Provide technical leadership and influence across multiple teams; collaborate effectively with cross\-functional partners to align on technical strategy and direction.
* Mentor other engineers, foster a culture of technical excellence, and promote best practices in software development, system design, and reliability.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in-072c4202e03bf751</t>
        </is>
      </c>
      <c r="B147" t="inlineStr">
        <is>
          <t>Software Engineer, Google Ads, Front End, Customer Voice</t>
        </is>
      </c>
      <c r="C147" t="inlineStr">
        <is>
          <t>Google</t>
        </is>
      </c>
      <c r="D147" t="inlineStr">
        <is>
          <t>indeed</t>
        </is>
      </c>
      <c r="E147">
        <f>HYPERLINK("https://www.indeed.com/viewjob?jk=072c4202e03bf751", "https://www.indeed.com/viewjob?jk=072c4202e03bf751")</f>
        <v/>
      </c>
      <c r="F147">
        <f>HYPERLINK("https://careers.google.com/jobs/results/114144571767562950-software-engineer/", "https://careers.google.com/jobs/results/114144571767562950-software-engineer/")</f>
        <v/>
      </c>
      <c r="G147" t="inlineStr">
        <is>
          <t>Mountain View, CA, US</t>
        </is>
      </c>
      <c r="H147" s="3" t="n">
        <v>46050</v>
      </c>
      <c r="I147" t="inlineStr">
        <is>
          <t>### **Minimum qualifications:**
* Bachelor’s degree or equivalent practical experience.
* 2 years of experience with software development in Angular programming language, or 1 year of experience with an advanced degree.
* 2 years of experience with front\-end and user interface development.
### **Preferred qualifications:**
* Master's degree or PhD in Computer Science or related technical fields.
* 3 years of experience with frontend development. Proficiency in web technologies, including HTML, CSS, and JavaScript/TypeScript. Experience with single\-page application frameworks, with strong preference for AngularDart.
* 2 years of experience with data structures or algorithms.
* 2 years of experience with typescript and dart.
* Experience with RESTful APIs and frontend/backend integration. Experience with AI/ML concepts, particularly Large Language Models like Gemini.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Customer Voice is dedicated to transforming how Google gathers and acts on customer feedback, using AI to create a real\-time, scalable "customer pulse" from data sources like sales meeting transcripts and support interactions. This involves developing an interactive dashboard to surface key themes and metrics, and building an agentic chatbot experience that allows users to perform freeform exploration, deep research, and root cause analysis on customer feedback. These insights directly influence product development, marketing positioning, and sales strategies across the Google Business Organization (GBO) Ads.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develop, test, deploy, maintain, and improve frontend software using AngularDart. Build responsive and engaging user interfaces for dashboards, agentic chat systems and AI driven dynamic surfaces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in-79a8417b41807081</t>
        </is>
      </c>
      <c r="B148" t="inlineStr">
        <is>
          <t>Senior Software Engineer, Google Ads, Customer Voice</t>
        </is>
      </c>
      <c r="C148" t="inlineStr">
        <is>
          <t>Google</t>
        </is>
      </c>
      <c r="D148" t="inlineStr">
        <is>
          <t>indeed</t>
        </is>
      </c>
      <c r="E148">
        <f>HYPERLINK("https://www.indeed.com/viewjob?jk=79a8417b41807081", "https://www.indeed.com/viewjob?jk=79a8417b41807081")</f>
        <v/>
      </c>
      <c r="F148">
        <f>HYPERLINK("https://careers.google.com/jobs/results/131446486742246086-senior-software-engineer/", "https://careers.google.com/jobs/results/131446486742246086-senior-software-engineer/")</f>
        <v/>
      </c>
      <c r="G148" t="inlineStr">
        <is>
          <t>Mountain View, CA, US</t>
        </is>
      </c>
      <c r="H148" s="3" t="n">
        <v>46050</v>
      </c>
      <c r="I148" t="inlineStr">
        <is>
          <t>### **Minimum qualifications:**
* Bachelor’s degree or equivalent practical experience.
* 5 years of experience with software development in one or more programming languages.
* 3 years of experience with full stack development, across back\-end such as Java, Angular, SQL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
* 5 years of experience with data structures/algorithms.
* 1 year of experience in a technical leadership role.
* Experience in designing, building, and scaling complex APIs and distributed systems.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Customer Voice is dedicated to transforming how Google gathers and acts on customer feedback, using AI to create a real\-time, scalable "customer pulse" from data sources like sales meeting transcripts and support interactions. This involves developing an interactive dashboard to surface key themes and metrics, and building an agentic chatbot experience that allows users to perform freeform exploration, deep research, and root cause analysis on customer feedback. These insights directly influence product development, marketing positioning, and sales strategies across the Google Business Organization (GBO) and Ads.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Review code developed by other developers and provide feedback to ensure best practices (e.g., style guidelines, checking code in, accuracy, testability,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Write and test product or system development code.
* Lead the design and development of significant features and complex components across the full stack (AngularDart, Java). Architect and implement scalable backend systems, APIs, and data pipelines, making key technical decisions.
* Develop and enhance sophisticated user interfaces, ensuring high performance and excellent user experience. Drive the integration and application of Gemini LLMs to solve challenging problems and create innovative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in-4afdddfbb99feea2</t>
        </is>
      </c>
      <c r="B149" t="inlineStr">
        <is>
          <t>Software Engineer Manager, Android, Laptops and Tablets, Cellular</t>
        </is>
      </c>
      <c r="C149" t="inlineStr">
        <is>
          <t>Google</t>
        </is>
      </c>
      <c r="D149" t="inlineStr">
        <is>
          <t>indeed</t>
        </is>
      </c>
      <c r="E149">
        <f>HYPERLINK("https://www.indeed.com/viewjob?jk=4afdddfbb99feea2", "https://www.indeed.com/viewjob?jk=4afdddfbb99feea2")</f>
        <v/>
      </c>
      <c r="F149">
        <f>HYPERLINK("https://careers.google.com/jobs/results/124744963370951366-software-engineer-manager/", "https://careers.google.com/jobs/results/124744963370951366-software-engineer-manager/")</f>
        <v/>
      </c>
      <c r="G149" t="inlineStr">
        <is>
          <t>San Jose, CA, US</t>
        </is>
      </c>
      <c r="H149" s="3" t="n">
        <v>46050</v>
      </c>
      <c r="I149" t="inlineStr">
        <is>
          <t>### **Minimum qualifications:**
* Bachelor's degree in Computer Science or Computer Engineering or related field or equivalent practical experience.
* 8 years of experience with software development in one or more programming languages of C/ C\+\+ or Rust.
* 3 years of experience with embedded operating systems.
* 3 years of experience in a technical leadership role overseeing projects, with 2 years of experience in a people management, supervision/team leadership role.
* Experience in cellular modems at the kernel system interface.
### **Preferred qualifications:**
* Master's degree or PhD in Computer Science or a related technical field.
* 3 years of experience working in a complex, matrixed organization.
* Experience with bringing up USB\-C stacks, sensors, and other peripherals.
* Experience with Linux development environment and git/gerrit tools.
* Experience building consumer electronics and knowledge of manufacturing, supply chain, and customer support processes.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enable data only cellular modems for Android Laptops and Tablets.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sustainable efforts by prioritizing and staffing a team, growing their skills and efficacy to successfully manage growing organizational priorities.
* Apply broad and technical knowledge to uncover and resolve subtle, technical problems in firmware and wireless controllers, while conducting design and code reviews to ensure best practices.
* Align stakeholders across multiple groups with priorities, exhibiting leadership to resolve conflicts and achieve goals in the best interest of Google.
* Develop and execute plans for device bring\-up, debugging, and validation, while identifying and mitigating major risks for multiple teams working on the same product.
* Collaborate with product managers and global engineering teams to define features, proposing new technologies and process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in-836c8b583a08d58e</t>
        </is>
      </c>
      <c r="B150" t="inlineStr">
        <is>
          <t>Senior Software Engineer, AI/ML Infrastructure, Ads Safety</t>
        </is>
      </c>
      <c r="C150" t="inlineStr">
        <is>
          <t>Google</t>
        </is>
      </c>
      <c r="D150" t="inlineStr">
        <is>
          <t>indeed</t>
        </is>
      </c>
      <c r="E150">
        <f>HYPERLINK("https://www.indeed.com/viewjob?jk=836c8b583a08d58e", "https://www.indeed.com/viewjob?jk=836c8b583a08d58e")</f>
        <v/>
      </c>
      <c r="F150">
        <f>HYPERLINK("https://careers.google.com/jobs/results/78348871213687494-senior-software-engineer/", "https://careers.google.com/jobs/results/78348871213687494-senior-software-engineer/")</f>
        <v/>
      </c>
      <c r="G150" t="inlineStr">
        <is>
          <t>Pittsburgh, PA, US</t>
        </is>
      </c>
      <c r="H150" s="3" t="n">
        <v>46050</v>
      </c>
      <c r="I150" t="inlineStr">
        <is>
          <t>### **Minimum qualifications:**
* Bachelor’s degree or equivalent practical experience.
* 5 years of experience designing and implementing large\-scale systems with C\+\+.
* 3 years of experience in AI/ML related engineering, developing, deploying, managing, and maintaining Machine Learning infrastructure.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3 years of experience operating and optimizing highly scalable and fault\-tolerant distributed systems in a production environment.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in-f402bec2aa2f4a3b</t>
        </is>
      </c>
      <c r="B151" t="inlineStr">
        <is>
          <t>Software Engineer, Silent Data Corruption</t>
        </is>
      </c>
      <c r="C151" t="inlineStr">
        <is>
          <t>Google</t>
        </is>
      </c>
      <c r="D151" t="inlineStr">
        <is>
          <t>indeed</t>
        </is>
      </c>
      <c r="E151">
        <f>HYPERLINK("https://www.indeed.com/viewjob?jk=f402bec2aa2f4a3b", "https://www.indeed.com/viewjob?jk=f402bec2aa2f4a3b")</f>
        <v/>
      </c>
      <c r="F151">
        <f>HYPERLINK("https://careers.google.com/jobs/results/136930850741592774-software-engineer/", "https://careers.google.com/jobs/results/136930850741592774-software-engineer/")</f>
        <v/>
      </c>
      <c r="G151" t="inlineStr">
        <is>
          <t>Sunnyvale, CA, US</t>
        </is>
      </c>
      <c r="H151" s="3" t="n">
        <v>46050</v>
      </c>
      <c r="I151"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5 years of experience in ARM Assembly, Operating Systems, X86/Assembly, GPU Programming.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in-1e17dfa21770c776</t>
        </is>
      </c>
      <c r="B152" t="inlineStr">
        <is>
          <t>Senior Staff Software Engineer, AI/ML GenAI, Google Cloud</t>
        </is>
      </c>
      <c r="C152" t="inlineStr">
        <is>
          <t>Google</t>
        </is>
      </c>
      <c r="D152" t="inlineStr">
        <is>
          <t>indeed</t>
        </is>
      </c>
      <c r="E152">
        <f>HYPERLINK("https://www.indeed.com/viewjob?jk=1e17dfa21770c776", "https://www.indeed.com/viewjob?jk=1e17dfa21770c776")</f>
        <v/>
      </c>
      <c r="F152">
        <f>HYPERLINK("https://careers.google.com/jobs/results/80393962841350854-senior-staff-software-engineer/", "https://careers.google.com/jobs/results/80393962841350854-senior-staff-software-engineer/")</f>
        <v/>
      </c>
      <c r="G152" t="inlineStr">
        <is>
          <t>Sunnyvale, CA, US</t>
        </is>
      </c>
      <c r="H152" s="3" t="n">
        <v>46050</v>
      </c>
      <c r="I152" t="inlineStr">
        <is>
          <t>### **Minimum qualifications:**
* Bachelor’s degree or equivalent practical experience.
* 8 years of experience in software development.
* 7 years of experience leading technical project strategy, ML design, and optimizing industry\-scale ML infrastructure (e.g., model deployment, model evaluation, data processing, debugging, fine tuning).
* 5 years of experience with design and architecture; and testing/launching software products.
* 2 years of experience with state of the art GenAI techniques (e.g., LLMs, Multi\-Modal, Large Vision Models) or with GenAI\-related concepts (language modeling, computer vision).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Drive technical project strategy, lead large\-scale ML infrastructure optimization, and oversee the design and implementation of state\-of\-the\-art GenAI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in-3b1de90f23e94d57</t>
        </is>
      </c>
      <c r="B153" t="inlineStr">
        <is>
          <t>Senior Software Engineer, Front End, Google Cloud AI</t>
        </is>
      </c>
      <c r="C153" t="inlineStr">
        <is>
          <t>Google</t>
        </is>
      </c>
      <c r="D153" t="inlineStr">
        <is>
          <t>indeed</t>
        </is>
      </c>
      <c r="E153">
        <f>HYPERLINK("https://www.indeed.com/viewjob?jk=3b1de90f23e94d57", "https://www.indeed.com/viewjob?jk=3b1de90f23e94d57")</f>
        <v/>
      </c>
      <c r="F153">
        <f>HYPERLINK("https://careers.google.com/jobs/results/107820180884595398-senior-software-engineer/", "https://careers.google.com/jobs/results/107820180884595398-senior-software-engineer/")</f>
        <v/>
      </c>
      <c r="G153" t="inlineStr">
        <is>
          <t>Kirkland, WA, US</t>
        </is>
      </c>
      <c r="H153" s="3" t="n">
        <v>46050</v>
      </c>
      <c r="I153" t="inlineStr">
        <is>
          <t>### **Minimum qualifications:**
* Bachelor’s degree or equivalent practical experience.
* 5 years of experience programming in TypeScript or JavaScript.
* 3 years of experience testing, maintaining, or launching software products, and 1 year of experience with software design and architecture.
* 3 years of experience with front\-end frameworks, full\-stack development, or API development.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in-5b84e7ef73db788b</t>
        </is>
      </c>
      <c r="B154" t="inlineStr">
        <is>
          <t>Senior Staff Software Engineer, Video Playback, YouTube</t>
        </is>
      </c>
      <c r="C154" t="inlineStr">
        <is>
          <t>Youtube</t>
        </is>
      </c>
      <c r="D154" t="inlineStr">
        <is>
          <t>indeed</t>
        </is>
      </c>
      <c r="E154">
        <f>HYPERLINK("https://www.indeed.com/viewjob?jk=5b84e7ef73db788b", "https://www.indeed.com/viewjob?jk=5b84e7ef73db788b")</f>
        <v/>
      </c>
      <c r="F154">
        <f>HYPERLINK("https://careers.google.com/jobs/results/113432088232764102-senior-staff-software-engineer/", "https://careers.google.com/jobs/results/113432088232764102-senior-staff-software-engineer/")</f>
        <v/>
      </c>
      <c r="G154" t="inlineStr">
        <is>
          <t>San Bruno, CA, US</t>
        </is>
      </c>
      <c r="H154" s="3" t="n">
        <v>46050</v>
      </c>
      <c r="I154" t="inlineStr">
        <is>
          <t>### **Minimum qualifications:**
* Bachelor's degree in Computer Science or equivalent practical experience.
* 10 years of experience in software engineering.
* 3 years of experience in mobile engineering (e.g., iOS or Android) or mobile media experience (e.g., codecs or graphics).
### **Preferred qualifications:**
* Experience as a tech lead, a formal mentor, or a go\-to expert for a team.
* Experience working with video, music or other media related products.
* Experience in designing, building, and operating systems at large scale.
* Excellent communication skills, with the ability to articulate technical concepts to diverse audiences.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YouTube Playback Experience team is responsible for video playback on all screens and is critical to enable this core user journey.  
In the role of Technical Lead for mobile video playback, you will guide the team in advancing the entire player stack, from high\-level APIs to leveraging hardware features. Your leadership will ensure performant and engaging experiences for both established formats like VOD, Live, and DRM, and emerging areas such as Generative AI, multi\-modal feeds, and vertical video. Additionally, you will drive client media innovation by utilizing on\-device hardware like NPUs, GPUs, and codecs to introduce next\-generation media formats and capabilities.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client media innovation to bring next\-generation codecs and formats (e.g., AV1/2, Spatial Audio) to users. Enable innovative video experiences by leveraging on\-device GPU and NPU for advanced rendering effects, while contributing to the advancement of networking and crypto stacks.
* Evolve the mobile player architecture and platform to deliver the best playback experience across all YouTube products (Main, Music, Kids, YTV) and video formats (VOD, Shorts, Live, Encrypted content).
* Drive deep investigative work to unlock performance at scale.
* Foster strong partnerships and technical collaboration with internal teams (YouTube Apps, Infrastructure, AOM, Android, Pixel) and industry partners (OEMs, SOCs, Network Operators, technical standards bodies). Embrace and experiment with emerging technologies, such as GenAI.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in-5b2d08e234e0c61a</t>
        </is>
      </c>
      <c r="B155" t="inlineStr">
        <is>
          <t>Software Engineer 1</t>
        </is>
      </c>
      <c r="C155" t="inlineStr">
        <is>
          <t>Intuit</t>
        </is>
      </c>
      <c r="D155" t="inlineStr">
        <is>
          <t>indeed</t>
        </is>
      </c>
      <c r="E155">
        <f>HYPERLINK("https://www.indeed.com/viewjob?jk=5b2d08e234e0c61a", "https://www.indeed.com/viewjob?jk=5b2d08e234e0c61a")</f>
        <v/>
      </c>
      <c r="F155">
        <f>HYPERLINK("https://jobs.intuit.com/job/san-diego/software-engineer-1/27595/91172117632", "https://jobs.intuit.com/job/san-diego/software-engineer-1/27595/91172117632")</f>
        <v/>
      </c>
      <c r="G155" t="inlineStr">
        <is>
          <t>San Diego, CA, US</t>
        </is>
      </c>
      <c r="H155" s="3" t="n">
        <v>46050</v>
      </c>
      <c r="I155" t="inlineStr">
        <is>
          <t>Category Software Engineering
Location San Diego, California
Job ID 19033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 Familiarity with both frontend and backend development
* Ability to work effectively with developers and designers, discussing application and API architectures
* Understanding of Agile methodologies and ability to work with Scrum teams
* Familiarity with tools such as Git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$ 53\.50\- 72\.00</t>
        </is>
      </c>
    </row>
    <row r="156">
      <c r="A156" t="inlineStr">
        <is>
          <t>in-7e6d172d1b701d19</t>
        </is>
      </c>
      <c r="B156" t="inlineStr">
        <is>
          <t>Manager, Manufacturing Software Engineering</t>
        </is>
      </c>
      <c r="C156" t="inlineStr">
        <is>
          <t>Intuitive (Intuitive Surgical)</t>
        </is>
      </c>
      <c r="D156" t="inlineStr">
        <is>
          <t>indeed</t>
        </is>
      </c>
      <c r="E156">
        <f>HYPERLINK("https://www.indeed.com/viewjob?jk=7e6d172d1b701d19", "https://www.indeed.com/viewjob?jk=7e6d172d1b701d19")</f>
        <v/>
      </c>
      <c r="F156">
        <f>HYPERLINK("https://jsv3.recruitics.com/redirect?rx_cid=3438&amp;rx_jobId=JOB211308&amp;rx_url=https%3A%2F%2Fcareers.intuitive.com%2Fen%2Fjobs%2F744000106334647%2FJOB211308%2Fmanager-manufacturing-software-engineering%2F%3Frx_campaign%3Dindeed0%26rx_ch%3Djobp4p%26rx_group%3D132957%26rx_id%3D77696abc-fd30-11f0-83d1-a1d328923473%26rx_job%3DJOB211308%26rx_medium%3Dcpc%26rx_r%3Dnone%26rx_source%3DIndeed%26rx_ts%3D20260130T000031Z%26rx_vp%3Dcpc%26src%3DJB-10580%26utm_medium%3Dppc%26utm_source%3Dindeed", "https://jsv3.recruitics.com/redirect?rx_cid=3438&amp;rx_jobId=JOB211308&amp;rx_url=https%3A%2F%2Fcareers.intuitive.com%2Fen%2Fjobs%2F744000106334647%2FJOB211308%2Fmanager-manufacturing-software-engineering%2F%3Frx_campaign%3Dindeed0%26rx_ch%3Djobp4p%26rx_group%3D132957%26rx_id%3D77696abc-fd30-11f0-83d1-a1d328923473%26rx_job%3DJOB211308%26rx_medium%3Dcpc%26rx_r%3Dnone%26rx_source%3DIndeed%26rx_ts%3D20260130T000031Z%26rx_vp%3Dcpc%26src%3DJB-10580%26utm_medium%3Dppc%26utm_source%3Dindeed")</f>
        <v/>
      </c>
      <c r="G156" t="inlineStr">
        <is>
          <t>Peachtree Corners, GA, US</t>
        </is>
      </c>
      <c r="H156" s="3" t="n">
        <v>46050</v>
      </c>
      <c r="I156"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You will be responsible for leading a team of SW engineers responsible for the development, deployment and sustaining of SW tools and methodologies at our da Vinci surgical robotic systems manufacturing facilities. As a technical leader of the team, you will be responsible for managing the team’s project portfolio, driving strategy of SW development and deployment across multiple manufacturing facilities. You will be required to mentor, coach and develop your team of software engineers, as well as engage cross\-functionally across multiple engineering disciplines to resolve issues, drive continuous improvements, and innovate across Intuitive’s platforms.
The manufacturing software engineering team is responsible for developing and maintaining software used for calibrating and testing of the da Vinci surgical robot and its subassemblies in manufacturing. In addition to people management, you will be leading software development projects, participate in resolving escalations, and be a core team member across our strategic initiatives. You will work collaboratively with manufacturing, quality and product development engineering, as well as our operations and IT partners. Successful execution of these responsibilities will facilitate the achievement of quality, capacity, and cost goals for Intuitive’s manufacturing operations.
**Essential Job Duties**
* Manage, mentor and coach the software developers on the team.
* Develop, manage and track software projects through their lifecycles.
* Manage software requirements, validation protocols and report documentation.
* Contribute to software development, troubleshooting, and manufacturing support.
* Establish standards, metrics and measurement techniques to assess the quality of software delivered by the team.
* Establish and manage the software development and deployment process.
* Acquire and maintain a detailed understanding of each product’s system level operation, control algorithms, safety systems, and user interfaces. Leverage this knowledge to ensure product integrity in a production environment.
* Drive strategies that address the requirements of our IT and OT teams for the deployment of manufacturing SW across our manufacturing facilities.
* Provide technical leadership for the integration of production test software with equipment, test fixtures and processes.
* Manage team’s budget and the software lab space and equipment.
* Manage and allocate team resources over multiple projects. Negotiate for needed resources from other teams to enable project success as needed.
### **Qualifications**
**Required Skills and Experience**
* Demonstrated management experience
* Experience in management of complex and cross functional projects
* Strong Python programming experience and skills
* JavaScript programming experience.
* Experience with software design and development on Windows PC and Linux
* Experience with web user interface design and development.
* Experience with developing and incorporating custom APIs.
* Excellent verbal, presentation and written communication skills with an ability to relate to different people in cross\-functional teams.
* Self\-starter, capable of defining requirements and implementing them with little or no help.
* Excellent problem\-solving and troubleshooting skills.
* Good system level comprehension and issues identification skills.
* Understanding of electrical and mechanical design.
**Required Education and Training**
* BS degree in Computer Science, Electrical, Mechanical, Mechatronics or Control Systems Engineering, or similar field relating to robotic systems.
* 5\+ years of experience in development, manufacturing engineering test engineering, automation engineering, diagnostics software, or embedded software development.
**Preferred Skills and Experience**
* MS degree in an Engineering discipline.
* 2\+ years of experience as a manager
* Hardware device test software in either a manufacturing or engineering environment.
* Control systems development for robotics or electro\-mechanical systems.
* Prior experience working in an FDA/ISO regulated environment.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1:**$175,700 \- $252,900  
**Base Salary Range Region 2:** $149,300 \- $215,000  
**Shift:** Day  
**Workplace Type:** Onsite \- This job is fully onsite.</t>
        </is>
      </c>
    </row>
    <row r="157">
      <c r="A157" t="inlineStr">
        <is>
          <t>in-18db6175fe457792</t>
        </is>
      </c>
      <c r="B157" t="inlineStr">
        <is>
          <t>Sr Software Engineer</t>
        </is>
      </c>
      <c r="C157" t="inlineStr">
        <is>
          <t>Intuitive (Intuitive Surgical)</t>
        </is>
      </c>
      <c r="D157" t="inlineStr">
        <is>
          <t>indeed</t>
        </is>
      </c>
      <c r="E157">
        <f>HYPERLINK("https://www.indeed.com/viewjob?jk=18db6175fe457792", "https://www.indeed.com/viewjob?jk=18db6175fe457792")</f>
        <v/>
      </c>
      <c r="F157">
        <f>HYPERLINK("https://jsv3.recruitics.com/redirect?rx_cid=3438&amp;rx_jobId=JOB212051&amp;rx_url=https%3A%2F%2Fcareers.intuitive.com%2Fen%2Fjobs%2F744000106343215%2FJOB212051%2Fsr-software-engineer%2F%3Frx_campaign%3Dindeed0%26rx_ch%3Djobp4p%26rx_group%3D132957%26rx_id%3Da9db0f51-fd42-11f0-9723-e7823ef96a0a%26rx_job%3DJOB212051%26rx_medium%3Dcpc%26rx_r%3Dnone%26rx_source%3DIndeed%26rx_ts%3D20260130T000031Z%26rx_vp%3Dcpc%26src%3DJB-10580%26utm_medium%3Dppc%26utm_source%3Dindeed", "https://jsv3.recruitics.com/redirect?rx_cid=3438&amp;rx_jobId=JOB212051&amp;rx_url=https%3A%2F%2Fcareers.intuitive.com%2Fen%2Fjobs%2F744000106343215%2FJOB212051%2Fsr-software-engineer%2F%3Frx_campaign%3Dindeed0%26rx_ch%3Djobp4p%26rx_group%3D132957%26rx_id%3Da9db0f51-fd42-11f0-9723-e7823ef96a0a%26rx_job%3DJOB212051%26rx_medium%3Dcpc%26rx_r%3Dnone%26rx_source%3DIndeed%26rx_ts%3D20260130T000031Z%26rx_vp%3Dcpc%26src%3DJB-10580%26utm_medium%3Dppc%26utm_source%3Dindeed")</f>
        <v/>
      </c>
      <c r="G157" t="inlineStr">
        <is>
          <t>Sunnyvale, CA, US</t>
        </is>
      </c>
      <c r="H157" s="3" t="n">
        <v>46050</v>
      </c>
      <c r="I157"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The Ion™ endoluminal system is Intuitive's robotic platform for minimally invasive biopsy in the peripheral lung. Our initial goal is improving the early diagnosis of lung cancer. The Ion R\&amp;D team is looking for a gifted engineer to contribute to our planning software, PlanPoint, which helps our physician users create a 3D model of a patient’s lung based on pre\-operative medical images.
As a Sr Software Engineer, you will design and implement a variety of new user\-facing features for PlanPoint. The ideal candidate is an independent developer with excellent problem\-solving skills, capable of producing robust, high\-quality code in the face of rapidly changing requirements.
**Essential Job Duties**
* Work as part of a cross\-functional team in a fast\-paced, start\-up\-like business unit
* Prototype new GUI elements, and rapidly iterate to prove concepts or fail quickly
* Design and implement high\-quality software in C\+\+
* Contribute to system and software architecture for the Ion platform
* Contribute to formal software documentation
### **Qualifications**
**Required Skills and Experience**
* Four years of experience designing user\-facing software applications
* Strong working knowledge of C\+\+ and object\-oriented programming
* Great communication skills
* High levels of independence and technical ownership
* Full\-stack mentality, with flexibility to contribute to different areas of the codebase
**Required Education and Training**
* BS in computer science or equivalent
**Working Conditions**  
None
**Preferred Skills and Experience**
* MS or PhD in a related field
* Experience designing medical device software
* Experience working hands\-on with X\-ray, ultrasound, CT, or other relevant imaging modalities
* Experience working with machine learning or deep learning systems and analysis pipelines
* Experience with GUI frameworks such as Qt or QML
* Experience with graphics libraries such as OpenGL or OpenSceneGraph
* Experience with parallel programming and Cuda is a plus
* Experience with game engines such as Unity or Unreal Engine is a plus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1:**$188,600 \- $271,400  
**Base Salary Range Region 2:** $160,300 \- $230,700  
**Shift:** Day  
**Workplace Type:** Set Schedule \- This job will be onsite weekly, the percentage of onsite work will be defined by the leader.</t>
        </is>
      </c>
    </row>
    <row r="158">
      <c r="A158" t="inlineStr">
        <is>
          <t>in-70b80405077b6333</t>
        </is>
      </c>
      <c r="B158" t="inlineStr">
        <is>
          <t>Senior Backend Engineer - SQL</t>
        </is>
      </c>
      <c r="C158" t="inlineStr">
        <is>
          <t>Skillable</t>
        </is>
      </c>
      <c r="D158" t="inlineStr">
        <is>
          <t>indeed</t>
        </is>
      </c>
      <c r="E158">
        <f>HYPERLINK("https://www.indeed.com/viewjob?jk=70b80405077b6333", "https://www.indeed.com/viewjob?jk=70b80405077b6333")</f>
        <v/>
      </c>
      <c r="F158">
        <f>HYPERLINK("https://ats.rippling.com/en-GB/skillable-careers/jobs/65691707-c28a-488c-915e-d5610ed92726", "https://ats.rippling.com/en-GB/skillable-careers/jobs/65691707-c28a-488c-915e-d5610ed92726")</f>
        <v/>
      </c>
      <c r="G158" t="inlineStr">
        <is>
          <t>Remote, US</t>
        </is>
      </c>
      <c r="H158" s="3" t="n">
        <v>46050</v>
      </c>
      <c r="I158" t="inlineStr">
        <is>
          <t>Skillable is a 100% remote and virtual tech company that’s modernizing the world of training. Come share your professional magic with highly talented, driven and fun colleagues who believe in the power of “skilling.” Experience what a true team focused on doing the right thing feels like!
Our people and talent are what make us great and fun! We work together to create amazing solutions and experiences for our customers and their clients. We utilize our employees’ personal strengths to help our company grow and ensure our team is living their best, authentic life. We don’t just share our appreciation for our team members once a year with a branded mug—it’s shared on a daily basis. Our remote work environment blends the demands of work and life without the added pressure of commuting or feeling guilty about leaving early to visit the dentist.
Come work with us and learn what teamwork and integrity blended with an emphasis on well\-being and balance can do for your career!
The **Senior Backend Engineer – SQL** is responsible for designing, optimizing, and maintaining Azure SQL database environments with a strong emphasis on supporting development teams and modern DevOps practices. This role partners closely with engineering teams and architects to ensure database design, deployment, and performance are fully aligned with application development and agile delivery.
 **Responsibilities**
* Design and model relational database solutions using SQL technologies (e.g., Azure SQL), including schema design, normalization, and optimization for performance and scalability.
* Deep involvement with engineering team in the Data Access Layer using EF CodeFirst modeling, mappings, and LINQ queries to ensure the schema and C\# domain model are coherent, intentional, optimized, maintain integrity, and follow best practices
* Establish data unit test patterns and framework for LINQ/query expressions and other data access patterns
* Plan, script, review, and safely roll out EF migrations (including zero downtime/online migration patterns and rollback plans).
* Design, develop and debug Data Access Layer application code in C\#
* Analyze and optimize SQL query performance to ensure efficient data retrieval and application responsiveness, applying Entity Framework techniques such as query translation analysis, LINQ optimization, and proper use of eager vs. lazy loading.
* Optimize performance of application\-generated queries on Azure SQL Database through techniques such as index tuning and query plan analysis to ensure fast and efficient transactional operations.
* Operate as a subject matter expert on data access and ORM integration (i.e Entity Framework), including providing guidance on best practices for database access patterns.
* Automate database deployment and maintenance tasks using CI/CD pipelines, infrastructure\-as\-code, and scripting tools (e.g., PowerShell, Azure CLI).
* Work with DevOps to manage and synchronize database changes across development, QA, staging, and production environments, ensuring consistency and reliability.
* Oversee and manage Azure cloud\-hosted databases (Azure SQL), including configuration, monitoring, performance tuning, and cost optimization.
* Integrate and maintain monitoring and alerting solutions (e.g., Datadog, Azure Monitor) for proactive database health and performance management.
* Explore and recommend new technologies, patterns, and methods to accomplish items on the technical and product roadmaps
* Collaborate with Architects to define, implement, and maintain high availability and disaster recovery (HADR) solutions for Azure cloud and hybrid database environments.
* Participate in agile ceremonies (sprint planning, code reviews, etc.) to embed database best practices in the SDLC.
* Participate in on\-call rotations and support incident response as needed.
* Support and promote the company values through positive interactions with both internal and external stakeholders on a regular basis
* Other strategic business initiatives or special cross\-functional project involvement as required
 **Qualifications**
* Bachelor’s degree in Computer Science, Engineering, or equivalent experience.
* 7\+ years of experience as a database engineer, developer\-focused DBA, or similar role.
* Proven experience redesigning and optimizing relational database models for modern applications.
* Deep experience with Azure SQL Database, including modeling design, deployment, and management in cloud environments.
* Experience implementing .NET code (C\# and Entity Framework) including the ability to debug and identify performance issues related to ORM usage.
* Hands\-on experience with Azure DevOps pipelines, CI/CD, and agile development methodologies.
* Proficiency in automating database tasks using PowerShell, Azure CLI, or similar scripting tools.
* Experience with database monitoring tools (e.g., Datadog) and proactive performance management.
* Knowledge of security best\-practices for Azure SQL.
* Excellent communication and collaboration skills in a remote, fast\-paced environment.
* Advanced SQL development and optimization skills, including query tuning and execution plan analysis.
* Strong understanding of relational database design principles (normalization, indexing strategies, constraints).
* Expertise in Entity Framework and ORM performance optimization techniques (LINQ query optimization, eager vs. lazy loading, query translation analysis).
* Proficiency in Azure SQL Database management and optimization for application workloads.
* Experience with CI/CD pipelines and database automation using scripting tools (PowerShell, Azure CLI).
* Familiarity with monitoring and alerting tools (e.g., Datadog, Azure Monitor) for database performance and health.
* Knowledge of high availability and disaster recovery strategies for cloud\-hosted databases.
* Strong collaboration and communication skills for working with development and DevOps teams.
 **Salary Range**
The base salary for this position is $130,000 \- $150,000 annually. Consistent with applicable laws, compensation will be determined based on the candidate's level, relevant skills, qualifications, and experience along with requirements for the position and annual financial plans.
Skillable is a distributed first team with employees working across the U.S., and we do not consider geography when determining compensation ranges.
Please note that it is not typical for an individual to be hired at or near the top of the range. Skillable reserves the right to modify this compensation range at any time.
Pay range and current benefit offerings are effective for 90 days from posting date. Standard employment offerings are subject to potential change upon periodic review and analysis, at the discretion of Skillable.
 **What’s in it for You? Rewards and Perks**
We believe in providing a suite of benefits that ensure our employees know we appreciate them as people first. Skillable wants to be a company that promotes physical, emotional and all around well\-being through our benefit offerings! Subject to eligibility requirements, the Company offers comprehensive benefits including:
* Fully remote with a monthly stipend to pay for office services and supplies
* Medical (2 plan options), dental (2 plan options), vision, health savings account with generous employer contributions, healthcare spending accounts, dependent care spending accounts, EAP, group paid life insurance, group paid STD and LTD and voluntary life/AD\&amp;D insurance, accident and critical illness options.
* 401(k) with Company match, tuition reimbursement, healthy lifestyle reimbursements.
* Open PTO, Paid holidays, bereavement leave, parental leave, caregiver leave and paid FMLA leave.
* Friends and Family Friday to end our standard workweek at 2pm local time; Full company closure during the 4th of July holiday week.
* Access to pet insurance; Access for employees and dependents to Skillable learning opportunities through our product and more!
 **Working Conditions:**
The job conditions for this position are in a remote home office setting, requiring a space that supports privacy and focus to attend to regular and frequent video and voice calls. Employees in this position use PC and phone on an on\-going basis throughout the day. Periodic travel may be required equaling up to approximately 10% of the time.
Skillable participates in E\-Verify and will provide the federal government with your Form I\-9 information to confirm that you are authorized to work int 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***Skillable can only hire potential candidates with a primary residence in the following States: AZ, CA, CO, FL, GA, ID, IN, KY, MA, ME, MI, MO, NC, ND, NE, NH, NV, NY, OH, OK, SC, TN, TX, UT, WA, WI.***</t>
        </is>
      </c>
    </row>
    <row r="159">
      <c r="A159" t="inlineStr">
        <is>
          <t>in-7ad7b9a000018eee</t>
        </is>
      </c>
      <c r="B159" t="inlineStr">
        <is>
          <t>Embedded Software Engineer (AH-64000851)</t>
        </is>
      </c>
      <c r="C159" t="inlineStr">
        <is>
          <t>Cirrus Logic</t>
        </is>
      </c>
      <c r="D159" t="inlineStr">
        <is>
          <t>indeed</t>
        </is>
      </c>
      <c r="E159">
        <f>HYPERLINK("https://www.indeed.com/viewjob?jk=7ad7b9a000018eee", "https://www.indeed.com/viewjob?jk=7ad7b9a000018eee")</f>
        <v/>
      </c>
      <c r="F159">
        <f>HYPERLINK("https://www.cirrus.com/careers/job-detail?p=61c8b172-d34f-48e8-8304-0d9a42d7ce06", "https://www.cirrus.com/careers/job-detail?p=61c8b172-d34f-48e8-8304-0d9a42d7ce06")</f>
        <v/>
      </c>
      <c r="G159" t="inlineStr">
        <is>
          <t>Chandler, AZ, US</t>
        </is>
      </c>
      <c r="H159" s="3" t="n">
        <v>46050</v>
      </c>
      <c r="I159" t="inlineStr">
        <is>
          <t>For over four decades, Cirrus Logic has been propelled by the top engineers in mixed\-signal processing. Our rockstar team thrives on solving complex challenges with innovative end\-user solutions for the world's top consumer brands. Cirrus Logic is also known for its award\-winning culture, which was built on a foundation of inclusion and fairness, meaningful community engagement, and delivering enjoyable employee experiences at every turn. But we couldn’t do it without our extraordinary workforce – and that’s where you come in. Join our team and help us continue to make Cirrus Logic an exceptional place to grow your career!  
Cirrus Logic is seeking a highly skilled Embedded Software Engineer to design and develop critical bare\-metal firmware for our industry\-leading mixed\-signal ICs. In this role, you’ll build sophisticated demonstration and validation platforms that showcase our IP and help win new business. You’ll also collaborate closely with field application engineers and customers to integrate our technology into next\-generation consumer products.
### **Responsibilities:**
+ Design, develop, and test real\-time embedded firmware for Cirrus Logic ICs.
+ Build host\-side applications Python environments to test and demonstrate embedded firmware.
+ Collaborate with cross\-functional teams including hardware, software tools, applications, and SQA.
+ Collect requirements and document designs and APIs for internal and external stakeholders.
+ Support customer integration and field engineering efforts.
### **Required Skills and Qualifications:**
+ BS or MS in Computer Science, Electrical Engineering, or related field.
+ 5\+ years of experience in real\-time embedded development.
+ Strong expertise in bare\-metal firmware development on microcontrollers (ARM, RISC\-V, MIPS).
+ Advanced proficiency in C/C\+\+ and solid Python skills.
+ Excellent communication and documentation abilities.
+ Innovative, creative, lateral thinker with excellent attention to detail, strong quality ethic, and passion to win.
### **Preferred Skills and Qualifications:**
+ Familiarity with Git, Meson/Ninja build systems, and GoogleTest.
+ Knowledge of debugging tools (JTAG, SWD, GDB) and peripheral interfaces (SPI, I2C, etc.).
+ Knowledge of low\-level optimization techniques.
+ Experience working with battery power related technologies including charging, gauging and testing.
+ Experience with MATLAB for testing, control and algorithm development.
+ Experience with audio signal processing and related electronics (codecs, filters, etc.)
Export control restrictions based upon applicable laws and regulations would prohibit candidates who are nationals of certain embargoed countries from working in this position without Cirrus Logic first obtaining an export license. Candidates for this role must be able to access technical data without a requirement for an export license. We are unable to sponsor or obtain export licenses for this role.  
Cirrus Logic strives to select the best qualified applicant for any opening. Different approaches, ideas and points of view are both valued and respected. Employment decisions are made on the basis of job\-related criteria without regard to race, color, religion, sex, national origin, age, protected veteran or disabled status, genetic information, or any other classification protected by applicable law.</t>
        </is>
      </c>
    </row>
    <row r="160">
      <c r="A160" t="inlineStr">
        <is>
          <t>in-ebfab517f0481a99</t>
        </is>
      </c>
      <c r="B160" t="inlineStr">
        <is>
          <t>Sr. Software Engineer - AIR Cloud</t>
        </is>
      </c>
      <c r="C160" t="inlineStr">
        <is>
          <t>NextPower</t>
        </is>
      </c>
      <c r="D160" t="inlineStr">
        <is>
          <t>indeed</t>
        </is>
      </c>
      <c r="E160">
        <f>HYPERLINK("https://www.indeed.com/viewjob?jk=ebfab517f0481a99", "https://www.indeed.com/viewjob?jk=ebfab517f0481a99")</f>
        <v/>
      </c>
      <c r="F160">
        <f>HYPERLINK("https://nextracker.wd5.myworkdayjobs.com/en-US/nextpower_careers/job/Fremont-North-Bldg-California---USA/Sr-Software-Engineer---AIR-Cloud_NX-3267", "https://nextracker.wd5.myworkdayjobs.com/en-US/nextpower_careers/job/Fremont-North-Bldg-California---USA/Sr-Software-Engineer---AIR-Cloud_NX-3267")</f>
        <v/>
      </c>
      <c r="G160" t="inlineStr">
        <is>
          <t>Fremont, CA, US</t>
        </is>
      </c>
      <c r="H160" s="3" t="n">
        <v>46050</v>
      </c>
      <c r="I160" t="inlineStr">
        <is>
          <t>**Job Description:**
NX AIR (AI \&amp; Robotics Cloud) supports machine learning, autonomy and fleet management for Nextpower's multiple robotic and autonomous monitoring products. The Sr. Software Engineer will undertake service design and coding in three main areas:
* Support design, service definition and coding of digital twin APIs and representations of powerplant sites and equipment.
* Transition AIR cloud services offerings to use Federated Authentication and SSO.
* Support design, service definition and coding of API servers and data management systems supporting the Onsight Vantage smart cameras and Ranger inspection robots.
The position requires :
* Master's degree in a technical discipline (engineering, information technology)
* 7\-10 years of software engineer experience
* Experience implementing cloud services within Azure or AWS including an understanding of deployment and security models in these services
* Experience developing and deploying high\-performance, robust API services written in Python (with Go experience a plus)
* Ability to analyze algorithm and service load and data throughput.
* Understanding and experience with unit testing (pytest or equivalent)
* Understanding and experience with API service testing and monitoring.
* Collaborative design and documentation between corporate teams.
The position reports to the Senior Director of Software \- AIR Cloud
Nextpower offers a comprehensive benefits package. We provide health care coverage, dental and vision, 401(K) participation including company matching, company paid holidays with unlimited paid time off, generous discretionary company bonuses, life and disability protection and more. Employees in certain positions may be eligible for stock compensation. All plans are in accordance with relevant plan documents. For more information on Nextpower 's benefits please view our company website at www.nextpower.com . Pay is based on market location and may vary based on factors including experience, skills, education and other job\-related reasons. The annual salary range for this position is $190,000 \- $210,000\.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Nextpower is an equal opportunity employer. We celebrate diversity and are committed to creating an inclusive environment for all employees.
**We are Nextpower**
====================</t>
        </is>
      </c>
    </row>
    <row r="161">
      <c r="A161" t="inlineStr">
        <is>
          <t>in-9a26677b4a50f0e4</t>
        </is>
      </c>
      <c r="B161" t="inlineStr">
        <is>
          <t>Software Engineer</t>
        </is>
      </c>
      <c r="C161" t="inlineStr">
        <is>
          <t>Peraton</t>
        </is>
      </c>
      <c r="D161" t="inlineStr">
        <is>
          <t>indeed</t>
        </is>
      </c>
      <c r="E161">
        <f>HYPERLINK("https://www.indeed.com/viewjob?jk=9a26677b4a50f0e4", "https://www.indeed.com/viewjob?jk=9a26677b4a50f0e4")</f>
        <v/>
      </c>
      <c r="F161">
        <f>HYPERLINK("https://www.careers.peraton.com/jobs/software-engineer-home-virginia-163118-jobs--information-technology--", "https://www.careers.peraton.com/jobs/software-engineer-home-virginia-163118-jobs--information-technology--")</f>
        <v/>
      </c>
      <c r="G161" t="inlineStr">
        <is>
          <t>VA, US</t>
        </is>
      </c>
      <c r="H161" s="3" t="n">
        <v>46050</v>
      </c>
      <c r="I16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Engineer. This role will perform the following but not limited too:  
* Conducts research in design, development, testing and utilization of electronic data processing software.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 Analyzes user needs and software requirements to determine feasibility of design within time and cost constraints.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met.**Qualifications**
* 5 years with BS/BA; 3 years with MS/MA; 0 years with PhD
* Must have Security \+ certification.
* Must have active public clearance
* Must be a U.S. Citizen
* Experience with design and development
* Experience with system installations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2">
      <c r="A162" t="inlineStr">
        <is>
          <t>in-b01bca9abca609d6</t>
        </is>
      </c>
      <c r="B162" t="inlineStr">
        <is>
          <t>Software Developer- On Call</t>
        </is>
      </c>
      <c r="C162" t="inlineStr">
        <is>
          <t>Peraton</t>
        </is>
      </c>
      <c r="D162" t="inlineStr">
        <is>
          <t>indeed</t>
        </is>
      </c>
      <c r="E162">
        <f>HYPERLINK("https://www.indeed.com/viewjob?jk=b01bca9abca609d6", "https://www.indeed.com/viewjob?jk=b01bca9abca609d6")</f>
        <v/>
      </c>
      <c r="F162">
        <f>HYPERLINK("https://www.careers.peraton.com/jobs/software-developer-on-call-undefined-undefined-163149-jobs--information-technology--", "https://www.careers.peraton.com/jobs/software-developer-on-call-undefined-undefined-163149-jobs--information-technology--")</f>
        <v/>
      </c>
      <c r="G162" t="inlineStr">
        <is>
          <t>US</t>
        </is>
      </c>
      <c r="H162" s="3" t="n">
        <v>46050</v>
      </c>
      <c r="I16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Developer** to join our team of qualified, diverse individuals in defining the future. The desired individual will have experience in HTML5, CSS, JavaScript, and Java with an eagerness to learn new coding languages and solve complex problems using logical reasoning and communication skills. **This position is on call.**
**What you will do:**  
* Contribute skills needed to ongoing projects for both frontend and backend support of data analysis
* Complete web development and modify existing web interfaces
* Contribute to the development and writing of technical documentation of how methods were developed
* Work closely with customers to ensure requirements are met
* Ensure 508 compliance of applications through testing, collaboration with accessibility experts, and remediation of issues.
* Collaborate with internal and external subject matter experts and staff to establish back\-end frameworks to process content and data to provide end point products
* Provide recommendations that reflect clear knowledge and application of current design and development subject matter
* Maintain a high level of customer service that is prompt, responsive, courteous, and comprehensive
* Maintain working relationships that facilitate the positive outcome of program activities**Qualifications**
**Required Qualifications:**  
* Bachelor's Degree with a minimum of 5 years' experience or 9 years with a HS diploma
* Experience in website and web application design, development and maintenance
* 5 years of experience using web technologies including HTML, JavaScript, CSS, Objective\-C, native iOS, native Android, React native, RxSwift, and MacCatalyst
* 5 years of SQL experience (including Procedures, Triggers, Packages development), HTML5 / CSS3 / Accessible Design (Section 508\) / Responsive Web Design (Bootstrap) experience
* Proficiency in website and web application development and maintenance
* Works effectively in an environment that supports teamwork, cooperation, and trust, along with the ability to work independently
* Manages complex responsibilities well in a demanding and fast paced work environment and adapts well to quickly changing priorities
* Must be a U.S. Citizen
* Must be able to obtain and maintain the Agency clearance
**Preferred Qualifications:**  
* Active Public Trust is a plus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3">
      <c r="A163" t="inlineStr">
        <is>
          <t>in-692b71ab1ed49639</t>
        </is>
      </c>
      <c r="B163" t="inlineStr">
        <is>
          <t>Cloud Software Engineer</t>
        </is>
      </c>
      <c r="C163" t="inlineStr">
        <is>
          <t>Peraton</t>
        </is>
      </c>
      <c r="D163" t="inlineStr">
        <is>
          <t>indeed</t>
        </is>
      </c>
      <c r="E163">
        <f>HYPERLINK("https://www.indeed.com/viewjob?jk=692b71ab1ed49639", "https://www.indeed.com/viewjob?jk=692b71ab1ed49639")</f>
        <v/>
      </c>
      <c r="F163">
        <f>HYPERLINK("https://www.careers.peraton.com/jobs/cloud-software-engineer-annapolis-junction-maryland-163168-jobs--information-technology--", "https://www.careers.peraton.com/jobs/cloud-software-engineer-annapolis-junction-maryland-163168-jobs--information-technology--")</f>
        <v/>
      </c>
      <c r="G163" t="inlineStr">
        <is>
          <t>Annapolis Junction, MD, US</t>
        </is>
      </c>
      <c r="H163" s="3" t="n">
        <v>46050</v>
      </c>
      <c r="I16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The team is seeking a Cloud Software Engineer to:  
* Devise strategies to extract meaning and value from structured and unstructured data
* Leverage statistical methods and/or machine learning to discover patterns and behaviors of entities
* Use query and visualization tools, such as DataXplorer and GMAE, to present question focused datasets in a story\-like manner; work with various domains of metadata to develop new methodologies and techniques for automated data characterization; analyze and develop requirements to support the characterization and ingestion of new and existing data types
* Collaborate with customer teams to understand direct mission needs and requirements
* Devise strategies to extract meaning and value from structured and unstructured data
* Collaborate with customer teams to understand mission needs
* **The team is looking for someone that is knowledgeable with data enrichment/conversion methods, familiar with data ontologies/schemas, strong knowledge of structured data types (XML, CSV, JSON), and has database experience. JAVA/python, analytic development experience, and working knowledge of NIFI are highly desired.****Qualifications**
**Basic Qualifications:**  
* TS/SCI with Polygraph level clearance is required.
* Bachelors plus a minimum of 8 years of development experience is required. A Masters degree in a technical field will be considered equivalent to two (2\) years of experience with a minimum of 4 years of development experience. An additional four years of experience may be considered in lieu of a degree. NOTE: A degree in Mathematics, Information Systems, Engineering, or similar degree will be considered as a technical field.
* Select the software development process in coordination with the customer and system engineering. Ensure quality control of all developed and modified software. Delegate programming and testing responsibilities to one or more teams and monitor their performance.
* Develop simple data queries for existing or proposed databases or data repositories.
**Additional Desired Qualifications:**  
* Analytic development experience using scripting languages such as Python and Scala to use statistical libraries against data.
* Skilled with big data processing frameworks such as Pig, MapReduce and Spark to scale algorithms over large volumes of data.
* Experience employing combination (2 or more) of analysis, computer science, mathematics, and software engineering skills to devise strategies for extracting meaning and value from large datasets.
* Experience with predictive analytics, machine learning, and data mining.
* Skilled with data flows, Pig scripting, Hadoop MapReduce, and various analytic tools.
* Skilled working with development and SE teams, other stakeholders agencies, and leadership.
* Knowledge of data indexing and analytic development.
* Experience working with cloud service providers and data stewards.
* Demonstrated experience in network metadata processing, manipulation, and analysis in support of intelligence analysis.
**Cloud Developer Certification is required, options are listed below:**  
* AWS Certified Developer\-Associate
* AWS DevOps Engineer Professional
* Certified Kubernetes Application Developer (CKAD)
* Elastic Certified Engineer
* **Possession of a Cloud Developer certification is required and will be verified as part of the interview or offer process.**
**Benefits:**  
Peraton offers enhanced benefits to employees supporting this critical National Security program, which include heavily subsidized employee benefits coverage for you and your dependents, a generous PTO plan, and eligibility to participate in an attractive bonus plan.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4">
      <c r="A164" t="inlineStr">
        <is>
          <t>in-7c1f3fe9c8703b49</t>
        </is>
      </c>
      <c r="B164" t="inlineStr">
        <is>
          <t>Senior Backend Engineer</t>
        </is>
      </c>
      <c r="C164" t="inlineStr">
        <is>
          <t>LiveRamp</t>
        </is>
      </c>
      <c r="D164" t="inlineStr">
        <is>
          <t>indeed</t>
        </is>
      </c>
      <c r="E164">
        <f>HYPERLINK("https://www.indeed.com/viewjob?jk=7c1f3fe9c8703b49", "https://www.indeed.com/viewjob?jk=7c1f3fe9c8703b49")</f>
        <v/>
      </c>
      <c r="F164">
        <f>HYPERLINK("https://liveramp.wd5.myworkdayjobs.com/en-US/LiveRampCareers/job/San-Francisco/Senior-Backend-Engineer_JR011983", "https://liveramp.wd5.myworkdayjobs.com/en-US/LiveRampCareers/job/San-Francisco/Senior-Backend-Engineer_JR011983")</f>
        <v/>
      </c>
      <c r="G164" t="inlineStr">
        <is>
          <t>San Francisco, CA, US</t>
        </is>
      </c>
      <c r="H164" s="3" t="n">
        <v>46050</v>
      </c>
      <c r="I164"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Work collaboratively in a small team of engineers developing, maintaining and improving our products.
* Help shape the future of our technology platform.
* Infuse industry best practices into our team processes and development practices.
* Implement integration\-specific business logic, including audience/taxonomy synchronization, delivery workflows (batch, streaming, record sync) tuned to partner rate limits, and platform\-specific error handling.
* Drive architectural design and implementation of our systems and interfaces.
* Foster a positive environment of integrity, empowerment, initiative, and teamwork.
* Provide operational support for our team’s production systems.
* Work with your team and managers to shape your role into a convergence of the company’s needs and your own capabilities, interests, and desires.
* Help rearchitect our existing systems to provide a more powerful and flexible data delivery pipeline at scale.
* Demonstrate operational excellence supporting our production systems.
Your team will:* Design, build and scale LiveRamp’s partner data pipelines that helps deliver customers data to partner platforms faster
* Own LiveRamp’s outbound platform integrations, ensuring seamless connectivity to the world's largest adtech and martech ecosystems.
* Build global solutions that comply with all local regulations.
* Work closely with various internal teams (engineering, product, QE, DevOps, SRE) on product delivery.
* Build products that integrate to the rest of LiveRamp’s Data Collaboration Platform
* Continuously improve the quality, stability, simplicity and performance of our applications and libraries.
About you:* 5\+ years of experience writing and deploying high\-quality production code
* Solid Java or Scala (or Golang where appropriate) programming skills
* 3\+ years of hands on experience in managing and optimizing Big Data ecosystems such as Spark, Hadoop/MR, Kafka
* Distributed Systems Expert: Proven track record of delivering end\-to\-end large\-scale projects and contributing to the design of complex architectures.
* API Specialist: Deep experience building or consuming RESTful APIs, managing OAuth flows, and handling rate limiting/backoff strategies.
* Experience working with multiple teams to understand the requirements and develop solutions
* Demonstrated ability to build sustainable technical solutions that verifiably meet specific, well\-defined business requirements
* Experience selecting and using industry\-standard open source and/or commercial tools and libraries to solve specific problems
* Have made significant and meaningful development contributions to team projects involving distributed systems operating at scale
* Experience with GCP or another cloud provider (AWS, Azure, etc.)
* Solid communicator in relevant technical and product concepts
* Proficiency with Spring Boot
* Good to have experience in Distributed Databases (e.g. Singlestore)
The approximate annual base compensation range is $127,000 to $191,500\. The actual offer, reflecting the total compensation package and benefits, will be determined by a number of factors including the applicant's experience, knowledge, skills, and abilities, geography, as well as internal equity among our team.  
Benefits:*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t>
        </is>
      </c>
    </row>
    <row r="165">
      <c r="A165" t="inlineStr">
        <is>
          <t>in-8a670d29647a7fb4</t>
        </is>
      </c>
      <c r="B165" t="inlineStr">
        <is>
          <t>Senior Software Engineer</t>
        </is>
      </c>
      <c r="C165" t="inlineStr">
        <is>
          <t>Fox Corporation</t>
        </is>
      </c>
      <c r="D165" t="inlineStr">
        <is>
          <t>indeed</t>
        </is>
      </c>
      <c r="E165">
        <f>HYPERLINK("https://www.indeed.com/viewjob?jk=8a670d29647a7fb4", "https://www.indeed.com/viewjob?jk=8a670d29647a7fb4")</f>
        <v/>
      </c>
      <c r="F165">
        <f>HYPERLINK("https://fox.wd1.myworkdayjobs.com/en-US/Domestic/job/Los-Angeles-California-USA/Senior-Software-Engineer_R50031278", "https://fox.wd1.myworkdayjobs.com/en-US/Domestic/job/Los-Angeles-California-USA/Senior-Software-Engineer_R50031278")</f>
        <v/>
      </c>
      <c r="G165" t="inlineStr">
        <is>
          <t>Los Angeles, CA, US</t>
        </is>
      </c>
      <c r="H165" s="3" t="n">
        <v>46050</v>
      </c>
      <c r="I165"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Senior Software Engineer will join the FOX Identity Engineering team, where they will architect, build, and maintain large\-scale, low\-latency API microservices that provide user identity and profile capabilities across FOX’s suite of client applications. This role involves designing highly scalable systems using Golang, with services deployed to AWS via Terraform and hosted on EKS. The infrastructure leverages technologies such as DynamoDB, SQS, SES, and Parameter Store.
As a senior member of the team, the engineer will contribute to system architecture, write high\-quality, tested, and well\-documented APIs, engage in incident response and RCA processes, rotate on\-call duties, and support client engineers. They will participate in team planning and mentor junior engineers to foster growth.
Success in this role requires a strong understanding of OAuth2, OpenID Connect, and the broader identity and access management ecosystem. The ideal candidate will stay current on developments in end\-user identity (e.g., passkeys, MFA) and also develop fluency in the rapidly evolving AI developer tool landscape.
A SNAPSHOT OF YOUR RESPONSIBILITIES* Design and develop systems, working collaboratively with other members of the team
* Troubleshoot and resolve technical issues in systems owned by the team
* Stay up\-to\-date with the latest industry trends and technologies related to identity and access management
* Work cross\-functionally with other teams to integrate Identity services into FOX’s broader product portfolio
* Contribute proactively to design and architecture discussions
* Mentor and coach junior team members
* Partner with leadership to influence priorities and objectives
* Participate in Tier 3 on\-call rotation support for the services you and your team develop and operate
WHAT YOU WILL NEED* At least 5 years of experience in software engineering, with a focus on building and maintaining highly scalable and secure APIs
* Strong problem\-solving and troubleshooting skills
* Professional working experience with the Go programming language
* Strong understanding of OAuth2, OpenID Connect, and related identity and access management technologies
* Strong computer science fundamentals, including algorithms and data structures
* Deep understanding of software design and architecture, with experience evaluating tradeoffs in large\-scale systems
* Experience with SQL and NoSQL databases — preferably DynamoDB and Redis
* Hands\-on experience with AWS or other cloud platforms
* Professional experience working with containers and Kubernetes
* Solid understanding of the software development life cycle (SDLC)
* Familiarity with the evolving generative AI developer tooling ecosystem
NICE TO HAVE, BUT NOT A DEALBREAKER* Experience with the ORY suite of open\-source identity projects
* Frontend development skills
\#Ll\-Hybrid
\#Ll\-CC1*We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$143,000\.00\-200,000\.00 annually.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row>
    <row r="166">
      <c r="A166" t="inlineStr">
        <is>
          <t>in-e2af0a2e61fcb7e0</t>
        </is>
      </c>
      <c r="B166" t="inlineStr">
        <is>
          <t>Staff Software Engineer</t>
        </is>
      </c>
      <c r="C166" t="inlineStr">
        <is>
          <t>FujiFilm</t>
        </is>
      </c>
      <c r="D166" t="inlineStr">
        <is>
          <t>indeed</t>
        </is>
      </c>
      <c r="E166">
        <f>HYPERLINK("https://www.indeed.com/viewjob?jk=e2af0a2e61fcb7e0", "https://www.indeed.com/viewjob?jk=e2af0a2e61fcb7e0")</f>
        <v/>
      </c>
      <c r="F166">
        <f>HYPERLINK("https://uscareers-fujifilm.icims.com/jobs/36683/job?utm_source=indeed_integration&amp;iis=Job%20Board&amp;iisn=Indeed&amp;indeed-apply-token=73a2d2b2a8d6d5c0a62696875eaebd669103652d3f0c2cd5445d3e66b1592b0f", "https://uscareers-fujifilm.icims.com/jobs/36683/job?utm_source=indeed_integration&amp;iis=Job%20Board&amp;iisn=Indeed&amp;indeed-apply-token=73a2d2b2a8d6d5c0a62696875eaebd669103652d3f0c2cd5445d3e66b1592b0f")</f>
        <v/>
      </c>
      <c r="G166" t="inlineStr">
        <is>
          <t>Remote, US</t>
        </is>
      </c>
      <c r="H166" s="3" t="n">
        <v>46050</v>
      </c>
      <c r="I166" t="inlineStr">
        <is>
          <t>Position Overview:
Join FUJIFILM Biotechnologies and help build the digital platforms that accelerate the future of life sciences. We’re looking for a Staff Software Engineer to set technical strategy, lead cross\-team architecture, and deliver modern, full‑stack products used by scientists, engineers, and partners across the biotech ecosystem.  
This is a high‑impact role for an expert technologist who thrives on ownership, clarity of design, and shipping resilient systems at scale. You’ll collaborate closely with product, design, and DevOps to turn complex requirements into intuitive, performant experiences—while raising the bar on engineering excellence across teams.
Company Overview:
The work we do at FUJIFILM Biotechnologies has never been more important—and we are looking for talented candidates to join us. We are growing our locations, our capabilities, and our teams, and looking for passionate, mission\-driven people like you who want to make a real difference in people’s lives.
Join FUJIFILM Biotechnologies and help make the next vaccine, cure, or gene therapy in partnership with some of the most innovative biopharma companies across the globe. We are proud to cultivate a culture that will fuel your passion, energy, and drive \- what we call Genki.  
Fujifilm is globally headquartered in Tokyo with over 70,000 employees across four key business segments of healthcare, electronics, business innovation, and imaging. We are guided and united by our Group Purpose of “giving our world more smiles.” Visit: https://www.fujifilm.com/us/en/about/region/careers
Job Description:
The Staff Software Engineer drives technical strategy and architecture for complex, modern full‑stack web applications and platforms. This role leads cross‑team initiatives and establishes engineering standards while designing and implementing end‑to‑end solutions across front‑end (React, TypeScript, Next.js, MUI) and back‑end (Node.js services, APIs, databases, cloud). It ensures performance, accessibility, security, and reliability at scale, mentors engineers, and collaborates with product, design, and devops to deliver impactful customer outcomes. The position advances CI/CD, testing, observability, and documentation to sustain high‑quality delivery across services.**What You’ll Do**
------------------
* Lead technical strategy and architecture across services and teams; author ADRs, establish standards, and drive alignment to business outcomes.
* Design and implement high‑impact features end‑to‑end across React, TypeScript, Next.js, MUI, and Node.js services (APIs, data layers).
* Define and evolve APIs and integrations (REST/GraphQL), data models (SQL/NoSQL), and service frameworks (Express/NestJS/Fastify) with robust contract testing.
* Build reusable UI component libraries and a design system in MUI with strong accessibility (WCAG) compliance.
* Optimize performance and reliability in Next.js (SSR/SSG where appropriate): profiling, caching, bundle optimization, and latency reduction.
* Advance reliability engineering and observability: instrumentation (OpenTelemetry), dashboards (Datadog/Grafana), SLOs/SLIs, incident response, runbooks, and postmortems.
* Champion secure coding practices and manage authN/authZ across the stack (OWASP, OAuth/OIDC/JWT, secrets management).
* Own testing strategy and CI/CD governance (Jest, React Testing Library, Cypress); strengthen pipeline standards and release automation.
* Design and tune back‑end infrastructure for scale and cost efficiency: caching (Redis), queues/messaging (Kafka/SQS), load balancing, horizontal scaling, and cloud cost/perf optimization.
* Communicate decisions clearly through documentation, tech talks, and stakeholder alignment; mentor engineers and model best practices.
**What You’ll Bring**
---------------------
* Bachelor’s degree in Computer Science or related field.
* 10\+ years of professional software engineering experience delivering production systems end‑to‑end.
* Expert proficiency in React, TypeScript, Next.js, Node.js, and MUI.
* Demonstrated leadership in system architecture, cross‑team initiatives, and performance optimization across front‑end and back‑end.
* Experience with API design (REST/GraphQL), data modeling (SQL/NoSQL), and service frameworks (Express/NestJS/Fastify).
* Familiarity with cloud platforms (AWS/GCP/Azure), containers (Docker), orchestration (Kubernetes), and Infrastructure as Code (Terraform/CloudFormation).
* Strong experience automated testing, CI/CD, observability, and security best practices (OWASP).
* Excellent communication, collaboration, and technical mentorship with a product‑centric mindset.
Our programs are designed to focus on maintaining and enhancing all pillars of health with a robust benefits package including medical, dental, vision and prescription drug coverage with the option of a Health Savings Account with company contributions. In addition, we offer an industry leading 401(k) savings plan, insurance coverage, employee assistance programs and various wellness incentives. We support life\-work balance with paid vacation time, sick time, and company holidays. Explore a supportive environment that enriches both your personal and professional growth!  
This is a global position that will support all our FLBG sites. This position can be based at any of our locations around the globe. Benefits and compensation will be governed by the location that you are based from and considered your home site.  
The US salary range for this position is $120,000 to $207,000\. Pay within this range varies by work location and may also depend on job\-related knowledge, skills, and experience.  
As part of any recruitment process, FUJIFILM Biotechnologies collects and processes personal data relating to job applicants. The organisation is committed to being transparent about how it collects and uses that data and to meeting its data protection obligations and may share this as part of the global recruitment process with hiring managers in Europe and the United States.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(fdbglobaltalent@fujifilm.com).</t>
        </is>
      </c>
    </row>
    <row r="167">
      <c r="A167" t="inlineStr">
        <is>
          <t>in-0a7eeaa20ddccc34</t>
        </is>
      </c>
      <c r="B167" t="inlineStr">
        <is>
          <t>GPU Server Test Software Engineer</t>
        </is>
      </c>
      <c r="C167" t="inlineStr"/>
      <c r="D167" t="inlineStr">
        <is>
          <t>indeed</t>
        </is>
      </c>
      <c r="E167">
        <f>HYPERLINK("https://www.indeed.com/viewjob?jk=0a7eeaa20ddccc34", "https://www.indeed.com/viewjob?jk=0a7eeaa20ddccc34")</f>
        <v/>
      </c>
      <c r="F167">
        <f>HYPERLINK("https://www.paycomonline.net/v4/ats/web.php/jobs/ViewJobDetails?job=13943&amp;clientkey=DADBB204E9B3CB62E7CCEAEB67B59565&amp;source=Indeed", "https://www.paycomonline.net/v4/ats/web.php/jobs/ViewJobDetails?job=13943&amp;clientkey=DADBB204E9B3CB62E7CCEAEB67B59565&amp;source=Indeed")</f>
        <v/>
      </c>
      <c r="G167" t="inlineStr">
        <is>
          <t>Fort Worth, TX, US</t>
        </is>
      </c>
      <c r="H167" s="3" t="n">
        <v>46050</v>
      </c>
      <c r="I167" t="inlineStr">
        <is>
          <t>**GPU Server Test Software Engineer**
-------------------------------------
**Reports to:** Manager – Testing Tech. Dev. Department
**Location:** WUS Wistron – 15200 Heritage Pkwy, Fort Worth, TX 76177  
**Employment Type:** Full\-Time
### **Summary**
We are seeking a **GPU Server Test Software Engineer** to join our team at Wistron in Fort Worth. This role focuses on GPU server testing diagnostic integration, test automation development, and execute comprehensive test plan and test cases to ensure product quality.
### **Key Responsibilities**
* **Test Planning \&amp; Execution:** Plan and execute test plans and test cases.
* **Test Automation:** Develop and maintain automated test scripts to improve testing efficiency and coverage.
* **Program Deployment:** Deploy and manage test software on the manufacturing/production line.
* **Custom Tool Development:** Design and create specialized test tools, including GPU/PCIe diagnostic utilities.
* **Troubleshooting \&amp; Failure Analysis:** Investigate, diagnose, and resolve diagnostic (DIAG) test failures by identifying root causes and implementing solutions.
### **Qualifications**
* Experience working with **servers, data centers, or test system equipment** for OEMs or manufacturers.
### **Education \&amp; Experience**
* **Education:** Bachelor's Degree (or above) in Computer Science, Electrical Engineering, or a related discipline.
* **Experience:** 1\+ years of relevant professional experience.
### **Required Technical Skills**
* **Technical Skills Include Programming Languages/Tools:** Proficiency in Python, Bash Shell Scripting, Git, and Jenkins.
* **Operating Systems:** Proficient in Linux environments.
* **Hardware/Networking:** Fundamental knowledge of server/network architecture and skill in remote troubleshooting.
### **Key Performance Indicators (KPIs)**
* **Integration Accuracy:** 100% compliance with customer requirements and internal standards.
* **Project Timeliness:** Deliver integrated test programs within agreed timelines.
* **Error Rate:** Maintain less than 2% error rate in integrated test programs.
* **Customer Satisfaction:** Positive feedback on integration quality and responsiveness.
* **Cross\-Team Collaboration:** Active participation in more less than 90% of scheduled project meetings.
### **Benefits**
* Competitive salary and performance\-based bonuses
* Comprehensive health, dental, and vision insurance
* 401(k) retirement plan with company match
* Paid time off and holidays
* Professional development and training opportunities
* Employee wellness programs
### **Working Conditions**
* Standard office environment with occasional lab work
* May require handling of server components and test equipment
* Flexible schedule with occasional overtime during critical project phases
* Collaborative team setting with cross\-functional interaction
### **Equal Employment Opportunity (EEO)**
Wistron InfoComm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168">
      <c r="A168" t="inlineStr">
        <is>
          <t>in-0a73dc21d8a7892b</t>
        </is>
      </c>
      <c r="B168" t="inlineStr">
        <is>
          <t>Senior Software Engineer</t>
        </is>
      </c>
      <c r="C168" t="inlineStr">
        <is>
          <t>VTG Defense</t>
        </is>
      </c>
      <c r="D168" t="inlineStr">
        <is>
          <t>indeed</t>
        </is>
      </c>
      <c r="E168">
        <f>HYPERLINK("https://www.indeed.com/viewjob?jk=0a73dc21d8a7892b", "https://www.indeed.com/viewjob?jk=0a73dc21d8a7892b")</f>
        <v/>
      </c>
      <c r="F168">
        <f>HYPERLINK("https://careers.vtgdefense.com/jobs/8245/job?utm_source=indeed_integration&amp;iis=Job%20Board&amp;iisn=Indeed&amp;indeed-apply-token=73a2d2b2a8d6d5c0a62696875eaebd669103652d3f0c2cd5445d3e66b1592b0f", "https://careers.vtgdefense.com/jobs/8245/job?utm_source=indeed_integration&amp;iis=Job%20Board&amp;iisn=Indeed&amp;indeed-apply-token=73a2d2b2a8d6d5c0a62696875eaebd669103652d3f0c2cd5445d3e66b1592b0f")</f>
        <v/>
      </c>
      <c r="G168" t="inlineStr">
        <is>
          <t>Fort Meade, MD, US</t>
        </is>
      </c>
      <c r="H168" s="3" t="n">
        <v>46050</v>
      </c>
      <c r="I168" t="inlineStr">
        <is>
          <t>Overview:
Triaplex, Inc. (A wholly owned subsidiary of VTG) is looking for an experienced and adaptive Software Engineer to join our team. This position will support a mission\-focused customer deploying cutting edge systems.  
Responsibilities:
Key Responsibilities* Analyze user requirements to derive software design and performance requirements
* Debug existing software and correct defects using a variety of programming languages
* Create and maintain a scalable, high\-availability, mission system using modern system design principles.
* Create docker containers and/or Kubernetes pods and clusters.
* Provide recommendations for improving documentation and software development process standards
* Assist with developing and executing test procedures for software components
* Design, develop and modify software systems, using scientific analysis and mathematical models to predict and measure outcome and consequences of design
* Confer with system engineers and hardware engineers to derive software requirements and to obtain information on project limitations and capabilities, performance requirements and interfaces
* Generate automation scripts as appropriate to improve workflow and efficiency.
* Generate automate scripts as appropriate to improve workflow and efficiency.
Qualifications:  
Required Qualifications:
TS/SCI with Poly required  
8\+ years experience as a SWE with Bachelors , 4 years can be substituted in lieu of Bachelors
Experience with:* Grafana
* Bash
* Python
* Javascript</t>
        </is>
      </c>
    </row>
    <row r="169">
      <c r="A169" t="inlineStr">
        <is>
          <t>in-f5748c0824c8f936</t>
        </is>
      </c>
      <c r="B169" t="inlineStr">
        <is>
          <t>FULL STACK SOFTWARE ENGINEER</t>
        </is>
      </c>
      <c r="C169" t="inlineStr">
        <is>
          <t>North East Medical Services</t>
        </is>
      </c>
      <c r="D169" t="inlineStr">
        <is>
          <t>indeed</t>
        </is>
      </c>
      <c r="E169">
        <f>HYPERLINK("https://www.indeed.com/viewjob?jk=f5748c0824c8f936", "https://www.indeed.com/viewjob?jk=f5748c0824c8f936")</f>
        <v/>
      </c>
      <c r="F169">
        <f>HYPERLINK("https://www.paycomonline.net/v4/ats/web.php/jobs/ViewJobDetails?job=101263&amp;clientkey=6E954C497BEB1CC1EFFCD161606A4897&amp;source=Indeed", "https://www.paycomonline.net/v4/ats/web.php/jobs/ViewJobDetails?job=101263&amp;clientkey=6E954C497BEB1CC1EFFCD161606A4897&amp;source=Indeed")</f>
        <v/>
      </c>
      <c r="G169" t="inlineStr">
        <is>
          <t>Daly City, CA, US</t>
        </is>
      </c>
      <c r="H169" s="3" t="n">
        <v>46050</v>
      </c>
      <c r="I169" t="inlineStr">
        <is>
          <t>The Full Stack Software Engineer will help design, develop, test and deploy software for patients, staff and other businesses. They will work with new technologies and architectures in a forward\-thinking organization. They will be tasked in understanding the business objective to improve patient outcomes and provide excellent experiences. They will experience building products across the stack and a firm understanding web technologies, APIs, databases, modern development practices. They will be responsible to take ownership of projects and build secure, scalable, and reliable software/services.
**ESSENTIAL JOB FUNCTIONS:**
* Work across the full stack, building highly scalable distributed solutions that enable positive user experiences
* Participate in all aspects of agile software development including design, implementation, and deployment
* Building end\-to\-end systems optimized for speed and scale
* Assume leadership of new projects from conceptualization to deployment
* Work with software written in Java and TypeScript/JavaScript
* Collaborate with the NEMS Clinical, Operations, and Technology teams in various projects
* Develop new features in support of rapidly emerging business and project requirements
* Ensure application performance, uptime, and scale, maintaining high standards of code quality and thoughtful application design
* Work with agile development methodologies, adhering to best practices, and pursuing continued learning opportunities
* Performs other job duties as required by manager/supervisor.
* Bachelor’s degree in computer science, information technology or STEM program
* 2\+ years of experience building large\-scale software applications
* 2\+ years of experience with SQL relational databases like MySQL, Postgres, or MS SQL
* 2\+ years of Front\-end (UX/UI) development
* Proven ability to deliver production software application/services
* Experience using version control like Git/Github
* Experience building web applications/services
* Experience designing and integrating RESTful APIs
* Excellent debugging, optimization skills, and developing Unit/integration testing code
* Strong communication skills both written and verbal with the ability to convey technical concepts to non\-technical people
* Knowledge of TypeScript/JavaScript, ReactJS, Java
* Knowledge of other programming languages is a plus
* Knowledge of HL7 FHIR is a plus
* Professional certifications
* Understanding of HIPAA and privacy
* Experience in cloud infrastructure and deployments like AWS or Azure
**LANGUAGE:**
* Must be able to fluently speak, read and write English.
* Fluent in Chinese (Cantonese and/or Mandarin), Vietnamese, Spanish and other languages may be required depending on location.
* Fluency in other languages are an asset.
**STATUS:**
* This is an FLSA Exempt position.
* This is not an OSHA high\-risk position.
This is a Full Time position.  
* 
NEMS is proud to be an Equal Opportunity Employer welcoming diversity in our workforce. Pursuant to the San Francisco Fair Chance Ordinance, we will consider for employment qualified applicants with arrest and conviction records.
NEMS BENEFITS: Competitive benefits, including free medical, dental and vision insurance for employee, spouse and/or children; and company contribution to 401(k).
\#LI\-DNI</t>
        </is>
      </c>
    </row>
    <row r="170">
      <c r="A170" t="inlineStr">
        <is>
          <t>in-fc61031c30c5bef6</t>
        </is>
      </c>
      <c r="B170" t="inlineStr">
        <is>
          <t>Sr Software Developer (Java / Go)</t>
        </is>
      </c>
      <c r="C170" t="inlineStr">
        <is>
          <t>SAS</t>
        </is>
      </c>
      <c r="D170" t="inlineStr">
        <is>
          <t>indeed</t>
        </is>
      </c>
      <c r="E170">
        <f>HYPERLINK("https://www.indeed.com/viewjob?jk=fc61031c30c5bef6", "https://www.indeed.com/viewjob?jk=fc61031c30c5bef6")</f>
        <v/>
      </c>
      <c r="F170">
        <f>HYPERLINK("https://careers-sas.icims.com/jobs/41258/job?utm_source=indeed_integration&amp;iis=Job%20Board&amp;iisn=Indeed&amp;indeed-apply-token=73a2d2b2a8d6d5c0a62696875eaebd669103652d3f0c2cd5445d3e66b1592b0f", "https://careers-sas.icims.com/jobs/41258/job?utm_source=indeed_integration&amp;iis=Job%20Board&amp;iisn=Indeed&amp;indeed-apply-token=73a2d2b2a8d6d5c0a62696875eaebd669103652d3f0c2cd5445d3e66b1592b0f")</f>
        <v/>
      </c>
      <c r="G170" t="inlineStr">
        <is>
          <t>Cary, NC, US</t>
        </is>
      </c>
      <c r="H170" s="3" t="n">
        <v>46050</v>
      </c>
      <c r="I170" t="inlineStr">
        <is>
          <t>:
**Sr Software Developer (Java / Go)\-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Customer Impact Engineering team is a small, dynamic team looking for a Sr Software Developer to bring their Go, Java and Kubernetes knowledge with innovation to satisfy critical customer needs. Our team is the front line for our most strategic customers, bridging urgent business needs with deep technical understanding. This team is responsible for handling high\-priority feature requests that arise outside the typical development pipeline.
We focus on rapidly understanding the why behind each request, creatively solving customer challenges, and identifying opportunities to deliver value—whether by leveraging existing platform capabilities or by designing and delivering new features within the Platform Services domain—the core of SAS’s latest Viya software.
 **As a Senior Software Developer, you will:**
* Work collaboratively with cross\-functional teams including product management, customer account managers, technical support analysts, and fellow developers to deliver secure, high\-quality software solutions for SAS’ entire product portfolio.
* Design and develop high quality, testable and scalable software solutions within established timelines.
* Be aware of and adhere to R\&amp;D best practices and processes.
* Actively use AI tools to elevate and enhance your work on a daily basis.
* Stay current with emerging security threats, vulnerabilities, and industry best practices, applying this knowledge to strengthen our platforms.
* Ensure quality through functional, unit and performance testing; work closely with team SDET (Software Development Engineer in Test) by providing thorough reviews of the test plan and communicate when updates to the plan should be made to cover code changes related to enhancements, redesigns and/or bug fixes.
* Maintain accountability for the entire life cycle of the code including support for both internal and external consumers.
* Be encouraged to participate in open\-source projects on behalf of SAS.
* Ensure all applicable security policies and processes are followed to support the organization's secure software development goals
* Embrace curiosity, passion, authenticity and accountability. These are our values and influence everything we do.
**Required qualifications:**
* Bachelor’s degree in Computer Science or a related field
* 8\+ years of professional software development experience
* 8 years of experience contributing across the full Software Development Life Cycle in any combination of areas of the software development stack, preferably with Java and/or Go
* Approach every task with a quality\-first mindset
* Experience using IDE’s such as VSCode with integrated AI chat capabilities
* Experience with agile software development
* Experience with Continuous Integration and Delivery tools such as Git/Gerrit/Jenkins, Github, Gitlab, or similar
* Strong proficiency in Java and object\-oriented programming principles
* Solid understanding of software development tools, methodologies (Agile/Scrum), and design principles
* Equivalent combination of related education, training and experience may be considered in place of the above qualifications.
**Additional competencies, knowledge and skills**
* Problem Solving: Exceptional aptitude for problem solving and debugging of complex multitiered software applications.
* Adaptability: Ability to pivot quickly and seamlessly as projects and business needs dictate.
* Organization: Detail oriented and well\-organized with a strong ability to prioritize, plan, and execute tasks.
* Communication: Excellent communication skills with ability to explain complex technical concepts to both technical and non\-technical audiences
* Technology Savvy: Stay current with emerging security threats, vulnerabilities, and industry best practices, applying this knowledge to strengthen our platforms
* Collaboration: Ability to work independently as part of a team while mentoring other team members
* Gather, analyze, and interpret information to identify problems or opportunities; set decision criteria, evaluate options, and choose promptly; act based on facts and constraints to achieve optimal results.
* Experience with REST APIs design and implementation.
* Experience contributing at multiple levels of the software stack throughout your career with languages like Java or GO.
* Experience with building and orchestrating containers using technologies such as docker and Kubernetes
* Experience with cloud architecture and at least one major public cloud provider. Preferably Azure.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\#SAS</t>
        </is>
      </c>
    </row>
    <row r="171">
      <c r="A171" t="inlineStr">
        <is>
          <t>in-f9121d5589afb4ed</t>
        </is>
      </c>
      <c r="B171" t="inlineStr">
        <is>
          <t>Staf Software Engineer, iOS DevXP</t>
        </is>
      </c>
      <c r="C171" t="inlineStr">
        <is>
          <t>Salesforce</t>
        </is>
      </c>
      <c r="D171" t="inlineStr">
        <is>
          <t>indeed</t>
        </is>
      </c>
      <c r="E171">
        <f>HYPERLINK("https://www.indeed.com/viewjob?jk=f9121d5589afb4ed", "https://www.indeed.com/viewjob?jk=f9121d5589afb4ed")</f>
        <v/>
      </c>
      <c r="F171">
        <f>HYPERLINK("https://salesforce.wd12.myworkdayjobs.com/en-US/External_Career_Site/job/California---San-Francisco/Staf-Software-Engineer--iOS-DevXP_JR327610-2", "https://salesforce.wd12.myworkdayjobs.com/en-US/External_Career_Site/job/California---San-Francisco/Staf-Software-Engineer--iOS-DevXP_JR327610-2")</f>
        <v/>
      </c>
      <c r="G171" t="inlineStr">
        <is>
          <t>San Francisco, CA, US</t>
        </is>
      </c>
      <c r="H171" s="3" t="n">
        <v>46050</v>
      </c>
      <c r="I17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Job Description
We are looking for people who are passionate about building strong, sustainable developer tooling for the Slack iOS, which is used by millions of people every day. The iOS Developer Experience(DevXP) team enables feature engineers at Slack to tackle complicated problems quickly without needing to reinvent the wheel. We’re looking for engineers who specialize in iOS tooling and Bazel build systems!
As an DevXP engineer, you like building developer workflow tools and work towards making iOS development best at Slack. You excel in leading others and derive joy from mentoring and growing other iOS engineers. You set a high bar for the technical design and code quality of your team. You demonstrate exceptional ownership of not only the area of your team, but across Slack’s entire iOS codebase. You have a “can do” demeanor and nothing is beneath you or outside your responsibilities because you do what it takes to deliver the highest quality code and the most impactful features. You are self\-directed, innovative, and biased towards action in fast\-paced environments. You love to build new things and thrive in ambiguity and even failure.
**What You Should Have:**
* 10\+ years of experience building and maintaining complex iOS tooling from CI to CD
* Deep expertise with Swift, Bazel, Python and Xcode tools
* Experience with AI tools like Claude Code, scripting (Python/bash etc)
* Ability to monitor and improve KPIs such as CI stability, TimeToMerge, and build time metrics.
* Deep familiarity with the Apple ecosystem, CI/CD pipelines, and automated testing tools
**Bonus Points:**
* Experience using Slack and a keen interest in making it better
* Prior experience in iOS developer experience role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$216,300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172">
      <c r="A172" t="inlineStr">
        <is>
          <t>in-45660f0cfa93296b</t>
        </is>
      </c>
      <c r="B172" t="inlineStr">
        <is>
          <t>Software Engineer In Test II</t>
        </is>
      </c>
      <c r="C172" t="inlineStr">
        <is>
          <t>Vyne</t>
        </is>
      </c>
      <c r="D172" t="inlineStr">
        <is>
          <t>indeed</t>
        </is>
      </c>
      <c r="E172">
        <f>HYPERLINK("https://www.indeed.com/viewjob?jk=45660f0cfa93296b", "https://www.indeed.com/viewjob?jk=45660f0cfa93296b")</f>
        <v/>
      </c>
      <c r="F172">
        <f>HYPERLINK("https://www.paycomonline.net/v4/ats/web.php/jobs/ViewJobDetails?job=332336&amp;clientkey=8123237EE194AEF90E36ACA57C5464AE&amp;source=Indeed", "https://www.paycomonline.net/v4/ats/web.php/jobs/ViewJobDetails?job=332336&amp;clientkey=8123237EE194AEF90E36ACA57C5464AE&amp;source=Indeed")</f>
        <v/>
      </c>
      <c r="G172" t="inlineStr">
        <is>
          <t>Atlanta, GA, US</t>
        </is>
      </c>
      <c r="H172" s="3" t="n">
        <v>46050</v>
      </c>
      <c r="I172" t="inlineStr">
        <is>
          <t>**Title of Position:** Software Engineer in Test II
**Managerial Responsibilities:** None
**Job Family:** Engineering
**Discipline:** Software Engineer in Test
**Classification:** Exempt
**GENERAL SUMMARY**
Responsible for designing and implementing automated test cases for software modules, collaborating on testing priorities, executing tests, reporting defects, keeping current with testing technologies, and reviewing code.
**DUTIES \&amp; RESPONSIBILITIES:**
* Design and implement automated and manual test cases to ensure the quality of software products
* Collaborate with software engineers and other stakeholders to define and prioritize testing efforts
* Write clear and concise test plans and test cases
* Execute automated and manual tests and report on test results
* Reproduce and report software defects and work with software engineers to ensure their resolution
* Stay up\-to\-date with emerging testing technologies and methodologies
* Participate in code reviews and provide feedback to software engineers on testability and quality
* Maintain compliance with the knowledge requirements outlined on the department intranet site
* Other duties as assigned.
**EDUCATION, KNOWLEDGE AND SKILLS:**
* Minimum of 2\+ years of experience in a related position
* Advanced in one programming language(s) such as JavaScript, Java, C\#, etc.
* Intermediate level knowledge of software testing methodologies and techniques
* Intermediate level experience with automated testing tools and frameworks
* Advanced level problem\-solving skills
* Intermediate level ability to write clear and concise test plans and test cases
* Intermediate level communication and interpersonal skills
* high level of integrity and dependability with a strong sense of urgency and results\-orientation.
* Intermediate level ability to work effectively in a team environment.
* Applicable Bachelors Degree in Engineering, or equivalent experience
**PHYSICAL DEMANDS:**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color vision, peripheral vision, depth perception and ability to adjust focus.
**WORK ENVIRONMENT:**
The work environment characteristics described are representative of those an employee may encounter while performing the essential functions of this job. Reasonable accommodations may be made to enable individuals with disabilities to perform the essential functions. The noise level in the work environment is usually moderate.
**SECURITY ROLE / RESPONSIBILITY:**
* **Protected Health Information (“PHI”):** This position may have access to and be responsible for the security of PHI/PI on an incidental basis.
* **Human Resource Information:** This position may have access to and be responsible for the security of information including salary, insurance, reviews, resumes.
* **Financial Admin:** This position may have access to and be responsible for the security of financial administrative accounts and corporate accounts.
* **Application Admin:** This position may have access to and be responsible for securely administering user access to corporate applications.
Vyne Dental provides equal employment opportunities (EEO) to all employees and applicants for employment without regard to race, color, religion, sex (including pregnancy, gender identity, and sexual orientation), national origin, age, disability, genetics, or veteran status. In addition to federal law requirements, Vyne Dental follows applicable state and local laws governing nondiscrimination in employment in every location in which the company has facilities.</t>
        </is>
      </c>
    </row>
    <row r="173">
      <c r="A173" t="inlineStr">
        <is>
          <t>in-d1b79c474948f678</t>
        </is>
      </c>
      <c r="B173" t="inlineStr">
        <is>
          <t>Software Engineer</t>
        </is>
      </c>
      <c r="C173" t="inlineStr">
        <is>
          <t>Booz Allen Hamilton</t>
        </is>
      </c>
      <c r="D173" t="inlineStr">
        <is>
          <t>indeed</t>
        </is>
      </c>
      <c r="E173">
        <f>HYPERLINK("https://www.indeed.com/viewjob?jk=d1b79c474948f678", "https://www.indeed.com/viewjob?jk=d1b79c474948f678")</f>
        <v/>
      </c>
      <c r="F173">
        <f>HYPERLINK("https://careers.boozallen.com/careers/JobDetail?jobId=120153", "https://careers.boozallen.com/careers/JobDetail?jobId=120153")</f>
        <v/>
      </c>
      <c r="G173" t="inlineStr">
        <is>
          <t>Aurora, CO, US</t>
        </is>
      </c>
      <c r="H173" s="3" t="n">
        <v>46050</v>
      </c>
      <c r="I173" t="inlineStr">
        <is>
          <t>Software Engineer**The Opportunity:**
Booz Allen is looking for a Software Engineer who is driven by purpose and ready to build software that directly supports mission‑critical operations across the space domain. In this role, you’ll design, develop, and enhance the software developed for ground systems and the real‑time capabilities that space missions rely on.
You’ll take ownership of complex engineering challenges, from modernizing legacy components to architecting new mission‑focused capabilities that improve performance, resilience, and operational speed. Your work will shape how data is processed, how systems communicate, and how mission teams execute with precision.
This role is built for someone who thrives on solving hard problems, embraces innovation, and understands the responsibility of building software that must perform flawlessly. If you’re motivated by mission impact, energized by technical depth, and ready to engineer solutions that advance GEOINT and space operations, we want to meet you.
Work with us as we shape systems for the better.
Join us. The world can’t wait.
**You Have:**
* 3\+ years of experience in software development with programming languages, including Java, Python, Rust, or GO
* Experience transitioning legacy applications to a modernized microservice\-based architecture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Top Secret clearance
* Bachelor's degree in CS or Software Engineering and 3\+ years of experience in software engineering, or 7\+ years of experience in software engineering in lieu of a degree
**Nice If You Have:**
* Experience operating within an Agile environment
* Experience with Linux\-based systems, containers, and orchestration tools, including Docker or Kubernetes
* Experience designing, modifying, developing, writing, and implementing software programming applications
* Experience acquiring client requirements and resolving workflow problems through automation optimization
* Experience working within a Cloud Solution Provider (CSP), including AWS, Azure, or Google
* Experience with C\#, C, C\+\+, JavaScript, React, or Node.JS
* Ability to work with automated testing tools to perform testing and maintenance
* TS/SCI clearance with a polygraph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4">
      <c r="A174" t="inlineStr">
        <is>
          <t>in-dae0cec7637afdf8</t>
        </is>
      </c>
      <c r="B174" t="inlineStr">
        <is>
          <t>Software Engineer</t>
        </is>
      </c>
      <c r="C174" t="inlineStr">
        <is>
          <t>Booz Allen Hamilton</t>
        </is>
      </c>
      <c r="D174" t="inlineStr">
        <is>
          <t>indeed</t>
        </is>
      </c>
      <c r="E174">
        <f>HYPERLINK("https://www.indeed.com/viewjob?jk=dae0cec7637afdf8", "https://www.indeed.com/viewjob?jk=dae0cec7637afdf8")</f>
        <v/>
      </c>
      <c r="F174">
        <f>HYPERLINK("https://careers.boozallen.com/careers/JobDetail?jobId=120117", "https://careers.boozallen.com/careers/JobDetail?jobId=120117")</f>
        <v/>
      </c>
      <c r="G174" t="inlineStr">
        <is>
          <t>Chantilly, VA, US</t>
        </is>
      </c>
      <c r="H174" s="3" t="n">
        <v>46050</v>
      </c>
      <c r="I174" t="inlineStr">
        <is>
          <t>Software Engineer**The Opportunity:**
Booz Allen is looking for a Software Engineer who is driven by purpose and ready to build software that directly supports mission‑critical operations across the space domain. In this role, you’ll design, develop, and enhance the software developed for ground systems and the real‑time capabilities that space missions rely on.
You’ll take ownership of complex engineering challenges — from modernizing legacy components to architecting new mission‑focused capabilities that improve performance, resilience, and operational speed. Your work will shape how data is processed, how systems communicate, and how mission teams execute with precision.
This role is built for someone who thrives on solving hard problems, embraces innovation, and understands the responsibility of building software that must perform flawlessly. If you’re motivated by mission impact, energized by technical depth, and ready to engineer solutions that advance GEOINT and space operations, we want to meet you.
Work with us as we shape systems for the better.
Join us. The world can’t wait.
**You Have:**
* 3\+ years of experience in software development with programming languages such as Java, Python, Rust, JavaScript, or GO
* Experience transitioning legacy applications to a modernized microservice\-based architecture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Top Secret clearance
* HS diploma or GED
**Nice If You Have:**
* Experience operating within an Agile environment
* Experience with Linux\-based systems, containers, and orchestration tools, including Docker or Kubernetes
* Experience designing, modifying, developing, writing, and implementing software programming applications
* Experience acquiring client requirements and resolving workflow problems through automation optimization
* Experience working within a Cloud Solution Provider (CSP), including AWS, Azure, or Google
* Experience with C\#, C, C\+\+, JavaScript, React, or Node.JS
* Ability to work with automated testing tools to perform testing and maintenance
* TS/SCI clearance with a polygraph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5">
      <c r="A175" t="inlineStr">
        <is>
          <t>in-f47f8dc39fab1b49</t>
        </is>
      </c>
      <c r="B175" t="inlineStr">
        <is>
          <t>Full-Stack Software Engineer</t>
        </is>
      </c>
      <c r="C175" t="inlineStr">
        <is>
          <t>Booz Allen Hamilton</t>
        </is>
      </c>
      <c r="D175" t="inlineStr">
        <is>
          <t>indeed</t>
        </is>
      </c>
      <c r="E175">
        <f>HYPERLINK("https://www.indeed.com/viewjob?jk=f47f8dc39fab1b49", "https://www.indeed.com/viewjob?jk=f47f8dc39fab1b49")</f>
        <v/>
      </c>
      <c r="F175">
        <f>HYPERLINK("https://careers.boozallen.com/careers/JobDetail?jobId=120042", "https://careers.boozallen.com/careers/JobDetail?jobId=120042")</f>
        <v/>
      </c>
      <c r="G175" t="inlineStr">
        <is>
          <t>Fort Meade, MD, US</t>
        </is>
      </c>
      <c r="H175" s="3" t="n">
        <v>46050</v>
      </c>
      <c r="I175" t="inlineStr">
        <is>
          <t>Full\-Stack Software Engineer**The Opportunity:**
As a full\-stack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an appetite to learn and the skills needed to develop software and systems from vision to production ready.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and future functionality and enhancements.
Work with us as we shape systems for the better.
Join us. The world can’t wait.
**You Have:**
* Experience developing or working with software in a Linux environment
* Knowledge of C\+\+ and Java programming languages
* Knowledge of two or more scripting languages such as Shell, JavaScript, Bash, Python, or Perl
* TS/SCI clearance with a polygraph
* Bachelor's degree in a CS field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6">
      <c r="A176" t="inlineStr">
        <is>
          <t>in-59244bafa2e35a4f</t>
        </is>
      </c>
      <c r="B176" t="inlineStr">
        <is>
          <t>University, Software Developer</t>
        </is>
      </c>
      <c r="C176" t="inlineStr">
        <is>
          <t>Booz Allen Hamilton</t>
        </is>
      </c>
      <c r="D176" t="inlineStr">
        <is>
          <t>indeed</t>
        </is>
      </c>
      <c r="E176">
        <f>HYPERLINK("https://www.indeed.com/viewjob?jk=59244bafa2e35a4f", "https://www.indeed.com/viewjob?jk=59244bafa2e35a4f")</f>
        <v/>
      </c>
      <c r="F176">
        <f>HYPERLINK("https://careers.boozallen.com/careers/JobDetail?jobId=120055", "https://careers.boozallen.com/careers/JobDetail?jobId=120055")</f>
        <v/>
      </c>
      <c r="G176" t="inlineStr">
        <is>
          <t>McLean, VA, US</t>
        </is>
      </c>
      <c r="H176" s="3" t="n">
        <v>46050</v>
      </c>
      <c r="I176" t="inlineStr">
        <is>
          <t>University, Software Developer**The Opportunity:**  
Are you looking for an opportunity to not just develop software, but to help create a system that will have a positive impact? As a Software Developer on our team, you can solve a problem with a complete end\-to\-end solution in a dynamic, agile environment. We’re looking for someone with the skills needed to develop and improve technology from vision to production\-ready system.  
This role is more than just coding. We need a Software Developer who will use their passion to learn new tools and techniques and identify needed system improvements. Using a variety of technical skills, you’ll work with the development team to create technical solutions for our clients. You’ll analyze the needs and the environment to help make sure the solution the team develops considers the current architecture and operating environment, as well as future functionality and enhancements. Join us as we develop systems to change the world for the better.
Join us. The world can’t wait.
 **You Have:**
* Experience with programming languages or frameworks, including Python, GoLang, Java, C, C\+\+, Spring, React.js, Node.js, or Angular.js
* Experience with using Microsoft Office, including Outlook, Word, Excel, and PowerPoint
* Knowledge of systems development life cycle methodologies and associated activities
* Ability to obtain a Secret clearance
* Scheduled to obtain a Bachelor's degree by Spring 2026 or Summer 2026
**Nice If You Have:**
* Knowledge of Agile development
* Knowledge of Cloud platforms and operating systems
* Knowledge of databases, including SQL or Oracle
* Pursuing a Bachelor’s degree in Computer Science, Computer Engineering, Computer Information Systems, IT, or a related field preferred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$53,000\.00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7">
      <c r="A177" t="inlineStr">
        <is>
          <t>in-bccf67246a1ddda1</t>
        </is>
      </c>
      <c r="B177" t="inlineStr">
        <is>
          <t>IBM Software Developer</t>
        </is>
      </c>
      <c r="C177" t="inlineStr">
        <is>
          <t>Booz Allen Hamilton</t>
        </is>
      </c>
      <c r="D177" t="inlineStr">
        <is>
          <t>indeed</t>
        </is>
      </c>
      <c r="E177">
        <f>HYPERLINK("https://www.indeed.com/viewjob?jk=bccf67246a1ddda1", "https://www.indeed.com/viewjob?jk=bccf67246a1ddda1")</f>
        <v/>
      </c>
      <c r="F177">
        <f>HYPERLINK("https://careers.boozallen.com/careers/JobDetail?jobId=120060", "https://careers.boozallen.com/careers/JobDetail?jobId=120060")</f>
        <v/>
      </c>
      <c r="G177" t="inlineStr">
        <is>
          <t>McLean, VA, US</t>
        </is>
      </c>
      <c r="H177" s="3" t="n">
        <v>46050</v>
      </c>
      <c r="I177" t="inlineStr">
        <is>
          <t>IBM Software Developer**The Opportunity:**
Maintain responsibility for designing, building, and implementing business process management solutions using IBM's Business Process Manager (BPM) and the newer Business Automation Workflow (BAW) platforms. Translate business requirements into technical designs, developing Coaches UI, integrating various systems, and maintaining the software development lifecycle (SDLC) for process automation. Transform business process management (BPM) and integration technologies into essential working models. Due to the nature of work performed within this facility, U.S. citizenship is required.
**You Have:**
* 5\+ years of experience with IBM BPM or BAW including responsive coaches, app migrations, REST, SOAP, Java integration, BPD development, Decision Gateways, BPMN, outbound service calls, RCA, SQL, ICN Plug\-ins, or creating frameworks and utilities
* Experience with BPM Tooling such as IBM Process Designer, Business Process Definitions (BPD), Coach Views, or Undercover Agents (UCA)
* Knowledge of Java and J2EE, JavaScript, jQuery, HTML5, or XML
* Knowledge of IBM Cloud Pak for Business Automation and migration from heritage services to newer UI Toolkits
* HS diploma or GED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78">
      <c r="A178" t="inlineStr">
        <is>
          <t>in-86850d47748d3f8c</t>
        </is>
      </c>
      <c r="B178" t="inlineStr">
        <is>
          <t>Senior Software Engineer</t>
        </is>
      </c>
      <c r="C178" t="inlineStr">
        <is>
          <t>ePremium Insurance</t>
        </is>
      </c>
      <c r="D178" t="inlineStr">
        <is>
          <t>indeed</t>
        </is>
      </c>
      <c r="E178">
        <f>HYPERLINK("https://www.indeed.com/viewjob?jk=86850d47748d3f8c", "https://www.indeed.com/viewjob?jk=86850d47748d3f8c")</f>
        <v/>
      </c>
      <c r="F178">
        <f>HYPERLINK("https://www.paycomonline.net/v4/ats/web.php/jobs/ViewJobDetails?job=347439&amp;clientkey=CA5C70FC93067AC23AF30EBAD6DC8FED&amp;source=Indeed", "https://www.paycomonline.net/v4/ats/web.php/jobs/ViewJobDetails?job=347439&amp;clientkey=CA5C70FC93067AC23AF30EBAD6DC8FED&amp;source=Indeed")</f>
        <v/>
      </c>
      <c r="G178" t="inlineStr">
        <is>
          <t>Mason, OH, US</t>
        </is>
      </c>
      <c r="H178" s="3" t="n">
        <v>46050</v>
      </c>
      <c r="I178" t="inlineStr">
        <is>
          <t>**About Inhabit**
Inhabit operates a unique collective of tech\-forward companies serving the residential, commercial, and short\-term rental industries. Our team members deliver best\-in\-class software solutions and services while fostering innovation and collaboration with business leaders and industry experts. Inhabit believes that property managers are central to the success of the residential and short\-term rental markets and delivers products built to empower them, their investors, and communities. Come help build the company you want to Inhabit. To learn more, visit inhabit.com.
**About ePremium Insurance**
As part of the Inhabit company, ePremium Insurance Agency, LLC has been named one of INC 500s fastest growing privately held companies in the nation and has been recognized as a Top Workplace in Cincinnati, specializing in technology\-based renters insurance program management.
The rapid growth of the company has created a wealth of career opportunities. We have a modern, relaxed office environment with premium facilities and tremendous advancement opportunities within the company.
**Job Description**
ePremium is looking for a Senior Software Engineer to join our growing team. Responsibilities include deep knowledge and understanding of the entire product portfolio; architecting new products, and services; developing and maintaining API services; implementing changes to the database and service model; creating new modules; developing integrations with 3rd\-party platforms; and assisting the development team in their tasks.
**What You'll Do (Functions \&amp; Responsibilities)**
* Support the Lead Software Engineer in architecting systems and executing design vision.
* Collaborate with the team in improving code architecture; implement data contracts; identify potential risks to successful implementation.
* Maintain and improve database design and SQL queries throughout the application.
* Build new modules \- translate design vision provided by the management team into scalable SaaS solutions.
* Maintain existing systems with attention to detail.
* Coordinate and participate in DevOps tasks as necessary.
* Work with the support team to troubleshoot and maintain existing modules.
* Follow coding conventions provided.
* Ensure code and infrastructure comply with all security standards and best practices.
**What We're Looking For (Minimum qualifications)**
* 5\+ years of experience with ASP.NET Web Forms (C\#)
* 5\+ years of experience with Microsoft SQL Server
* 5\+ years of experience with Telerik UI for ASP.NET, AJAX, Bootstrap
* Extensive knowledge of HTML, CSS, and JavaScript
* Familiarity with SQL Server Reporting Services
* High Comfort utilizing Git/GitHub
* Experience writing and utilizing unit tests.
* Experience with common integration pipeline tools such as Jenkins, CircleCI, GitHub Actions, or other equivalent tooling.
* Windows/.NET
* System monitoring and tuning for performance
* Exception debugging and handling
* Security scanning/PCI Compliance
**Education Requirements**
* Bachelor’s degree in Information Technology, Computer Science, Business, or equivalent relevant experience.
**Type**
* Full Time, Salaried, Exempt
**Location**
* Mason, OH
* We have an in\-office work style, with most team members working in the office from Monday to Thursday and remotely on Friday.
**Benefits Include**
* Competitive Pay
* Health Insurance: Medical, Dental, Vision and Prescription Plans
* Health Savings Accounts
* Flexible Spending Account
* Dependent Flexible Spending Account
* Critical Illness
* Accident
* Retirement Savings Plan (401K) with discretionary company match
* Short\- and Long\-Term Disability
* Company Paid $25,000\.00 life insurance
* Supplemental Life and AD\&amp;D Insurance
* Employee Assistance Program
* Paid Holidays
* Paid Vacation
* Paid Volunteer Time
* Inhabit Employee Discount Programs
*Our Company is an Equal Opportunity Employer and complies with all federal, state, and local laws, including providing reasonable accommodations to applicants.*</t>
        </is>
      </c>
    </row>
    <row r="179">
      <c r="A179" t="inlineStr">
        <is>
          <t>in-9d0850e6f8e78eec</t>
        </is>
      </c>
      <c r="B179" t="inlineStr">
        <is>
          <t>Software Engineer 1</t>
        </is>
      </c>
      <c r="C179" t="inlineStr">
        <is>
          <t>Intuit</t>
        </is>
      </c>
      <c r="D179" t="inlineStr">
        <is>
          <t>indeed</t>
        </is>
      </c>
      <c r="E179">
        <f>HYPERLINK("https://www.indeed.com/viewjob?jk=9d0850e6f8e78eec", "https://www.indeed.com/viewjob?jk=9d0850e6f8e78eec")</f>
        <v/>
      </c>
      <c r="F179">
        <f>HYPERLINK("https://dsp.prng.co/kjA_T0b", "https://dsp.prng.co/kjA_T0b")</f>
        <v/>
      </c>
      <c r="G179" t="inlineStr">
        <is>
          <t>San Diego, CA, US</t>
        </is>
      </c>
      <c r="H179" s="3" t="n">
        <v>46050</v>
      </c>
      <c r="I179" t="inlineStr">
        <is>
          <t>**Overview**
------------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 Familiarity with both frontend and backend development
* Ability to work effectively with developers and designers, discussing application and API architectures
* Understanding of Agile methodologies and ability to work with Scrum teams
* Familiarity with tools such as Git
 **Qualifications**
* Bachelor’s or Master’s degree in Computer Science, a related technical field, or equivalent practical experience.
* Foundational understanding of Agile development, object\-oriented design, and programming principles.
* Coursework, internships, personal projects, or academic experience with one or more programming languages (e.g., Java, Python, JavaScript, C\+\+, etc.).
* Basic knowledge of front\-end web technologies (e.g., HTML, CSS, JavaScript) and familiarity with frameworks or tools is a plus.
* Strong written, verbal, and collaboration skills with the ability to work effectively in a team environment.
* Awareness of AI concepts and a basic understanding of capabilities like Generative AI.
* Willingness to learn and adapt to new priorities, tools, and technologies in a fast\-paced, dynamic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$ 53\.50\- 72\.00</t>
        </is>
      </c>
    </row>
    <row r="180">
      <c r="A180" t="inlineStr">
        <is>
          <t>in-eb55b5d23b342401</t>
        </is>
      </c>
      <c r="B180" t="inlineStr">
        <is>
          <t>Software Developer II</t>
        </is>
      </c>
      <c r="C180" t="inlineStr">
        <is>
          <t>Priority Dispatch Corp.</t>
        </is>
      </c>
      <c r="D180" t="inlineStr">
        <is>
          <t>indeed</t>
        </is>
      </c>
      <c r="E180">
        <f>HYPERLINK("https://www.indeed.com/viewjob?jk=eb55b5d23b342401", "https://www.indeed.com/viewjob?jk=eb55b5d23b342401")</f>
        <v/>
      </c>
      <c r="F180">
        <f>HYPERLINK("https://www.paycomonline.net/v4/ats/web.php/jobs/ViewJobDetails?job=483188&amp;clientkey=DE167225427108EF51BA308DE01A0BAB&amp;source=Indeed", "https://www.paycomonline.net/v4/ats/web.php/jobs/ViewJobDetails?job=483188&amp;clientkey=DE167225427108EF51BA308DE01A0BAB&amp;source=Indeed")</f>
        <v/>
      </c>
      <c r="G180" t="inlineStr">
        <is>
          <t>Salt Lake City, UT, US</t>
        </is>
      </c>
      <c r="H180" s="3" t="n">
        <v>46050</v>
      </c>
      <c r="I180" t="inlineStr">
        <is>
          <t>Our team is looking to hire an experienced developer to help in our life saving mission of providing training to support to emergency dispatch services across the globe. If you’re ready to take your career to the next level while making a worthwhile impact, consider joining our team! This role is eligible for our full host of benefits such as health, dental, vision, pet, and legal insurance, PTO, company contributions to a 401K and more while working in an award winning workplace culture. Come see why our teams love working here! This role is based in Salt Lake City, UT and has a hybrid work model.
**Job Summary**
Provide senior level design and development expertise to the creation and maintenance of software products including training/learning platforms, applications, web pages, client portals, databases, reports and queries, and other products as requested. Interfaces with clients, customers, and internal users to gather requirements, troubleshoot issues, and deploy solutions. Trains other team members and provides technical leadership in design and development matters. Helps develop and support software development best practices. This role operates on a hybrid work model.
**Major Responsibilities**
* Design and develop efficient software components for complex tasks with minimal supervision.
* Effectively troubleshoot and diagnose complex software problems.
* Ensure website designs are compliant with the major browsers.
* Design intuitive and responsive web\-based user interfaces.
* Anticipate, identify, and mitigate problem areas.
* Develop prototypes and proofs of concept for end users.
* Meet with stakeholders to define application requirements.
* Provide direction and guidance to less experienced staff.
* Participate in code reviews with other developers.
* Performs testing of websites.
* Other duties as assigned.
**Education and/or Experience:**
* Bachelor’s degree in relevant field or equivalent experience.
* Minimum of 3 \- 5 years of development experience
* Understanding of the NodeJS environment.
* Solid experience with MS SQL Server databases, as well as MySQL databases.
* Solid experience in server\-side development, including web services, WCF and API
* Solid experience using JavaScript and JS frameworks such as React.js, Next.js.
* Solid experience with object\-oriented programming.
* Ability to create screen layouts using HTML, CSS, and JavaScript.
* Experience with website security and security best practices.
* Ability to write flexible, reusable, and documented code.
* Strong analytical abilities.
* Strong customer service attitude.
* Proficiency with versioning tools, such as SVN or GIT.
* Solid understanding of REST architecture.
* Bonus: Experience with PHP, Power BI, Power Automate, MS Forms, and/or Handelbars.js.
* Bonus: Experience with SCORM and developing learning platforms
**Physical Requirements/Essential Job Functions:**
* Ability to resolve technical problems efficiently
* Ability to communicate technical concepts to both users and programmers effectively
* Problem\-solving
* Frequent computer and telephone use
* Sitting for long periods of time
* Concentrating for long periods of time.
* Occasional travel of less than 25% may be required.
We are an Equal Opportunity Employer.</t>
        </is>
      </c>
    </row>
    <row r="181">
      <c r="A181" t="inlineStr">
        <is>
          <t>in-237dbe46d4eb3b2d</t>
        </is>
      </c>
      <c r="B181" t="inlineStr">
        <is>
          <t>Software Developer</t>
        </is>
      </c>
      <c r="C181" t="inlineStr">
        <is>
          <t>Oracle</t>
        </is>
      </c>
      <c r="D181" t="inlineStr">
        <is>
          <t>indeed</t>
        </is>
      </c>
      <c r="E181">
        <f>HYPERLINK("https://www.indeed.com/viewjob?jk=237dbe46d4eb3b2d", "https://www.indeed.com/viewjob?jk=237dbe46d4eb3b2d")</f>
        <v/>
      </c>
      <c r="F181">
        <f>HYPERLINK("https://eeho.fa.us2.oraclecloud.com/hcmUI/CandidateExperience/en/sites/CX_1/job/324745", "https://eeho.fa.us2.oraclecloud.com/hcmUI/CandidateExperience/en/sites/CX_1/job/324745")</f>
        <v/>
      </c>
      <c r="G181" t="inlineStr">
        <is>
          <t>US</t>
        </is>
      </c>
      <c r="H181" s="3" t="n">
        <v>46050</v>
      </c>
      <c r="I181" t="inlineStr">
        <is>
          <t>Oracle Health \&amp; AI (OHAI) is a line of business that strives to apply our expertise in IaaS and SaaS to transform the health care industry, provide patient\-centric care and make the best clinical tools available around the world ( https://www.oracle.com/industries/healthcare/ ). We are looking for the most creative technologists as we build the next generation of Health platform that will change the industry. We like to move fast and innovate, and we want your help to make it a world class engineering team that makes a large impact. Oracle Health \&amp; AI is dedicated to transforming healthcare through intelligent solutions, and you will play a vital role in this mission.
We are seeking hands\-on Principal Member of Technical Staff Engineers that share our passion and excitement of operating distributed systems at hyper scale using cloud native best practices. You will have part in the disruption of the health care industry and will help deliver better patient care. As a Principal Member of Technical Staff you will work on an exciting greenfield project designed to operate at massive scale. This is a unique opportunity to build cutting\-edge systems from the ground up, using modern Java frameworks and cloud\-native technologies, with a focus on high throughput, fault tolerance, and seamless failover.
**Responsibilities**
As an engineer in our team, you’ll be responsible to lead efforts in designing and building scalable, distributed, and resilient software components and services to support health care platform, applications, and our end users. We believe in ownership and expect you to think long term, mentor, and empower other engineers. As a tech leader you will be responsible for the complete SDLC from architecture, development, testing, first class monitoring, to production. Build enhancements within an existing software architecture and suggest improvements to the architecture. Design, develop, troubleshoot, and debug software programs for databases, applications, tools, networks etc. Provide technical leadership to other software developers.
**Minimum Qualification:**
* BS or MS degree in computer science, or equivalent
* 6\-8 years of experience in designing, developing, fixing, testing, and implementing software solution in accordance with established standards.
* Develop and enhance AI\-powered features within the Oracle Health EHR system, focusing on improving clinical decision\-making and patient outcomes
* Design and implement user interfaces using modern front\-end technologies to present actionable insights to healthcare providers.
* Collaborate with the backend development team to establish efficient data pipelines for processing and analyzing healthcare data.
* Optimize the system's performance and scalability to handle large volumes of patient records and real\-time data.
* 6\+ years of experience building microservices using Java and related frameworks such as Spring Boot, Micronaut, Halidon, etc.
* Comprehensive knowledge of databases, SQL, data structures, algorithm, \&amp; distributed system.
* Experience with Public Cloud SaaS, PaaS Services and/or related technology experience.
* Collaborate with other specialists, testers, and other team members to write high\-quality code and deliver it to clients in a timely manner.
* Ability to effectively communicate technical concepts verbally and through design aspects.
* Chip in to scoping and improvement of solution designs, peer review code and design.
* Propose performance optimization and devise ideas for overall code refinement.
* Propose and lead improvement projects for development, deployment, or application monitoring processes.
Share knowledge within the team through mentoring, coaching and technical talks.  
* 
**Preferred Qualifications:**
* Experience with healthcare
* Knowledge of healthcare data standards (HL7, FHIR) and EHR systems is advantageous</t>
        </is>
      </c>
    </row>
    <row r="182">
      <c r="A182" t="inlineStr">
        <is>
          <t>in-061eaa53e6dfa071</t>
        </is>
      </c>
      <c r="B182" t="inlineStr">
        <is>
          <t>Software Developer</t>
        </is>
      </c>
      <c r="C182" t="inlineStr">
        <is>
          <t>Oracle</t>
        </is>
      </c>
      <c r="D182" t="inlineStr">
        <is>
          <t>indeed</t>
        </is>
      </c>
      <c r="E182">
        <f>HYPERLINK("https://www.indeed.com/viewjob?jk=061eaa53e6dfa071", "https://www.indeed.com/viewjob?jk=061eaa53e6dfa071")</f>
        <v/>
      </c>
      <c r="F182">
        <f>HYPERLINK("https://eeho.fa.us2.oraclecloud.com/hcmUI/CandidateExperience/en/sites/CX_1/job/324821", "https://eeho.fa.us2.oraclecloud.com/hcmUI/CandidateExperience/en/sites/CX_1/job/324821")</f>
        <v/>
      </c>
      <c r="G182" t="inlineStr">
        <is>
          <t>Santa Clara, CA, US</t>
        </is>
      </c>
      <c r="H182" s="3" t="n">
        <v>46050</v>
      </c>
      <c r="I182" t="inlineStr">
        <is>
          <t>**Entity**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(385\.34292\)  
Employer will accept a Bachelor's degree in Computer Science, Engineering, or related technical field followed by 5 years of progressive, post\-baccalaureate experience in job offered or in a software developer\-related occupation. Position requires:
* Distributed Systems Design and Development;
* Java, Python, or C\+\+;
* Container orchestration;
* Infrastructure as code tool;
* Distributed Data Streaming services;
* Database design and development;
* CI/CD and DevOps;
* Software debugging and testing; and
* Front end development.</t>
        </is>
      </c>
    </row>
    <row r="183">
      <c r="A183" t="inlineStr">
        <is>
          <t>in-23940b7d782afe72</t>
        </is>
      </c>
      <c r="B183" t="inlineStr">
        <is>
          <t>Software Engineer I</t>
        </is>
      </c>
      <c r="C183" t="inlineStr">
        <is>
          <t>1 Click Logistics</t>
        </is>
      </c>
      <c r="D183" t="inlineStr">
        <is>
          <t>indeed</t>
        </is>
      </c>
      <c r="E183">
        <f>HYPERLINK("https://www.indeed.com/viewjob?jk=23940b7d782afe72", "https://www.indeed.com/viewjob?jk=23940b7d782afe72")</f>
        <v/>
      </c>
      <c r="F183">
        <f>HYPERLINK("https://workforcenow.adp.com/mascsr/default/mdf/recruitment/recruitment.html?cid=84a779d1-2b5f-473c-83ed-9897fe5105f3&amp;ccId=9201218959818_3&amp;jobId=617552&amp;jwId=9201218959818_1&amp;source=IN&amp;lang=en_US", "https://workforcenow.adp.com/mascsr/default/mdf/recruitment/recruitment.html?cid=84a779d1-2b5f-473c-83ed-9897fe5105f3&amp;ccId=9201218959818_3&amp;jobId=617552&amp;jwId=9201218959818_1&amp;source=IN&amp;lang=en_US")</f>
        <v/>
      </c>
      <c r="G183" t="inlineStr">
        <is>
          <t>Sparks, NV, US</t>
        </is>
      </c>
      <c r="H183" s="3" t="n">
        <v>46050</v>
      </c>
      <c r="I183" t="inlineStr">
        <is>
          <t>**About Company**
1 Click Logistics, founded in 2018, is a third\-party logistics (3PL) provider committed to delivering exceptional service in distribution, warehousing, transportation, and innovative logistics solutions. With locations in Sparks, Nevada; Sacramento, California; Dayton, Ohio; and Hagerstown, Maryland, we are strategically positioned to serve customers across the U.S. Our mission is to serve our customers, team, and community while fostering a unique, employee\-centered culture.
Our comprehensive services include warehousing and distribution, retail and e\-commerce fulfillment, and transportation management, all designed to streamline operations and reduce costs for our customers. We also provide value\-added services, such as re\-packaging, labeling, and light assembly, to meet specific customer needs. Utilizing advanced technology, our web\-based Warehouse Management System (WMS) and integrated Electronic Data Interchange (EDI) connect seamlessly with major retailers, ensuring transparent and efficient operations.
Our ability to serve some of the world’s largest retailers, including Walmart, Target, Costco, and Home Depot, reflects our commitment to quality and efficiency. At 1 Click Logistics, we prioritize our employees’ well\-being, fostering a supportive and inclusive work environment that empowers our team to provide the exceptional service our customers expect and contribute positively to our community.
**Job Summary**
===============
The Software Engineer I is an essential member of the Software Development team, responsible for assisting in the design, development, and maintenance of software applications. This entry\-to\-junior level role focuses on writing clean code, learning modern integration methodologies, and supporting the seamless flow of data between systems. Working primarily with ColdFusion and React, you will help build and debug applications that drive business operations. This position is ideal for a detail\-oriented developer who is eager to grow their technical skills in a collaborative, software\-centric environment.
**Duties and Responsibilities**
===============================
* **Development Support**: Write and maintain clean, scalable code using ColdFusion, React, and various frontend frameworks.
* **API \&amp; Integrations**: Assist in creating and configuring system integrations using APIs, webhooks, and automated data exports.
* **Maintenance \&amp; Debugging**: Revise, update, and refactor existing code to improve functionality and fix bugs.
* **Frontend Implementation**: Develop and enhance user interfaces for nationwide enterprise applications using HTML, CSS, and JavaScript.
* **Performance Monitoring**: Monitor application logs and system health to ensure high availability and performance.
* **Data Handling**: Execute basic database tasks and queries using MySQL resources.
* **Automation**: Monitor automation scripts to ensure successful execution and apply fixes under the guidance of senior engineers.
* **Documentation**: Assist in creating and updating technical documentation and user guides.
* **Technical Support**: Collaborate with the Customer Service Team to troubleshoot application\-level issues and identify root causes.
* **Version Control**: Use Git and ticket tracking software (e.g., Jira) to manage code changes and daily tasks.
**Required Skills and Abilities**
=================================
* **Foundational Tech**: Experience with HTML5, CSS3, and JavaScript (ES6\).
* **Frameworks**: Familiarity with React, Bootstrap, or jQuery.
* **Backend Exposure**: Some experience or educational background in ColdFusion (training provided) and MySQL.
* **Data Formats**: Basic understanding of XML, JSON, and CSV data structures.
* **Problem Solving**: Strong analytical skills and a desire to learn complex system logic.
* **Collaboration**: Excellent verbal and written communication skills for effective teamwork.
* **Organization**: Extreme attention to detail and the ability to manage multiple small tasks simultaneously.
* **Adaptability**: A customer service\-oriented mindset with a strong work ethic and a desire for professional growth.
**Education and Experience**
============================
* **Education**: Bachelor’s degree in Computer Science, Information Systems, or a related field (or 3 years of equivalent professional experience).
* **Experience**: 1–2 years of professional Web and Application Development experience preferred (internships count).
* **Technical Minimums**:
	+ JavaScript: 1–2 years.
	+ CSS: 1–2 years.
	+ APIs: 1–2 years.
	+ Backend: 1\+ year preferred.
* **Preferred**: Familiarity with AWS or Azure cloud environments.
**Physical Requirements**
=========================
* Prolonged periods of sitting at a desk and working on a computer.
1 Click Logistics is an equal opportunity employer. All applicants will be considered for employment without attention to race, color, religion, sex, sexual orientation, gender identity, national origin, veteran, or disability status.</t>
        </is>
      </c>
    </row>
    <row r="184">
      <c r="A184" t="inlineStr">
        <is>
          <t>in-e9cd40f24208218d</t>
        </is>
      </c>
      <c r="B184" t="inlineStr">
        <is>
          <t>Software Engineer</t>
        </is>
      </c>
      <c r="C184" t="inlineStr">
        <is>
          <t>Cisco</t>
        </is>
      </c>
      <c r="D184" t="inlineStr">
        <is>
          <t>indeed</t>
        </is>
      </c>
      <c r="E184">
        <f>HYPERLINK("https://www.indeed.com/viewjob?jk=e9cd40f24208218d", "https://www.indeed.com/viewjob?jk=e9cd40f24208218d")</f>
        <v/>
      </c>
      <c r="F184">
        <f>HYPERLINK("https://careers.cisco.com/global/en/job/2005146", "https://careers.cisco.com/global/en/job/2005146")</f>
        <v/>
      </c>
      <c r="G184" t="inlineStr">
        <is>
          <t>Research Triangle Park, NC, US</t>
        </is>
      </c>
      <c r="H184" s="3" t="n">
        <v>46050</v>
      </c>
      <c r="I184" t="inlineStr">
        <is>
          <t>**The application window is expected to close on:** 02/27/2026Job posting may be removed earlier if the position is filled or if a sufficient number of applications are received.
While the team may have hybrid days, this is at the discretion of the team and is subject to change at any time.
Meet the Team
Cisco Silicon One leads in ASIC design, developing next\-generation network devices for the 5G and AI era. Our adaptable, high\-speed devices maintain programmability, power efficiency, and scalability while fostering a dynamic startup culture within a stable corporate environment. Our exceptional team collaborates on groundbreaking silicon products that drive Open Standards, Open Networking, and scalable cloud data centers. If you’re ready to work with talented individuals and innovative customers to create extraordinary solutions, we invite you to join us!
Your Impact
In this role, you’ll join a dynamic team that develops the full software stack for Silicon One network processors, engaging with the Open Standards community and our esteemed customers to deliver best\-in\-class routing and switching platforms. You’ll also work closely with architecture, application, and design teams to define the next generation of ASIC products and play a pivotal role in the emerging fields of Artificial Intelligence and Machine Learning.
* Design and develop software driving the world's most sophisticated infrastructures, using modern C\+\+ and Python
* Gain intimate knowledge of world\-class silicon and programming models
* Work closely with hardware engineers, architects, and multi\-functional teams to define software requirements and ensure seamless integration with hardware components
* Conduct unit testing and debugging of embedded software, using various tools and methodologies to identify and resolve issues
* Collaborate on the full software development life cycle, from requirement gathering to production deployment
* Self\-motivated, analytical, and effective at troubleshooting and optimizing embedded software
Minimum Qualifications
* Bachelor’s degree in computer engineering, computer science, or a relevant field and 5\+ years of relevant work experience, or a Master's degree with 3\+ years of relevant experience
* Experience in C\+\+ programming language
* Experience in the full software development life cycle (SDLC): requirement gathering, design, implementation, testing, debugging, and production
Preferred Qualifications
* Experience with Open Standard Network Operating Systems and APIs: Silicon SDK development, SONiC, FBOSS, SAI, etc.
* Experience with programming models for world\-class silicon
* Experience writing scripts in Python
* Experience in AI/ML applications or infrastructure solution
* Experience with L2 / L3 networking technologies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Develops software consistent with Cisco ‘Design Thinking Principles’ with a focus on simplification and UX (User Experience) at its core, using secure coding practices, ensuring user privacy, and following software development best practices. Partners with other teams including design and product management to create the right solution for the customers. Creates technical design documentation to be used by the team as well as contributing to user documentation to be used by end users. Debugs and addresses software issues during development and in production systems to support customers. Brings new ideas for product innovation and helps improve software development processes. What You’ll Do: • Experienced professional using best practices and knowledge of internal or external business issues to improve products or services. • Works independently but receives guidance and direction from leader then determines best approach to accomplish work. • Acts as a resource for colleagues with less experience. • Develops relationship with peer stakeholders within and across teams and builds productive working relationships. • May lead projects with limited complexity to execute the defined software engineering roadmap. • May lead small\-to\-medium features from technical design through completion. • Stays current on industry trends and serves as an expert on the software development lifecycle and agile engineering practices; coaches others, as needed. • Contributes to delivery of high\-quality design and deliverables. • Advocates for new features within a product to address customer needs. • Tracks metrics for product adoption and success. • Writes functional clean code and unit tests with minimal guidance. • Performs coding, debugging, testing, and troubleshooting throughout the development process under minimal supervision. • Performs code reviews for others in project. • Writes code enabling scale, reliability, and velocity in product releases. • Contributes as an expert in secure coding principles and understands threat model of a feature. • Troubleshoots complex issues within the production environment, may serve customers through on\-call rotations to identify end user problems, may lead postmortem and write root cause analysis. • Expert on multiple functional components. • Shares knowledge across teams, both informally and formally (e.g., ad\-hoc basis, internal presentations, blogs, newsletters). • Coordinates and collaborates on project timelines and continuously reviews, updates, and communicates project specifications to team members and stakeholders. • Develops remediation plans and alternatives to ensure timely delivery. • Identifies and acts upon opportunities to assist others. • Mentors peers and/or engineering interns. Minimum Qualifications: • Bachelors \+ 5 years of related experience, or Masters \+ 3 years of related experience, or PhD \+ 0 years of related experience. • Requires working knowledge and expanded conceptual knowledge in primary technical job family and broadens capabilities; has worked with and is proficient with current technologies. 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85">
      <c r="A185" t="inlineStr">
        <is>
          <t>in-eacb4384c4c6b0fd</t>
        </is>
      </c>
      <c r="B185" t="inlineStr">
        <is>
          <t>Software Engineer, Backend Java</t>
        </is>
      </c>
      <c r="C185" t="inlineStr">
        <is>
          <t>PayPal</t>
        </is>
      </c>
      <c r="D185" t="inlineStr">
        <is>
          <t>indeed</t>
        </is>
      </c>
      <c r="E185">
        <f>HYPERLINK("https://www.indeed.com/viewjob?jk=eacb4384c4c6b0fd", "https://www.indeed.com/viewjob?jk=eacb4384c4c6b0fd")</f>
        <v/>
      </c>
      <c r="F185">
        <f>HYPERLINK("https://paypal.eightfold.ai/careers?domain=paypal.com&amp;sort_by=relevance&amp;query=R0134317", "https://paypal.eightfold.ai/careers?domain=paypal.com&amp;sort_by=relevance&amp;query=R0134317")</f>
        <v/>
      </c>
      <c r="G185" t="inlineStr">
        <is>
          <t>San Jose, CA, US</t>
        </is>
      </c>
      <c r="H185" s="3" t="n">
        <v>46050</v>
      </c>
      <c r="I18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Additional\_Responsibilities\_And\_Preferred\_Qualifications:
**Meet Your Team**  
Core Platforms builds and delivers PayPal’s foundational capabilities across compliance, privacy, identity, risk, customer servicing, and shared platform services that protect, engage, and power PayPal’s global ecosystem. The team provides secure, scalable, and composable platforms that enable faster time\-to\-market, seamless end\-to\-end customer journeys, and trusted experiences that drive growth across PayPal’s business.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Java you'll contribute to building robust backend systems. You'll collaborate closely with experienced engineers to learn and grow your skills.
* Develop and maintain backend components.
* Write clean, efficient code adhering to coding standards.
* Participate in code reviews and provide feedback.
 **What do you need bring:**
* Bachelor's degree in Computer Science or related field.
* 1\+ years of backend development experience. Strong foundation in programming concepts and data structures.
* Proficiency in at least one backend language (Java, Python, Ruby on Rails)
* Proficiency in back\-end development utilizing Java EE technologies (Java, application servers, servlet containers, JMS, JPA, Spring MVC, Hibernate)
* Strong understanding of web services and Service\-Oriented Architecture (SOA) standards, including REST, OAuth, and JSON, with experience in Java environments.
* Experience with ORM (Object\-Relational Mapper) tools, working within Java\-based solutions like Hibernate.
* Experience with databases (SQL, NoSQL)
 **Preferred Qualifications**
* Experience with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($116,500\-$171,440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86">
      <c r="A186" t="inlineStr">
        <is>
          <t>in-98df51b0fa33dc07</t>
        </is>
      </c>
      <c r="B186" t="inlineStr">
        <is>
          <t>Software Engineer (API Management)</t>
        </is>
      </c>
      <c r="C186" t="inlineStr">
        <is>
          <t>Caterpillar</t>
        </is>
      </c>
      <c r="D186" t="inlineStr">
        <is>
          <t>indeed</t>
        </is>
      </c>
      <c r="E186">
        <f>HYPERLINK("https://www.indeed.com/viewjob?jk=98df51b0fa33dc07", "https://www.indeed.com/viewjob?jk=98df51b0fa33dc07")</f>
        <v/>
      </c>
      <c r="F186">
        <f>HYPERLINK("https://careers.caterpillar.com/en/jobs/r0000347112/software-engineer-api-management/", "https://careers.caterpillar.com/en/jobs/r0000347112/software-engineer-api-management/")</f>
        <v/>
      </c>
      <c r="G186" t="inlineStr">
        <is>
          <t>Chicago, IL, US</t>
        </is>
      </c>
      <c r="H186" s="3" t="n">
        <v>46050</v>
      </c>
      <c r="I186"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PURPOSE:**
Cat Digital is the digital and technology arm of Caterpillar Inc., responsible for bringing world class digital capabilities to our products and services. With almost one million connected assets worldwide, we're focused on using IoT and other data, technology, advanced analytics, and AI capabilities to help our customers build a better world.  
This position is on the API Management team within Cat Digital. The team is responsible for the process, controls, and tools that support API development, security, publishing, consumption, monitoring and governance of APIs on Apigee platform.
**JOB DUTIES:** As a Software Engineer you will be responsible for the design, development, testing and deployment of software systems and/or applications.
* Competent to perform all programming, project management, and development assignments without supervision.
* Acts as team member for development and support groups; provides programming and application/technical leadership, guidance, and assistance to other team members.
* Works directly on application/technical problem identification and resolution, including responding to off\-shift and weekend support calls.
* Works independently on systems or infrastructure components that may be used by one or more applications or systems.
* Helps drive application development focused around delivering business valuable features
* Maintains high standards of software quality within the team by following and/or establishing good practices and habits
* Identifies and encourage areas for growth and improvement within the team
* Guide the team to develop a structured application/interface code, new program documentation, operations documentation, and user guides in a casual, flexible environment.
* Communicate with end users and internal customers to help direct development, debugging, and testing of application software for accuracy, integrity, interoperability, and completeness.
* Lead development of new functionality and applications on cross\-functional Agile project teams
* Performs integrated testing and customer acceptance testing of components that requires careful planning and execution to ensure timely, quality results.
* Employee is also responsible for performing other job duties as assigned by Caterpillar management from time to time.
**Top candidates will also have:**
* Position requires a four\-year degree from an accredited college or university.
* 5 years or more of software development experience or at least 3 years of experience with master’s degree in computer science or related field.
* Demonstrated experience in software engineering projects.
* 5 years or more of experience coding in, Python, JavaScript, or Java.
* Experience writing API proxies on platforms such as Apigee Edge, AWS API Gateway or Azure API Gateway or similar.
* Hands on experience with API tools such as Swagger Editor \&amp; Postman, and linting tools like Spectral.
* Knowledge of security standards such as OAuth 2\.0 and TLS.
* Hands on experience with metrics and visualization tools like Kibana, Grafana, Power\-BI or equivalent.
**Summary Pay Range:**
$97,530\.00 \- $158,480\.00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January 29, 2026 \- February 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87">
      <c r="A187" t="inlineStr">
        <is>
          <t>in-9091196bc9245955</t>
        </is>
      </c>
      <c r="B187" t="inlineStr">
        <is>
          <t>Lead Software Engineer</t>
        </is>
      </c>
      <c r="C187" t="inlineStr">
        <is>
          <t>Caterpillar</t>
        </is>
      </c>
      <c r="D187" t="inlineStr">
        <is>
          <t>indeed</t>
        </is>
      </c>
      <c r="E187">
        <f>HYPERLINK("https://www.indeed.com/viewjob?jk=9091196bc9245955", "https://www.indeed.com/viewjob?jk=9091196bc9245955")</f>
        <v/>
      </c>
      <c r="F187">
        <f>HYPERLINK("https://careers.caterpillar.com/en/jobs/r0000347133/lead-software-engineer/", "https://careers.caterpillar.com/en/jobs/r0000347133/lead-software-engineer/")</f>
        <v/>
      </c>
      <c r="G187" t="inlineStr">
        <is>
          <t>Chicago, IL, US</t>
        </is>
      </c>
      <c r="H187" s="3" t="n">
        <v>46050</v>
      </c>
      <c r="I18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PURPOSE:**
Lead Software Engineer provides technical leadership in design, development, testing and deployment of Caterpillar’s state\-of\-the\-art digital platform hosted on AWS. This position will build a world class platform to host a wide range of digital applications.
**JOB DUTIES:**
* As a Lead Software Engineer you will be responsible for designing and developing backend RESTful API web services using Microservices architecture.
* Be responsible for overseeing and mentoring other developers and handle code reviews.
* Acts as team leader for development and support groups; provides programming and application/technical leadership, guidance, and assistance to other team members.
* Works directly on complex application/technical problem identification and resolution.
* Drives application development focused around delivering business valuable features
* Maintains high standards of software quality within the team by establishing good practices and habits
* Guide the team to develop a structured application/interface code, new program documentation, operations documentation and user guides in a casual, flexible environment
* Lead development of new functionality and applications on cross\-functional Agile project teams
**What you will have:**
* **Software Development:** Knowledge of software development tools and activities; ability to produce software products or systems in line with product requirements.
* **Software Product Design/Architecture:** Knowledge of software product design; ability to convert market requirements into the software product design.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**Top candidates will also have:**
* Extensive experience software development experience using Java 17 or higher and SpringBoot RESTful API development
* Extensive experience deploying and maintaining software using public clouds such as AWS or Azure.
* Message streaming solutions, such as AWS Kinesis, AWS SQS, AWS SNS, Apache Kafka, RabbitMQ, Apache ActiveMQ, Azure Event Hub.
* Datastores such as AWS Aurora, AWS RDS, AWS DynamoDB, PostgreSQL, MySQL, Oracle, ElasticSearch, MongoDB, Cassandra, Redis.
* Deploying software using CI/CD tools such as Azure Devops, Jenkins, GoCD, etc.
* Working within an Agile framework (ideally Scrum)
**Additional Details:**
* This position requires the candidate to be based in Chicago, IL
* Relocation assistance is NOT available for this position
* Visa sponsorship is available for this position
\#LI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January 29,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88">
      <c r="A188" t="inlineStr">
        <is>
          <t>in-6c10cd2eaadca141</t>
        </is>
      </c>
      <c r="B188" t="inlineStr">
        <is>
          <t>Senior Fullstack Embedded Software Engineer</t>
        </is>
      </c>
      <c r="C188" t="inlineStr">
        <is>
          <t>Caterpillar</t>
        </is>
      </c>
      <c r="D188" t="inlineStr">
        <is>
          <t>indeed</t>
        </is>
      </c>
      <c r="E188">
        <f>HYPERLINK("https://www.indeed.com/viewjob?jk=6c10cd2eaadca141", "https://www.indeed.com/viewjob?jk=6c10cd2eaadca141")</f>
        <v/>
      </c>
      <c r="F188">
        <f>HYPERLINK("https://careers.caterpillar.com/en/jobs/r0000346891/senior-fullstack-embedded-software-engineer/", "https://careers.caterpillar.com/en/jobs/r0000346891/senior-fullstack-embedded-software-engineer/")</f>
        <v/>
      </c>
      <c r="G188" t="inlineStr">
        <is>
          <t>Mossville, IL, US</t>
        </is>
      </c>
      <c r="H188" s="3" t="n">
        <v>46050</v>
      </c>
      <c r="I188"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*Technology is a competitive differentiator. We collaborate with partners across the enterprise to advance technologies including autonomy and automation, which helps enhance site safety, productivity and efficiency across customer operations worldwide.*
*Our focus isn’t just on what we build, but how we build it. We scale technology solutions across the business. We spearhead product development tools and processes. We collaborate with our partners to provide a seamless experience for our customers. We are obsessed with speed, simplicity and customer outcomes.*
*Cat Technology also owns enterprise\-wide initiatives in innovation, research and development, manufacturing automation and advanced materials, ensuring Caterpillar continues to lead the industry in technological excellence and engineering innovation.*
**Job Summary:**  
As a Senior Full Stack Embedded Software Architect, you will be primarily responsible for leading the development of architecture, design, implementation, and testing of software for Linux\-based Gen 7 Displays, ensuring optimal system efficiency and stability.
 **What You Will Do:**
* Define and lead the overall architecture.
* Develop, design, and implement software for embedded systems using Angular and Typescript.
* Gather and analyze user/client requirements to create Software Requirements Specification (SRS) documents.
* Coach a global team of Front End developers and maintain a scalable, modular, test\-driven software architecture.
* Test and debug embedded system software using various tools and methods to enhance code quality and optimize system performance.
* Collaborate with cross\-functional teams.
 **Degree Requirement**  
Bachelor's degree in Computer Science, Electrical Engineering, Computer Engineering, or an equivalent field.  
**What You Will Have:**
* **Software Development:** Knowledge of software development tools and activities; ability to produce software products or systems in line with product requirements.
* **Analytical Thinking:** Knowledge of techniques and tools that promote effective analysis; ability to determine the root cause of organizational problems and create alternative solutions that resolve these problems.
* **Effective Communications:** Understanding of effective communication concepts, tools and techniques; ability to effectively transmit, receive, and accurately interpret ideas, information, and needs through the application of appropriate communication behaviors.
* **Teamwork:** Knowledge of the necessity and value of teamwork; experience with; ability to work cooperatively towards shared goals and being supportive of others at all levels.
* **Technical Excellence:** Knowledge of a given technology and various application methods; ability to develop and provide solutions to significant technical challenges.
* **Requirements Analysis:** Knowledge of tools, methods, and techniques of requirement analysis; ability to elicit, analyze and record required business functionality and non\-functionality requirements to ensure the success of a system or software development project.
* **Technical Troubleshooting:** Knowledge of technical troubleshooting approaches, tools and techniques; ability to anticipate, recognize, and resolve technical issues on hardware, software, application or operation
* **System Testing:** Experienced in supporting the project leader in developing and executing system test plans. Evaluate system documentation and user manuals for usability, accuracy, and completeness. Evaluate system documentation and user manuals for usability, accuracy, and completeness. Test system components for compliance with functional requirement and drive testing a system's ability to recover from hardware or software failures.
**Considerations For Top Candidates:**
* Extensive experience in Full Stack development using Angular, Typescript within a Linux environment, working in an agile framework, and collaborating with global teams
* Experience with Displays, Figma, and Playwright.
* Proficiency in GIT, CAN/J1939, CANoe, Ethernet, Embedded Systems, Domain Controllers, and Back End interfaces.
* Ability to interpret functional and technical requirements.
* Lead technical and code reviews.
* Preferred knowledge of C\+\+, Middleware, and Data Engine.
**Summary Pay Range:**
$112,710\.00 \- $169,060\.00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available for eligible applicants.**Posting Dates:**
January 29, 2026 \- February 15,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89">
      <c r="A189" t="inlineStr">
        <is>
          <t>in-d183501f5eae6f4d</t>
        </is>
      </c>
      <c r="B189" t="inlineStr">
        <is>
          <t>Intermediate Software Developer</t>
        </is>
      </c>
      <c r="C189" t="inlineStr">
        <is>
          <t>POWTEC Holding</t>
        </is>
      </c>
      <c r="D189" t="inlineStr">
        <is>
          <t>indeed</t>
        </is>
      </c>
      <c r="E189">
        <f>HYPERLINK("https://www.indeed.com/viewjob?jk=d183501f5eae6f4d", "https://www.indeed.com/viewjob?jk=d183501f5eae6f4d")</f>
        <v/>
      </c>
      <c r="F189">
        <f>HYPERLINK("https://workforcenow.adp.com/mascsr/default/mdf/recruitment/recruitment.html?cid=cec32374-6670-41d7-8819-7062726f5b97&amp;ccId=19000101_000001&amp;jobId=548933&amp;source=IN&amp;lang=en_US", "https://workforcenow.adp.com/mascsr/default/mdf/recruitment/recruitment.html?cid=cec32374-6670-41d7-8819-7062726f5b97&amp;ccId=19000101_000001&amp;jobId=548933&amp;source=IN&amp;lang=en_US")</f>
        <v/>
      </c>
      <c r="G189" t="inlineStr">
        <is>
          <t>Reston, VA, US</t>
        </is>
      </c>
      <c r="H189" s="3" t="n">
        <v>46050</v>
      </c>
      <c r="I189" t="inlineStr">
        <is>
          <t>**Intermediate Developer**
Reston, VA  
The Intermediate Developer position supports the Government with application development, software engineering, and application architecture functions for POWTEC LLC. The successful candidate will have comprehensive technical expertise to support ongoing development, maintenance, enhancement, and operational services for enterprise systems using the technologies described in this position description.
The position is Non\-Exempt (hourly), Full Time (40 hours per week), Monday through Friday. This role supports the Government and requires successfully passing a Background Check and Drug Screening. Candidates must be able to obtain a Level 5 public trust clearance.
***Candidates must be local to Reston, VA. This position will work in hybrid capacity but must be able to commute to the office when necessary.***
 **Supervisory Responsibilities:**
* None.
**Duties/Responsibilities:**
* Work at the direction of Lead/Senior Developers
* Communicate effectively with other team members and Government Personnel
* Collaborate with other developers and Government Personnel to identify and complete tasks effectively and efficiently
* Follow development processes, methods, and standards; provide documentation as requested/required
* Work within a Government office setting
* Provide excellent customer service
**Required Skills/Abilities:**
* Minimum of 3\+ years of documented experience in relevant areas
* Experience with the Software Development Lifecycle (SDLC)
* Full Stack Development experience with front\-end, back\-end, and database capabilities
	+ Proficiency in C\# (.NET), Angular, and Microsoft SQL Server is preferred
* Knowledge of server\-side web application development with ASP.NET and similar technologies
* Experience in client\-side programming with HTML, JavaScript, and CSS
* Experience with Web Service programming
* Knowledge of database programming with .NET Entity Framework, SQL Server, and T\-SQL
* Strong understanding of relational database concepts; capable of writing stored procedures, creating, and editing tables
* Familiarity with version control practices and tools, including Git; must be comfortable checking in code, working in branches, and handling merge conflicts
* Familiarity with security practices, including authentication mechanisms such as Windows Authentication, NTLM, Kerberos, Certificates, and Public Key Infrastructure (PKI)
* Ability to work in a collaborative environment, adapt to changing requirements, and contribute effectively to a development team
* Excellent writing, organizational skills, and attention to detail
* Proficient with Microsoft Office Suite or related software
**Education and Experience:**
* Minimum 3\+ years of documented experience in all areas identified in Required Skills/Abilities
* A 4\-year degree in computer science or commensurate experience is required
**Physical Requirements:**  
 The physical demands described here represent those required to successfully perform the essential functions of this job.
* Specific vision abilities include close vision, distance vision, color vision, peripheral vision, depth perception, and focus adjustment
* The employee may occasionally lift and/or move more than 25 pounds
* Employee will sit for several hours each day but will also need mobility to stand, type, and walk for periods
* Occasionally required to stand, stoop, kneel, crouch, or crawl
* Regular use of hands for typing, handling, or feeling; reach with hands and arms; and ability to talk or hear
 **Work Environment:**  
The work environment characteristics described here are typical of an office setting, with moderate noise levels.
 **Benefits:** Our benefits package can include 17 days per year of Paid Time Off, 11 Paid Holidays, company\-paid Life/AD\&amp;D at $50,000, Short\-Term and Long\-Term Disability, Medical Insurance with Company Contribution up to 90% for employees, and a 401k Plan with up to 5% company match. POWTEC offers other benefits that include an Employee Referral Bonus, an Employee Recognition Program, and Professional Development Assistance.
POWTEC is passionate about having a diverse workforce and is committed to our policy of equal employment opportunity. We treat all employees and applicants equally and do not discriminate against any applicant or employee of all groups protected by law. POWTEC promotes diversity in its workforce. POWTEC takes affirmative action to implement programs and maintain practices and policies that eliminate barriers to equal employment opportunity.</t>
        </is>
      </c>
    </row>
    <row r="190">
      <c r="A190" t="inlineStr">
        <is>
          <t>in-de7acc47f6c0768c</t>
        </is>
      </c>
      <c r="B190" t="inlineStr">
        <is>
          <t>Software Engineer</t>
        </is>
      </c>
      <c r="C190" t="inlineStr">
        <is>
          <t>Cloudera</t>
        </is>
      </c>
      <c r="D190" t="inlineStr">
        <is>
          <t>indeed</t>
        </is>
      </c>
      <c r="E190">
        <f>HYPERLINK("https://www.indeed.com/viewjob?jk=de7acc47f6c0768c", "https://www.indeed.com/viewjob?jk=de7acc47f6c0768c")</f>
        <v/>
      </c>
      <c r="F190">
        <f>HYPERLINK("https://cloudera.wd5.myworkdayjobs.com/en-US/External_Career/job/USA--Texas--Austin/Software-Engineer_251525-1", "https://cloudera.wd5.myworkdayjobs.com/en-US/External_Career/job/USA--Texas--Austin/Software-Engineer_251525-1")</f>
        <v/>
      </c>
      <c r="G190" t="inlineStr">
        <is>
          <t>Austin, TX, US</t>
        </is>
      </c>
      <c r="H190" s="3" t="n">
        <v>46050</v>
      </c>
      <c r="I190"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At Cloudera, the Product Security group is the cornerstone of trust, ensuring our platforms are secure by design and meet the highest government and industry standards. We are seeking a software engineer for our Accreditation Engineering team. In this role, you will be a vital link between security requirements and operational execution and focus on the stability, performance, and reliability of our government cloud environments.
As a Software Engineer at this level, you will work under general direction to independently resolve challenging troubleshooting and production issues. You will be responsible for assisting in the diagnosis of root\-cause component\-level outages and priority escalations, demonstrating a solid understanding of large\-scale distributed systems.
As a Software Engineer, you will:* Ensure the stability of all Government Product environments (dev, int, stage, and prod), focusing on product\-related stability and system performance.
* Perform initial triaging of cloud cluster stability issues and collaborate across functional teams, such as service and cloud delivery teams, to ensure fixes are deployed and environments remain stable.
* Test and harden newly developed security tooling and infrastructure\-as\-code templates, ensuring they meet rigorous security standards and are resilient for production use.
* Replicate complex procedures and technical issues to identify root causes, then demonstrate solutions to stakeholders and internal teams to prevent recurrence.
* Drive monthly promotions across all government product environments, ensuring seamless deployments and a consistent delivery cadence.
* Improve system performance and reliability by addressing engineering controls required for FedRAMP, ENS, and other government certifications.
* Prepare environments and streamline processes for annual audits and handle customer escalations, working through remediation steps to maintain compliance and security posture.
We’re excited about you if you have (Required Qualifications):* B.S. or B.A. in Computer Science / related field with 6\+ years of experience. Additional experience is acceptable in lieu of a degree.
* United States citizen working in the U.S.
* Solid technical background in distributed systems and cloud infrastructure, specifically AWS (EKS, EC2, S3\) and Kubernetes.
* Proven troubleshooting skills with the ability to root cause component\-level outages and handle complex P1 escalations.
* Experience with Infrastructure\-as\-Code (IaC) and automation tools such as Ansible, Terraform, and Helm to manage environment consistency.
* Proficiency in scripting and general\-purpose languages to automate operational tasks, system hardening, and patches.
* Effective communication skills, with the ability to draft clear technical documentation and interact professionally with internal stakeholders.
You may also have (Preferred Qualifications):* Hands\-on experience with CI/CD platforms like Github or Jenkins to manage artifact promotion and vulnerability remediation workflows.
* Familiarity with security scanning tools (e.g., Trivy, Aquasec, or Tenable Nessus) and vulnerability management standards.
* Experience performance testing and tuning relational databases
* Experience load testing applications
* Knowledge of government compliance frameworks such as FedRAMP, FIPS, or ISO 27001\.
* Familiarity with Python and Java
* Experience in incident response and creating recovery playbooks for distributed services.
* Ability to work across geographical boundaries to optimize solutions and share technical knowledge with the team.
What you can expect from us:*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
\#LI\-HYBRID
\#LI\-AO1</t>
        </is>
      </c>
    </row>
    <row r="191">
      <c r="A191" t="inlineStr">
        <is>
          <t>in-459d9c0e364858b8</t>
        </is>
      </c>
      <c r="B191" t="inlineStr">
        <is>
          <t>Entry Level Software Engineer</t>
        </is>
      </c>
      <c r="C191" t="inlineStr">
        <is>
          <t>General Dynamics Mission Systems</t>
        </is>
      </c>
      <c r="D191" t="inlineStr">
        <is>
          <t>indeed</t>
        </is>
      </c>
      <c r="E191">
        <f>HYPERLINK("https://www.indeed.com/viewjob?jk=459d9c0e364858b8", "https://www.indeed.com/viewjob?jk=459d9c0e364858b8")</f>
        <v/>
      </c>
      <c r="F191">
        <f>HYPERLINK("https://careers-gdms.icims.com/jobs/70443/job?utm_source=indeed_integration&amp;iis=Job%20Board&amp;iisn=Indeed&amp;indeed-apply-token=73a2d2b2a8d6d5c0a62696875eaebd669103652d3f0c2cd5445d3e66b1592b0f", "https://careers-gdms.icims.com/jobs/70443/job?utm_source=indeed_integration&amp;iis=Job%20Board&amp;iisn=Indeed&amp;indeed-apply-token=73a2d2b2a8d6d5c0a62696875eaebd669103652d3f0c2cd5445d3e66b1592b0f")</f>
        <v/>
      </c>
      <c r="G191" t="inlineStr">
        <is>
          <t>Pittsburgh, PA, US</t>
        </is>
      </c>
      <c r="H191" s="3" t="n">
        <v>46050</v>
      </c>
      <c r="I191" t="inlineStr">
        <is>
          <t>Basic Qualifications :
Requires a Bachelor’s degree in Software Engineering, or a related Science, Engineering or Mathematics field. Agile experience preferred. **CLEARANCE REQUIREMENTS:** Ability to obtain a Department of Defense TS/SCI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GDMS, you’ll be a member of a cross functional team responsible for performing software requirements analysis, lead research and design, and develop and test software and tools. From inventing new products or enhancing existing applications, your talent and leadership abilities will be front and center.  
As a Software Engineer, you will:* Assist in software requirements analysis, participate in research, design, develop and test software and tools, to include development of new work products or enhancing existing applications
* Apply the appropriate standards, processes, procedures, and tools throughout the system development life cycle to support the generation of technical engineering products
* Support and develop our technical culture by being engaged, intellectually curious, friendly, motivated to solve complex problems, and inspired to deliver superior user\-centered design
* Participate in internal reviews of software components and systems
What sets you apart:*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 Appreciation for user\-centric design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Hybrid/Flex.  
While on\-site, you will be a part of the Pittsburgh location https://gdmissionsystems.com/about\-us/major\-locations/pittsburgh **Additional Key Skillsets:**  
Programming Skills:* Strong fundamentals in Computer Science theory (data structures, algorithms, and computational complexity)
* Solid object oriented programming and software design skills
* Proficient in one of the following: Java, C\+\+, or JavaScript/TypeScript (using object oriented techniques)
* Web Services knowledge such as HTML, CSS, JavaScript/TypeScript, React, and Redux
Other beneficial common programming patterns/paradigms:* Familiarity with multiple DevOps tool chains (Docker, Kubernetes, Helm/Ansible/Terraform, Jenkins, GitLab)
* Familiarity with cloud services and tooling (AWS)
* Experience supporting software teams using Agile methodologies
* Detailed and fully proficient knowledge of technology trends and champions new ideas and product and process improvements
* Concurrent programming and building multi\-threaded systems
* Memory and CPU profiling
* Data modeling and writing efficient data access methods
* Experience building large\-scale mission\-critical applications
* Experience with distributed systems
* Experience with message queues (Kafka, RabbitMQ)
* Direct manipulation of user interfaces
* Information visualization (charts, rendering maps)
\#LI\-Hybrid
Salary Note: This estimate represents the typical salary range for this position based on experience and other factors (geographic location, etc.). Actual pay may vary. This job posting will remain open until the position is filled. Combined Salary Range: USD $77,843\.00 \- USD $86,358\.00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192">
      <c r="A192" t="inlineStr">
        <is>
          <t>in-02234aa2bd67d14c</t>
        </is>
      </c>
      <c r="B192" t="inlineStr">
        <is>
          <t>Senior Software Engineer</t>
        </is>
      </c>
      <c r="C192" t="inlineStr">
        <is>
          <t>KPI Solutions</t>
        </is>
      </c>
      <c r="D192" t="inlineStr">
        <is>
          <t>indeed</t>
        </is>
      </c>
      <c r="E192">
        <f>HYPERLINK("https://www.indeed.com/viewjob?jk=02234aa2bd67d14c", "https://www.indeed.com/viewjob?jk=02234aa2bd67d14c")</f>
        <v/>
      </c>
      <c r="F192">
        <f>HYPERLINK("https://apply.workable.com/j/2710CDD456", "https://apply.workable.com/j/2710CDD456")</f>
        <v/>
      </c>
      <c r="G192" t="inlineStr">
        <is>
          <t>Cincinnati, OH, US</t>
        </is>
      </c>
      <c r="H192" s="3" t="n">
        <v>46050</v>
      </c>
      <c r="I192" t="inlineStr">
        <is>
          <t>Software Developer (Level II–III) — GTP / HT
We are seeking a strong mid\-to\-senior level Software Developer to support delivery on the GTP / HT program. This role is critical to stabilizing execution on a highly visible, schedule\-driven initiative. The ideal candidate can contribute immediately, operate independently, and thrive in a complex, high\-stakes environment.
**Key Responsibilities**
* Deliver high\-quality software across the Opto platform and supporting legacy systems.
* Leverage, extend, and contribute to the shared Framework in connector and platform development.
* Own features and technical problem areas end\-to\-end, from design through implementation and stabilization.
* Proactively identify, communicate, and escalate delivery risks and blockers.
* Collaborate closely with architects, product owners, and adjacent engineering teams.
* Improve engineering standards, reuse, and patterns to reduce delivery friction and long\-term complexity.
**Preferred Attributes**
* Experience operating in delivery\-constrained or high\-pressure environments.
* Comfort stepping into informal leadership or lead\-adjacent responsibilities when needed.
* Willingness to evangelize shared frameworks and contribute to platform\-level improvements.
* Personal artwork or creative output in personal development pursuits (e.g., open\-source projects, technical writing, tools, visualizations, or other demonstrable creative work).
**Leveling Expectation**
This role is not entry\-level. The expectation is a Level II–III developer who can contribute immediately, help restore delivery momentum, and operate with minimal oversight.
**Requirements**
* Bachelor’s degree in computer science, Software Engineering, or a related field, with 5–7 years of professional software development experience; or a provable equivalent level of professional experience for candidates without a formal degree.
* Strong proficiency in Java and Spring Boot, with experience building and maintaining backend services.
* Experience working in distributed systems, including performance, reliability, and failure\-mode considerations.
* Ability to context switch effectively between modern platforms and legacy systems.
* Demonstrated ownership mindset with the ability to operate autonomously in ambiguous environments.
* Strong written and verbal communication skills, with a focus on clarity and proactive risk visibility.
**Benefits**
* Medical Insurance
* Dental Insurance
* Vision Insurance
* Health Care Concierge Service
* 401(k) Retirement Plan (Pre\-tax \&amp; Roth)
* Company paid Basic Life Insurance, Short\-Term Disability \&amp; Long\-Term Disability
* Voluntary Life \&amp; AD\&amp;D Insurance
* Voluntary Accident, Critical Illness \&amp; Hospital Indemnity Insurance
* Pet Insurance
* Milk Stork Program
* Wellness Program with gift card redemption and wellness challenges
* Paid Time Off (Vacation, Sick \&amp; 10 Holidays)
* Training \&amp; Development  
*KPI Solutions provides equal employment opportunity to all individuals regardless of their race, color, creed, religion, gender, age, sexual orientation, national origin, disability, veteran status, or any other characteristic protected by states, federal, or local law.*</t>
        </is>
      </c>
    </row>
    <row r="193">
      <c r="A193" t="inlineStr">
        <is>
          <t>in-df6087e3d8a20f31</t>
        </is>
      </c>
      <c r="B193" t="inlineStr">
        <is>
          <t>Lead Software Engineer</t>
        </is>
      </c>
      <c r="C193" t="inlineStr">
        <is>
          <t>FDM Group</t>
        </is>
      </c>
      <c r="D193" t="inlineStr">
        <is>
          <t>indeed</t>
        </is>
      </c>
      <c r="E193">
        <f>HYPERLINK("https://www.indeed.com/viewjob?jk=df6087e3d8a20f31", "https://www.indeed.com/viewjob?jk=df6087e3d8a20f31")</f>
        <v/>
      </c>
      <c r="F193">
        <f>HYPERLINK("https://careers.fdmgroup.com/vacancies/2232/lead-software-engineer--charlotte.html", "https://careers.fdmgroup.com/vacancies/2232/lead-software-engineer--charlotte.html")</f>
        <v/>
      </c>
      <c r="G193" t="inlineStr">
        <is>
          <t>Charlotte, NC, US</t>
        </is>
      </c>
      <c r="H193" s="3" t="n">
        <v>46050</v>
      </c>
      <c r="I193" t="inlineStr">
        <is>
          <t>**About The Role**
------------------
This position requires the successful candidate to work on a W2 directly with FDM. We cannot accept C2C, 1099 or employment sponsorship (e.g. H1\-B) for this position.
FDM is a global business and technology consultancy delivering client and industry driven solutions through our 5 core specialist Practices; Software Engineering, Data \&amp; Analytics, IT Operations, Change \&amp; Transformation, and Risk, Regulation \&amp; Compliance.
FDM is seeking a **Lead Software Engineer** located in **Charlotte, NC** to support a project in the **Financial Services** sector. Involvement in this project is anticipated to last initially **6** but may be extended.
This role will be **hybrid** with requirements to be in office **3** days per week.
**About You**
-------------
What we want you to do:
* Lead development and maintenance of complex web\-based applications \&amp; enterprise systems based on Typescript, Angular, NodeJS.
* Perform complex application programming activities with an emphasis on backend systems development: Node.JS, TypeScript, JavaScript, RESTful APIs and more
* Lead the definition of system architecture and detailed solution design that are scalable and extensible
* Design and development of Digital Card solutions on both Mobile and Web platforms and preferably in the AWS Cloud environment (Lambda, Glue, S3, DynamoDB etc.)
* Collaborate with Product Owners, Designers, and other engineers on different permutations to find the best solution possible
* Own the quality of code and do your own testing. Automate feature testing and contribute UI testing framework
* Become a subject matter expert for our mobile applications backend and middleware
* Demonstrate courage – be willing to take a position to advance design and implementation decisions. Capable of principled push back with both peers and superiors.
* Collaborate with DevOps teams to deploy and maintain applications into the Production environment.
* Mentor junior developers on the team and Aid technical team as needed
* Assist in interviewing and building out technical team
* Suggest improvements to optimize delivery
* Stay up to date with industry trends, emerging technologies, and best practices to continuously improve development processes and skills.
**Requirements:**
* Minimum B.S. / M.S. Computer Science or related discipline from accredited college or University
* At least 5\+ years of experience designing, developing, and delivering backend applications with Node.JS, TypeScript, JavaScript, Restful APIs, and related backend frameworks
* At least 5 years of experience building internet facing applications
* At least 5 years of experience with known Cloud and/or OpenShift, preferably AWS Stack(Lambda, Glue, DynamoDB, S3 etc)
* Proficient in following concepts: object\-oriented programming, software engineering techniques, quality engineering, parallel programming, databases, etc.
* Proficient in building and consuming RESTful APIs
* Proficient in managing multiple tasks and consistently meet established timelines
* Experience integrating APIs with front\-end and/or mobile\-specific frameworks
* Strong collaboration skills
* Excellent written and verbal communications skills
**Preferred Qualifications:**
* Financial Services experience and Credit Card experience a big plus.
* Demonstrable knowledge of native coding background in iOS, Android, Web applications.
* Experience developing and deploying applications within Kubernetes based containers
**Skill/Experience/Education**
**Mandatory Skills**
* Bachelor's degree in computer science, information systems or related discipline with at least 7 years of related experience, or equivalent training and / or work experience
* Expert with full\-stack software engineering with 7\+ years of hands\-on experience directly delivering maintainable high quality software.
* 3\+ years of hands\-on experience and proficiency with modern web application development technologies including Typescript, React/ Angular, and NodeJS.
* 3\+ years of hands\-on experience and proficiency with SQL, no\-SQL, and in\-memory databases. Postgres experience preferred.
* 3\+ years of hands\-on experience and proficiency with cloud platforms, preferably Amazon Web Services.
* 3\+ years of hands\-on experience and proficiency developing and maintaining diverse automated regressions test suites
* 1\+ years of hands\-on experience and proficiency designing and developing GraphQL using Apollo Client, Server, and Router or other GraphQL server and federation implementations.
* 1\+ years of hands\-on experience and proficiency designing, developing and maintaining enterprise or distributed systems using Kafka, AWS Kinesis or equivalent high throughput / brokered distributed messaging systems.
* Proven results delivering complex, enterprise scale software solutions.
* Effective uses critical thinking to reach conclusions and influence others.
* Deep understanding of software development principles, design patterns, and best practices.
* Extensive experience delivering software solutions using Agile, lean, and iterative methods.
* Experience in guiding development of observable systems with robust metrics and alerts.
* Strong problem\-solving skills and ability to work collaboratively in a team\-oriented environment.
* Ability to navigate in a fast\-pace environment and drive success despite ambiguity.
* An insatiable continuous learner and proactively finding reasons to move forward in apply new learnings.
* AWS services( Lambda, Glue, Dynamodb, S3, RDS, Athena DB etc.)
**Desired Skills**
* Back\-end and enterprise integration
* Strong hands\-on experience across multiple integration patterns, including ETL, B2B, and API\-based integrations.
* 80% Core Integration Stack: AWS (Glue, Lambda),SQL (Postgres Copy, snowflake pipe) and middleware technologies such as MuleSoft, IBM MQ Series, Apollo GraphQL, SNS, Apache PySpark , Airflow, SQS, S3, Amazon MQ, JMS, API etc.
* 20% Application development (conceptual knowledge also good): Node.js, Angular.Js, Mobile Environment
**About Us**
------------
FDM powers the people behind tech and innovation. We spot trends, find top talent, and help businesses stay ahead.
With 35\+ years of experience, we coach, mentor, and launch fresh thinkers from diverse backgrounds into world\-class careers. Partnering with top global companies, we deliver the right talent at the right time—while guiding our people toward exponential growth.
 Global impact – 19 centers across North America, APAC, the UK, and Europe
 25,000\+ careers launched – and counting
 300\+ trusted client partners
**Committed to Diversity, Equity, and Inclusion**
Tech careers should be for everyone. With 80\+ nationalities represented, FDM thrives on diversity, fuels innovation through unique perspectives, and celebrates success together. As an Equal Opportunity Employer and FTSE4Good\-listed company, we ensure every qualified applicant gets a fair shot—no barriers, just opportunities.
**Additional Considerations**
FDM Group, Inc. is registered to operate and hire employees in select states within the US. We will consider employment applications exclusively from candidates who are either residing in one of the following states or willing to relocate to them: Arizona, California, Colorado, Delaware, Florida, Georgia, Illinois, Indiana, Massachusetts, Maryland, Maine, Minnesota, North Carolina, New Jersey, New York, Pennsylvania, Tennessee, Texas, Utah, and Virginia.</t>
        </is>
      </c>
    </row>
    <row r="194">
      <c r="A194" t="inlineStr">
        <is>
          <t>in-a78c2221f11b82f3</t>
        </is>
      </c>
      <c r="B194" t="inlineStr">
        <is>
          <t>Sr. Software Engineer</t>
        </is>
      </c>
      <c r="C194" t="inlineStr">
        <is>
          <t>FDM Group</t>
        </is>
      </c>
      <c r="D194" t="inlineStr">
        <is>
          <t>indeed</t>
        </is>
      </c>
      <c r="E194">
        <f>HYPERLINK("https://www.indeed.com/viewjob?jk=a78c2221f11b82f3", "https://www.indeed.com/viewjob?jk=a78c2221f11b82f3")</f>
        <v/>
      </c>
      <c r="F194">
        <f>HYPERLINK("https://careers.fdmgroup.com/vacancies/2231/sr-software-engineer--charlotte.html", "https://careers.fdmgroup.com/vacancies/2231/sr-software-engineer--charlotte.html")</f>
        <v/>
      </c>
      <c r="G194" t="inlineStr">
        <is>
          <t>Charlotte, NC, US</t>
        </is>
      </c>
      <c r="H194" s="3" t="n">
        <v>46050</v>
      </c>
      <c r="I194" t="inlineStr">
        <is>
          <t>**About The Role**
------------------
This position requires the successful candidate to work on a W2 directly with FDM. We cannot accept C2C, 1099 or employment sponsorship (e.g. H1\-B) for this position.
FDM is a global business and technology consultancy delivering client and industry driven solutions through our 5 core specialist Practices; Software Engineering, Data \&amp; Analytics, IT Operations, Change \&amp; Transformation, and Risk, Regulation \&amp; Compliance.
FDM is seeking a **Sr. Software Engineer** located in **Charlotte, NC** to support a project in the **Financial Services** sector. Involvement in this project is anticipated to last initially **six months** but may be extended.
This role will be **hybrid** with requirements to be in office **3** days per week.
The client's office is located in Charlotte's South End.
**About You**
-------------
This position is for a backend engineer with the following desired skills
* Strong hands\-on experience across multiple integration patterns, including ETL, B2B, and API\-based integrations.
* 80% Core Integration Stack: AWS (Glue, Lambda),SQL (Postgres Copy, snowflake pipe) and middleware technologies such as MuleSoft, IBM MQ Series, Apollo GraphQL, SNS, Apache PySpark, Airflow, SQS, S3, Amazon MQ, JMS, API etc.
* 20% Application development (conceptual knowledge also good): Node.js, Angular.Js, Mobile Environment
You will work with our product, design, and engineering teams to plan, design, and develop customer facing applications for credit cards. We offer an opportunity to work in a collaborative and inclusive environment with people who value their work and who welcome fresh ideas.
* Perform complex application programming activities with an emphasis on mobile development: Angular, Node, TypeScript, JavaScript, RESTful APIs and more
* Lead the definition of system architecture and detailed solution design that are scalable and extensible
* Collaborate with Product Owners, Designers, and other engineers on different permutations to find the best solution possible
* Own the quality of code and do your own testing. Automate feature testing and contribute UI testing framework
* Become a subject matter expert for our mobile applications backend and middleware
* Deliver amazing solutions to production that knock everyone’s socks off
* Mentor junior developers on the team
* Enthusiasm for cloud computing platforms such as AWS or Azure
**Requirements**
* B.S. or M.S. in Computer Science or related discipline from an accredited college or university.
* 6\+ years of hands\-on experience designing, developing, and delivering applications using Angular, JavaScript, TypeScript, HTML, and CSS.
**Preferred:**
* Exposure to cloud platforms (AWS, Azure) and deployment strategies.
* Experience with mobile app publishing and App Store/Play Store processes.
* Knowledge of security best practices for frontend and mobile applications.
* Ability to lead technical discussions and drive decision\-making
* 6\+ years of experience building hybrid mobile applications with Ionic and Capacitor.
* Strong foundation in object\-oriented programming, software engineering principles, unit testing, and performance optimization.
* Ability to integrate and consume RESTful APIs, writing clean and maintainable code.
* Experience collaborating closely with product managers, designers, and backend engineers.
* Excellent analytical, problem\-solving, and communication skills.
* Mentor junior engineers, participate in code reviews, and champion frontend best practices.
* Familiarity with agile development methodologies and CI/CD pipelines.
* Deep understanding of responsive and adaptive design principles.
* Hands\-on experience with state management libraries (e.g., NgRx, Redux).
* Familiarity with automated testing frameworks (e.g., Jasmine, Jest, Cypress).
* Knowledge of accessibility standards and best practices.
* Experience optimizing web and mobile app performance (lazy loading, code splitting, etc.).
**About Us**
------------
FDM powers the people behind tech and innovation. We spot trends, find top talent, and help businesses stay ahead.
With 35\+ years of experience, we coach, mentor, and launch fresh thinkers from diverse backgrounds into world\-class careers. Partnering with top global companies, we deliver the right talent at the right time—while guiding our people toward exponential growth.
 Global impact – 19 centers across North America, APAC, the UK, and Europe
 25,000\+ careers launched – and counting
 300\+ trusted client partners
**Committed to Diversity, Equity, and Inclusion**
Tech careers should be for everyone. With 80\+ nationalities represented, FDM thrives on diversity, fuels innovation through unique perspectives, and celebrates success together. As an Equal Opportunity Employer and FTSE4Good\-listed company, we ensure every qualified applicant gets a fair shot—no barriers, just opportunities.
**Additional Considerations**
FDM Group, Inc. is registered to operate and hire employees in select states within the US. We will consider employment applications exclusively from candidates who are either residing in one of the following states or willing to relocate to them: Arizona, California, Colorado, Delaware, Florida, Georgia, Illinois, Indiana, Massachusetts, Maryland, Maine, Minnesota, North Carolina, New Jersey, New York, Pennsylvania, Tennessee, Texas, Utah, and Virginia.</t>
        </is>
      </c>
    </row>
    <row r="195">
      <c r="A195" t="inlineStr">
        <is>
          <t>in-7bae8fd66546ba03</t>
        </is>
      </c>
      <c r="B195" t="inlineStr">
        <is>
          <t>Software Engineer</t>
        </is>
      </c>
      <c r="C195" t="inlineStr">
        <is>
          <t>Varex Imaging</t>
        </is>
      </c>
      <c r="D195" t="inlineStr">
        <is>
          <t>indeed</t>
        </is>
      </c>
      <c r="E195">
        <f>HYPERLINK("https://www.indeed.com/viewjob?jk=7bae8fd66546ba03", "https://www.indeed.com/viewjob?jk=7bae8fd66546ba03")</f>
        <v/>
      </c>
      <c r="F195">
        <f>HYPERLINK("https://vareximaging.wd103.myworkdayjobs.com/en-US/External_Career_Site/job/Las-Vegas/Software-Engineer_R0005602", "https://vareximaging.wd103.myworkdayjobs.com/en-US/External_Career_Site/job/Las-Vegas/Software-Engineer_R0005602")</f>
        <v/>
      </c>
      <c r="G195" t="inlineStr">
        <is>
          <t>Las Vegas, NV, US</t>
        </is>
      </c>
      <c r="H195" s="3" t="n">
        <v>46050</v>
      </c>
      <c r="I195" t="inlineStr">
        <is>
          <t>*To apply to a Varex Imaging position, please create an account and sign\-in.*
CURRENT VAREX IMAGING EMPLOYEES: Please apply by logging into your internal Workday Account.
Summary
We are looking for a talented and motivated Software Engineer to contribute to the development of advanced software for our cargo X\-ray security scanning systems. This role involves hands\-on coding and problem\-solving in areas such as real\-time control, imaging, diagnostics, and hardware/software integration.
Job Description* Develop and maintain software components for image acquisition, motion control, diagnostics, and user interfaces.
* Write clean, efficient, and well\-documented code in C\# and related technologies.
* Collaborate with cross\-functional teams including hardware, AI, and customer support to deliver reliable, field\-ready systems.
* Participate in code reviews, design discussions, and sprint planning sessions.
* Assist in troubleshooting and supporting deployed systems, including remote diagnostics.
* Provide on\-site support as required, up to approximately 30% of working time.
* Contribute to software testing activities on the in\-house system to validate functionality and performance.
Basic Qualifications* B.S. degree in Computer Science, Electrical Engineering, or a related field.
* 3\+ years of professional software development experience.
* Proficiency in C\# and/or C\+\+, with experience in multithreading and performance optimization.
* Working knowledge of algorithm design and implementation, with attention to performance and scalability
* Experience in web development (front\-end and back\-end)
* Familiarity with SQL Server or other relational databases
* Proficient in Git and collaborative development workflows
* Experience working in Agile/Scrum environments using tools like Jira and Confluence
Preferred Experience* Background in imaging systems, X\-ray, or related domains.
* Experience with cybersecurity principles and secure software development practices.
* Comfortable supporting software deployed in field environment.
Employee must be able to meet the following requirements with or without an accommodation.* light work that will occasionally require employee to lift/move up to 20 lbs.
* Lifting, carrying, pushing, pulling, or moving heavy equipment and/or supplies occasionally, typically 20 lbs.
* Reaching above the shoulder occasionally.
* Above\-average agility and dexterity with the ability to hold, grasp and manipulate small parts and use hand and power tools occasionally.
* Wear personal protective equipment (PPE) and handle physical exertion, such as long periods of standing, walking, bending, crouching, stretching, reaching, repetitive motion, or similar activities rarely.
* Work environment includes exposure to electrical current, proximity to moving mechanical parts, and repetitive hand motion
Time Type:
Full time
Job Type:
Regular
Work Shift:
First Shift
Pay Rate Type:
Salary
Benefits and Perks
Varex Imaging provides competitive pay and benefits to support the financial, physical, and emotional well\-being of the people who make our company successful.* Medical Insurance
* Dental/Vision
* 10 Paid Holidays
* PTO
* Employee Stock Purchase Plan
* 401K match
* Paid Parental Leave
* Short \&amp; Long\-Term Disability and Life Insurance
* Competitive Pay
* Flexible Schedules
* Friendly Work Environment
* Tuition Reimbursement
* Employee Referral Program
* Career Advancement Opportunities
* Employee Discounts
*All qualified applicants will receive consideration for employment without regard to race, sex, color, religion, sexual orientation, gender identity, national origin, protected veteran status, or on the basis of disability.*</t>
        </is>
      </c>
    </row>
    <row r="196">
      <c r="A196" t="inlineStr">
        <is>
          <t>in-03efef4427e853be</t>
        </is>
      </c>
      <c r="B196" t="inlineStr">
        <is>
          <t>Mission Software Engineer</t>
        </is>
      </c>
      <c r="C196" t="inlineStr">
        <is>
          <t>Anduril</t>
        </is>
      </c>
      <c r="D196" t="inlineStr">
        <is>
          <t>indeed</t>
        </is>
      </c>
      <c r="E196">
        <f>HYPERLINK("https://www.indeed.com/viewjob?jk=03efef4427e853be", "https://www.indeed.com/viewjob?jk=03efef4427e853be")</f>
        <v/>
      </c>
      <c r="F196">
        <f>HYPERLINK("https://grnh.se/9e8qzs1p7us", "https://grnh.se/9e8qzs1p7us")</f>
        <v/>
      </c>
      <c r="G196" t="inlineStr">
        <is>
          <t>Bellevue, WA, US</t>
        </is>
      </c>
      <c r="H196" s="3" t="n">
        <v>46050</v>
      </c>
      <c r="I19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and allies.  
As a Mission Software Engineer, you will be responsible for delivering our products and solutions down the "last mile" to our customers. You will solve a wide variety of problems involving networking, autonomy, systems integration, robotics, and more, while making pragmatic engineering tradeoffs along the way to meet our customer's requirements. You will act as the technical subject matter expert that is present and available "in the room" to address questions, concerns and comments from customers and cross functional partners. Above all, Mission Software Engineers are driven by a "Whatever It Takes" mindset—executing in an *expedient*, *scalable*, and *pragmatic* way while keeping the mission top\-of\-mind and making sound engineering decisions to deliver successful outcomes correctly, on\-time, and with high quality.
### **WHAT YOU'LL DO**
* Own and deliver software solutions directly to customers, both from our office and in a forward\-deployed model on customer sites in Europe.
* Present and demo software solutions both internally and externally.
* Interface with customers to understand, distill and translate their desires into engineering requirements.
* Design and write code to build upon existing products to meet customer requirements.
* Collaborate across multiple teams to plan, build, and test complex functionalities.
* Collaborate with AR/VR specialists to integrate mixed reality sensors, displays, and spatial mapping capabilities.
* Triage issues, root cause failures, and coordinate next\-steps.
* Travel to customers (domestic and international) to build, test, present, demo and deploy capabilities.
### **REQUIRED QUALIFICATIONS**
* Able and willing to travel up to 30% of time (domestic and international)
* Excellent communication skills and ability to succinctly interface with non\-technical partners, customers and teammates.
* Strong engineering background from industry or school, ideally in areas/fields such as Computer Science, Software Engineering, Mathematics, or Physics
* 5\+ years working with a variety of programming languages such as Java, Python, C\+\+, Rust, Go, JavaScript, etc.
* Ability to quickly understand and navigate complex systems and established code bases
* A desire to work on critical software that has a real\-world impact
### **PREFERRED QUALIFICATIONS**
* Demonstrated experience or strong interest in developing mixed reality or simulation applications
* Background in military doctrine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7">
      <c r="A197" t="inlineStr">
        <is>
          <t>in-83895b7ab9c685d9</t>
        </is>
      </c>
      <c r="B197" t="inlineStr">
        <is>
          <t>Software Engineer</t>
        </is>
      </c>
      <c r="C197" t="inlineStr">
        <is>
          <t>Markon</t>
        </is>
      </c>
      <c r="D197" t="inlineStr">
        <is>
          <t>indeed</t>
        </is>
      </c>
      <c r="E197">
        <f>HYPERLINK("https://www.indeed.com/viewjob?jk=83895b7ab9c685d9", "https://www.indeed.com/viewjob?jk=83895b7ab9c685d9")</f>
        <v/>
      </c>
      <c r="F197">
        <f>HYPERLINK("https://careers-markon.icims.com/jobs/8067/job?utm_source=indeed_integration&amp;iis=Job%20Board&amp;iisn=Indeed&amp;indeed-apply-token=73a2d2b2a8d6d5c0a62696875eaebd669103652d3f0c2cd5445d3e66b1592b0f", "https://careers-markon.icims.com/jobs/8067/job?utm_source=indeed_integration&amp;iis=Job%20Board&amp;iisn=Indeed&amp;indeed-apply-token=73a2d2b2a8d6d5c0a62696875eaebd669103652d3f0c2cd5445d3e66b1592b0f")</f>
        <v/>
      </c>
      <c r="G197" t="inlineStr">
        <is>
          <t>Fort Meade, MD, US</t>
        </is>
      </c>
      <c r="H197" s="3" t="n">
        <v>46050</v>
      </c>
      <c r="I197" t="inlineStr">
        <is>
          <t>Description:
Markon is seeking multiple Software Engineers (Levels 1–3\) to support the Fort Meade customer in a secure, mission\-critical environment. These roles support the development, automation, integration, and sustainment of software systems operating across controlled and air\-gapped networks. This position works with cross\-functional teams to integrate new technologies, enhance system reliability, and deliver scalable solutions in support of mission operations.
Responsibilities:
* Develop, automate, integrate, and sustain software systems supporting mission operations.
* Leverage IT automation and scripting to support daily operations in secure and air\-gapped environments.
* Develop and maintain scripts using Bash, Python, and JavaScript.
* Support containerized applications and system integration efforts.
* Automate data flows and log/event forwarding between distributed software systems.
* Support Linux\-based environments, including troubleshooting and configuration.
* Develop and maintain technical documentation and SOPs.
* Collaborate with engineering teams to introduce and integrate new technologies into production environments.
* Develop and deliver technical briefings, presentations, and documentation to stakeholders.
* Senior\-level engineers may provide technical leadership and mentoring.
Qualifications:
**Required Qualifications*** Active TS/SCI W/ Polygraph through this Customer
* Bachelor’s degree in Systems Engineering, Computer Science, Information Systems, Engineering Science, Engineering Management, or a related discipline,  
OR equivalent relevant experience.
* Experience developing software or automation using Bash, Python, and/or JavaScript.
* Experience working in Linux environments, including system administration and troubleshooting.
* Ability to operate effectively in secure, mission\-focused environments.
* Strong written and verbal communication skills.
 **Preferred Qualifications*** Experience administering Splunk, including data ingestion, forwarders, user management, and monitoring.
* Hands\-on experience with NiFi for data movement and log forwarding.
* Experience with container orchestration platforms such as Kubernetes.
* Experience deploying and automating systems using Ansible.
* Experience with VMware (e.g., vCenter).
* Familiarity with DevOps and monitoring tools such as nxLog, Grafana, Git, and SaltStack.
* Experience with additional programming languages such as Ruby, Java, or Perl.
 **Experience Levels**
Candidates will be aligned based on experience and technical depth:
Software Engineer – Level 1 (SWE1\): 7–13 years of relevant software engineering experience
Software Engineer – Level 2 (SWE2\): 14–20years of relevant software engineering experience
Software Engineer – Level 3 (SWE3\): 21\+ years of relevant software engineering experience, including technical leadership or subject matter expertise
Salary Range: USD $130,000\.00 \- USD $230,000\.00 /Yr.  
The Markon pay range for this position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Overview:
Eager to join a team where your skills are valued, your growth is nurtured, and your impact is profound? Look no further than Markon, a premier consulting firm deeply dedicated to advancing our nation's most critical missions.  
At Markon, we don't just offer jobs – we offer opportunities for personal and professional transformation. Empowering our employees to lead, innovate, and excel, we foster an environment where new ideas are not just welcomed but celebrated. As a perennial Washington Post Top Workplace, we prioritize the well\-being and success of our team members, ensuring they can bring their best selves to work.  
Headquartered in Falls Church, Virginia, Markon has garnered national recognition for our unwavering dedication to excellence in serving the intelligence community, as well as federal civilian and defense agencies. Our growing reach extends across 17 states, 116 countries, and 5 continents, where our team of dynamic professionals collaborates to deliver unparalleled program and project management services.  
Markon values people and the tremendous impact each individual can make – which is why we’re consistently recognized as one of the best places to work in federal government consulting. Here, you can help solve the nation’s most important challenges, surrounded by colleagues who help you grow, advance, and succeed. We are deeply dedicated to what matters – bringing out the best in each other to advance our clients’ missions.  
Join us and make a meaningful impact.  
Markon is an Equal Opportunity Employer. All qualified applicants will receive consideration for employment without regard to race, color, religion, sex, pregnancy, national origin, age, protected veteran status, or disability status. This job posting will remain open until the position is filled. **Benefits Offered**: Medical, Dental, Vision, Life Insurance, Short\-Term Disability, Long\-Term Disability, 401(k) match, Flexible Spending Accounts, EAP, Training and Tuition Assistance, Paid Time Off, and Holidays.</t>
        </is>
      </c>
    </row>
    <row r="198">
      <c r="A198" t="inlineStr">
        <is>
          <t>in-7791f357c3693a7b</t>
        </is>
      </c>
      <c r="B198" t="inlineStr">
        <is>
          <t>Software Engineer - Level 2</t>
        </is>
      </c>
      <c r="C198" t="inlineStr">
        <is>
          <t>CyberCore Technologies</t>
        </is>
      </c>
      <c r="D198" t="inlineStr">
        <is>
          <t>indeed</t>
        </is>
      </c>
      <c r="E198">
        <f>HYPERLINK("https://www.indeed.com/viewjob?jk=7791f357c3693a7b", "https://www.indeed.com/viewjob?jk=7791f357c3693a7b")</f>
        <v/>
      </c>
      <c r="F198">
        <f>HYPERLINK("https://cybercoretech-jobs.services.agileonboarding.com/jobs/details/333", "https://cybercoretech-jobs.services.agileonboarding.com/jobs/details/333")</f>
        <v/>
      </c>
      <c r="G198" t="inlineStr">
        <is>
          <t>Annapolis Junction, MD, US</t>
        </is>
      </c>
      <c r="H198" s="3" t="n">
        <v>46050</v>
      </c>
      <c r="I198" t="inlineStr">
        <is>
          <t>Job Description
CyberCore is looking for a Software Engineer 2!
The Level 2 Software Engineer (SWE) shall possess the following capabilities:
Analyze user requirements to derive software design and performance requirements
Debug existing software and correct defects
Provide recommendations for improving documentation and software development process standards
Design and code new software or modify existing software to add new features
Integrate existing software into new or modified systems or operating environments
Develop simple data queries for existing or proposed databases or data repositories
Write or review software and system documentation
Serve as team lead at the level appropriate to the software development process being used on any particular project
Design or implement complex database or data repository interfaces/queries
Develop or implement algorithms to meet or exceed system performance and functional standards
Assist with developing and executing test procedures for software components
Develop software solutions by analyzing system performance standards, and confer with users or system engineers; analyze systems flow, data usage, and work processes; and investigate problem areas
Modify existing software to correct errors, to adapt to new hardware, or to improve its performance
Design, develop, and modify software systems, using scientific analysis and mathematical
models to predict and measure outcomes and consequences of design
Design or implement complex algorithms requiring adherence to strict timing, system resource, or interface constraints; Perform quality control on team products
Implement recommendations for improving documentation and software development process standards
Oversee one or more software development teams and ensure the work is completed in accordance with the constraints of the software development process being used on any particular project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
Required Skills
Eight (8\) years of experience as an SWE in programs and contracts of similar scope, type, and complexity is required.
Bachelor’s degree in Computer Science or a related discipline from an accredited college or university is required.
Four (4\) years of additional SWE experience on projects with similar software processes may be substituted for a bachelor’s degree.
Active TS/SCI security clearance with a current polygraph is required
Grafana
Bash
Python
Javascript
,
Additional Details
At CyberCore, we believe in taking care of our employees both inside and outside the workplace. Our comprehensive benefits package includes:
Health Insurance to ensure you and your family stay healthy and well.
Dental and Vision Insurance for preventive and routine care.
Basic Life Insurance and Disability Insurance to provide peace of mind for you and your loved ones.
Paid Holidays and Paid Time Off (PTO) to help you relax, recharge, and enjoy life.
Paid Parental Leave for new parents to focus on family.
Tuition Reimbursement to support your professional growth and education.
A 401(k) plan with a company match to help you plan for your future.
At CyberCore, we are committed to fostering a supportive and enriching environment where you can thrive both personally and professionally.
The salary range for this role is $70,000 \- $150,000\.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About cybercoretech
With industry\-leading technologies, facilities, and certifications — driven by the best people — CyberCore Technologies is the premiere provider of secure supply chain solutions to U.S. Federal and discerning commercial clients.</t>
        </is>
      </c>
    </row>
    <row r="199">
      <c r="A199" t="inlineStr">
        <is>
          <t>in-f88874847ee71a03</t>
        </is>
      </c>
      <c r="B199" t="inlineStr">
        <is>
          <t>Software Engineer Level 2</t>
        </is>
      </c>
      <c r="C199" t="inlineStr">
        <is>
          <t>Nyla Technology Solutions</t>
        </is>
      </c>
      <c r="D199" t="inlineStr">
        <is>
          <t>indeed</t>
        </is>
      </c>
      <c r="E199">
        <f>HYPERLINK("https://www.indeed.com/viewjob?jk=f88874847ee71a03", "https://www.indeed.com/viewjob?jk=f88874847ee71a03")</f>
        <v/>
      </c>
      <c r="F199">
        <f>HYPERLINK("https://nyla-jobs.services.agileonboarding.com/jobs/details/1168", "https://nyla-jobs.services.agileonboarding.com/jobs/details/1168")</f>
        <v/>
      </c>
      <c r="G199" t="inlineStr">
        <is>
          <t>Annapolis Junction, MD, US</t>
        </is>
      </c>
      <c r="H199" s="3" t="n">
        <v>46050</v>
      </c>
      <c r="I199" t="inlineStr">
        <is>
          <t>Job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rgbExperience in Python, Docker, AWS (app deployment, S3, opensearch, terraform). Experience with Kotlin is desired.
,
About Nyla Technology Solutions
Nyla Technology Solutions delivers exceptional Artificial Intelligence (AI), Data Science, and Software Engineering services for the U.S. Government. Nyla embraces a forward\-thinking and bold approach at every turn, earning us a solid reputation of technical trendsetters within the industry. We have a passion for developing solutions that have a quick and immediate impact on mission. Headquartered in Columbia, Maryland, our customers love how we tackle their most challenging problems and get things done.
If you have the unique experience and expertise we are seeking, along with the desire and determination to invest your time and energy as a part of Nyla’s team,
Taking Care of All of You
Nyla provides a top\-of\-market compensation and benefits package. And through our unique Nyla FLEX program, we custom tailor these benefits to best fit your lifestyle.
The Nyla FLEX benefit program is designed to offer you flexibility in the 3 biggest areas of your life: your pay, your leave, and your schedule.
PAY \- Nyla starts with 4 weeks of Annual Leave plus 11 holidays and an additional day of Annual Leave for each year you’re at the company. You have the flexibility to cash out your annual leave hours, opt out of other Nyla benefits, and/or arrange for additional hours on contract\* (over 40 hrs/week). There’s even an option to earn 1\.3 times your hourly rate once you work over 1880 hours on contract!
LEAVE \- Want to spend more time with the family? Want more time to travel the world? You can BUY additional annual leave for a total of 6 weeks of annual leave. That’s up to 240 hours of leave plus 11 holidays! That’s not even including paid anniversary leave!
SCHEDULE \- Does the traditional 40\-hour workweek no longer fit your lifestyle? With Nyla FLEX, you have the freedom to scale down to 30\-32 hours while still enjoying the top\-notch Nyla benefits you know and love. It's flexibility that works for you without compromising the perks!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
Nyla is an equal opportunity employer.</t>
        </is>
      </c>
    </row>
    <row r="200">
      <c r="A200" t="inlineStr">
        <is>
          <t>in-7a79a58b12055807</t>
        </is>
      </c>
      <c r="B200" t="inlineStr">
        <is>
          <t>Senior Software Engineer - Compute</t>
        </is>
      </c>
      <c r="C200" t="inlineStr">
        <is>
          <t>Aurora Innovation</t>
        </is>
      </c>
      <c r="D200" t="inlineStr">
        <is>
          <t>indeed</t>
        </is>
      </c>
      <c r="E200">
        <f>HYPERLINK("https://www.indeed.com/viewjob?jk=7a79a58b12055807", "https://www.indeed.com/viewjob?jk=7a79a58b12055807")</f>
        <v/>
      </c>
      <c r="F200">
        <f>HYPERLINK("https://grnh.se/70qzl0hs2us", "https://grnh.se/70qzl0hs2us")</f>
        <v/>
      </c>
      <c r="G200" t="inlineStr">
        <is>
          <t>Pittsburgh, PA, US</t>
        </is>
      </c>
      <c r="H200" s="3" t="n">
        <v>46050</v>
      </c>
      <c r="I200"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The journey to developing our cutting\-edge self\-driving truck Driver software requires a massive and continuous computational effort. Every day, Aurora's engineers initiate and manage millions of compute tasks, systematically processing and analyzing petabytes of critical data. This colossal computational workload spans various essential domains, including raw and derived data processing pipelines, large\-scale simulations to test and validate the software in countless scenarios, and the intensive machine learning training jobs that are the core of our autonomous system's intelligence.
At the heart of orchestrating this monumental compute infrastructure is the **Compute team**. This team is dedicated to building and maintaining the foundational technology that solves the fundamental challenges of resource scheduling, task isolation, and distributed state consistency across our massive batch compute fleet. At our scale, traditional off\-the\-shelf orchestrators break. The Compute team builds the custom engine \- BatchAPI \- that manages the lifecycle of millions of tasks \- built on top of K8s primitives but implements our own custom scheduler.
We deal with the 'unsolved' problems of distributed computing: maximizing hardware utilization while ensuring that a failure in one node doesn't cascade across the entire cluster. This engine is engineered to handle massive scale, ensuring reliability, efficiency, and rapid turnaround for our engineers.
Furthermore, the Compute team empowers engineers across the company to effectively harness this compute power. They develop and maintain the **Batch Workflows Python SDK**. This framework provides an intuitive, high\-level interface that allows engineers to programmatically define, construct, deploy, monitor, and manage their complex computational workloads. The SDK abstracts away the complexities of the underlying infrastructure, enabling engineers to focus purely on the logic and goals of their data processing, simulation, or training tasks, thus accelerating the entire development cycle for the Aurora Driver.
**In this role you will**
* Design, implement, and maintain core components of the high\-performance, large\-scale distributed batch compute engine (BatchAPI). Architect and optimize the scheduler, resource allocator, and execution engine of BatchAPI to handle bursty, heterogeneous workloads with minimal overhead.
* Design low\-latency APIs and resilient communication protocols that bridge our Python SDK with the Golang\-based core engine.
* Develop high\-level workflow abstractions, enabling engineers across the company to programmatically define, deploy, and manage complex data processing, simulation, and ML training pipelines.
* Solve complex problems in distributed locking, throttling, and fair\-share scheduling to ensure multi\-tenant stability.
* Drive continuous improvements in the performance, scalability, and resilience of the entire compute infrastructure, implementing robust monitoring and alerting systems to maintain operational excellence for critical workflows.
* Collaborate closely with infrastructure and product engineering teams (e.g., Autonomy, Data, Simulation, Machine Learning) to gather requirements, provide expert consultation, and integrate compute workflows with key company systems.
**Required qualifications**
* 5\+ years of professional software engineering experience.
* Deep expertise in Golang (for core systems) and Python (for SDK/API layering).
* Strong understanding of distributed systems fundamentals (e.g., CAP theorem, consensus algorithms, or gossip protocols).
* Experience with performance profiling and tuning (e.g., memory management, I/O bottlenecks, or network latency optimization).
* Specialized knowledge of container orchestration systems like Kubernetes.
* Proven track record of driving continuous performance, scalability, and resilience improvements in production environments managing critical data.
* Familiarity with cloud provider compute and data services (e.g., AWS EKS, S3, RDS).
**Desirable qualifications**
* Experience working with computational workloads specific to the autonomous vehicle, robotics, or large\-scale machine learning domains (e.g., data processing for perception, simulation, or model training).
* Demonstrated ability in creating and refining user\-facing tools, including adeptness at incorporating user feedback, managing expectations, and effectively prioritizing development based on user needs.
* Web UI development experience (Typescript, React)
 \#LI\- \#Mid\-Senior
The base salary range for this position is$146,000 \- $234,000 peryear.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01">
      <c r="A201" t="inlineStr">
        <is>
          <t>in-e578e0d1c4cf19ea</t>
        </is>
      </c>
      <c r="B201" t="inlineStr">
        <is>
          <t>Senior Software Engineer - Compute</t>
        </is>
      </c>
      <c r="C201" t="inlineStr">
        <is>
          <t>Aurora Innovation</t>
        </is>
      </c>
      <c r="D201" t="inlineStr">
        <is>
          <t>indeed</t>
        </is>
      </c>
      <c r="E201">
        <f>HYPERLINK("https://www.indeed.com/viewjob?jk=e578e0d1c4cf19ea", "https://www.indeed.com/viewjob?jk=e578e0d1c4cf19ea")</f>
        <v/>
      </c>
      <c r="F201">
        <f>HYPERLINK("https://grnh.se/h0bzmwc62us", "https://grnh.se/h0bzmwc62us")</f>
        <v/>
      </c>
      <c r="G201" t="inlineStr">
        <is>
          <t>Mountain View, CA, US</t>
        </is>
      </c>
      <c r="H201" s="3" t="n">
        <v>46050</v>
      </c>
      <c r="I201"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The journey to developing our cutting\-edge self\-driving truck Driver software requires a massive and continuous computational effort. Every day, Aurora's engineers initiate and manage millions of compute tasks, systematically processing and analyzing petabytes of critical data. This colossal computational workload spans various essential domains, including raw and derived data processing pipelines, large\-scale simulations to test and validate the software in countless scenarios, and the intensive machine learning training jobs that are the core of our autonomous system's intelligence.
At the heart of orchestrating this monumental compute infrastructure is the **Compute team**. This team is dedicated to building and maintaining the foundational technology that solves the fundamental challenges of resource scheduling, task isolation, and distributed state consistency across our massive batch compute fleet. At our scale, traditional off\-the\-shelf orchestrators break. The Compute team builds the custom engine \- BatchAPI \- that manages the lifecycle of millions of tasks \- built on top of K8s primitives but implements our own custom scheduler.
We deal with the 'unsolved' problems of distributed computing: maximizing hardware utilization while ensuring that a failure in one node doesn't cascade across the entire cluster. This engine is engineered to handle massive scale, ensuring reliability, efficiency, and rapid turnaround for our engineers.
Furthermore, the Compute team empowers engineers across the company to effectively harness this compute power. They develop and maintain the **Batch Workflows Python SDK**. This framework provides an intuitive, high\-level interface that allows engineers to programmatically define, construct, deploy, monitor, and manage their complex computational workloads. The SDK abstracts away the complexities of the underlying infrastructure, enabling engineers to focus purely on the logic and goals of their data processing, simulation, or training tasks, thus accelerating the entire development cycle for the Aurora Driver.
**In this role you will**
* Design, implement, and maintain core components of the high\-performance, large\-scale distributed batch compute engine (BatchAPI). Architect and optimize the scheduler, resource allocator, and execution engine of BatchAPI to handle bursty, heterogeneous workloads with minimal overhead.
* Design low\-latency APIs and resilient communication protocols that bridge our Python SDK with the Golang\-based core engine.
* Develop high\-level workflow abstractions, enabling engineers across the company to programmatically define, deploy, and manage complex data processing, simulation, and ML training pipelines.
* Solve complex problems in distributed locking, throttling, and fair\-share scheduling to ensure multi\-tenant stability.
* Drive continuous improvements in the performance, scalability, and resilience of the entire compute infrastructure, implementing robust monitoring and alerting systems to maintain operational excellence for critical workflows.
* Collaborate closely with infrastructure and product engineering teams (e.g., Autonomy, Data, Simulation, Machine Learning) to gather requirements, provide expert consultation, and integrate compute workflows with key company systems.
**Required qualifications**
* 5\+ years of professional software engineering experience.
* Deep expertise in Golang (for core systems) and Python (for SDK/API layering).
* Strong understanding of distributed systems fundamentals (e.g., CAP theorem, consensus algorithms, or gossip protocols).
* Experience with performance profiling and tuning (e.g., memory management, I/O bottlenecks, or network latency optimization).
* Specialized knowledge of container orchestration systems like Kubernetes.
* Proven track record of driving continuous performance, scalability, and resilience improvements in production environments managing critical data.
* Familiarity with cloud provider compute and data services (e.g., AWS EKS, S3, RDS).
**Desirable qualifications**
* Experience working with computational workloads specific to the autonomous vehicle, robotics, or large\-scale machine learning domains (e.g., data processing for perception, simulation, or model training).
* Demonstrated ability in creating and refining user\-facing tools, including adeptness at incorporating user feedback, managing expectations, and effectively prioritizing development based on user needs.
* Web UI development experience (Typescript, React)
 \#LI\- \#Mid\-Senior
The base salary range for this position is$162,000 \- $260,000 peryear.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02">
      <c r="A202" t="inlineStr">
        <is>
          <t>in-4f019329f996e0d0</t>
        </is>
      </c>
      <c r="B202" t="inlineStr">
        <is>
          <t>Senior Software Engineer</t>
        </is>
      </c>
      <c r="C202" t="inlineStr">
        <is>
          <t>AdvicePay</t>
        </is>
      </c>
      <c r="D202" t="inlineStr">
        <is>
          <t>indeed</t>
        </is>
      </c>
      <c r="E202">
        <f>HYPERLINK("https://www.indeed.com/viewjob?jk=4f019329f996e0d0", "https://www.indeed.com/viewjob?jk=4f019329f996e0d0")</f>
        <v/>
      </c>
      <c r="F202">
        <f>HYPERLINK("https://careers.advicepay.com/o/senior-software-engineer?source=Indeed", "https://careers.advicepay.com/o/senior-software-engineer?source=Indeed")</f>
        <v/>
      </c>
      <c r="G202" t="inlineStr">
        <is>
          <t>Bozeman, MT, US</t>
        </is>
      </c>
      <c r="H202" s="3" t="n">
        <v>46050</v>
      </c>
      <c r="I202" t="inlineStr">
        <is>
          <t>**About Us**
Well\-known financial advisors Michael Kitces and Alan Moore witnessed firsthand the growing demand for fee\-for\-service financial planning. This inspired them to create a solution that could streamline billing processes for advisors while ensuring regulatory compliance. Since its public launch in 2018, AdvicePay has become a cornerstone of the financial planning landscape, serving thousands of advisors and firms nationwide and earning recognition for its innovative approach.
Today, AdvicePay continues to grow and adapt with new features and partnerships, enhancing the platform's capabilities. Driven by our belief in the fee\-for\-service model, our mission remains clear: to empower advisors and firms in offering fee\-for\-service financial planning. Our aim is to make getting paid for advice easy and scalable for everyone involved – from advisors to the home office, and clients. As the industry evolves, we're dedicated to staying ahead of the curve, ensuring that AdvicePay remains the trusted solution for financial professionals nationwide.
We are headquartered in Bozeman, Montana and we are incredibly proud to be listed on the Inc. 5000 **list of America's Fastest\-Growing Private Companies** for 3 years in a row,as well as being recognized as a **2022 WealthTech 100 company,** which places us among the **top 100 innovative FinTech providers in the world** addressing opportunities faced by the wealth and asset management industries.
You’ll love working here if you value \- and want to contribute to \- a positive, inclusive, innovative, and “Get Sh\*t Done” culture where teammates help one another succeed and are committed to doing the right thing. If you're up for the challenge of disrupting an industry, join us.
**About the Position**
As a Senior Software Engineer at AdvicePay, you’ll play a central role in building and evolving both new and existing product features. You’ll take a set of user stories, dig into the existing codebase, and propose thoughtful solutions that balance long\-term maintainability with meaningful user impact.
You’ll contribute across the full development lifecycle, from shaping technical approaches to delivering high\-quality implementations, with a focus on minimizing code debt while maximizing real value for users. Your work will directly influence the stability, scalability, and usefulness of the product as it grows.
This role is for you if you enjoy translating real user needs into clean, sustainable technical solutions, like thinking holistically about systems (not just tickets), and want your engineering work to have visible, lasting impact on both the product and the team.
**What You’ll Be Doing**
**Technical Craft and System Design**
* Design and build secure, maintainable, and scalable solutions that support AdvicePay’s product and growth goals.
* Contribute meaningfully to system design discussions and technical decision\-making.
* Improve existing and legacy code through refactoring and thoughtful evolution over time.
* Help establish and reinforce coding standards to promote consistency and quality across the codebase.
* Investigate, debug, and resolve complex or cross\-system issues.
* Design efficient data access patterns and performance\-sensitive code.
**Delivery \&amp; Execution**
* Deliver complex features with a high level of reliability.
* Break down large initiatives into well\-scoped, executable work.
* Thoughtfully plan and sequence work to reduce risk and avoid rework.
* Proactively identify and surface delivery risks early.
* Balance near\-term delivery needs with long\-term system health.
**Ownership \&amp; Influence**
* Own major components or initiatives from design through long\-term maintenance.
* Anticipate downstream impacts of changes across systems and teams.
* Identify technical debt and contribute to prioritization discussions.
* Partner closely with Product to align technical solutions with user and business needs.
**Communication, Collaboration, \&amp; Leadership**
* Participate in planning and refinement conversation to help shape technical outcomes.
* Communicate technical concepts, tradeoffs, and risks clearly to both technical and non\-technical stakeholders.
* Help guide technical discussions toward sound, well\-reasoned decisions.
* Provide mentorship and constructive feedback to other engineers.
* Collaborate effectively with Product, QA, and cross\-functional partners.
* Review pull requests thoroughly (catching bugs, providing thoughtful feedback, providing guidance on best practices, ensuring automated test coverage, focusing on maintainability/readability/performance)
**Process \&amp; Continuous Improvement**
* Contribute to improvements in engineering workflows, tooling, and development practices.
* Identify and help address systemic issues impacting quality or delivery.
* Build deeper product and industry knowledge to inform technical decisions.
* Support a culture of continuous improvement and shared ownership.
**Additional Responsibilities**
* Participate in recruiting, interviewing, and onboarding activities as needed, including joining interviews, supporting technical assessments, and assisting with peer onboarding when requested.
* Create and maintain clear, useful technical documentation.
* Participate in occasional after\-hours incident resolution and/or deployment activities.
* Collaborate with DevOps and infrastructure efforts as needed.
* Support bug triage, customer\-reported issues, and production investigations.
* Contribute to secure development practices and participate in security reviews.
* Other duties as assigned.
**The Deets**
* Start Date: ASAP
* Status: Exempt, Full\-time (40\-45 hours/week)
* Location: Bozeman, MT
* Department: Product Development
* Reports to: Engineering Manager
**Compensation \&amp; Benefits**
* Salary: $171,703/year *(please note this salary is inclusive of total earnings for this role. We do not have a commission or bonus structure at AdvicePay)*
* Flexible paid time off days to maintain work\-life harmony (we encourage and support that you take *at least* 3 weeks off per year!)
* 11 paid holidays when the office is closed
* 401(k) with match \- you put in 6% and we put in 4\.5%
* 12 weeks of paid parental leave for the birth or adoption of a child
* Health benefits package provided of up to $450/month for an individual, $1000/month for families
* Dental, Vision, Voluntary Life and AD\&amp;D, and Accident insurance options
* Employer\-paid life insurance
* Employer\-paid long\-term disability coverage
* Up to $1800/year to cover the cost of working with a financial planner, plus up to $500 toward the one\-time upfront fee
* $250/quarter to spend on yourself specific to our core value of “Be Well Being You”
* $500 donated to a non\-profit organization of your choice when you volunteer 40 hours/year
* $2,000/year in Professional Development funds
* A sabbatical program that includes a cash bonus and extra time off at 5, 10, and 15 years
* Subsidized employer\-sponsored childcare through our partner daycare program for Bozeman area Team Members
* Pet insurance
* Company\-owned laptop provided
Please see our Team Member Handbook to learn more about the benefits and perks we offer!
 **What You’ll Bring to the Table (If you think, “I only meet 80% of these qualifications”, still apply!)**
* 5\+ years of experience working in a software company as a full\-stack software developer. *(required)*
* In\-depth experience with JavaScript/TypeScript, specifically using Vue, React, or Angular. *(required)*
* Strong backend experience in a modern C\-style language such as C\#, Go, or similar. *(required)*
* Git version control.
* Invested in helping teammates grow, with patience and a knack for meeting people where they are.
* Thinks beyond the immediate task, considering long\-term impact on users, systems, and teammates.
* A passion for software development and releasing great software.
* Experience working in a dynamic startup environment, showcasing adaptability and an entrepreneurial mindset.
* Sound technical judgement and collaboration skills. You work well independently, while also knowing when to ask for help or get a second opinion.
* Insatiable drive to identify and solve the root of a problem. You’re not the type to shy away from persistent effort or getting creative in helping craft solutions for problems our users face; in fact, you have a reputation for going the extra mile.
* Stellar communication skills with the ability to convey information with kindness, clarity, and accuracy whether through written or verbal means.
* Bachelor of Science in Computer Science or equivalent experience.
* High sense of personal responsibility \+ integrity *(required).*
* An understanding of and strong alignment with our Core Values *(required).*
* Legally authorized to live and work in the United States *(required).*
**What Will Make You Stand Out From the Crowd**
* Go
* DevOps
* PostgreSQL or Microsoft SQL Server
* RESTful API design
* Entity Framework
* Playwright
* Stripe integration
**Application**
* **In lieu of a cover letter, please respond to the following prompt in 2–3 paragraphs:**At AdvicePay, Senior Software Engineers own the technical planning and execution of projects in close partnership with Product. Product provides business context and feature requirements, while engineers are responsible for shaping the technical approach, breaking work into well\-scoped engineering tasks, identifying risks and dependencies, and pulling in the right people while remaining accountable for delivery.In 2–3 paragraphs, describe a time when you owned the technical planning and delivery of a feature or project. Ground your response in a specific example from a role listed on your resume (please reference the company and role).In your example, briefly explain how you translated product requirements into a technical plan, how you broke the work down, and how you collaborated with others. We’re especially interested in how you partnered with Product to ensure the technical approach met business needs.
* **Resume (to be uploaded)**
 **Note on AI use: While AI is a useful tool for refining your work, please ensure this response is primarily in your own words and reflects specifics from your own experience. We're interested in seeing your unique communication style and personality shine through.**
*Applications will be reviewed as they are received. Please note that we review every application individually, and because our team is small, we’ll be closing this posting once we’ve received a manageable number of applicants (around 50 \- 75\). If you’re interested in this role, we encourage you to apply sooner rather than later \- we don’t want you to miss the window!*
 **Process**
* Initial phone screen answering a few short questions about AdvicePay and the position
* First\-round interview with the hiring manager
* Work sample
* Final round, including:
	+ Company Core Values interview
	+ An informal coffee chat to get to meet some current AP team members
	+ Final wrap interview with the hiring manager
Our typical hiring process takes 4\-6 weeks from when we first post the job to when we extend a final offer
 **After applying, please be on the lookout for an email from us confirming receipt of your application, as well as future correspondence (emails sometimes get caught in your Junk/Spam folder or a Promotions tab)**
*AdvicePay believes that our Team Members, and the individual identities and experiences of our Team Members, are our key differentiators. We won't settle for mere acceptance of each other's differences because we maintain that our Team is better because of our differences, not in spite of them. As such, our culture celebrates, champions, supports, protects, and thrives on our various and collective identity categories. AP is beyond proud to be an equal opportunity employer.*</t>
        </is>
      </c>
    </row>
    <row r="203">
      <c r="A203" t="inlineStr">
        <is>
          <t>in-19eab69178c66893</t>
        </is>
      </c>
      <c r="B203" t="inlineStr">
        <is>
          <t>Embedded Software Engineer, Hands</t>
        </is>
      </c>
      <c r="C203" t="inlineStr">
        <is>
          <t>1X Technologies AS</t>
        </is>
      </c>
      <c r="D203" t="inlineStr">
        <is>
          <t>indeed</t>
        </is>
      </c>
      <c r="E203">
        <f>HYPERLINK("https://www.indeed.com/viewjob?jk=19eab69178c66893", "https://www.indeed.com/viewjob?jk=19eab69178c66893")</f>
        <v/>
      </c>
      <c r="F203">
        <f>HYPERLINK("https://1x.recruitee.com/o/embedded-software-engineer-hands?source=Indeed", "https://1x.recruitee.com/o/embedded-software-engineer-hands?source=Indeed")</f>
        <v/>
      </c>
      <c r="G203" t="inlineStr">
        <is>
          <t>San Carlos, CA, US</t>
        </is>
      </c>
      <c r="H203" s="3" t="n">
        <v>46050</v>
      </c>
      <c r="I203" t="inlineStr">
        <is>
          <t>**The Role**  
As an Embedded Software Engineer \- Hands, you will contribute across the embedded stack, ranging from motor control to sensor interfaces. You’ll support hardware bring\-up and integration efforts, while driving development in safety, security, and production\-grade firmware architecture. This role is central to moving our systems from lab environments into scalable, real\-world deployments.
 **You Will**
* Architect and develop firmware for motor controllers, sensor interfaces, and battery management systems
* Participate in hardware\-software integration and system bring\-up projects
* Contribute to CI/CD infrastructure and hardware\-in\-the\-loop (HIL) testing
* Implement features for safety, security, and high\-level robot software safety layers
* Drive improvements in firmware standards, reliability, and development processes
* Ability to read schematics for debug and bring\-up activities
**Must Have**
* Programming languages C \&amp; C\+\+
* Hands\-on experience developing embedded firmware, including motor control, MCU APIs, and sensor interfaces
* Experience with hardware\-software integration and bringing up new hardware platforms
* Knowledge of test automation, CI/CD systems, and HIL testing environments
* Strong execution mindset and ability to balance short\-term deliverables with long\-term planning
* Background in robotics, automotive, consumer electronics, or other embedded safety/security\-focused domains</t>
        </is>
      </c>
    </row>
    <row r="204">
      <c r="A204" t="inlineStr">
        <is>
          <t>in-3cfbb00c529c9acf</t>
        </is>
      </c>
      <c r="B204" t="inlineStr">
        <is>
          <t>Full Stack Engineer, Manufacturing Data Platform</t>
        </is>
      </c>
      <c r="C204" t="inlineStr">
        <is>
          <t>1X Technologies AS</t>
        </is>
      </c>
      <c r="D204" t="inlineStr">
        <is>
          <t>indeed</t>
        </is>
      </c>
      <c r="E204">
        <f>HYPERLINK("https://www.indeed.com/viewjob?jk=3cfbb00c529c9acf", "https://www.indeed.com/viewjob?jk=3cfbb00c529c9acf")</f>
        <v/>
      </c>
      <c r="F204">
        <f>HYPERLINK("https://1x.recruitee.com/o/full-stack-engineer-manufacturing-data-platform?source=Indeed", "https://1x.recruitee.com/o/full-stack-engineer-manufacturing-data-platform?source=Indeed")</f>
        <v/>
      </c>
      <c r="G204" t="inlineStr">
        <is>
          <t>Hayward, CA, US</t>
        </is>
      </c>
      <c r="H204" s="3" t="n">
        <v>46050</v>
      </c>
      <c r="I204" t="inlineStr">
        <is>
          <t>**Full Stack Engineer, Manufacturing Data Platform**
Hayward, CA (on\-site)
**About 1X**
We build humanoid robots that work alongside people to solve labor shortages and create abundance.
**The Role**
Our Manufacturing Data Platform is the backbone of robot traceability \- capturing every component, calibration, and telemetry reading from factory birth through the entire product lifecycle. We need a versatile engineer who can own this platform end\-to\-end.
As a Full Stack Engineer on the Manufacturing Data Platform, you will be the technical backbone of our Industrial Data Platform (IDP) \- owning everything from edge data ingestion to cloud APIs to technician\-facing applications. You'll design database schemas, build real\-time telemetry pipelines, implement secure authentication, and create intuitive interfaces for factory technicians and end users. This role requires someone who can context\-switch between backend services, frontend applications, data architecture, and security implementation.
This role is ideal for engineers who thrive on ownership and breadth \- you'll touch every layer of the stack and see your work directly impact robot manufacturing quality.
**You Will**
**Backend Development**
* Design and build RESTful APIs and WebSocket services using FastAPI on GCP Cloud Run
* Implement recording mode orchestration: trigger self\-checks, capture telemetry, manage session lifecycle
* Build configuration push/pull APIs with version control and rollback capability
* Create data pipelines for high\-frequency telemetry ingestion (200Hz, 350KB/s per robot)
**Frontend Development**
* Build Progressive Web App (PWA) for factory technicians: QR scanning, robot diagnostics, recording controls
* Create admin dashboards for fleet management, user administration, and audit log viewing
* Implement real\-time telemetry visualization with WebSocket integration (\&lt;500ms latency)
* Design mobile\-first interfaces optimized for factory floor use (large touch targets, high contrast)
**Data Architecture**
* Design and optimize database schemas: Cloud SQL (PostgreSQL) for relational data, Bigtable for time\-series telemetry
* Architect data storage strategy: immutable data (OTP), versioned calibration (EEPROM sync), time\-series streaming
* Build the robot genealogy system linking components, calibration, and manufacturing events
* Implement data lifecycle management from EOL Data Fusion Station through product lifecycle
**Security \&amp; Infrastructure**
* Implement OAuth 2\.0 authentication using Google Identity Platform
* Design and enforce Role\-Based Access Control (RBAC): Viewer, Technician, Engineer, Admin, End User
* Configure TLS/mTLS for edge\-to\-cloud communication
* Build comprehensive audit logging for compliance and traceability
* Manage infrastructure using Terraform and CI/CD pipelines with Cloud Build
**Integration \&amp; Edge**
* Integrate with MQTT Sparkplug B for edge gateway communication via EMQX broker
* Design store\-and\-forward patterns for offline data buffering on edge gateways
* Build synchronization logic between local robot storage (EEPROM) and cloud databases
* Collaborate with Robot OS teams on telemetry schemas and command protocols
 **Must Have**
* 5\+ years of software engineering experience spanning backend and frontend development
* Strong proficiency in Python (FastAPI, SQLAlchemy) and TypeScript (React, Next.js)
* Experience with cloud platforms (GCP preferred): Cloud Run, Cloud SQL, Pub/Sub, BigQuery
* Solid understanding of database design: relational modeling, time\-series databases, query optimization
* Experience with real\-time systems: WebSockets, message queues, or streaming pipelines
* Understanding of authentication and authorization: OAuth 2\.0, JWT, RBAC implementation
* Experience with infrastructure\-as\-code (Terraform) and CI/CD pipelines
* Ability to work independently and own projects end\-to\-end
**Nice to Have**
* Experience with MQTT, Sparkplug B, or industrial IoT protocols
* Background in manufacturing, robotics, or hardware data systems
* Experience with Progressive Web Apps (PWAs) and offline\-first design
* Familiarity with time\-series databases (Bigtable, InfluxDB, TimescaleDB)
* Experience with data visualization libraries (D3\.js, Recharts, ECharts)
* Understanding of edge computing: NVIDIA Jetson, industrial gateways
* Experience with 3D visualization (Three.js) for robot status monitoring
* Security certifications or experience with compliance frameworks (SOC 2\)
**Benefits \&amp; Compensation**
* Salary Range:
* Health, dental, and vision insurance
* 401(k) with company match
* Paid time off and holidays
**Equal Opportunity Employer**
1X is an Equal Opportunity Employer. All qualified applicants will receive consideration for employment without regard to race, color, religion, sex, gender, gender identity or expression, sexual orientation, national origin, ancestry, citizenship, age, marital status, medical condition, genetic information, disability, military or veteran status, or any other characteristic protected under applicable federal, state, or local law.</t>
        </is>
      </c>
    </row>
    <row r="205">
      <c r="A205" t="inlineStr">
        <is>
          <t>in-0a9fc3732e771ac6</t>
        </is>
      </c>
      <c r="B205" t="inlineStr">
        <is>
          <t>Senior Software Engineer - Site Reliability</t>
        </is>
      </c>
      <c r="C205" t="inlineStr">
        <is>
          <t>Roblox</t>
        </is>
      </c>
      <c r="D205" t="inlineStr">
        <is>
          <t>indeed</t>
        </is>
      </c>
      <c r="E205">
        <f>HYPERLINK("https://www.indeed.com/viewjob?jk=0a9fc3732e771ac6", "https://www.indeed.com/viewjob?jk=0a9fc3732e771ac6")</f>
        <v/>
      </c>
      <c r="F205">
        <f>HYPERLINK("https://grnh.se/m2buk0d11us", "https://grnh.se/m2buk0d11us")</f>
        <v/>
      </c>
      <c r="G205" t="inlineStr">
        <is>
          <t>San Mateo, CA, US</t>
        </is>
      </c>
      <c r="H205" s="3" t="n">
        <v>46050</v>
      </c>
      <c r="I205"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Are you a seasoned engineer with a passion for reliability and scalability? We're looking for exceptional Software Engineers to join the Reliability team at Roblox. In this pivotal role, you will drive the evolution of our systems, ensuring they meet the highest standards of performance, reliability, and efficiency. You'll collaborate with cross\-functional teams to build robust infrastructure that supports our growth. If you have a track record of solving complex technical challenges, we want to hear from you. Join us in shaping the future of our platform and delivering unparalleled value to our users.
At Roblox, our vision is to achieve 1 billion daily active users. We believe this engineer will be instrumental in driving us towards that ambitious goal.
**You Will:**
* Create software and libraries that promote fault\-tolerance and resilience
* Design and develop frameworks and tools to support performance testing, chaos experimentation, and improve infrastructure resiliency.
* Develop and implement performance monitoring and observability services to proactively identify and understand infrastructure issues and platform degradations.
**You Have:**
* Experience: you have a BS degree (or equivalent professional experience) in Computer Science or related engineering field with at least 3\-4 years of experience with added advantage working in the Site Reliability space in SRE or Software Engineering
* Passion for systems: You have experience and good habits around building software and tools and getting them adopted. Your system's focus informs a view of code needing to be deeply reliable.
* Prior experience developing, deploying and maintaining LLM\-based agents or RAG systems in production is a plus.
**You Are:**
* A Partner: You know that the best tools integrate broadly with the tooling ecosystem. You approach partners and processes with curiosity and seek to understand a problem deeply before you start coding.
* A Coder: you have experience writing common programming languages ( Go, C\#, Java…).
* Self\-organized: you're excited about getting in front of complex problems, organizing your work by any means possible; overcome emergent issues and contributing to long\-running projects as a part of the team.
* Problem Solver: you ask the right questions to solve issues within your expertise and you use data to test your theories.Planner \- You have experience in large project lifecycles. You have experienced working in sprints, breaking down complex tasks into milestones, and reporting status to keep project scheduling accurate.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06">
      <c r="A206" t="inlineStr">
        <is>
          <t>in-8d79ea9218936b95</t>
        </is>
      </c>
      <c r="B206" t="inlineStr">
        <is>
          <t>Senior &amp; SDE II Software Engineer, Data Platform (All Teams)</t>
        </is>
      </c>
      <c r="C206" t="inlineStr">
        <is>
          <t>DoorDash</t>
        </is>
      </c>
      <c r="D206" t="inlineStr">
        <is>
          <t>indeed</t>
        </is>
      </c>
      <c r="E206">
        <f>HYPERLINK("https://www.indeed.com/viewjob?jk=8d79ea9218936b95", "https://www.indeed.com/viewjob?jk=8d79ea9218936b95")</f>
        <v/>
      </c>
      <c r="F206">
        <f>HYPERLINK("https://grnh.se/zfat73i21us", "https://grnh.se/zfat73i21us")</f>
        <v/>
      </c>
      <c r="G206" t="inlineStr">
        <is>
          <t>San Francisco, CA, US</t>
        </is>
      </c>
      <c r="H206" s="3" t="n">
        <v>46050</v>
      </c>
      <c r="I206" t="inlineStr">
        <is>
          <t>**About the Team**
------------------
DoorDash is a data driven organization and relies on timely, accurate and reliable data to drive many business and product decisions. The Core Data Platform organization owns all the infrastructure necessary to run an operationally efficient analytical data stack.
**About the Roles**
-------------------
The Data Platform team spans data mobility frameworks, ingestion, infrastructure, tools, and governance. Together, they design and operate scalable compute and ingestion frameworks using technologies such as Spark, Flink, Kafka, Airflow, and modern lakehouse solutions, while also building abstractions and tools that simplify data workflows for engineers, analysts, and ML practitioners. In parallel, these teams establish strong data quality, cataloging, privacy, and compliance standards to ensure trust in analytics and regulatory adherence. As relatively high\-impact teams, they offer engineers the opportunity to shape the roadmap, influence core platform decisions, and directly enable DoorDash's business\-critical insights and real\-time personalization capabilities. You must be located in San Francisco, CA, Sunnyvale, CA, Seattle, WA, or New York, NY.
**You're excited about this opportunity because you will…**
-----------------------------------------------------------
* Drive vision \&amp; strategy for building the frameworks charter and position it to handle the challenges of a rapidly growing business.
* Scale the analytical platform for the increasing amounts of data and use cases.
* You will bring your expertise in building and operating high scale systems with a focus on reliability, scalability and cost efficiency.
* Collaborate with stakeholders building solutions on top of the platform
* Foster a positive and supportive work culture, upleveling others.
**We're excited about you because you have…**
---------------------------------------------
* B.S., M.S., or PhD. in Computer Science or equivalent.
* 2\+ years of industry experience at our I4 level, 5\+ years of industry experience at our I5 level
* Experience working on big data domains (streaming, batch, data lake OLAP) and promoting realtime insights and data analytics at scale using technologies such as Apache Kafka, Flink, Spark,, Cassandra,, Clickhouse, Iceberg etc.
* You are located or are willing to locate to the Bay Area or Seattle
* Prior technical experience in Big Data infrastructure \&amp; governance \- you've built meaningful pieces of data infrastructure. Bonus if those were open\-sourced technologies like DataHub, Spark, Airflow, Kafka, Flink
* Experience improving efficiency, scalability, and stability of data platforms
* You are located or willing to relocate to the Bay Area, Seattle, or New York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07">
      <c r="A207" t="inlineStr">
        <is>
          <t>in-269ea9544604c47c</t>
        </is>
      </c>
      <c r="B207" t="inlineStr">
        <is>
          <t>Lead Software Engineer</t>
        </is>
      </c>
      <c r="C207" t="inlineStr">
        <is>
          <t>Guardian Life</t>
        </is>
      </c>
      <c r="D207" t="inlineStr">
        <is>
          <t>indeed</t>
        </is>
      </c>
      <c r="E207">
        <f>HYPERLINK("https://www.indeed.com/viewjob?jk=269ea9544604c47c", "https://www.indeed.com/viewjob?jk=269ea9544604c47c")</f>
        <v/>
      </c>
      <c r="F207">
        <f>HYPERLINK("https://guardianlife.wd5.myworkdayjobs.com/en-US/Guardian-Life-Careers/job/Holmdel/Lead-Software-Engineer_R000108476", "https://guardianlife.wd5.myworkdayjobs.com/en-US/Guardian-Life-Careers/job/Holmdel/Lead-Software-Engineer_R000108476")</f>
        <v/>
      </c>
      <c r="G207" t="inlineStr">
        <is>
          <t>Holmdel, NJ, US</t>
        </is>
      </c>
      <c r="H207" s="3" t="n">
        <v>46050</v>
      </c>
      <c r="I207" t="inlineStr">
        <is>
          <t>The Lead Software Engineer operates within the realm of the Individual Markets Production Support organization and acts as part of a global team to ensure the highest levels of application stability and availability. The position acts independently and/or collaboratively with solution architects, development teams, and cross\-functional stakeholders to support the daily care and feeding of the applications and associated infrastructure, as well as provide tier 2/3 support to escalated requests and break/fix items.
You are
A self\-starter, continuous learner and experienced technologist who transforms abstract ideas into actionable customer solutions, partnering across the company with engineers, product managers, business partners and executive stakeholders. Someone with a broad range of technical skills and enjoys the challenge of problem solving. Looking to spice things up with adding variety into your day vs. head’s down coding.  
ESSENTIAL FUNCTIONS:* Support complex solutions in an Agile environment as part of a global team of engineers, designers, and product experts
* Gather and analyze data and develop requirements at project level
* Conduct and lead technical design discussions across multiple technology disciplines to propose viable solutions to complex problems
* Liaise between software engineering teams and production support to facilitate operational readiness. Provide level 2/3 support for escalated incidents/defects.
* Develop and build strong relationships across the business to effectively influence and accomplish strategic objectives.
* Assist on\-shore and off\-shore teams with issues needing technical expertise or complex systems and/or programming knowledge. Mentor and develop new or less experienced team members.
* Provide technical training to external team members to foster stronger cross\-departmental relations.
* Follow the sun support model thru on\-call rotation.
QUALIFICATIONS* Bachelor’s Degree in Computer Science, Mathematics, Engineering or related field
* 8\-10 years of professional software development experience
* Experience with service\-oriented and cloud native software architectures
* Experience with a broad range of technologies including .NET, Java/J2EE, Spring boot, Spring batch, Web Services. Node.js, React, and shell scripting as plus.
* Experience with a broad range of database technologies including MS SQL Server/PL SQL, Oracle, DB2,
* Experience with modern web application development, including build tools, testing and CI/CD
* Experience with secure programming practices, software delivery and cloud security principles
* Experience with cloud technology including AWS, Docker, Kafka, SNS/SQS
* Experience with source control and development workflows: Bitbucket, Git
* Familiarity with trouble\-shooting tools such as Splunk, Zenoss and AppDynamics/Dynatrace
* Familiarity with API architectures including microservice strategy
* Proven ability to take a lead role in projects that span multiple teams, ability to deliver on time working in a fast\-paced agile environment
* Proven track record of developing and supporting large scale business critical systems
* Excellent analytical and problem\-solving skills; solid understanding of coding aesthetics, able to review code, and provide suggestions
* Must be comfortable in a fast paced, changing environment
* Has strong presentation and collaboration skills and can clearly articulate all aspects of the job requirements, including the creation of formal documentation
* Deep subject matter expertise with Individual Markets NSCC/DST applications will be particularly advantageous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208">
      <c r="A208" t="inlineStr">
        <is>
          <t>in-ff23a4d494b724f1</t>
        </is>
      </c>
      <c r="B208" t="inlineStr">
        <is>
          <t>Staff Software Engineer</t>
        </is>
      </c>
      <c r="C208" t="inlineStr">
        <is>
          <t>Kin Insurance</t>
        </is>
      </c>
      <c r="D208" t="inlineStr">
        <is>
          <t>indeed</t>
        </is>
      </c>
      <c r="E208">
        <f>HYPERLINK("https://www.indeed.com/viewjob?jk=ff23a4d494b724f1", "https://www.indeed.com/viewjob?jk=ff23a4d494b724f1")</f>
        <v/>
      </c>
      <c r="F208">
        <f>HYPERLINK("https://jobs.ashbyhq.com/kin/e6331dc3-4e5b-46dc-a39a-1985cebd4efb?utm_source=Poxlxy7KOW", "https://jobs.ashbyhq.com/kin/e6331dc3-4e5b-46dc-a39a-1985cebd4efb?utm_source=Poxlxy7KOW")</f>
        <v/>
      </c>
      <c r="G208" t="inlineStr">
        <is>
          <t>Ontario, CA, US</t>
        </is>
      </c>
      <c r="H208" s="3" t="n">
        <v>46050</v>
      </c>
      <c r="I208"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Staff Engineer at Kin, you'll develop the products and features that make Kin operate. We're a Ruby on Rails environment with Typescript front\-end and PostgreSQL database, and we apply Agile methodologies to our product and software development processes. In your role, you will have the opportunity to work on more complex engineering problems while collaborating with peers in Dev, Product, Design and other cross\-functional teams. As your team's technical lead, you'll to mentor team members, and lead projects.
**A day in the life could include:**
* Writing clean, maintainable, and efficient code in Ruby on Rails and Typescript
* Setting the standards for the Engineering team by example
* Leading pair programming sessions and providing mentorship to team members
* Driving and fostering advanced design or architectural tasks
* Developing technical roadmaps
* Participating in daily stands and weekly retros
* Working with Design, Product Management, and Customer Support partners to design and implement scalable solutions
* Providing subject matter expertise and support
**I’ve got the skills… but do I have the necessary ones?**
* 6\+ years of professional software engineering experience
* 4\+ years experience coding with Ruby on Rails and Typescript/Javascript
* Strong understanding of SQL and RDBMS, with exposure to NoSQL
* Experience in designing and implementing scalable, API\-first systems
* Experience with event\-driven architectures
* Experience in big data engineering on AWS and/or DataBricks is a plus
* Ability to articulate value of technical investments
* Ability to operate with little\-to\-no technical guidance
* Experience mentoring engineers
* Comfortable in a startup environment – we’re fast\-paced, self\-motivated, and determined to change the industry
* A fast learner, ready to bring previous knowledge to this position and continue developing along the way
* Location in Central or Eastern US time zones (CDT \&amp; EDT) strongly preferred
* At this time, we are unable to sponsor employment visas
**Oh, and don’t worry, we’ve got you covered!**
*This role is eligible for our comprehensive benefits program, which includes standard coverage and additional supplemental benefits.*
 ***This role is available and may represent a new position. Applications for this role are accepted on an ongoing basis***
***We use AI\-enabled tools to sort applications based on job\-related criteria and help with noting\-taking during the interview process. A human always decides who moves forward.***
\#LI\-REMOTE
*For Sales Agents and Customer Service Agents: These roles sit in any of the following 30 states: AL, AZ, CO, FL, ID, IL, IN, KS, KY, MA, MD, ME, MI, MO, MT, NC, NE, NM, NV, NY, OH, OK, PA, SC, TN, TX, UT, VT, VA, WA, and WI.*
*For remote technical positions located in Canada, we are only able to hire individuals who reside in Ontario. Applicants must be able to live and work full\-time in Ontario to be considered.*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welcomes and encourages applications from people with disabilities. Accommodations are available on request for candidates taking part in all aspects of the selection process. If you require accommodation, please contact us by sending an email to careers@kin.com
Compensation Range: CA$152K \- CA$190K</t>
        </is>
      </c>
    </row>
    <row r="209">
      <c r="A209" t="inlineStr">
        <is>
          <t>in-ecfeb4fe2d942e4b</t>
        </is>
      </c>
      <c r="B209" t="inlineStr">
        <is>
          <t>Senior Software Engineer, Infrastructure</t>
        </is>
      </c>
      <c r="C209" t="inlineStr">
        <is>
          <t>SERVAL</t>
        </is>
      </c>
      <c r="D209" t="inlineStr">
        <is>
          <t>indeed</t>
        </is>
      </c>
      <c r="E209">
        <f>HYPERLINK("https://www.indeed.com/viewjob?jk=ecfeb4fe2d942e4b", "https://www.indeed.com/viewjob?jk=ecfeb4fe2d942e4b")</f>
        <v/>
      </c>
      <c r="F209">
        <f>HYPERLINK("https://jobs.ashbyhq.com/Serval/dedc8cf0-cbf5-4335-ae46-c3e8e6de9c8d?utm_source=DmnKReBx4G", "https://jobs.ashbyhq.com/Serval/dedc8cf0-cbf5-4335-ae46-c3e8e6de9c8d?utm_source=DmnKReBx4G")</f>
        <v/>
      </c>
      <c r="G209" t="inlineStr">
        <is>
          <t>San Francisco, CA, US</t>
        </is>
      </c>
      <c r="H209" s="3" t="n">
        <v>46050</v>
      </c>
      <c r="I209" t="inlineStr">
        <is>
          <t>**Who We Are**
==============
Serval is the **AI platform for IT teams** — replacing legacy systems like ServiceNow with automation that frees people to focus on meaningful work. Founded in early 2024, Serval is already trusted by innovative companies such as Notion, Perplexity, Vercel, Mercor, Langchain, and Verkada to automate more than 50% of their IT tickets.
Serval "automates the automation," using a natural language\-to\-code workflow builder and AI agents that discover and deliver automations for tedious IT workflows. What started as IT automation has expanded into a horizontal automation engine adopted by HR, Finance, Legal, Security, and Engineering teams.
Our mission is to free IT departments from the \#helpdesk channel by creating the simplest way to automate employee onboarding/offboarding, software access management, and the long tail of employee requests. Long term, our vision is to develop a universal workflow automation and enterprise service management platform for all business functions.
We're backed by industry\-leading investors, including Sequoia Capital, Redpoint Ventures, Meritech, First Round, General Catalyst, and others, and founded by product and engineering leaders from Verkada.
**Role Overview**
=================
Serval is building an AI platform to automate complex IT workflows for modern enterprises. As a Software Engineer, Infrastructure, you'll build and scale the foundational systems that power Serval's AI agents and workflow automation platform. A critical part of this role is enabling and supporting self\-hosted deployments for enterprise customers who require on\-premises or private cloud installations. This role is for engineers with deep expertise in distributed systems, infrastructure\-as\-code, production operations, and customer\-facing infrastructure support who want to shape the technical architecture of a fast\-growing platform.
**What You'll Do**
==================
* Design, implement, and operate large\-scale distributed systems that power Serval's AI agents, workflow orchestration, and data pipelines.
* Write and maintain Terraform modules to provision and manage cloud infrastructure across AWS, GCP, or Azure environments.
* Build and maintain deployment packages, installation scripts, and infrastructure templates that enable customers to self\-host Serval in their own environments.
* Provide technical guidance and troubleshooting support to enterprise customers deploying and operating self\-hosted instances of Serval.
* Ensure high availability, performance, and reliability of production systems through monitoring, alerting, incident response, and capacity planning.
* Build internal tools and platforms that enable product engineers to deploy, test, and operate services efficiently.
* Collaborate with engineering teams to design resilient, scalable architectures that support both cloud\-hosted and self\-hosted deployment models.
* Profile and optimize system performance, including compute, storage, networking, and database layers.
* Implement security best practices and ensure infrastructure meets enterprise compliance requirements for both managed and self\-hosted deployments.
**What You'll Need**
====================
* 3\+ years building and operating large\-scale distributed systems in production environments.
* Strong experience writing and maintaining Terraform for infrastructure provisioning and management.
* Deep knowledge of at least one major cloud provider (AWS, GCP, or Azure), including compute, networking, storage, and managed services.
* Experience building, packaging, and supporting self\-hosted or on\-premises software deployments for enterprise customers.
* Proficiency in Python, Go, or similar languages for building automation, tooling, and infrastructure services.
* Strong understanding of networking, databases, containerization (Docker, Kubernetes), and orchestration systems.
* Experience with monitoring, logging, alerting, and incident management tools (e.g., Datadog, Prometheus, Grafana, PagerDuty).
* Ability to communicate technical concepts clearly to customers and provide infrastructure support and guidance.
* Ability to debug complex system issues, analyze performance bottlenecks, and implement effective solutions.
**Nice to Have**
================
* Experience with Kubernetes in production, including cluster management and workload orchestration.
* Background in CI/CD systems, build pipelines, and deployment automation.
* Experience with workflow orchestration systems such as **Temporal,** including long\-running workflows, retries, and failure handling.
* Experience with data infrastructure (streaming systems like Kafka, data warehouses, ETL pipelines).
* Knowledge of security and compliance frameworks (SOC 2, ISO 27001, GDPR).
* Experience supporting enterprise customers with complex deployment requirements.
* Previous work at a high\-growth startup or experience scaling infrastructure rapidly.
**What We Offer**
-----------------
* **Impact**: Be a key player in shaping the success of our product and company.
* **Growth**: Build a fundamentally new AI product offering with the support of our experienced team and investors. Grow rapidly with the company.
* **Culture**: Join a culture that values innovation, ownership, accountability, and fun.
Compensation Range: $200K \- $400K</t>
        </is>
      </c>
    </row>
    <row r="210">
      <c r="A210" t="inlineStr">
        <is>
          <t>in-3f6cfc5d8bccea0f</t>
        </is>
      </c>
      <c r="B210" t="inlineStr">
        <is>
          <t>Senior Software Engineer</t>
        </is>
      </c>
      <c r="C210" t="inlineStr">
        <is>
          <t>NextPatient</t>
        </is>
      </c>
      <c r="D210" t="inlineStr">
        <is>
          <t>indeed</t>
        </is>
      </c>
      <c r="E210">
        <f>HYPERLINK("https://www.indeed.com/viewjob?jk=3f6cfc5d8bccea0f", "https://www.indeed.com/viewjob?jk=3f6cfc5d8bccea0f")</f>
        <v/>
      </c>
      <c r="F210">
        <f>HYPERLINK("https://jobs.ashbyhq.com/NextPatient/d472b89c-d043-4c0e-83ca-1c7e171675dd?utm_source=85n5dXDXZ0", "https://jobs.ashbyhq.com/NextPatient/d472b89c-d043-4c0e-83ca-1c7e171675dd?utm_source=85n5dXDXZ0")</f>
        <v/>
      </c>
      <c r="G210" t="inlineStr">
        <is>
          <t>US</t>
        </is>
      </c>
      <c r="H210" s="3" t="n">
        <v>46050</v>
      </c>
      <c r="I210" t="inlineStr">
        <is>
          <t>**ABOUT NEXTPATIENT PRODUCT**
Phone calls, faxing, long waits in a crowded waiting room \- going to the doctor can feel like a trip to the DMV. We improve the patient experience by giving doctors a single platform that provides online scheduling, patient intake, text\-to\-pay, smart appointment reminders and two\-way texting. Practices using NextPatient can see more patients, provide a better patient experience, and reduce their front office work.
**WHO IS NEXTPATIENT?**
Patients demand a modern, consumer experience when interacting with their doctor. Booking an appointment online is a key deciding factor when a patient picks a new doctor. When medical practices offer online scheduling and other digital communications, new patients are won and existing patients remain happy. Virtually every medical practice has staffing issues which creates a very high call volume. Despite this, most medical practice still use the phone as a primary means of patient appointment scheduling and communications. This puts an undue burden on the operations team and creates a frustrating patient experience. NextPatient solves this.
NextPatient is a SaaS company that serves specialty medical practices like Dermatology, Plastic Surgery, MedSpa, Ophthalmology and others. Key services include online scheduling, appointment reminders, post\-visit surveys, digital check\-in and payments. Our technology is differentiated with best\-in\-class API integrations into Practice Management systems. This allows for real\-time and bi\-directional data transfer between patients and the practice. Our team drives results for clients in three main value buckets: patient friendly digital experience (booking/texting) and, for the practice, less phone calls and more new patient ‘conversions’ from their website. This cross section of value propositions creates great selling conditions. Our company is bootstrapped and profitable. For this reason, we have a high degree of business stability and employee retention.
**SENIOR SOFTWARE ENGINEER \| JOB DESCRIPTION**
* Develops software solutions by studying information needs, conferring with users, studying systems flow, data usage, and work processes; investigating problem areas; and following the software development lifecycle.
* Determines operational feasibility by evaluating analysis, problem definition, requirements, solution development, and proposed solutions.
* Documents and demonstrates solutions by developing documentation, code comments, and clear code.
* Prepares and installs solutions by determining and designing system specifications, standards, and programming.
* Protects operations by keeping information confidential.
* Provides information by collecting, analyzing, and summarizing development and service issues.
* Accomplishes engineering and organization mission by completing related results as needed.
* Supports and develops software engineers by providing advice, coaching, and educational opportunities.
**STRONG CANDIDATES WILL HAVE**
* B.A. or B.S. in computer science, information technology, or related discipline
* 3\+ years of software development experience in Python \+ Postgres \+ Javascript
* Exceptional time management skills
* Strong ability to solve problems and troubleshoot
* Excellent listening and discovery skills
* Results\-oriented
* Get it done attitude
* Values the positive business impact of personal contributions
* Does not require oversight or management to get to goal
* Sense of urgency, promptness, and integrity
* SaaS experience \- preferred
* Healthcare experience – preferred
**CANDIDATE REQUIREMENTS**
If you choose to apply, please mention what about our business intrigues you and specifically how you could help us grow and deliver value to clients.
Compensation Range: $160K \- $230K</t>
        </is>
      </c>
    </row>
    <row r="211">
      <c r="A211" t="inlineStr">
        <is>
          <t>in-1e4f495d2b280470</t>
        </is>
      </c>
      <c r="B211" t="inlineStr">
        <is>
          <t>Software Engineer, Product</t>
        </is>
      </c>
      <c r="C211" t="inlineStr">
        <is>
          <t>meter</t>
        </is>
      </c>
      <c r="D211" t="inlineStr">
        <is>
          <t>indeed</t>
        </is>
      </c>
      <c r="E211">
        <f>HYPERLINK("https://www.indeed.com/viewjob?jk=1e4f495d2b280470", "https://www.indeed.com/viewjob?jk=1e4f495d2b280470")</f>
        <v/>
      </c>
      <c r="F211">
        <f>HYPERLINK("https://jobs.ashbyhq.com/meter/c708dfb5-9577-4980-9f39-6fa1803d705a?utm_source=jJZGxpPeRp", "https://jobs.ashbyhq.com/meter/c708dfb5-9577-4980-9f39-6fa1803d705a?utm_source=jJZGxpPeRp")</f>
        <v/>
      </c>
      <c r="G211" t="inlineStr">
        <is>
          <t>New York, NY, US</t>
        </is>
      </c>
      <c r="H211" s="3" t="n">
        <v>46050</v>
      </c>
      <c r="I211" t="inlineStr">
        <is>
          <t>Our dashboard is the preeminent way our customers and partners interact with our products. It’s where complex networks become simple, where infrastructure decisions become clear, and where businesses gain confidence in their connectivity. As a product engineer at Meter, you’ll shape how companies visualize and interact with the networks that keep them running, transforming dense technical systems into intuitive, elegant, and performant experiences.
**The impact you’ll drive**
* Create data visualizations that go beyond charts. You’ll give businesses real\-time insight into device health, connectivity and performance.
* Ensure every interaction feels instantaneous by improving render, load, and scroll performance
* Adapt our dashboard to shine on any screen
* Build reusable visualization components and design patterns that empower the entire team to move faster.
**What your craft looks like**
You will work in TypeScript, React, Vercel, and GraphQL to deliver fast, resilient, and beautiful experiences across varied use cases. That means getting the fundamentals right: well\-tested code, intuitive interfaces, and ensuring swift performance at scale. You’ll evolve Meter’s in\-house Design System, expand reusable components, and collaborate closely with Design and Engineering peers to accelerate product delivery.
**What makes you a fit**
* You bring both deep technical craft and hold a high bar for quality and polish
* You operate with autonomy, communicate with clarity, and find energy in helping others move faster
* You care about building elegant systems that scale and unlock better customer outcomes
* You’re motivated by the opportunity to shape the foundation of a fast\-growing company, where even small improvements create outsized impact.
**Why Meter?**
The internet runs the world. Every purchase you make, video call you join, 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**Compensation**
* The estimated salary range for this role is $163,000 \- $220,000\.
* Additionally, this role is eligible to participate in Meter's equity plan.
By applying to this job you acknowledge that you've read and understood Meter's Job Applicant Privacy Notice.</t>
        </is>
      </c>
    </row>
    <row r="212">
      <c r="A212" t="inlineStr">
        <is>
          <t>in-1edcc320cff1d961</t>
        </is>
      </c>
      <c r="B212" t="inlineStr">
        <is>
          <t>Software Engineer, Applied AI</t>
        </is>
      </c>
      <c r="C212" t="inlineStr">
        <is>
          <t>Airbyte</t>
        </is>
      </c>
      <c r="D212" t="inlineStr">
        <is>
          <t>indeed</t>
        </is>
      </c>
      <c r="E212">
        <f>HYPERLINK("https://www.indeed.com/viewjob?jk=1edcc320cff1d961", "https://www.indeed.com/viewjob?jk=1edcc320cff1d961")</f>
        <v/>
      </c>
      <c r="F212">
        <f>HYPERLINK("https://jobs.ashbyhq.com/airbyte/aa3d2df5-c5fc-488f-99bc-8e36aa4464a3?utm_source=WdaX49dKBA", "https://jobs.ashbyhq.com/airbyte/aa3d2df5-c5fc-488f-99bc-8e36aa4464a3?utm_source=WdaX49dKBA")</f>
        <v/>
      </c>
      <c r="G212" t="inlineStr">
        <is>
          <t>San Francisco, CA, US</t>
        </is>
      </c>
      <c r="H212" s="3" t="n">
        <v>46050</v>
      </c>
      <c r="I212" t="inlineStr">
        <is>
          <t>Airbyte is the open‑source standard for data movement. We've enabled data teams to move data from applications, APIs, unstructured sources and databases to data warehouses, lakes, and AI applications. With tens of thousands of connectors built and hundreds of thousands of companies adopting Airbyte, we've proven the economics of data integration at scale. And now Airbyte is building the frontier agentic data infrastructure, purpose\-built for AI agents that need fast, accurate access to data across hundreds of sources. Our mission: make data available and actionable, everywhere.
We've raised $181M from the world's top investors (Benchmark, Accel, Altimeter, Coatue, Y Combinator, etc.) and we believe in product\-led growth, where we build something awesome that all our users love. We’ve raised enough capital to explore boldly, but we still choose to move quickly, stay scrappy, and experiment constantly as we find the right paths in an AI\-native landscape.
**The Role:**
-------------
As a Software Engineer on our Data Replication team, you will design and build intelligent systems that dramatically improve how data moves through Airbyte. From first deployment and initial sync to ongoing execution at scale. You’ll leverage LLM\-based tools, agentic workflows, and automation to accelerate connector rollout, improve sync reliability, reduce TCO (total cost of ownership), and make the data movement experience seamless for both OSS and Cloud users.
This role sits at the intersection of AI systems, distributed data platforms, and developer experience. Your work will directly impact sync performance, operational excellence, and how quickly Airbyte can ship improvements across its control plane, data plane, and connector ecosystem.
**What You’ll Do:**
-------------------
* Build AI\-driven systems for data replication and connector lifecycle management, accelerating connector development, rollout, testing, and upgrades across OSS, Enterprise, and Cloud
* Design and implement agentic workflows that assist with diagnosing sync failures, schema evolution issues, performance regressions, and rollout risks across large fleets of connectors
* Build connectors and frameworks with AI to scale a wide range of reliable integrations
* Develop observability, anomaly detection, and automated remediation systems (ML \+ LLM hybrid) for data sync execution, job correctness, and CDC pipelines
* Improve control plane and data plane operations by automating deployment validation, release qualification, and environment testing (AWS, GCP, local, KIND)
* Own AI systems across the full lifecycle: design, prompt engineering, evaluation, deployment, monitoring, and iteration in production (LLMOps)
* Partner closely with platform, infra, and product teams to embed AI\-powered capabilities into Airbyte’s deployment flows, APIs, and Cloud self\-serve experience
* Build high\-leverage internal tooling that helps Airbyte ship connector and CDK changes faster while maintaining correctness, performance, and cost efficiency
**What You’ll Need:**
---------------------
* 5\+ years of engineering experience (backend, platform, or distributed systems) with strong proficiency in Python and/or Kotlin
* Hands\-on experience building or operating data pipelines, replication systems, or ETL/ELT platforms
* Experience designing systems that integrate LLMs with structured data, logs, APIs, or retrieval systems
* Familiarity with agentic or orchestration frameworks (e.g., LangChain, Pydantic AI, Temporal\-style workflows)
* Experience deploying and monitoring production systems, including LLMOps, observability, and alerting
* Experience running services on Kubernetes, Helm, Terraform, and major cloud providers
* Strong understanding of APIs, databases, connectors, schemas, and telemetry in distributed environments
* Systems\-level thinking with an emphasis on performance, reliability, cost, and scalability
* A startup\-ready mindset: comfortable with ambiguity, moving fast, and owning problems end\-to\-end
* A builder’s instinct for automation, leverage, and developer experience
**Nice To Have:**
-----------------
* Experience with open\-source platforms, especially in data integration or infrastructure tooling
* Familiarity with Airbyte, CDKs, or connector\-based architectures
* Exposure to large\-scale connector fleets, schema evolution, CDC, or long\-running sync execution
* Background in control plane/data plane architectures or internal developer platforms
**Location:**
-------------
* Onsite 5 days/week in San Francisco, CA
If you find this role exciting, we encourage you to apply even if you think you don’t meet all of the requirements!
*Airbyte is an equal opportunity employer that does not discriminate on the basis of actual or perceived race, creed, color, religion, national origin, ancestry, age, physical or mental disability, pregnancy, genetic information, sex, sexual orientation, gender identity or expression, marital status, familial status, domestic violence victim status, veteran or military status, or any other legally recognized protected basis under federal, state or local laws. Pursuant to the San Francisco Fair Chance Ordinance, we will consider for employment qualified applicants with arrest and conviction records.*
*Airbyte is committed to providing reasonable accommodations for qualified individuals with disabilities in our job application procedures. Please let us know if you need assistance or accommodations due to a disability.*
Compensation Range: $230K \- $260K</t>
        </is>
      </c>
    </row>
    <row r="213">
      <c r="A213" t="inlineStr">
        <is>
          <t>in-238b2d1513dd2699</t>
        </is>
      </c>
      <c r="B213" t="inlineStr">
        <is>
          <t>Full-Stack Software Developer</t>
        </is>
      </c>
      <c r="C213" t="inlineStr">
        <is>
          <t>Finni Health</t>
        </is>
      </c>
      <c r="D213" t="inlineStr">
        <is>
          <t>indeed</t>
        </is>
      </c>
      <c r="E213">
        <f>HYPERLINK("https://www.indeed.com/viewjob?jk=238b2d1513dd2699", "https://www.indeed.com/viewjob?jk=238b2d1513dd2699")</f>
        <v/>
      </c>
      <c r="F213">
        <f>HYPERLINK("https://jobs.ashbyhq.com/finni-health/98ac6cfe-4368-4185-85f8-68928a8f3100?utm_source=v6jNAOzglJ", "https://jobs.ashbyhq.com/finni-health/98ac6cfe-4368-4185-85f8-68928a8f3100?utm_source=v6jNAOzglJ")</f>
        <v/>
      </c>
      <c r="G213" t="inlineStr">
        <is>
          <t>Remote, US</t>
        </is>
      </c>
      <c r="H213" s="3" t="n">
        <v>46050</v>
      </c>
      <c r="I213" t="inlineStr">
        <is>
          <t>**Senior Full\-Stack Software Developer**
=========================================
Since our Series A last year, we've become one of the fastest\-growing startups to hit Series\-B metrics, and now we're hiring for a Senior Full\-Stack Software Developer to join our team to work on building the foundations of our products and vision.
We're looking for talented and motivated developers with 4\+ years of experience. Our developers own products from end\-to\-end. If you're interested in building elegant software with far\-reaching effects in our modern healthcare landscape, join us!
**What You'll Do**
------------------
* Design initial feature specifications.
* Build robust backend APIs.
* Write intuitive frontend code.
* Oversee ongoing improvements for launched products.
* Drive projects from concept to completion in an environment of autonomy and creativity.
* Shape not just our product, but our culture: who you work with, and how we all work together.
* Make foundational technical decisions critical to the company's success.
* Work incredibly closely with co\-founders, investors, and customers to deeply understand problems and build the best product.
Our current stack includes: **React, React Native, Typescript, and Firebase.**
**How We Work**
---------------
* We're a **hybrid team** with members across Canada and the US.
* Our main tools of collaboration are **Slack, Notion, Figma, Google Meets, and email.**
* We foster an environment where you can learn the inner workings of a growing startup.
* You'll contribute during investor meetings and demonstrate your features to potential customers.
* We genuinely expect you to take advantage of this learning opportunity of a lifetime, even to potentially start your own venture in the future.
**About You**
-------------
We're looking for a **product\-minded developer** who:
* Actively engages with the 'why' behind what they're building.
* Has a thirst for using technologies to leapfrog human problems.
* Has a strong track record of bringing products to life.
* Has experience in a backend framework (like **Node**).
* Is proficient with the staples of full\-stack web development: **HTML, JavaScript, and CSS.**
* Understands the balance between moving fast and building for the long haul in an early\-stage startup.
* Can minimize scope, prioritize ruthlessly, and implement rigorously.
* Takes ownership and sees things through to completion.
* Can take a stand yet commit even when they disagree.
* Doesn't need heavy direction and enjoys the 'grey' areas.
* Likes open\-ended problems and thrives in the face of uncertainty – the elements of a startup environment.
**Our Interview Process**
-------------------------
Our interview process is designed to be thorough and respectful of your time:
* **Take\-Home Assignment:** A practical exercise to assess your coding skills.
* **Technical Interview:** A deeper dive into your technical expertise and problem\-solving.
* **Team Interview:** An opportunity to meet potential teammates and discuss collaboration.
Ready to make a significant impact at a fast\-growing health\-tech startup? **Apply now to join our team!**
Compensation Range: $140K \- $200K</t>
        </is>
      </c>
    </row>
    <row r="214">
      <c r="A214" t="inlineStr">
        <is>
          <t>in-7c0c9c7d395b6b54</t>
        </is>
      </c>
      <c r="B214" t="inlineStr">
        <is>
          <t>Staff Software Engineer, Backend</t>
        </is>
      </c>
      <c r="C214" t="inlineStr">
        <is>
          <t>Parafin</t>
        </is>
      </c>
      <c r="D214" t="inlineStr">
        <is>
          <t>indeed</t>
        </is>
      </c>
      <c r="E214">
        <f>HYPERLINK("https://www.indeed.com/viewjob?jk=7c0c9c7d395b6b54", "https://www.indeed.com/viewjob?jk=7c0c9c7d395b6b54")</f>
        <v/>
      </c>
      <c r="F214">
        <f>HYPERLINK("https://jobs.ashbyhq.com/parafin/78472571-2802-4c4c-a837-ea7278276eec?utm_source=jkaGa0JM3E", "https://jobs.ashbyhq.com/parafin/78472571-2802-4c4c-a837-ea7278276eec?utm_source=jkaGa0JM3E")</f>
        <v/>
      </c>
      <c r="G214" t="inlineStr">
        <is>
          <t>Portland, OR, US</t>
        </is>
      </c>
      <c r="H214" s="3" t="n">
        <v>46050</v>
      </c>
      <c r="I214" t="inlineStr">
        <is>
          <t>**About Us:**
At Parafin, we’re on a mission to grow small businesses.
Small businesses are the backbone of our economy, but traditional banks often don’t have their backs. We build tech that makes it simple for small businesses to access the financial tools they need through the platforms they already sell on.
We partner with companies like DoorDash, Amazon, Worldpay, and Mindbody to offer fast and flexible funding, spend management, and savings tools to their small business users via a simple integration. Parafin takes on all the complexity of capital markets, underwriting, servicing, compliance, and customer service for our partners.
We’re a tight\-knit team of innovators hailing from Stripe, Square, Plaid, Coinbase, Robinhood, CERN, and more — all united by a passion for building tools that help small businesses succeed. Parafin is backed by prominent venture capitalists including GIC, Notable Capital, Redpoint Ventures, Ribbit Capital, and Thrive Capital. Parafin is a Series C company, and we have raised more than $194M in equity and $340M in debt facilities.
Join us in creating a future where every small business has the financial tools they need.
**About the Position**
This is a unique opportunity to be one of the first engineers that Parafin hires in Portland as part of a newly forming team! As a **Staff Software Engineer, Backend** at Parafin Portland, you will be working directly with our Portland engineering leader to build and establish this new team. You will play a pivotal role in building, scaling, and maintaining our financial infrastructure. This position offers the opportunity to work across various engineering teams to design and develop robust, secure, and high\-performing systems that power our embedded financial products. You will tackle critical technical challenges, mentor fellow engineers, and influence the strategic direction of our technology stack.
You will be reporting to an engineering leader who is located full\-time in Portland. As the team grows, we will establish a physical presence with an in\-person collaboration space, with the team working there three days per week (hybrid). This is the first expansion of Parafin outside of our San Francisco headquarters, and YOU get to be part of it!
**What You’ll Do:**
* Design, build, and maintain scalable, reliable, and componentized systems that support our merchant\-facing products and services, with interfaces that amplify product development.
* Own and drive technical projects from ideation to deployment.
* Collaborate with cross\-functional teams, including Product, Data Science, Legal, and Accounting.
* Improve system performance, security, and reliability through continuous optimization.
* Mentor and guide other engineers, fostering a culture of technical excellence.
* Collaborate with our local engineering leader to recruit additional talented engineers locally in Portland.
**What We Look For:**
* 6\+ years of software engineering experience, preferably in fintech or financial services.
* Strong proficiency in backend development, ideally with Python, Go, or similar languages.
* Experience with cloud infrastructure (AWS, GCP) and scalable system design.
* Deep understanding of distributed systems, databases, and API development.
* Passion for building impactful financial products that empower small businesses.
* Excitement to build a new team from the ground up.
* Bachelor's Degree in Computer Science (or related field of study), or equivalent hands\-on work experience.
**What We Offer:**
* Salary Range: $220k\-$250k
* Equity grant
* Medical, dental \&amp; vision insurance
* Work from home flexibility
* Unlimited PTO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row>
    <row r="215">
      <c r="A215" t="inlineStr">
        <is>
          <t>in-8c8ca9ff562934a8</t>
        </is>
      </c>
      <c r="B215" t="inlineStr">
        <is>
          <t>Software Engineer II</t>
        </is>
      </c>
      <c r="C215" t="inlineStr">
        <is>
          <t>EagleView</t>
        </is>
      </c>
      <c r="D215" t="inlineStr">
        <is>
          <t>indeed</t>
        </is>
      </c>
      <c r="E215">
        <f>HYPERLINK("https://www.indeed.com/viewjob?jk=8c8ca9ff562934a8", "https://www.indeed.com/viewjob?jk=8c8ca9ff562934a8")</f>
        <v/>
      </c>
      <c r="F215">
        <f>HYPERLINK("https://careers-eagleview.icims.com/jobs/2716/job?utm_source=indeed_integration&amp;iis=Job%20Board&amp;iisn=Indeed&amp;indeed-apply-token=73a2d2b2a8d6d5c0a62696875eaebd669103652d3f0c2cd5445d3e66b1592b0f", "https://careers-eagleview.icims.com/jobs/2716/job?utm_source=indeed_integration&amp;iis=Job%20Board&amp;iisn=Indeed&amp;indeed-apply-token=73a2d2b2a8d6d5c0a62696875eaebd669103652d3f0c2cd5445d3e66b1592b0f")</f>
        <v/>
      </c>
      <c r="G215" t="inlineStr">
        <is>
          <t>Rochester, NY, US</t>
        </is>
      </c>
      <c r="H215" s="3" t="n">
        <v>46050</v>
      </c>
      <c r="I215" t="inlineStr">
        <is>
          <t>About Us:
Eagleview® is a leading provider of aerial imagery, property insights and software that transforms the way people work. Eagleview holds more than 300 patents and owns a large geospatial data and imagery library encompassing 94 percent of the US population. Eagleview provides the most accurate data, enabling customers in the government, construction, solar and insurance industries to make timely, informed and better decisions.
Overview:
Eagleview, the leader in aerial imagery, is hiring a Software Engineer II to join our Flight Systems Engineering team. This role offers the opportunity to work on cutting\-edge software applications that interact closely with advanced image capture systems, providing a unique blend of traditional software development and hardware integration. If you have a passion for full stack software engineering and enjoy working directly with hardware, then you may be the perfect candidate for this role!  
Flight Systems Engineering is a multi\-disciplined development team consisting of software, electrical, mechanical, imagery and optical engineers. The team is responsible for developing and maintaining Eagleview’s image capture systems. In this role you will participate in all aspects of the software development life cycle for applications that perform automated image quality assessments and optical system calibration. This is truly an exciting opportunity within the company where you will be able to make direct contributions to the software and projects that have a significant impact on the entire company!
Responsibilities:
Design, architect and develop advanced software solutions in a cross functional Agile team supporting multiple projects and initiatives simultaneously, including:
* Lead/collaborate on development of technical design and specifications as required.
* Code, test and document new applications as well as maintain existing system functionality.
* Collaborate with stakeholders on requirements definition, development of functional specifications, and design.
* Play a pivotal role in all aspects of development for the software used in one or more phases of camera systems development.
Qualifications:
* Bachelor’s Degree or equivalent experience, preferably in Computer Science, Computer/Electrical Engineering, Software Engineering, Image Science or a related field.
* Strong programming skills and ability to produce high quality code in a timely manner.
* Ability to work independently with minimal supervision. Self\-motivated and eager to meet customer needs.
* Excellent communication, collaboration, reporting, analytical and problem\-solving skills.
* Solid understanding of Agile (SCRUM) Development Process.
Preferred* Strong experience in C/C\+\+ (Windows Development Studio/Linux), C\#, Python, and OpenCV.
* Familiarity with hardware interfaces (e.g. camera control, Ethernet, RS\-485, RS\-232, digital interfaces, CoE, motion control, time synchronization).
* 3 years professional experience; 4 years preferred.
* Strong mathematical skills.
* Database systems and SQL (Postgres).
* Some GIS knowledge/experience.
* Web Development (JavaScript, React/Redux or similar).
EEO Statement:
This job description is not an exclusive or exhaustive list of all job functions that a workforce member in this position may be asked to perform. Duties and responsibilities can be changed, expanded, reduced, or delegated by management to meet the business needs of the company.  
The compensation offered to the successful candidate will be based on a variety of factors, including but not limited to, the candidate’s work experience, education and licenses, work\-related training, key skills, the core duties of the role and its associated responsibilities, additional benefits offered, and the location where the work will be performed. All Fulltime (30\+ hours) employees are eligible for PTO, Sick, and Parental Leave; Medical, Dental, and Vision Insurance; 401(k) Plan; Health Savings Account; Life Insurance; Employee Assistance Program; Pet Insurance. This is a full\-time, hybrid role in our Rochester, NY headquarters, with a salary range of $65,000 \- $108,000, bonus eligible.  
As an Equal Opportunity and E\-Verify Employer, EagleView Technologies does not discriminate on the basis of any legally protected status or characteristic. Protected veterans and individuals with disabilities are encouraged to apply. We are committed to giving all applicants equal opportunity to participate in the application process and are open to discussing reasonable accommodations for candidates with disabilities.</t>
        </is>
      </c>
    </row>
    <row r="216">
      <c r="A216" t="inlineStr">
        <is>
          <t>in-7ef312775051a4ad</t>
        </is>
      </c>
      <c r="B216" t="inlineStr">
        <is>
          <t>Software Engineer, Infrastructure</t>
        </is>
      </c>
      <c r="C216" t="inlineStr"/>
      <c r="D216" t="inlineStr">
        <is>
          <t>indeed</t>
        </is>
      </c>
      <c r="E216">
        <f>HYPERLINK("https://www.indeed.com/viewjob?jk=7ef312775051a4ad", "https://www.indeed.com/viewjob?jk=7ef312775051a4ad")</f>
        <v/>
      </c>
      <c r="F216">
        <f>HYPERLINK("https://jobs.ashbyhq.com/scaled-cognition/4a73e6a3-56ae-4185-90ee-5686040da858?utm_source=yq81qqba62", "https://jobs.ashbyhq.com/scaled-cognition/4a73e6a3-56ae-4185-90ee-5686040da858?utm_source=yq81qqba62")</f>
        <v/>
      </c>
      <c r="G216" t="inlineStr">
        <is>
          <t>Mountain View, CA, US</t>
        </is>
      </c>
      <c r="H216" s="3" t="n">
        <v>46050</v>
      </c>
      <c r="I216"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Infrastructure* at Scaled Cognition you will:
* Design and improve inference infrastructure that powers our AI models.
* Benchmark, profile, monitor and analyze latency and throughput and drive improvements throughout the stack.
* Collaborate with research scientists and product engineers to streamline the end\-to\-end process from model development to production deployment.
You might be the right person for the job if you:
* Are a continuous learner and are eager to explore new tools and technologies.
* Thrive in a dynamic environment and are comfortable adapting to changing priorities while maintaining a focus on delivering high\-quality solutions.
* Have successfully navigated projects with significant product and technical ambiguity, and you excel at the intersection of complex technical challenges and user\-focused solutions.
Key Qualifications:
* Experience deploying systems on major cloud platforms (AWS, GCP, Azure).
* Prior experience designing and implementing GPU infrastructure / tooling.
* A strong sense for scalability and developing secure, highly reliable environments.</t>
        </is>
      </c>
    </row>
    <row r="217">
      <c r="A217" t="inlineStr">
        <is>
          <t>in-d68afab9367ee35f</t>
        </is>
      </c>
      <c r="B217" t="inlineStr">
        <is>
          <t>Software Engineer, Infrastructure</t>
        </is>
      </c>
      <c r="C217" t="inlineStr"/>
      <c r="D217" t="inlineStr">
        <is>
          <t>indeed</t>
        </is>
      </c>
      <c r="E217">
        <f>HYPERLINK("https://www.indeed.com/viewjob?jk=d68afab9367ee35f", "https://www.indeed.com/viewjob?jk=d68afab9367ee35f")</f>
        <v/>
      </c>
      <c r="F217">
        <f>HYPERLINK("https://jobs.ashbyhq.com/scaled-cognition/4a73e6a3-56ae-4185-90ee-5686040da858?utm_source=yq81qqba62", "https://jobs.ashbyhq.com/scaled-cognition/4a73e6a3-56ae-4185-90ee-5686040da858?utm_source=yq81qqba62")</f>
        <v/>
      </c>
      <c r="G217" t="inlineStr">
        <is>
          <t>MA, US</t>
        </is>
      </c>
      <c r="H217" s="3" t="n">
        <v>46050</v>
      </c>
      <c r="I217"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Infrastructure* at Scaled Cognition you will:
* Design and improve inference infrastructure that powers our AI models.
* Benchmark, profile, monitor and analyze latency and throughput and drive improvements throughout the stack.
* Collaborate with research scientists and product engineers to streamline the end\-to\-end process from model development to production deployment.
You might be the right person for the job if you:
* Are a continuous learner and are eager to explore new tools and technologies.
* Thrive in a dynamic environment and are comfortable adapting to changing priorities while maintaining a focus on delivering high\-quality solutions.
* Have successfully navigated projects with significant product and technical ambiguity, and you excel at the intersection of complex technical challenges and user\-focused solutions.
Key Qualifications:
* Experience deploying systems on major cloud platforms (AWS, GCP, Azure).
* Prior experience designing and implementing GPU infrastructure / tooling.
* A strong sense for scalability and developing secure, highly reliable environments.</t>
        </is>
      </c>
    </row>
    <row r="218">
      <c r="A218" t="inlineStr">
        <is>
          <t>in-fe5fec8ac101268b</t>
        </is>
      </c>
      <c r="B218" t="inlineStr">
        <is>
          <t>Software Engineer</t>
        </is>
      </c>
      <c r="C218" t="inlineStr">
        <is>
          <t>LENS</t>
        </is>
      </c>
      <c r="D218" t="inlineStr">
        <is>
          <t>indeed</t>
        </is>
      </c>
      <c r="E218">
        <f>HYPERLINK("https://www.indeed.com/viewjob?jk=fe5fec8ac101268b", "https://www.indeed.com/viewjob?jk=fe5fec8ac101268b")</f>
        <v/>
      </c>
      <c r="F218">
        <f>HYPERLINK("https://jobs.ashbyhq.com/lens/35fe70db-5341-4f97-a8cf-89029813249e?utm_source=KqLRqwV4Ze", "https://jobs.ashbyhq.com/lens/35fe70db-5341-4f97-a8cf-89029813249e?utm_source=KqLRqwV4Ze")</f>
        <v/>
      </c>
      <c r="G218" t="inlineStr">
        <is>
          <t>Los Angeles, CA, US</t>
        </is>
      </c>
      <c r="H218" s="3" t="n">
        <v>46050</v>
      </c>
      <c r="I218" t="inlineStr">
        <is>
          <t>**Software Engineer**
=====================
**Mission**
-----------
LENS’s mission is to end traffic accidents. We partner with Public Safety Agencies who use LENS to detect pre\-accidents to prevent accidents before they happen. By using LENS, Public Safety Officers detect hazards, which include Disabled Vehicles, Objects on the Road, and even Pedestrians on the Freeway, to prevent accidents and save lives.
**Role**
--------
As a Software Engineer, you seek transformational change. You do not accept the status quo that accidents are an accepted inevitability, or that *they just happen*. Instead, you believe when the root cause of an accident can be known in advance, the accident can and should be prevented. You work with fellow Preventers that share this core belief, and together use LENS to prevent accidents and save lives.
CBS LA recently did a three minute TV feature that succinctly captures what LENS is doing with Public Safety Agencies in one of the largest traffic capitals in the world:
CHP LA Communications Center using AI to prevent accidents before they happen
You will increase the scale and speed of preventing accidents by being singularly focused on developing the software that makes mission\-critical outcomes possible. You write clean, maintainable, high\-quality code and take ownership of features from design through testing, deployment, and ongoing refinement. You are driven by creativity and system\-level thinking, and routinely develop novel solutions to complex problems. You understand not only how a piece of code works, but how it fits into the larger product and serves the people who depend on it. You will have a broad surface area to impact, with time a limited resource. You play to win and go where mission leverage is greatest \- system design, backend services, cloud infrastructure, data reliability, performance and monitoring, etc. \- to maximally impact LENS’s mission in the communities we serve.
Your impact on the LENS mission is measured by:
* Pre\-accidents detected, accidents prevented, and lives saved through the infrastructure, systems, and product capabilities you design, build, and operate
* Pre\-accidents detected, accidents prevented, and lives saved through the operational, educational, and technical frameworks you create, improve, and scale across agencies
* Pre\-accidents detected, accidents prevented, and lives saved through breakthrough capabilities you invent or assemble that fundamentally expand what is possible in ending traffic accidents
**Values \&amp; Principles**
------------------------
The LENS team is a culture built on a shared set of values and principles. Our culture is defined not by what we say, but by what we do (credit to Ben Horowitz’s book). Some of our values that define what we do are: (1\) Prioritize what fulfills the mission the fastest, (2\) Elevate each other to our highest \&amp; best frequency, (3\) Systems\-thinking, end to end. A few of our principles include: (1\) we learn, practice, and master. (2\) we continually absorb what enables operators of LENS to make an impact, and make that even better, (3\) we focus to supercharge our impact. Our Mission, Values, and Principles together give us a clear, shared, and continually evolving framework to keep enabling more Public Safety officers to prevent accidents and save more lives.</t>
        </is>
      </c>
    </row>
    <row r="219">
      <c r="A219" t="inlineStr">
        <is>
          <t>in-15b03fb448a0c1a5</t>
        </is>
      </c>
      <c r="B219" t="inlineStr">
        <is>
          <t>Software Engineer, Product</t>
        </is>
      </c>
      <c r="C219" t="inlineStr"/>
      <c r="D219" t="inlineStr">
        <is>
          <t>indeed</t>
        </is>
      </c>
      <c r="E219">
        <f>HYPERLINK("https://www.indeed.com/viewjob?jk=15b03fb448a0c1a5", "https://www.indeed.com/viewjob?jk=15b03fb448a0c1a5")</f>
        <v/>
      </c>
      <c r="F219">
        <f>HYPERLINK("https://jobs.ashbyhq.com/scaled-cognition/16fd0588-91ac-42b9-b8af-ea117410b5c1?utm_source=yq81qqba62", "https://jobs.ashbyhq.com/scaled-cognition/16fd0588-91ac-42b9-b8af-ea117410b5c1?utm_source=yq81qqba62")</f>
        <v/>
      </c>
      <c r="G219" t="inlineStr">
        <is>
          <t>Mountain View, CA, US</t>
        </is>
      </c>
      <c r="H219" s="3" t="n">
        <v>46050</v>
      </c>
      <c r="I219"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Product* at Scaled Cognition you will:
* Develop and build intuitive user experiences and SDKs that are powered by our novel, intelligent models.
* Develop tools and infrastructure for simulation, evaluation, and deployment of next\-generation AI systems.
* Work closely with research and infrastructure teams to translate cutting\-edge model capabilities into delightful, reliable products.
* Prototype fast, learn continuously, and ship ambitious ideas that redefine what’s possible in intelligent software.
You might be the right person for the job if you:
* Are passionate about building high quality products that solve real user needs.
* Are excited about building agentic systems and exploring what's possible at the frontier of AI capabilities.
* Thrive in ambiguous environments where you have the autonomy to define the path forward.
* Enjoy collaborating across disciplines — from product to AI research to infrastructure — to make something new work in the real world.
Key Qualifications:
* 3\+ years of software engineering experience.
* Strong proficiency with Python and TypeScript.
* Experience deploying secure, highly available customer\-facing applications.
* Experience deploying secure, scalable, customer\-facing applications in production.
* Familiarity with cloud architectures (AWS, GCP, Azure, etc.) and modern dev tooling.
* (Bonus) Experience with LLM APIs, SDK design, and interactive systems involving intelligent agents.</t>
        </is>
      </c>
    </row>
    <row r="220">
      <c r="A220" t="inlineStr">
        <is>
          <t>in-91629c8ac0d43ce6</t>
        </is>
      </c>
      <c r="B220" t="inlineStr">
        <is>
          <t>Software Engineer, Product</t>
        </is>
      </c>
      <c r="C220" t="inlineStr"/>
      <c r="D220" t="inlineStr">
        <is>
          <t>indeed</t>
        </is>
      </c>
      <c r="E220">
        <f>HYPERLINK("https://www.indeed.com/viewjob?jk=91629c8ac0d43ce6", "https://www.indeed.com/viewjob?jk=91629c8ac0d43ce6")</f>
        <v/>
      </c>
      <c r="F220">
        <f>HYPERLINK("https://jobs.ashbyhq.com/scaled-cognition/16fd0588-91ac-42b9-b8af-ea117410b5c1?utm_source=yq81qqba62", "https://jobs.ashbyhq.com/scaled-cognition/16fd0588-91ac-42b9-b8af-ea117410b5c1?utm_source=yq81qqba62")</f>
        <v/>
      </c>
      <c r="G220" t="inlineStr">
        <is>
          <t>MA, US</t>
        </is>
      </c>
      <c r="H220" s="3" t="n">
        <v>46050</v>
      </c>
      <c r="I220" t="inlineStr">
        <is>
          <t>Scaled Cognition is the world’s only model lab dedicated exclusively to customer experience and pioneering agentic models purpose\-built for reliable action\-taking enterprise applications. Backed by Khosla Ventures, the company’s flagship Agentic Pretrained Transformer (APT) eliminates hallucinations, enforces enterprise policies and increases reliability in real\-world CX workflows. Founded by serial AI entrepreneurs, former Microsoft Corporate Vice President of Conversational AI Dan Roth, and UC Berkeley AI Professor Dan Klein, and built by a team of world\-class PhD researchers and engineers, Scaled Cognition advances the science of agentic AI to deliver safe, policy\-aligned automation that enterprises can trust.
As a *Software Engineer, Product* at Scaled Cognition you will:
* Develop and build intuitive user experiences and SDKs that are powered by our novel, intelligent models.
* Develop tools and infrastructure for simulation, evaluation, and deployment of next\-generation AI systems.
* Work closely with research and infrastructure teams to translate cutting\-edge model capabilities into delightful, reliable products.
* Prototype fast, learn continuously, and ship ambitious ideas that redefine what’s possible in intelligent software.
You might be the right person for the job if you:
* Are passionate about building high quality products that solve real user needs.
* Are excited about building agentic systems and exploring what's possible at the frontier of AI capabilities.
* Thrive in ambiguous environments where you have the autonomy to define the path forward.
* Enjoy collaborating across disciplines — from product to AI research to infrastructure — to make something new work in the real world.
Key Qualifications:
* 3\+ years of software engineering experience.
* Strong proficiency with Python and TypeScript.
* Experience deploying secure, highly available customer\-facing applications.
* Experience deploying secure, scalable, customer\-facing applications in production.
* Familiarity with cloud architectures (AWS, GCP, Azure, etc.) and modern dev tooling.
* (Bonus) Experience with LLM APIs, SDK design, and interactive systems involving intelligent agents.</t>
        </is>
      </c>
    </row>
    <row r="221">
      <c r="A221" t="inlineStr">
        <is>
          <t>in-9dbecfb175cb62f6</t>
        </is>
      </c>
      <c r="B221" t="inlineStr">
        <is>
          <t>Senior Software Engineer</t>
        </is>
      </c>
      <c r="C221" t="inlineStr">
        <is>
          <t>Kymeta Corp</t>
        </is>
      </c>
      <c r="D221" t="inlineStr">
        <is>
          <t>indeed</t>
        </is>
      </c>
      <c r="E221">
        <f>HYPERLINK("https://www.indeed.com/viewjob?jk=9dbecfb175cb62f6", "https://www.indeed.com/viewjob?jk=9dbecfb175cb62f6")</f>
        <v/>
      </c>
      <c r="F221">
        <f>HYPERLINK("https://app.jobvite.com/CompanyJobs/Job.aspx?j=oEyuzfwZ&amp;s=Indeed", "https://app.jobvite.com/CompanyJobs/Job.aspx?j=oEyuzfwZ&amp;s=Indeed")</f>
        <v/>
      </c>
      <c r="G221" t="inlineStr">
        <is>
          <t>US</t>
        </is>
      </c>
      <c r="H221" s="3" t="n">
        <v>46050</v>
      </c>
      <c r="I221" t="inlineStr">
        <is>
          <t>**Sr. Software Engineer**
**Who We Are**Kymeta revolutionizes satellite communications through Intelligent Communications Platforms (ICPs). Our electronically steered flat panel antennas enable seamless communications on\-the\-move. Kymeta solutions serve government, military, maritime, transport, and public safety clients worldwide, providing uninterrupted connectivity and spatial intelligence anywhere, anytime. With over 150 patents, Kymeta is shaping the future of global communications. For more information, visit kymetacorp.com
**What We Need**
Kymeta is seeking a Senior Software Engineer with a strong background in both advanced algorithm development and real\-time system implementation—someone who can bridge the gap between the theoretical and the practical. You should be fluent in C/C\+\+, comfortable working under real\-time constraints, and experienced in translating complex mathematical models into production\-ready code for embedded systems. A strong grasp of systems engineering principles and the ability to operate across multiple layers of the software stack are essential.
This role spans the full system: from algorithm design and prototyping to integration, deployment, and optimization on real hardware. You’ll contribute to all aspects of our antenna control software—low\-level drivers, estimation, control loops, orchestration layers, and adaptive optimization logic leveraging AI/ML where appropriate.
KEY DUTIES AND RESPONSIBILITIES* Develop and deliver antenna control software across Kymeta’s multi\-band, multi\-orbit satellite systems:
* Control loop design, acquisition, pointing, and tracking algorithm development
* System\-level orchestration from low\-level drivers to adaptive logic
* Integration of AI/ML technologies from the cloud to the edge
* Build the enabling software infrastructure:
* Interfaces, data pipelines, finite\-state machines, diagnostics, and fault handling
* Embedded implementations in C/C\+\+ on constrained Linux or real\-time platforms
* Collaborate across hardware, RF, systems, and cloud teams to ensure system cohesion
* Drive the entire development lifecycle—from simulation to field deployment, with a mindset of hyper\-ownership that includes engaging stakeholders early, maintaining alignment throughout development, and validating post\-delivery to ensure program success
* Promote reliability, testability, and long\-term maintainability throughout the codebase
* Active Secret Clearance, or clearance held within the past five years. Experience working in secure, classified environments.
PREFERRED SKILLS AND EXPERIENCE* Strong background in satellite communication systems, wireless technologies, or related domains
* Track record of implementing complex mathematical models in embedded or real\-time systems
* Practical experience integrating cloud platforms, IoT frameworks, or AI/ML technologies with edge devices
* Hands\-on experience with Extended Kalman Filters (EKFs) and vehicle localization
* TS/SCI
**EDUCATION*** B.S. Computer Engineering, Computer Science, Electrical Engineering, or equivalent knowledge and experience, M.S. preferred
**COMPENSATION**  
Kymeta is committed to fair and equitable compensation practices. In the spirit of pay transparency, we have determined the salary range for this position to be $140,000\- $190,000\. This is the full base salary range for the role. Hiring at the maximum of the range would be atypical, in order to allow for future and continued salary growth. Compensation packages are based on a variety of factors unique to each candidate, including but not limited to: skill set, years and depth of experience, certifications, and geography. The total compensation package for this position includes an annual target bonus of 10%, stock options, and benefits listed below. We believe in the importance of pay equity and consider internal equity of our current team members as a part of any final offer.
**BENEFITS**We offer a competitive benefits package which includes:
Medical Plans: A choice between two competitive options* Flexible Spending \&amp; Health Savings Accounts
Vision \&amp; Dental
Life/AD\&amp;D
Employee Assistance Program
401k
Paid Time Off* Exempt employees: Flexible PTO and 12 paid holidays per year
* Nonexempt employees: 15 vacation days, 7 sick days and 12 paid holidays per year
***Kymeta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sexual orientation or any other characteristic protected by applicable laws regulations and ordinances.***</t>
        </is>
      </c>
    </row>
    <row r="222">
      <c r="A222" t="inlineStr">
        <is>
          <t>in-c9589b2ae4ac2760</t>
        </is>
      </c>
      <c r="B222" t="inlineStr">
        <is>
          <t>Software Developer C# Python</t>
        </is>
      </c>
      <c r="C222" t="inlineStr">
        <is>
          <t>RevSpring, Inc</t>
        </is>
      </c>
      <c r="D222" t="inlineStr">
        <is>
          <t>indeed</t>
        </is>
      </c>
      <c r="E222">
        <f>HYPERLINK("https://www.indeed.com/viewjob?jk=c9589b2ae4ac2760", "https://www.indeed.com/viewjob?jk=c9589b2ae4ac2760")</f>
        <v/>
      </c>
      <c r="F222">
        <f>HYPERLINK("https://revspringinc.com/about/careers/?gnk=job&amp;gni=8a7883a89be7cb73019c0b9dd9961796&amp;gns=Indeed+Free", "https://revspringinc.com/about/careers/?gnk=job&amp;gni=8a7883a89be7cb73019c0b9dd9961796&amp;gns=Indeed+Free")</f>
        <v/>
      </c>
      <c r="G222" t="inlineStr">
        <is>
          <t>Arden Hills, MN, US</t>
        </is>
      </c>
      <c r="H222" s="3" t="n">
        <v>46050</v>
      </c>
      <c r="I222" t="inlineStr">
        <is>
          <t>**Job Title: Software Developer**
**Job Summary:**The Software Developer is responsible for supporting both customer\-facing and internal applications. Primary responsibilities will include developing new features for existing applications based on business requirements. Additional responsibilities are technical support on new customer implementations, researching and resolving customer support requests, diagnostics and bug fixes as needed. The ideal candidate will have at least 1\-2 years of development experience with C\# or Python technologies. Experience in health care or financial industries is desirable.  
**Essential Functions:**
* Manage time and priorities across multiple initiatives
* Strong communication skills to effectively diagnose and resolve issues
* Produce high quality code that maintains a consistent software design throughout the application lifecycle
* Utilize best practices for design, development and testing to ensure stable application behavior
* Ability to work well in small teams with minimal supervision
* Maintain and improve technical skills over time, taking advantage of new technologies and methodologies when appropriate.
**Minimum Requirements:**
**Specific Job Skills:*** Angular or similar JavaScript framework (1 year minimum)
* C\# or Python / HTML / CSS (1\-2 years minimum)
* Multi\-tier application architecture with RESTful services, MS SQL Server
* Object\-oriented programming concepts
* Analytical \- Synthesizes complex or diverse information; Collects and researches data; Uses intuition and experience to complement data; Designs work flows and procedures.
* Design \- Generates creative solutions; Translates concepts and information into images; Uses feedback to modify designs; Applies design principles; Demonstrates attention to detail.
* Problem Solving \- Identifies and resolves problems in a timely manner; Gathers and analyzes information skillfully; Develops alternative solutions; Works well in group problem solving situations; Uses reason even when dealing with emotional topics.
* Oral Communication \- Speaks clearly and persuasively in positive or negative situations; Listens and gets clarification; Responds well to questions; Demonstrates group presentation skills; Participates in meetings.
* Written Communication \- Writes clearly and informatively; Edits work for spelling and grammar; Able to read and interpret written information.
* Change Management \- Develops workable implementation plans; Communicates changes effectively; Builds commitment and overcomes resistance; Monitors transition and evaluates results.
* Leadership \- Exhibits confidence in self and others.
* Quality \- Demonstrates accuracy and thoroughness; Looks for ways to improve and promote quality; Monitors own work to ensure quality.
* Quantity \- Meets productivity standards; Completes work in timely manner; Strives to increase productivity.
* Dependability \- Takes responsibility for own actions; Keeps commitments; Commits to long hours of work when necessary to reach goals; Completes tasks on time or notifies appropriate person with an alternate plan.
* Innovation \- Displays original thinking and creativity; Meets challenges with resourcefulness; Generates suggestions for improving work; Develops innovative approaches and ideas.
* Organizational skills \- Ability to manage multiple projects concurrently with attention to detail.
* Teamwork skills – Ability to work with a team to combine individual skills in pursuit of a common goal; Encourages and inspires others to perform better; Builds trusting and respectful relationships through communication and cooperation.
**Education:** 4\-year bachelor’s degree in Computer Science, Information Systems, or related field or equivalent development experience.
**Experience:** 1\-2 years of software development experience using Microsoft .Net or Python technologies in an agile environment.
**Supervision:** N/A
**Certifications:** N/A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223">
      <c r="A223" t="inlineStr">
        <is>
          <t>in-9114f3ddd6c76317</t>
        </is>
      </c>
      <c r="B223" t="inlineStr">
        <is>
          <t>Senior Software Engineer - Remote</t>
        </is>
      </c>
      <c r="C223" t="inlineStr">
        <is>
          <t>DriveTime Automotive Group</t>
        </is>
      </c>
      <c r="D223" t="inlineStr">
        <is>
          <t>indeed</t>
        </is>
      </c>
      <c r="E223">
        <f>HYPERLINK("https://www.indeed.com/viewjob?jk=9114f3ddd6c76317", "https://www.indeed.com/viewjob?jk=9114f3ddd6c76317")</f>
        <v/>
      </c>
      <c r="F223">
        <f>HYPERLINK("https://drivetime.wd1.myworkdayjobs.com/DriveTime/job/1720-W-Rio-Salado-Pkwy-Tempe-AZ-85281/Senior-Software-Engineer---REMOTE_R14409", "https://drivetime.wd1.myworkdayjobs.com/DriveTime/job/1720-W-Rio-Salado-Pkwy-Tempe-AZ-85281/Senior-Software-Engineer---REMOTE_R14409")</f>
        <v/>
      </c>
      <c r="G223" t="inlineStr">
        <is>
          <t>Tempe, AZ, US</t>
        </is>
      </c>
      <c r="H223" s="3" t="n">
        <v>46050</v>
      </c>
      <c r="I223"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Software Design: Design software systems big and small and collaborate with your team to implement and adapt it as you go.
* Technical Leadership: Be the go\-to expert on software engineering practices and design patterns.
**So What Kind of Folks Are We Looking for?**
* Ability to establish cross\-functional, collaborative relationships with business and technology partners
* Full\-Stack software development experience preferred and experience building robust distributed systems that scale well
* Communicates clearly and concisely, both orally and in writing
* Passionate about continuous learning
* Client\-side SPA development
* Experience in developing unit tests
* Strong problem\-solving skills
**The Specifics.**
* 5\+ Years' experience in software, web, or application development
* Bachelors Degree in Information Technology or related field
* C\#
* API Development (RESTful, GraphQL, .Net Web API)
* Front\-End Experience (Modern Angular, React, or Vue)
* Azure
* Working understanding of HTML, CSS, JavaScript/ TypeScript
**Nice to Have:**
* Snowflake
* WPF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24">
      <c r="A224" t="inlineStr">
        <is>
          <t>in-ca0ea836a7553238</t>
        </is>
      </c>
      <c r="B224" t="inlineStr">
        <is>
          <t>Senior Software Engineer - Remote</t>
        </is>
      </c>
      <c r="C224" t="inlineStr">
        <is>
          <t>DriveTime Automotive Group</t>
        </is>
      </c>
      <c r="D224" t="inlineStr">
        <is>
          <t>indeed</t>
        </is>
      </c>
      <c r="E224">
        <f>HYPERLINK("https://www.indeed.com/viewjob?jk=ca0ea836a7553238", "https://www.indeed.com/viewjob?jk=ca0ea836a7553238")</f>
        <v/>
      </c>
      <c r="F224">
        <f>HYPERLINK("https://drivetime.wd1.myworkdayjobs.com/DriveTime/job/1720-W-Rio-Salado-Pkwy-Tempe-AZ-85281/Senior-Software-Engineer---REMOTE_R14409", "https://drivetime.wd1.myworkdayjobs.com/DriveTime/job/1720-W-Rio-Salado-Pkwy-Tempe-AZ-85281/Senior-Software-Engineer---REMOTE_R14409")</f>
        <v/>
      </c>
      <c r="G224" t="inlineStr">
        <is>
          <t>Phoenix, AZ, US</t>
        </is>
      </c>
      <c r="H224" s="3" t="n">
        <v>46050</v>
      </c>
      <c r="I224"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Software Design: Design software systems big and small and collaborate with your team to implement and adapt it as you go.
* Technical Leadership: Be the go\-to expert on software engineering practices and design patterns.
**So What Kind of Folks Are We Looking for?**
* Ability to establish cross\-functional, collaborative relationships with business and technology partners
* Full\-Stack software development experience preferred and experience building robust distributed systems that scale well
* Communicates clearly and concisely, both orally and in writing
* Passionate about continuous learning
* Client\-side SPA development
* Experience in developing unit tests
* Strong problem\-solving skills
**The Specifics.**
* 5\+ Years' experience in software, web, or application development
* Bachelors Degree in Information Technology or related field
* C\#
* API Development (RESTful, GraphQL, .Net Web API)
* Front\-End Experience (Modern Angular, React, or Vue)
* Azure
* Working understanding of HTML, CSS, JavaScript/ TypeScript
**Nice to Have:**
* Snowflake
* WPF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25">
      <c r="A225" t="inlineStr">
        <is>
          <t>in-4738e693858a9db8</t>
        </is>
      </c>
      <c r="B225" t="inlineStr">
        <is>
          <t>Staff Software Engineer - Backend</t>
        </is>
      </c>
      <c r="C225" t="inlineStr">
        <is>
          <t>Agiloft</t>
        </is>
      </c>
      <c r="D225" t="inlineStr">
        <is>
          <t>indeed</t>
        </is>
      </c>
      <c r="E225">
        <f>HYPERLINK("https://www.indeed.com/viewjob?jk=4738e693858a9db8", "https://www.indeed.com/viewjob?jk=4738e693858a9db8")</f>
        <v/>
      </c>
      <c r="F225">
        <f>HYPERLINK("https://jobs.lever.co/agiloft/a7c6147b-8e05-4125-af19-112094c30676?lever-source=Indeed", "https://jobs.lever.co/agiloft/a7c6147b-8e05-4125-af19-112094c30676?lever-source=Indeed")</f>
        <v/>
      </c>
      <c r="G225" t="inlineStr">
        <is>
          <t>Remote, US</t>
        </is>
      </c>
      <c r="H225" s="3" t="n">
        <v>46050</v>
      </c>
      <c r="I225" t="inlineStr">
        <is>
          <t>As the most trusted global leader in data\-first contract lifecycle management (CLM) software, Agiloft helps organizations manage the end\-to\-end process of proposing, negotiating, signing, and leveraging contracts using our flexible Data\-first Agreement Platform (DAP). With contract data as the foundation, customers quickly and collaboratively reach agreement and leverage contract visibility to thrive with competitive advantage. Employing powerful, pragmatic artificial intelligence as a legal force multiplier, and robust integration capabilities as a data liberator, organizations around the world trust Agiloft’s certified implementers to deliver connected, intelligent, and autonomous solutions across the entire contract lifecycle.  
Top analysts like Gartner, Forrester, and IDC agree, all showing Agiloft as a leader in the CLM space. Our no code platform is easily managed and administered by business users, which is why Agiloft is the contract you keep: nearly a full 100% of new customers are satisfied with their initial implementations, and some 97% of customers renew every year. Ours is a growing, vibrant, successful company that is at the forefront of a market that is becoming a must\-have for all organizations.  
We believe that the way to build the strongest, most vibrant place to work is to bring in individuals from all walks of life, and to support them in bringing their authentic selves to their day, every day. Our working philosophy is that “EX \= CX”: when employee experience is excellent, so is customer experience. We support multiple Employee Resource Groups (ERGs), and offer a working environment that supports healthy work/life balance, including floating holidays and a quarterly, no\-questions\-asked wellness day. **Position Overview**  
We are seeking an experienced Staff Software Engineer to own and evolve the architecture of major backend components of Agiloft’s CLM Core platform with end\-to\-end accountability. This role operates at the platform and organizational level, with accountability for architectural outcomes, long\-term system health, and engineering leverage across teams.
You will partner closely with the Engineering leadership, senior engineers, and product leaders to translate business strategy into durable architectural direction and executable technical plans. A core focus of this role is to lead the adoption and enablement of AI\-driven software development capabilities, shaping how AI tools are used to accelerate extension development, improve maintainability, and reduce long\-term operational and technical friction.  
This is a hands\-on leadership role that combines deep technical expertise with broad influence. Your work will directly shape Agiloft’s technical roadmap, developer experience, and the future evolution of the platform.
### **Job Responsibilities**
* **Architecture Ownership \&amp; Stewardship**
* Own the architecture of one or more critical backend platform domains, with responsibility for design integrity, evolution, and technical debt management over time.
* Act as the architectural steward, ensuring systems remain coherent, extensible, secure, and maintainable as product and customer demands evolve.
* Define architectural boundaries, extension points, and contracts that enable independent evolution of platform components.
* **Strategic Technical Leadership**
* Lead the planning and execution of architecture\- and code changes that improve scalability, extensibility, reliability, and developer productivity.
* Ensure maintenance of the no\-code principal in all platform extensions that are under your stewardship
* Translate architectural vision into mid\- and long\-term technical roadmaps, balancing near\-term delivery with long\-term platform sustainability.
* Drive cross\-team alignment on architectural direction, standards, and trade\-offs, influencing without direct authority.
* **AI\-Forward Engineering Enablement**
* Champion a forward\-leaning adoption of AI\-assisted software engineering, shaping how AI tools are used across design, implementation, testing, refactoring, and maintenance.
* Design platform components and extension frameworks that are AI\-friendly by design, enabling automated reasoning, safer modifications, and faster iteration.
* Collaborate with senior engineers and with engineering leadership to define best practices and guardrails for responsible, secure, and effective use of AI tools within the SDLC.
* Continuously evaluate emerging AI capabilities and integrate those that provide material improvements in engineering leverage and system quality.
* **Engineering Excellence \&amp; Developer Experience**
* Set and uphold high standards for code quality, testing, observability, security, and operational excellence.
* Drive improvements to internal developer experience, including tooling, CI/CD pipelines, documentation, and architectural guidance.
* Ensure that architectural decisions are well\-documented, discoverable, and actionable for engineering teams.
* Mentorship \&amp; Organizational Impact
* Mentor senior and mid\-level engineers, raising the overall bar for architectural thinking and system design.
* Serve as a technical multiplier—unblocking teams, accelerating decision\-making, and reducing long\-term complexity.
* Communicate complex technical and architectural concepts clearly to both technical and non\-technical stakeholders.
* Stay ahead of industry trends in platform engineering, AI\-enabled development, and cloud\-native architectures, and drive pragmatic adoption where it delivers clear business value.
* Other duties as assigned.
### **Required Qualifications**
* Bachelor’s and/or master’s degree in computer science, Information Systems, Software, Electrical, or Electronics Engineering, or a comparable field of study.
* 10\+ years of professional software engineering experience, including sustained impact at a senior or staff level.
* Strong proficiency in Java and SQL, with deep experience building and evolving large\-scale backend systems.
* Demonstrated experience owning and evolving architecture for complex, long\-lived platforms.
* Proven ability to lead architecture refactoring, modernization, and platform evolution initiatives while maintaining delivery velocity.
* Experience designing, owning, and evolving CI/CD pipelines using infrastructure\-as\-code frameworks such as Terraform.
* Strong proficiency with AI\-assisted development tools (e.g., GitHub Copilot, JetBrains AI Assistant) and experience integrating them into day\-to\-day engineering workflows.
* Ability to reason about systems holistically while also diving deep into critical technical details when needed.
* Exceptional problem\-solving skills, with a track record of making sound architectural trade\-offs.
* Demonstrated ability to influence technical direction across teams through expertise, communication, and trust.
* Excellent written and verbal communication skills, particularly around architecture, risk, and long\-term technical strategy.
Background checks will be conducted on an ongoing basis every 3 years or as needed for individuals in this role.  
Ensuring a diverse and inclusive workplace is our priority. We are committed to an environment of acceptance where you are free to bring your full self to work. All employment decisions at Agiloft are based on business needs, job requirements, and individual qualifications without regard to race, color, religion or belief, national or social ethnic origin, sex, age, sexual orientation, gender identity and/or expression, parental status, marital status, Veteran status, or any other status protected by the laws or regulations in the locations where we operate. If you have a need that requires accommodation during the recruiting process, please let us know by contacting Director, Talent Acquisition, Brad Toothman at brad.toothman@agiloft.com.
Applicants from underrepresented groups such as minorities, veterans, or individuals with disabilities encouraged to apply.  
Applications will be reviewed as submitted. There will be no application deadline for this opportunity.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6">
      <c r="A226" t="inlineStr">
        <is>
          <t>in-da0457775357fecd</t>
        </is>
      </c>
      <c r="B226" t="inlineStr">
        <is>
          <t>Systems Software Engineer - GPU</t>
        </is>
      </c>
      <c r="C226" t="inlineStr">
        <is>
          <t>NVIDIA</t>
        </is>
      </c>
      <c r="D226" t="inlineStr">
        <is>
          <t>indeed</t>
        </is>
      </c>
      <c r="E226">
        <f>HYPERLINK("https://www.indeed.com/viewjob?jk=da0457775357fecd", "https://www.indeed.com/viewjob?jk=da0457775357fecd")</f>
        <v/>
      </c>
      <c r="F226">
        <f>HYPERLINK("https://click.appcast.io/t/WOIHHgXMSCGyzVBwqnQkbTrp1AQa-AP768QcyjP_qa4=", "https://click.appcast.io/t/WOIHHgXMSCGyzVBwqnQkbTrp1AQa-AP768QcyjP_qa4=")</f>
        <v/>
      </c>
      <c r="G226" t="inlineStr">
        <is>
          <t>Santa Clara, CA, US</t>
        </is>
      </c>
      <c r="H226" s="3" t="n">
        <v>46050</v>
      </c>
      <c r="I226" t="inlineStr">
        <is>
          <t>NVIDIA is searching for a highly motivated, creative engineer to join the GPU Software team. As a GPU system software engineer, you will work with a team of very hardworking software and hardware engineers involving a wide variety of technologies. As someone who is hardworking and passionate about their work, you will design key aspects of our production GPU kernel drivers and embedded SW, focussing on GPU and platform level resiliency. You should demonstrate the ability to excel in an environment with sophisticated system level interactions.
**What you'll be doing:**
* Design and implement changes in NVIDIA SW stack to improve system level resiliency and reliability at datacenter scale with thousands of GPUs. Focussing on adding features that bolster system level availability, early fault detection and faster recovery.
* You will follow the devices all the way through the development process to datacenter systems, customer desktops, notebooks, workstations, and gaming console products that are used throughout the world.
* Be heavily involved in architecture definition and early modeling, simulation required to create our groundbreaking products
* Multiple opportunities to collaborate and communicate effectively with teams from all around the globe
**What we need to see:**
* BS or MS degree in Computer Engineering, Computer Science, or related degree (or equivalent experience)
* Background in solving problems that apply to large complex systems deployed at scale
* Strong C/C\+\+ programming skills as well as having shown initiative in pursuing independent coding projects
* Familiarity with computer system architecture, microprocessor, and microcontroller fundamentals (caches, buses, memory controllers, DMA, etc.)
* Strong Operating systems fundamentals with Kernel experience on Linux or Windows systems
* 2\+ years of meaningful software development experience
**Ways to stand out from the crowd:**
* Background and strength with sophisticated system\-level debugging is invaluable
* Deep understanding of memory management and virtualization concepts
* Familiarity with kernel level security concepts
* Experience with embedded system SW concepts, e.g.: RTOS and overlay programming models
NVIDIA is widely considered to be one of the technology world’s most desirable employers.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124,000 USD \- 195,500 USD for Level 2, and 152,000 USD \- 241,500 USD for Level 3\.
You will also be eligible for equity and benefits.
Applications for this job will be accepted at least until February 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27">
      <c r="A227" t="inlineStr">
        <is>
          <t>in-56059042c40f0751</t>
        </is>
      </c>
      <c r="B227" t="inlineStr">
        <is>
          <t>Software Engineer</t>
        </is>
      </c>
      <c r="C227" t="inlineStr">
        <is>
          <t>MANTECH</t>
        </is>
      </c>
      <c r="D227" t="inlineStr">
        <is>
          <t>indeed</t>
        </is>
      </c>
      <c r="E227">
        <f>HYPERLINK("https://www.indeed.com/viewjob?jk=56059042c40f0751", "https://www.indeed.com/viewjob?jk=56059042c40f0751")</f>
        <v/>
      </c>
      <c r="F227">
        <f>HYPERLINK("https://click.appcast.io/t/R8eAFzX3Hq9bIAzUR8hjupg_eRzOs1qQrbChTrA706w=", "https://click.appcast.io/t/R8eAFzX3Hq9bIAzUR8hjupg_eRzOs1qQrbChTrA706w=")</f>
        <v/>
      </c>
      <c r="G227" t="inlineStr">
        <is>
          <t>Columbia, MD, US</t>
        </is>
      </c>
      <c r="H227" s="3" t="n">
        <v>46050</v>
      </c>
      <c r="I227" t="inlineStr">
        <is>
          <t>MANTECH seeks a motivated, career and customer\-oriented **Software Engineer** to join our team in Columbia, MD.
**Responsibilities include, but are not limited to the following:**
* Develop, maintains, and enhances complex and diverse software systems (e.g., processing\-intensive analytics, novel algorithm development, manipulation of extremely large data sets, real\-time systems, and business management information systems) based upon documented requirements.
* Review and tests software components for adherence to the design requirements and documents test results.
* Utilize software development and software design methodologies appropriate to the development environment.
* Provide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Provide Help Desk Support; ticket handling/resolution, utilizing JIRA.
**Minimum/Basic Qualifications:**
* 20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Experience with Java Development; Microservices, Unit testing, and deployments.
**Preferred Qualifications:**
* Experience with the following tools/technologies: Java, Bash, Git/Gitlab, Linux, Kubernetes, PostgreSQL, Rancher, MongoDB
* Experience with system monitoring and maintenance
**Clearance Requirements:**
* Must be a US Citizen
* Must have a current active Top Secret/SCI with Polygraph
**Physical Requirements:**
* The candidate must be able to move, carry and deliver workstations from inside the office to customer’s desk. The person in this position must be able to remain in a stationary position 50% of the time. Must communicate with co\-workers, management, and customers, via email, phone, and or virtual communication, which may involve delivering presentations.</t>
        </is>
      </c>
    </row>
    <row r="228">
      <c r="A228" t="inlineStr">
        <is>
          <t>in-718917f64b8d2352</t>
        </is>
      </c>
      <c r="B228" t="inlineStr">
        <is>
          <t>Software Engineering Manager (Machine Operations)</t>
        </is>
      </c>
      <c r="C228" t="inlineStr">
        <is>
          <t>Protolabs</t>
        </is>
      </c>
      <c r="D228" t="inlineStr">
        <is>
          <t>indeed</t>
        </is>
      </c>
      <c r="E228">
        <f>HYPERLINK("https://www.indeed.com/viewjob?jk=718917f64b8d2352", "https://www.indeed.com/viewjob?jk=718917f64b8d2352")</f>
        <v/>
      </c>
      <c r="F228">
        <f>HYPERLINK("https://jobs.lever.co/protolabs/016f5fee-f28c-48f9-a9d2-bfc39edc2bcd?lever-source=Indeed", "https://jobs.lever.co/protolabs/016f5fee-f28c-48f9-a9d2-bfc39edc2bcd?lever-source=Indeed")</f>
        <v/>
      </c>
      <c r="G228" t="inlineStr">
        <is>
          <t>Maple Plain, MN, US</t>
        </is>
      </c>
      <c r="H228" s="3" t="n">
        <v>46050</v>
      </c>
      <c r="I228" t="inlineStr">
        <is>
          <t>**Be yourself at Protolabs**
Studies have shown that women and people of color are less likely to apply to jobs unless they meet every single qualification. We are an equal opportunity employer, and we are committed to building a diverse team that feels they are valued in the workplace. So do you feel you do not meet every single requirement but still intrigued? We encourage you to still apply! You can help make our company even better. We do not discriminate based on race, color, national origin, sexual orientation, gender, age, mental or physical ability, or any way you represent yourself. We strongly believe diversity makes for more successful teams.
**Why Protolabs?**
We are the leaders in digital manufacturing. We hire doers, makers, and creative thinkers who tackle our roles with an entrepreneurial spirit. Our culture is centered around meaningful work that brings new and innovative products to market at unprecedented speeds. We are a diverse team that comes from all walks of life and take pride in our team who is smart, genuine, humble, and passionate about what we do. It’s our people who fuel our creativity and make our culture feel like home. **Join our team as a Software Engineering Manager (Machine Operations)** ***This is a hybrid role being onsite at HQ in Maple Plain, MN on Tuesday, Wednesday, and Thursday.***  
The Software Engineering Manager – Machine Operations leads a team of software engineers, quality analytics and technical product managers who provide software development that drives our manufacturing processes of execution and machine management.
### **You will**
* Work with senior management to set overall project priorities, manage software related aspects of projects, assign development team members, and provide day\-to\-day technical work direction for a team of highly capable developers
* Assist team members and internal application users with problem analysis, estimating, software design, development, and testing of custom .Net, Java applications that support our global operations
* Recommend process improvements to achieve higher levels of software quality and to meet overall business objectives
* Hire, manage, and develop a skilled staff and work environment to meet objectives
* Ongoing management and development of team members including mentoring on advances and new practices in software development, software engineering, and quality automation
* Monitor process quality and continuous improvement efforts for functional area; recommend process improvement programs including new methods and/or processes to improve productivity, efficiency, customer satisfaction and cost
### **What it takes**
* A Bachelor’s degree in Computer Science, Software Engineering, or related field
* Experience demonstrating leadership on a software development team comprised of a multiple roles including engineers, quality engineers, and technical product managers
* Experience providing technical work direction and coaching for team members
* Experience leading groups of developers using agile development practices like Scrum
* Experience leading software projects that include both technical and business customers
* Proficiency or understanding of CI \&amp; CD practices like automated tests, builds, and deployments
* Proven experience working at a high technical level of all phases of programming activities
### **Bonus points for**
* Experience leading software development focused on Manufacturing Execution Systems (MES)
* Strong communication skills and work ethic
* Demonstrated history of staying current on best practices in technology.
### **What's in it for you**
* We offer a competitive Total Rewards Program including:
* Salary, Bonus, Long Term Incentives
* Health Insurance: Traditional OR High Deductible plan
* Flexible Spending Accounts
* Health Savings Account (including employer contributions)
* Dental \&amp; Vision
* Basic and Supplemental Life Insurance
* Short\-Term \&amp; Long\-Term Disability
* Paid caregiver leave
* PTO \+ Holiday Pay \+ Wellness Hours \+ Volunteer Hours
* 401k with company match \&amp; immediate vest
* Employee Stock Purchase Program at a 15% discounted rate
* Matching grants through Protolabs foundation
* And More!
Protolabs offers a competitive total rewards package, and compensation mix vary based on position, such as base wage, as well as other earnings including incentives and commissions. Actual pay offered will vary depending on multiple factors which may include, without limitation, job function, work experience, specialized skills, training, education, and certifications.***Proto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Equal Opportunity Employer****Physical Demands:**While performing the essential duties of this job, the employee is regularly required to sit; use a computer keyboard, monitor and mouse, telephone and printer; reach with hands, and arms, talk, see and hear. The employee is occasionally required to stand, walk, stoop or kneel and must occasionally lift and/or move up to 25 pounds.**Work Environment:**Indoors (A/C); nonsmoking; the majority of this job function is performed in an office setting requiring normal safety precautions. However, there may be job duties that require the employee to spend time in the manufacturing areas exposed to machinery and noise; eye protection occasionally required. Occasionally works in outside weather conditions. Occasionally works near moving mechanical parts and in high, precarious places and is occasionally exposed to wet and/or humid conditions, fumes or airborne particles, toxic or caustic chemicals, risk of electrical shock and vibration. The noise level in the work environment is usually quiet to moderate.</t>
        </is>
      </c>
    </row>
    <row r="229">
      <c r="A229" t="inlineStr">
        <is>
          <t>in-0524ec7cb79491ae</t>
        </is>
      </c>
      <c r="B229" t="inlineStr">
        <is>
          <t>TS/SCI Full Scope Poly Software Developer/O&amp;M Engineer</t>
        </is>
      </c>
      <c r="C229" t="inlineStr">
        <is>
          <t>Windward Consulting</t>
        </is>
      </c>
      <c r="D229" t="inlineStr">
        <is>
          <t>indeed</t>
        </is>
      </c>
      <c r="E229">
        <f>HYPERLINK("https://www.indeed.com/viewjob?jk=0524ec7cb79491ae", "https://www.indeed.com/viewjob?jk=0524ec7cb79491ae")</f>
        <v/>
      </c>
      <c r="F229">
        <f>HYPERLINK("https://app.jobvite.com/CompanyJobs/Job.aspx?j=oSHXyfwO&amp;s=Indeed", "https://app.jobvite.com/CompanyJobs/Job.aspx?j=oSHXyfwO&amp;s=Indeed")</f>
        <v/>
      </c>
      <c r="G229" t="inlineStr">
        <is>
          <t>Fairfax, VA, US</t>
        </is>
      </c>
      <c r="H229" s="3" t="n">
        <v>46050</v>
      </c>
      <c r="I229" t="inlineStr">
        <is>
          <t>**Windward Consulting is at the forefront of Service\-Centric IT. With strategic consulting, unparalleled technical expertise and our proven Windward Service\-Centric IT RoadMap, we help our clients align the core competencies of process, organization, information and technology to run the most sensitive and mission\-critical IT environments in the world.**  
If you are looking for an opportunity to be involved with a team of individuals who are working for one of our cutting\-edge clients solving complex technical challenges, then we are looking for you. We are looking for people who are passionate about technology and have a "roll up their sleeves mentality." Here at Windward we offer numerous opportunities to expand your experience in various areas depending upon your aptitude and interests. Our employees are not only passionate and driven but strive to ensure customer quality is delivered consistently and effectively.
**Position Summary**  
The Sponsor requires contractual support to perform development and O\&amp;M activities for the Business Management Database (BMD) application.**Job Description**  
The Sponsor provides business operations support to identify, collect, store, and visualize business information needed for enterprise decision\-making. The Contractor Team supports BMD by performing development and O\&amp;M, maintaining integrations, and enhancing system capabilities. Responsibilities include:* Developing an API between BMD and ServiceNow (bi\-directional flow of requirement numbers/statuses and other custom API needs).
* Performing O\&amp;M activities and implementing development updates driven by changing Sponsor requirements and system changes.
* Maintaining system documentation, SOPs, guides, and FAQs.
* Managing and resolving infrastructure issues affecting performance or availability.
* Streamlining workflow processes for an employee dashboard covering order management requirements.
* Maintaining AWS Cloud assets, executing build processes, and ingesting Sponsor design/development requirements.
* Ensuring adherence to security and data protection requirements.
* Supporting application development and system administration within an AWS multi\-zone cloud environment.
**Location and Qualification Requirements*** Work to be performed on\-site in Fairfax, VA
* Requires active DoD TS/SCI Full Scope Polygraph Adjudicated Clearance
**Skillset Requirements****Mandatory**
Demonstrated experience with:* Java development
* Full\-stack experience across UI, business logic, and database layers
* JavaScript UI Frameworks (such as ExtJS or AngularJS)
* Relational Database Tools (such as Oracle or MySQL)
* AWS experience (such as SWF, Data Pipeline, RDS, CloudWatch, EC2, EBS, S3\)
* Agile methodology
* DevOps practices (sprint planning, CI, testing)
* User acceptance testing
* Delivery of minimum viable increments
* Visualization/reporting tools (e.g., Tableau)
* AWS services (EC2, KMS, patching)
* Linux administration
* Data ETL or Perl scripting
* Apache HTTPD, Linux Shell, or PowerShell scripting
* DevOps tools (GitHub, Subversion, Jenkins, CruiseControl, Maven, Artifactory, Confluence)
**Desired*** Sponsor security requirements and data protection
* AWS and additional security tools
* Integration with LDAP, PKI, and other must\-use services
* Project management principles
* Integration with customer applications via web services
* Sponsor security/accreditation processes
* ServiceNow experience
**Windward strives to attract and retain the best individuals and provide an environment where they can all grow professionally and build a rewarding career. We continually strive to create an environment that balances work life and offers benefits that will enhance the compensation package. We offer Medical, Dental, Vision, Flexible Spending Accounts, Short Term Disability, Long Term Disability, Life Insurance and AD\&amp;D, as well as the option to purchase additional Life Insurance and AD\&amp;D, Paid Time Off, Personal Leave, Holidays, 401(k) plan with company match and work/life balance.**
***Windward IT Solutions is proud to be an Equal Opportunity Employer. Applicants are considered for all positions without regard to race, color, religion, sex, national origin, age, disability, sexual orientation, ancestry, marital or veteran status.***</t>
        </is>
      </c>
    </row>
    <row r="230">
      <c r="A230" t="inlineStr">
        <is>
          <t>in-fbe48e08e5d904cb</t>
        </is>
      </c>
      <c r="B230" t="inlineStr">
        <is>
          <t>VR Software Engineer- Atlas</t>
        </is>
      </c>
      <c r="C230" t="inlineStr">
        <is>
          <t>Boston Dynamics</t>
        </is>
      </c>
      <c r="D230" t="inlineStr">
        <is>
          <t>indeed</t>
        </is>
      </c>
      <c r="E230">
        <f>HYPERLINK("https://www.indeed.com/viewjob?jk=fbe48e08e5d904cb", "https://www.indeed.com/viewjob?jk=fbe48e08e5d904cb")</f>
        <v/>
      </c>
      <c r="F230">
        <f>HYPERLINK("https://bostondynamics.wd1.myworkdayjobs.com/en-US/Boston_Dynamics/job/Waltham-MA/VR-Software-Engineer--Atlas_R2343", "https://bostondynamics.wd1.myworkdayjobs.com/en-US/Boston_Dynamics/job/Waltham-MA/VR-Software-Engineer--Atlas_R2343")</f>
        <v/>
      </c>
      <c r="G230" t="inlineStr">
        <is>
          <t>Waltham, MA, US</t>
        </is>
      </c>
      <c r="H230" s="3" t="n">
        <v>46050</v>
      </c>
      <c r="I230" t="inlineStr">
        <is>
          <t>About the Role  
As seen at CES 2026, Atlas is the robot that is transforming the role of humanoid robots in our world. This is your chance to come and work on the cutting edge of robotics, and make a direct impact on how people will interact with humanoids now and in the future.  
We are seeking a creative and technically skilled VR Engineer to join the Atlas Applications team. In this role, you will be at the forefront of human\-robot interaction, responsible for designing and developing features for a real\-time, low\-latency VR application. Working with engineers and specialists, you’ll create applications that provide an intuitive and immersive interface for controlling and collecting data from the most advanced robots in development.  
Candidates with experience in game development are encouraged to apply. Backflip skills are optional.  
Responsibilities* Design and develop features for a high\-performance VR application using a modern game engine (Unity/Unreal) for robot teleoperation.
* Learn from existing teleoperation clients and use the best ideas to improve in\-house applications.
* Collaborate with other teams \- hardware, AI and software specialists to respond to user feedback and ship polished, production\-ready systems.
* Flex to contribute to other non\-VR applications as needed.
* Contribute to a strong development culture, implementing best practices through code reviews, writing tests, and documentation.
Requirements* 3\+ years working with and shipping VR or XR applications.
* Demonstrated track record of building quality, polished, and reusable software.
* Understanding of UX design, and creating intuitive interfaces
* Familiarity with real\-time software development.
Preferred* Prior experience creating VR/XR clients for robots or physical systems.
* Experience working with web development, front or back end.
* Strong experience with C\+\+/C\# or Python.
*We are interested in every qualified candidate who is eligible to work in the United States. However, we are not able to sponsor visas for this position.*
The base pay range for this position is between $116,479 to $160,158 annually.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t>
        </is>
      </c>
    </row>
    <row r="231">
      <c r="A231" t="inlineStr">
        <is>
          <t>in-6e8b736ad43c81fe</t>
        </is>
      </c>
      <c r="B231" t="inlineStr">
        <is>
          <t>Software Engineer III (Python/React)</t>
        </is>
      </c>
      <c r="C231" t="inlineStr">
        <is>
          <t>Teladoc Health</t>
        </is>
      </c>
      <c r="D231" t="inlineStr">
        <is>
          <t>indeed</t>
        </is>
      </c>
      <c r="E231">
        <f>HYPERLINK("https://www.indeed.com/viewjob?jk=6e8b736ad43c81fe", "https://www.indeed.com/viewjob?jk=6e8b736ad43c81fe")</f>
        <v/>
      </c>
      <c r="F231">
        <f>HYPERLINK("https://teladoc.wd503.myworkdayjobs.com/en-US/teladochealth_is_hiring/job/Remote---USA/Software-Engineer-III--Python-React-_JR19892", "https://teladoc.wd503.myworkdayjobs.com/en-US/teladochealth_is_hiring/job/Remote---USA/Software-Engineer-III--Python-React-_JR19892")</f>
        <v/>
      </c>
      <c r="G231" t="inlineStr">
        <is>
          <t>Remote, US</t>
        </is>
      </c>
      <c r="H231" s="3" t="n">
        <v>46050</v>
      </c>
      <c r="I231"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As a Software Engineer III, you deliver well‑crafted features across our AI Platform, working independently on medium‑sized scopes from clear requirements through production release. You design APIs and data flows, build backend services in Python/FastAPI and React frontends, and collaborate closely with product and design to achieve measurable outcomes. You follow established patterns and standards, contribute to code quality through reviews and documentation, and partner with teammates to iterate quickly and safely in production.
**Essential Duties and Responsibilities**
* Implement backend services in Python/FastAPI and React frontends end‑to‑end, delivering a steady stream of stories from design through production.
* Apply clear API contracts and data flows between services and UIs; follow and contribute to team patterns and templates.
* Practice high‑quality engineering: code reviews, documentation, maintainable designs, and thoughtful testing.
* Develop and maintain automated tests (unit, integration, end‑to‑end) and integrate them into everyday development and CI.
* Contribute to CI/CD pipelines and release workflows so the team ships small, safe changes frequently.
Participate in the operational lifecycle of the features and services you build, including monitoring, observability, on‑call rotations, and incident follow‑up.
* Implement secure‑by‑default solutions within your features, including robust authentication/authorization, input validation, and safe handling of sensitive data.
* Surface reliability and performance issues in your area, propose practical improvements, and sequence changes with your team.
* Collaborate with product/design to refine requirements into incremental deliverables; raise trade‑offs and help optimize value/risk.
The time spent on each responsibility reflects an estimate and is subject to change dependent on business needs.  
**Supervisory Responsibilities**
No
**Required Qualifications**
* Bachelor's or Master's degree in Computer Science, Engineering, or related field.
* 3\+ years of experience in software engineering.
* Proficiency with Python and modern web backends (FastAPI, Flask, Django or similar), and solid understanding of HTTP, API design, and data modeling.
* Experience building React (or comparable SPA) frontends that integrate with backend APIs.
* Demonstrated ability to deliver features end‑to‑end on a small team—from requirements through design, implementation, testing, deployment, and support.
* Familiarity with distributed systems concepts (service boundaries, async jobs, integration patterns) and integrating services in production.
* Understanding of observability for production systems (metrics, logs, traces, dashboards, alerting) and participation in incident response.
* Working knowledge of security fundamentals (authentication, authorization, secure data handling) as applied to web services and UIs.
* Experience with automated testing and CI/CD; contributes to improvements in engineering workflows and quality.
* Strong communication and collaboration skills with product, design, and engineering teammates.
**Bonus Qualifications**
* Experience with Azure and containerized deployments (or similar cloud‑native environments).
* Experience on platform or data‑intensive applications (e.g., integrating with model inference APIs, data pipelines, or analytical data stores).
* Exposure to early‑stage or small platform teams where engineers balance shipping with building foundations.
The base salary range for this position is $130,000 \- $150,000\. In addition to a base salary, this position is eligible for a performance bonus and benefits (subject to eligibility requirements) listed here: Teladoc Health Benefits 2026 . Total compensation is based on several factors including, but not limited to, type of position, location, education level, work experience, and certifications. This information is applicable for all full\-time positions.
\#LI\-SS2 \#LI\-Remote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232">
      <c r="A232" t="inlineStr">
        <is>
          <t>in-b5b9ee61d8b2a40f</t>
        </is>
      </c>
      <c r="B232" t="inlineStr">
        <is>
          <t>Principal Software Engineer</t>
        </is>
      </c>
      <c r="C232" t="inlineStr">
        <is>
          <t>Centurion Consulting Group</t>
        </is>
      </c>
      <c r="D232" t="inlineStr">
        <is>
          <t>indeed</t>
        </is>
      </c>
      <c r="E232">
        <f>HYPERLINK("https://www.indeed.com/viewjob?jk=b5b9ee61d8b2a40f", "https://www.indeed.com/viewjob?jk=b5b9ee61d8b2a40f")</f>
        <v/>
      </c>
      <c r="F232">
        <f>HYPERLINK("https://centurioncg.com/job/5534-principal-software-engineer/", "https://centurioncg.com/job/5534-principal-software-engineer/")</f>
        <v/>
      </c>
      <c r="G232" t="inlineStr">
        <is>
          <t>Woodlawn, MD, US</t>
        </is>
      </c>
      <c r="H232" s="3" t="n">
        <v>46050</v>
      </c>
      <c r="I232" t="inlineStr">
        <is>
          <t>**Job ID:** 5534
**City:** Woodlawn
**State:** MD
**Job Type:**  
**Compensation:** $0 to $0
Centurion Consulting is looking for a Senior Software Engineer for an onsite role in Woodlawn, MD.
**Key Required Skills:**  
Strong experience with Java, OpenShift/ Amazon Web Services (AWS), Agile Development, Angular/React, JavaScript, Kafka, Spring Boot, Spring Batch, and Web Services.
**Position Description:**  
Design and develop software applications using Twelve\-Factor App methodology from functional requirements.
Develop highly innovative UI design, Web components, achieved through collaboration and dialogue with other experts in the field. The candidate will continually assess advancements in technologies to gauge and recommend better solutions for the customer to improve the software developer experience and efficient delivery of software.
Implementation of Graphical User Interface (GUI) using the presentation tier technologies such as AngularJS, ReactJS, Node JS, Type Script, JavaScript, JSP, HTML, CSS, XML, AJAX, and jQuery,.
Front end development using modern JavaScript and experience with ES13\+ features, such as classes, arrow functions, template literals and modules.
Design Web Page components that are compliant with Section 508 of the Rehabilitation Act (29 U.S.C. 794d).
Design and develop Microservices using Spring Boot, Java and RESTful architecture.
Solid understanding of DevOps practices, CI/CD pipelines, and tools such as Jenkins, Git, Bitbucket, OpenShift and experience with cloud platforms (AWS, Azure, or Google Cloud) and containerization technologies.
Develop and maintain Enterprise Java Batch application using Java Specification Request (JSR) 352 specification and schedule Java Batch jobs using Control\-M.
Develop Simple Object Access Protocol (SOAP) based Web Services using technologies such as JAX\-WS, Apache Axis, and Web Services Description Language (WSDL). Implement Web Service Security using WS\-Security using existing IBM DataPower infrastructure. Ensure interoperability with Web Services\-Interoperability (WS\-I) standards and optimize message transmission using Message Transmission Optimization Mechanism (MTOM) or SOAP with Attachments (SWA).
Ability to collaborate with cross\-functional teams, including business analysts, QA, and project managers and commitment to continuous learning and staying updated with emerging technologies.
Develop the Data Access Layer (DAO) to interface the application with IBM DB2 9\.0 and PostgreSQL databases running on z/OS mainframe and Linux operating systems and other platforms, utilizing JPA or Spring Data API for querying and retrieving data through Object Relational Mapping (ORM).
Create POCs, templates for developing Behavior Driven Development (BDD) test framework for the APIs using Cucumber, Gherkin, and Java to implement Integration tests.
Develop unit test cases for every possible Java class with real scenarios using Junit, Mockito and Power Mock frameworks
Use Visio, Confluence and IT Governance Frameworks to document the solution architecture \&amp; develop UML based design documents.
Attend all customer technical discussions/design/development meetings and provide viable technical solutions to further enhance the existing architecture and improve code quality/process.
Impact functional strategy by developing new solutions, processes, standards, or operational plans that position Leidos competitively in the marketplace.
Provide guidance/support to other junior/mid\-level developers.
Experience as hands on Technical Lead
All other duties as assigned or directed.
**Required Skills:**  
Bachelor's Degree in Computer Science, Mathematics, Engineering or a related field.
Masters or Doctorate degree may substitute for required experience
10\+ years of experience with Java, Spring Boot, Angular, React.
Extensive Design and Programming skills in Java and JEE technologies.
Extensive hands\-on experience with one or more frameworks such as Angular, React, and Express/Node.js.
Experience as hands on Technical Lead
Experience working on Agile projects and strong knowledge of Agile terminology and tools including Agility.
Must be able to obtain and maintain a Public Trust. Contract requirement.
Experience in designing high\-throughput and low\-latency systems, including architecting scalable solutions capable of handling large volumes of concurrent requests with minimal response times.
Experience in developing the applications using Single\-Page Application Architecture.
Proficient in implementing efficient data processing pipelines, optimizing application performance through asynchronous processing, caching strategies, and load balancing.
Experience in coding “responsive" web pages with an understanding of the cross\-browser limitations and browser compliance standards.
Experience designing and deploying cloud\-native applications onto AWS with PostgreSQL.
Deep Knowledge of PaaS offerings such as Red Hat OpenShift and Docker.
Experience with modern software development tools for Continuous Integration including Jenkins, Git/BitBucket, Jira, Nexus, Maven, Jenkins, SonarQube, Fortify, and UrbanCode Deploy.
Experience with Web Services Technologies (XML, JAXP, JAXB, JAX\-WS, AXIS, JERSEY, JSON, CXF, REST and SOAP) and Security (LTPA, OAUTH2/JWT).
Hands\-on Design and development experience on Microservices and RESTful API.
Experience with Automated unit test (i.e. JUnit, Mocking frameworks), Test Driven Development (TDD), and Behavior\-driven development (BDD) (Cucumber).
Experience with JEE technologies including Struts, Spring Framework (IoC, MVC, Transactions, Security, and Batch), Spring Boot, Spring JDBC, JPA, Hibernate, SOAP/RESTful, XML, DB2, Tomcat, WebSphere.
Experience with static code analyzers like SonarQube and addressing SonarQube recommended technical debts such as bugs, vulnerabilities, hotspots in the code.
Knowledge of security vulnerabilities in web applications and addressing them.
Experience with performance tuning software applications for effective CPU, Memory utilization, Quick turnaround response time, building highly scalable software applications in Cloud Environment handling higher volume of data and traffic.
**Desired Skills:**  
Showcase your knowledge of modern development through the following experience or skills:
Proficient in designing and implementing Kafka\-based event\-driven architectures, including the use of Kafka producers, consumers, topics, partitions, and consumer groups for scalable and fault\-tolerant data streaming. Experienced in configuring Kafka brokers, managing message retention policies, and optimizing throughput with appropriate replication and partitioning strategies. Familiar with integrating Kafka Connect for data ingestion, utilizing Kafka Streams for real\-time data processing, and monitoring Kafka clusters for performance and reliability.
Demonstrate a strong understanding of the latest trends in Artificial Intelligence (AI) and showcase the ability to apply AI knowledge to enhance or redesign existing system architectures, identifying opportunities where AI\-driven solutions can add value, improve efficiency, or enable new capabilities.
Experience with the implementation of Section 508 standards for Web Applications.
Exposure to writing Technical White Papers and systems design documents.
Prior experience with federal or state governments IT projects.
Experience with low code platforms like ServiceNow, Pega, MS Power Platform etc.
Strong communication and documentation skills.
**Education:**  
Bachelor's Degree with 7\+ years of experience
Must be able to obtain and maintain a Public Trust. Contract requirement.</t>
        </is>
      </c>
    </row>
    <row r="233">
      <c r="A233" t="inlineStr">
        <is>
          <t>in-017c43e072acfbe0</t>
        </is>
      </c>
      <c r="B233" t="inlineStr">
        <is>
          <t>Software Engineer</t>
        </is>
      </c>
      <c r="C233" t="inlineStr">
        <is>
          <t>Lockheed Martin</t>
        </is>
      </c>
      <c r="D233" t="inlineStr">
        <is>
          <t>indeed</t>
        </is>
      </c>
      <c r="E233">
        <f>HYPERLINK("https://www.indeed.com/viewjob?jk=017c43e072acfbe0", "https://www.indeed.com/viewjob?jk=017c43e072acfbe0")</f>
        <v/>
      </c>
      <c r="F233">
        <f>HYPERLINK("https://click.appcast.io/t/7osRo3eB3uP_bncpE9YrJbMJ95A8YL43yaXHEQwoMQE=", "https://click.appcast.io/t/7osRo3eB3uP_bncpE9YrJbMJ95A8YL43yaXHEQwoMQE=")</f>
        <v/>
      </c>
      <c r="G233" t="inlineStr">
        <is>
          <t>Marietta, GA, US</t>
        </is>
      </c>
      <c r="H233" s="3" t="n">
        <v>46050</v>
      </c>
      <c r="I233" t="inlineStr">
        <is>
          <t>**Job ID:** 716524BR
**Date posted:** Jan. 29, 2026  
**Description:**WHO WE ARE: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  
WHAT'S IN IT FOR YOU: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positions offers a motivated engineer the opportunity to have a high impact on a fast paced program as they grow their own skillset.  
**Basic Qualifications:**  
* Bachelor's degree or above from an accredited college in a relevant field of study; or equivalent experience
* Experience with C and/or C\+\+
* Experience with Linux
* Experience with the software development process in a team environment (peer reviews, unit testing, configuration management, defect tracking)
\*\*\*Must be a US Citizen. This position is located at a facility that requires special access and the ability to get a Secret clearance to be considered.\*\*\*  
**Desired Skills:**  
* Experience integrating hardware and software
Experience with LUA programming language  
* Experience in scripting languages (e.g. python)
* Experience with build environments and tools (make and CMake)
* Experience using agile software development tools and methodologies (e.g. Git, Gitlab, JIRA, Jenkins, Confluence, etc.)
* Experience with networking protocols (e.g. IP, UDP, RTP, etc.)
* Experience working with safety/flight critical software development processes (e.g. MIL\-STD\-516C, MIL\-HDBK\-1797, AC\-17\-01, DO\-178\)
* Ability to build and maintain relationships and collaborative effectively with others
* Strong decision making and judgment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234">
      <c r="A234" t="inlineStr">
        <is>
          <t>in-6e89f99db62c1b20</t>
        </is>
      </c>
      <c r="B234" t="inlineStr">
        <is>
          <t>Software Engineer Sr</t>
        </is>
      </c>
      <c r="C234" t="inlineStr">
        <is>
          <t>Lockheed Martin</t>
        </is>
      </c>
      <c r="D234" t="inlineStr">
        <is>
          <t>indeed</t>
        </is>
      </c>
      <c r="E234">
        <f>HYPERLINK("https://www.indeed.com/viewjob?jk=6e89f99db62c1b20", "https://www.indeed.com/viewjob?jk=6e89f99db62c1b20")</f>
        <v/>
      </c>
      <c r="F234">
        <f>HYPERLINK("https://click.appcast.io/t/dDPf0UKbUWRSBirKE7bReaXBqwhFGIJS1nvRA9r4c14=", "https://click.appcast.io/t/dDPf0UKbUWRSBirKE7bReaXBqwhFGIJS1nvRA9r4c14=")</f>
        <v/>
      </c>
      <c r="G234" t="inlineStr">
        <is>
          <t>Fort Worth, TX, US</t>
        </is>
      </c>
      <c r="H234" s="3" t="n">
        <v>46050</v>
      </c>
      <c r="I234" t="inlineStr">
        <is>
          <t>**Job ID:** 716527BR
**Date posted:** Jan. 29, 2026  
**Description:**WHO WE ARE: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positions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positions offers a motivated engineer the opportunity to have a high impact on a fast paced program as they grow their own skillset.
Travel up to 10% may be required.  
**Basic Qualifications:**  
* Bachelor's degree or above from an accredited college in a relevant field of study; or equivalent with minimum 3 years experience
* Experience with C and/or C\+\+
* Experience with Linux
* Experience with the software development process in a team environment (peer reviews, unit testing, configuration management, defect tracking)
\*\*\*Must be a US Citizen. This position is located at a facility that requires special access and a Secret clearance updated within the last 6 years to be considered.\*\*\*  
**Desired Skills:**  
* Experience with developing software for avionics systems
* Experience integrating hardware and software
* Experience in scripting languages (e.g. python)
* Experience with build environments and tools (make and CMake)
* Experience using agile software development tools and methodologies (e.g. Git, JIRA, Jenkins, Confluence, etc.)
* Experience with networking protocols (e.g. IP, UDP, RTP, etc.)
* Experience working with safety/flight critical software development processes (e.g. MIL\-STD\-516C, MIL\-HDBK\-1797, AC\-17\-01, DO\-178\)
* Ability to build and maintain relationships and collaborative effectively with others
* Strong decision making and judgment skills
* Experience leading small technical teams
* Experience mentoring and training junior engineers
Experience with LUA programming language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235">
      <c r="A235" t="inlineStr">
        <is>
          <t>in-7423570a575f4ea6</t>
        </is>
      </c>
      <c r="B235" t="inlineStr">
        <is>
          <t>Software Engineer Staff (level 4)</t>
        </is>
      </c>
      <c r="C235" t="inlineStr">
        <is>
          <t>Lockheed Martin</t>
        </is>
      </c>
      <c r="D235" t="inlineStr">
        <is>
          <t>indeed</t>
        </is>
      </c>
      <c r="E235">
        <f>HYPERLINK("https://www.indeed.com/viewjob?jk=7423570a575f4ea6", "https://www.indeed.com/viewjob?jk=7423570a575f4ea6")</f>
        <v/>
      </c>
      <c r="F235">
        <f>HYPERLINK("https://click.appcast.io/t/mtFBVaUKRudUzOfK_tOT4qaNjdqPZmr4nE33bgNWweQ=", "https://click.appcast.io/t/mtFBVaUKRudUzOfK_tOT4qaNjdqPZmr4nE33bgNWweQ=")</f>
        <v/>
      </c>
      <c r="G235" t="inlineStr">
        <is>
          <t>Fort Worth, TX, US</t>
        </is>
      </c>
      <c r="H235" s="3" t="n">
        <v>46050</v>
      </c>
      <c r="I235" t="inlineStr">
        <is>
          <t>**Job ID:** 716144BR
**Date posted:** Jan. 29, 2026  
**Description:****WHO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 technical SME support for avionics subsystems
This position offers a motivated engineer the opportunity to have a high impact on a productive program as they grow their own skillset.
Travel up to 10% may be required.  
**Basic Qualifications:**  
* Bachelor's degree or above from an accredited college in a relevant field of study; or equivalent with minimum 5 years experience
* Experience with C and/or C\+\+
* Experience with Linux or RTOS (real time operating systems) and associated development toolchains
* Experience with the software development process in a team environment (peer reviews, unit testing, configuration management, defect tracking)
* Experience mentoring and training junior engineers
\*\*\*Must be a US Citizen. This position is located at a facility that requires special access and a Secret clearance updated within the last 5 years to be considered.\*\*\*  
**Desired Skills:**  
* Experience as technical lead or SME in various subsystems development
* Experience with developing software for avionics systems
* Experience with build environments and tools (make and CMake)
* Experience integrating hardware and software
* Experience in scripting languages (e.g. python)
* Experience using agile software development tools and methodologies (e.g. Git, JIRA, Jenkins, Confluence, etc.)
* Experience with networking protocols (e.g. IP, UDP, RTP, etc.)
* Experience with hardware protocols (e.g. ARINC\-429, RS\-485, I2C, SPI, etc.)
* Experience working with safety/flight critical software development processes (e.g. MIL\-STD\-516C, MIL\-HDBK\-1797, AC\-17\-01, DO\-178\)
* Experience with Modeling and Simulation (including familiarity with MATLAB)
* Ability to build and maintain relationships and collaborative effectively with others
* Strong decision making and judgment skills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236">
      <c r="A236" t="inlineStr">
        <is>
          <t>in-83ce025e9fbaddc2</t>
        </is>
      </c>
      <c r="B236" t="inlineStr">
        <is>
          <t>Software Engineer Staff (level 4)</t>
        </is>
      </c>
      <c r="C236" t="inlineStr">
        <is>
          <t>Lockheed Martin</t>
        </is>
      </c>
      <c r="D236" t="inlineStr">
        <is>
          <t>indeed</t>
        </is>
      </c>
      <c r="E236">
        <f>HYPERLINK("https://www.indeed.com/viewjob?jk=83ce025e9fbaddc2", "https://www.indeed.com/viewjob?jk=83ce025e9fbaddc2")</f>
        <v/>
      </c>
      <c r="F236">
        <f>HYPERLINK("https://click.appcast.io/t/L4STU758-GhPV9KaacDaJDNvBvaCJch3InOw4SwrArg=", "https://click.appcast.io/t/L4STU758-GhPV9KaacDaJDNvBvaCJch3InOw4SwrArg=")</f>
        <v/>
      </c>
      <c r="G236" t="inlineStr">
        <is>
          <t>Marietta, GA, US</t>
        </is>
      </c>
      <c r="H236" s="3" t="n">
        <v>46050</v>
      </c>
      <c r="I236" t="inlineStr">
        <is>
          <t>**Job ID:** 716132BR
**Date posted:** Jan. 29, 2026  
**Description:****WHO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and share your knowledge and expertise to help mentor and grow our junior engineers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 technical SME support for avionics subsystems
This position offers a motivated engineer the opportunity to have a high impact on a productive program as they grow their own skillset.
Travel up to 10% may be required.  
**Basic Qualifications:**  
* Bachelor's degree or above from an accredited college in a relevant field of study; or equivalent with minimum 5 years experience
* Experience with C and/or C\+\+
* Experience with Linux or RTOS (real time operating systems) and associated development toolchains
* Experience with the software development process in a team environment (peer reviews, unit testing, configuration management, defect tracking)
* Experience mentoring and training junior engineers
\*\*\*Must be a US Citizen. This position is located at a facility that requires special access and a Secret clearance updated within the last 5 years to be considered.\*\*\*  
**Desired Skills:**  
* Experience as technical lead or SME in various subsystems development
* Experience with developing software for avionics systems
* Experience with build environments and tools (make and CMake)
* Experience integrating hardware and software
* Experience in scripting languages (e.g. python)
* Experience using agile software development tools and methodologies (e.g. Git, JIRA, Jenkins, Confluence, etc.)
* Experience with networking protocols (e.g. IP, UDP, RTP, etc.)
* Experience with hardware protocols (e.g. ARINC\-429, RS\-485, I2C, SPI, etc.)
* Experience working with safety/flight critical software development processes (e.g. MIL\-STD\-516C, MIL\-HDBK\-1797, AC\-17\-01, DO\-178\)
* Experience with Modeling and Simulation (including familiarity with MATLAB)
* Ability to build and maintain relationships and collaborative effectively with others
* Strong decision making and judgment skills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237">
      <c r="A237" t="inlineStr">
        <is>
          <t>in-dcd1e8186edfe718</t>
        </is>
      </c>
      <c r="B237" t="inlineStr">
        <is>
          <t>Senior Software Engineer - Custom Data</t>
        </is>
      </c>
      <c r="C237" t="inlineStr">
        <is>
          <t>Bloomberg</t>
        </is>
      </c>
      <c r="D237" t="inlineStr">
        <is>
          <t>indeed</t>
        </is>
      </c>
      <c r="E237">
        <f>HYPERLINK("https://www.indeed.com/viewjob?jk=dcd1e8186edfe718", "https://www.indeed.com/viewjob?jk=dcd1e8186edfe718")</f>
        <v/>
      </c>
      <c r="F237">
        <f>HYPERLINK("https://click.appcast.io/t/LbLrifqWr8L-2W9-ICbS5PWWdaNAppeJU1g39E_PZ4U=", "https://click.appcast.io/t/LbLrifqWr8L-2W9-ICbS5PWWdaNAppeJU1g39E_PZ4U=")</f>
        <v/>
      </c>
      <c r="G237" t="inlineStr">
        <is>
          <t>San Francisco, CA, US</t>
        </is>
      </c>
      <c r="H237" s="3" t="n">
        <v>46050</v>
      </c>
      <c r="I237" t="inlineStr">
        <is>
          <t>Senior Software Engineer \- Custom Data
Location
San Francisco
Business Area
Engineering and CTO
Ref \#
10048990
**Description \&amp; Requirements**
-------------------------------
**Our team**  
The Custom Data team helps clients to bring their firm’s private datasets into the Bloomberg ecosystem. It lets them link proprietary data stores directly to the Terminal and across our Enterprise suite, so teams can collaborate on the same live data, tailor workflows end\-to\-end, and embed custom analytics at every stage of the investment cycle (from idea generation through execution and post\-trade reporting).
For buy\-side firms like mutual funds, hedge funds and pensions, Custom data transforms the Terminal from a solo research tool into a shared intelligence platform.
The Custom Data platform delivers a managed infrastructure encompassing the end\-to\-end lifecycle of proprietary institutional data.
**Key Capabilities**
* **Metadata and Access Management:** Offers tools to define metadata for proprietary data and manage access to govern data access.
* **Ingest Pipelines:** Provides both interactive and batch ingest pipelines to facilitate the transfer of data from the client environment into the Bloomberg ecosystem.
* **Rich Key Structure:** Enables clients to store data against a combination of one or more financial attributes.
* **Auditing Capabilities:** Ensures the transparency and 'paper trail' necessary for regulatory compliance and internal data integrity.
* **APIs for Integration:** provides standardized Read APIs that seamlessly embed data within Bloomberg's ecosystem, including the Terminal, execution platforms, and risk workflows.
* **Data Extraction:** Supplies Data and Audit feeds to facilitate the extraction of client\-provided data outside the Bloomberg ecosystem.
**System Scale and Performance:**
* The system processes in excess of **250 million daily requests**, comprising 150 million metadata requests and 100 million read queries.
* It serves approximately **65 billion data points** across interactive, reporting, batch, and screening applications.
* The platform manages data for **11,000 firms**, encompassing **365,000 unique fields**.
* It maintains stringent latency requirements to support real\-time Bloomberg Terminal workflows.
**We’ll trust you to:**
* Design and implement features in the product while adhering to strict latency requirements.
* Write maintainable and production\-quality code.
* Contribute to system design and refactor Python and C\+\+ services to follow clean, single\-responsibility principles.
* Evaluate next\-generation storage solutions.
* Modernize Custom data integration with standard Bloomberg APIs.
* Own observability from metrics to dashboards, defining clear SLIs and SLOs.
* Design tools to improve team oncall/operational experience.
* Partner with other enterprise teams in Bloomberg to evolve the future of Custom data at Bloomberg.
* Mentor junior engineers in the team on best engineering practices.
**You'll need to have:**
* 4\+ years of experience in backend engineering, ideally with Python
* Strong system design and debugging skills in production environments
* Familiarity with distributed messaging or stream\-processing frameworks (Kafka preferred)
* Familiarity with relational and noSQL datastores at Bloomberg (Cassandra preferred)
* A strong product mindset paired with genuine empathy for client needs
* A degree in Computer Science, Engineering, or equivalent work experience
**We’d love to see:**
* Familiarity with Python standards and tooling
* Background in distributed systems like Kafka, Redis, Cassandra, or HBase
* Experience with CI/CD pipelines, automated testing, or system observability
* Exposure to containerized environments using Docker or Kubernetes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38">
      <c r="A238" t="inlineStr">
        <is>
          <t>in-083d73181630969a</t>
        </is>
      </c>
      <c r="B238" t="inlineStr">
        <is>
          <t>Senior Software Engineer - Custom Data</t>
        </is>
      </c>
      <c r="C238" t="inlineStr">
        <is>
          <t>Bloomberg</t>
        </is>
      </c>
      <c r="D238" t="inlineStr">
        <is>
          <t>indeed</t>
        </is>
      </c>
      <c r="E238">
        <f>HYPERLINK("https://www.indeed.com/viewjob?jk=083d73181630969a", "https://www.indeed.com/viewjob?jk=083d73181630969a")</f>
        <v/>
      </c>
      <c r="F238">
        <f>HYPERLINK("https://click.appcast.io/t/PCwuh4i5YgyYJd0F9NMEFo9sjjDfDaGcfb92wNEW8e0=", "https://click.appcast.io/t/PCwuh4i5YgyYJd0F9NMEFo9sjjDfDaGcfb92wNEW8e0=")</f>
        <v/>
      </c>
      <c r="G238" t="inlineStr">
        <is>
          <t>New York, NY, US</t>
        </is>
      </c>
      <c r="H238" s="3" t="n">
        <v>46050</v>
      </c>
      <c r="I238" t="inlineStr">
        <is>
          <t>Senior Software Engineer \- Custom Data
Location
New York
Business Area
Engineering and CTO
Ref \#
10048991
**Description \&amp; Requirements**
-------------------------------
**Our team**  
The Custom Data team helps clients to bring their firm’s private datasets into the Bloomberg ecosystem. It lets them link proprietary data stores directly to the Terminal and across our Enterprise suite, so teams can collaborate on the same live data, tailor workflows end\-to\-end, and embed custom analytics at every stage of the investment cycle (from idea generation through execution and post\-trade reporting).
For buy\-side firms like mutual funds, hedge funds and pensions, Custom data transforms the Terminal from a solo research tool into a shared intelligence platform.
The Custom Data platform delivers a managed infrastructure encompassing the end\-to\-end lifecycle of proprietary institutional data.
**Key Capabilities**
* **Metadata and Access Management:** Offers tools to define metadata for proprietary data and manage access to govern data access.
* **Ingest Pipelines:** Provides both interactive and batch ingest pipelines to facilitate the transfer of data from the client environment into the Bloomberg ecosystem.
* **Rich Key Structure:** Enables clients to store data against a combination of one or more financial attributes.
* **Auditing Capabilities:** Ensures the transparency and 'paper trail' necessary for regulatory compliance and internal data integrity.
* **APIs for Integration:** provides standardized Read APIs that seamlessly embed data within Bloomberg's ecosystem, including the Terminal, execution platforms, and risk workflows.
* **Data Extraction:** Supplies Data and Audit feeds to facilitate the extraction of client\-provided data outside the Bloomberg ecosystem.
**System Scale and Performance:**
* The system processes in excess of **250 million daily requests**, comprising 150 million metadata requests and 100 million read queries.
* It serves approximately **65 billion data points** across interactive, reporting, batch, and screening applications.
* The platform manages data for **11,000 firms**, encompassing **365,000 unique fields**.
* It maintains stringent latency requirements to support real\-time Bloomberg Terminal workflows.
**We’ll trust you to:**
* Design and implement features in the product while adhering to strict latency requirements.
* Write maintainable and production\-quality code.
* Contribute to system design and refactor Python and C\+\+ services to follow clean, single\-responsibility principles.
* Evaluate next\-generation storage solutions.
* Modernize Custom data integration with standard Bloomberg APIs.
* Own observability from metrics to dashboards, defining clear SLIs and SLOs.
* Design tools to improve team oncall/operational experience.
* Partner with other enterprise teams in Bloomberg to evolve the future of Custom data at Bloomberg.
* Mentor junior engineers in the team on best engineering practices.
**You'll need to have:**
* 4\+ years of experience in backend engineering, ideally with Python
* Strong system design and debugging skills in production environments
* Familiarity with distributed messaging or stream\-processing frameworks (Kafka preferred)
* Familiarity with relational and noSQL datastores at Bloomberg (Cassandra preferred)
* A strong product mindset paired with genuine empathy for client needs
* A degree in Computer Science, Engineering, or equivalent work experience
**We’d love to see:**
* Familiarity with Python standards and tooling
* Background in distributed systems like Kafka, Redis, Cassandra, or HBase
* Experience with CI/CD pipelines, automated testing, or system observability
* Exposure to containerized environments using Docker or Kubernetes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39">
      <c r="A239" t="inlineStr">
        <is>
          <t>in-5347a4d0bd52f8cc</t>
        </is>
      </c>
      <c r="B239" t="inlineStr">
        <is>
          <t>Senior Software Engineer - Bloomberg Government Data Platform</t>
        </is>
      </c>
      <c r="C239" t="inlineStr">
        <is>
          <t>Bloomberg</t>
        </is>
      </c>
      <c r="D239" t="inlineStr">
        <is>
          <t>indeed</t>
        </is>
      </c>
      <c r="E239">
        <f>HYPERLINK("https://www.indeed.com/viewjob?jk=5347a4d0bd52f8cc", "https://www.indeed.com/viewjob?jk=5347a4d0bd52f8cc")</f>
        <v/>
      </c>
      <c r="F239">
        <f>HYPERLINK("https://click.appcast.io/t/yDjRemMTS-_LjLarZ8xSyMCvcgYZFazd69hA2K3QDJc=", "https://click.appcast.io/t/yDjRemMTS-_LjLarZ8xSyMCvcgYZFazd69hA2K3QDJc=")</f>
        <v/>
      </c>
      <c r="G239" t="inlineStr">
        <is>
          <t>Montgomery, NJ, US</t>
        </is>
      </c>
      <c r="H239" s="3" t="n">
        <v>46050</v>
      </c>
      <c r="I239" t="inlineStr">
        <is>
          <t>Senior Software Engineer \- Bloomberg Government Data Platform
Location
Skillman
Business Area
Engineering and CTO
Ref \#
10048956
**Description \&amp; Requirements**
-------------------------------
Bloomberg Government is changing the government sector by delivering the most sophisticated research platform on the market with a focus on automation, analytics and real\-time answers. Our goal is to become an indispensable tool for private and public sector professionals by supporting their day\-to\-day tasks and providing solutions that help them get real\-time answers and better serve their companies.
Within Bloomberg Government, the Data Platform team is hiring! As part of our team, you will help build a visualization layer on top of the Bloomberg Government data platform, as well as develop the internal tools that our data analysts use to curate our products. You will also help in our task to migrate our data to the cloud. Here you will use AWS technologies like Lambda and Step Functions to create robust ingestion workflows as well as implementing Databricks Lakehouses. You will be given the opportunity to display your creativity and deliver continuous end\-user value in an Agile environment. We are self\-motivated engineers who like to research, learn, and apply current technologies to build new product features that anticipate our customers’ needs.
We’ll trust you to:
* Work directly with product owners, data experts and other engineering teams to build solutions that our clients use to solve complex problems
* Build and support a distributed platform supporting all Bloomberg Government data
* Work with data analysts to collect insight on possible data collection efficiencies and identify automation potential for manual workflows
* Developing infrastructure as code (IaC) and embraces DevOps principles.
* Work with AWS cloud services to implement micro services using serverless technologies
* Work with Databricks to build a Lakehouse
You'll need to have:
* 4\+ years of experience programming in Python
* 4\+ years of experience with relational databases, SQL and Linux
* A passion to learn new technologies
* BA, BS, MS, PhD in Computer Science, Engineering or related technology field
We'd love to see:
* Knowledge of PySpark, Databricks and ETL
* Working with AWS and building infrastructure using CloudFormation and Terraform
* Experience with applying machine learning algorithms to solve complex data mining problems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40">
      <c r="A240" t="inlineStr">
        <is>
          <t>in-d555bb088ca2430f</t>
        </is>
      </c>
      <c r="B240" t="inlineStr">
        <is>
          <t>Senior Software Engineer, Consumer Revenue</t>
        </is>
      </c>
      <c r="C240" t="inlineStr">
        <is>
          <t>Discord</t>
        </is>
      </c>
      <c r="D240" t="inlineStr">
        <is>
          <t>indeed</t>
        </is>
      </c>
      <c r="E240">
        <f>HYPERLINK("https://www.indeed.com/viewjob?jk=d555bb088ca2430f", "https://www.indeed.com/viewjob?jk=d555bb088ca2430f")</f>
        <v/>
      </c>
      <c r="F240">
        <f>HYPERLINK("https://discordapp.com/jobs/8397423002", "https://discordapp.com/jobs/8397423002")</f>
        <v/>
      </c>
      <c r="G240" t="inlineStr">
        <is>
          <t>San Francisco Bay Area, CA, US</t>
        </is>
      </c>
      <c r="H240" s="3" t="n">
        <v>46050</v>
      </c>
      <c r="I240"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games.We're looking for talented Senior Software Engineers to join our Consumer Revenue squads, the teams at the heart of premium experiences at Discord. You’ll be building out a premium Discord for millions of subscribers, focusing on surfaces such as Nitro, shop, boosting, user identity, and more. Your work will be vital in delivering a high\-value premium experience, without compromising the core experience for our free users. You’ll be a key driver in generating the revenue that fuels Discord’s mission. In this product engineering role, you'll collaborate cross\-functionally with Product, Data Science, Design, Marketing, and other functions to create best\-in\-class consumer experiences. Your work will cover the full breadth of the technical stack, from backend data modeling, through business logic in APIs, to polished, user\-facing interfaces. You’ll be supported by infrastructure, platform, and product teams on your mission to build the best premium Discord. Check out some of our recent launches on Nitro, shop, boosting, user identity, and more. To learn more about Discord Engineering, take a look at our engineering blog! What You'll Be Doing Build and improve premium Discord experiences such as Nitro, shop, boosting, user identity, and more. Own projects end to end by partnering with Product to refine requirements, create technical specs, and work closely with Design to execute and deliver best\-in\-class user experiences. Work with a team of full\-stack engineers to ship new features across Web, Android, and iOS. Lead complex initiatives from conception to completion, thriving in ambiguous environments. Rapidly prototype new features and synthesize insights through experimentation. What you should have 5\+ years of software engineering experience. You’re a key technical contributor to your team and have led sizable projects which have had a big impact on your team’s roadmap. Full\-stack proficiency. You are an expert in React/React Native with a solid grasp of Python backend development. We work primarily in the web (React, TypeScript), mobile (React Native, with a small amount of Kotlin, Objective\-C, and Swift), and backend (Python). Product sense. You maintain a high degree of empathy for your internal and external users, and seek feedback from them about your work. You have an eye for what changes can bring a product from good to great. Ownership mentality. You thrive with autonomy, take initiative to drive projects forward, and are comfortable with ambiguity. Pragmatic approach. You find incremental approaches to solving complex problems, enjoy rapidly prototyping solutions, value your autonomy and operate with high integrity. Performance\-focused mindset. You have a solid understanding of React performance and client\-server performance optimization, and a commitment to maintaining high\-performance standards. Growth mindset. You view challenges and mistakes as learning opportunities while building upon your successes. You push yourself and those around you to continuously improve. Bonus Points Experience working on teams focused on growth, particularly in revenue generation, product monetization, or user engagement systems Strong track record of driving measurable impact through experimentation and data\-driven decision making Demonstrated success in attracting new users, driving engagement, sustaining long\-term retention, and optimizing consumer\-facing features Experience with performance optimization at scale, particularly for consumer\-facing applications Interest or passion for the Discord platform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Candidates must reside in or be willing to relocate to the San Francisco Bay Area (Alameda, Contra Costa, Marin, Napa, San Francisco, San Mateo, Santa Clara, Solano, and Sonoma counties). Relocation assistance may be available. For this role, there is no formal requirement to work from the office.Why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41">
      <c r="A241" t="inlineStr">
        <is>
          <t>in-acf1155ee5a91d22</t>
        </is>
      </c>
      <c r="B241" t="inlineStr">
        <is>
          <t>SOFTWARE DEVELOPER</t>
        </is>
      </c>
      <c r="C241" t="inlineStr">
        <is>
          <t>QTEC Aerospace</t>
        </is>
      </c>
      <c r="D241" t="inlineStr">
        <is>
          <t>indeed</t>
        </is>
      </c>
      <c r="E241">
        <f>HYPERLINK("https://www.indeed.com/viewjob?jk=acf1155ee5a91d22", "https://www.indeed.com/viewjob?jk=acf1155ee5a91d22")</f>
        <v/>
      </c>
      <c r="F241">
        <f>HYPERLINK("https://www.applicantpro.com/openings/qtecinc/jobs/3976034-515998", "https://www.applicantpro.com/openings/qtecinc/jobs/3976034-515998")</f>
        <v/>
      </c>
      <c r="G241" t="inlineStr">
        <is>
          <t>Huntsville, AL, US</t>
        </is>
      </c>
      <c r="H241" s="3" t="n">
        <v>46050</v>
      </c>
      <c r="I241" t="inlineStr">
        <is>
          <t>QTEC Aerospace is seeking a Software Developer to join our team of professionals in Huntsville, AL. Qualified applicants will become part of a team of professionals representing both industry and government. The successful candidate will be detail oriented, have a proven track record and a positive work ethic.
The selected candidate will function as an integral member of a team to provide program, engineering, and technical support to a variety of programs.  
**Job Duties/Responsibilities**
* Provide software engineering development and support from requirements through design, coding, integration, and testing.
* Prototype Artificial Intelligence (AI) / Machine Learning (ML) algorithms and applications
* Perform other engineering and logistics tasks as assigned by QTEC Aerospace.
 **Minimum Education and Experience**
* Bachelor's degree in a STEM (Science, Technology, Engineering or Mathematics) discipline or equivalent experience
 **Required Knowledge, Skills and Abilities**
* Strong communications and interpersonal skills
* Experience with programming in object\-oriented languages such as C\#, Java and Python
* Experience with development using .Net Framework
* Strong mathematical and problem\-solving skills
 **Desired Knowledge, Skills and Abilities**
* Experience using machine learning libraries such as Numpy, SciPy, Pandas, Tensorflow, Scikit\-Learn, Seaborn, Theano, Keras, or PyTorch
* Experience with Artificial Intelligence (AI) / Machine Learning (ML) algorithms and applications
* Experience with dynamic programming techniques and writing applications using dynamic programming languages (Python, Groovy, JavaScript, LISP, etc)
* Big Data Analytics
* Proficiency in supporting and updating existing software applications to maintain cybersecurity compliance
* Proficiency in building web\-based applications and REST APIs
* Proficiency in building web\-based GUIs, using HTML and CSS, in modern MVC / MVVM
* Ability to adapt new code with existing code base, fluency with multiple software paradigms
 **Security Clearance**
Candidates must currently have and be able to maintain a minimum DoD SECRET level security clearance.
 **Location**
Huntsville, AL
 *QTEC, Inc. is an equal opportunity employer. All qualified applicants will receive consideration for employment and advancement in employment without regard to any applicable local, state or federally protected class, characteristic or non\-merit based factor.*</t>
        </is>
      </c>
    </row>
    <row r="242">
      <c r="A242" t="inlineStr">
        <is>
          <t>in-91bed374a5a778c0</t>
        </is>
      </c>
      <c r="B242" t="inlineStr">
        <is>
          <t>Senior Full Stack Engineer</t>
        </is>
      </c>
      <c r="C242" t="inlineStr">
        <is>
          <t>GEICO</t>
        </is>
      </c>
      <c r="D242" t="inlineStr">
        <is>
          <t>indeed</t>
        </is>
      </c>
      <c r="E242">
        <f>HYPERLINK("https://www.indeed.com/viewjob?jk=91bed374a5a778c0", "https://www.indeed.com/viewjob?jk=91bed374a5a778c0")</f>
        <v/>
      </c>
      <c r="F242">
        <f>HYPERLINK("https://click.appcast.io/t/GCwiKVnz4hFSdut0orST9zIS-v44qB5G8-hiv80EVHE=", "https://click.appcast.io/t/GCwiKVnz4hFSdut0orST9zIS-v44qB5G8-hiv80EVHE=")</f>
        <v/>
      </c>
      <c r="G242" t="inlineStr">
        <is>
          <t>New York, NY, US</t>
        </is>
      </c>
      <c r="H242" s="3" t="n">
        <v>46050</v>
      </c>
      <c r="I2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3">
      <c r="A243" t="inlineStr">
        <is>
          <t>in-86b8f9103d1a0efb</t>
        </is>
      </c>
      <c r="B243" t="inlineStr">
        <is>
          <t>Senior Full Stack Engineer</t>
        </is>
      </c>
      <c r="C243" t="inlineStr">
        <is>
          <t>GEICO</t>
        </is>
      </c>
      <c r="D243" t="inlineStr">
        <is>
          <t>indeed</t>
        </is>
      </c>
      <c r="E243">
        <f>HYPERLINK("https://www.indeed.com/viewjob?jk=86b8f9103d1a0efb", "https://www.indeed.com/viewjob?jk=86b8f9103d1a0efb")</f>
        <v/>
      </c>
      <c r="F243">
        <f>HYPERLINK("https://click.appcast.io/t/BCyWsGjgMlPhrr_6Kt2RUAukBZkb-QRxNEo1UDYG7Rc=", "https://click.appcast.io/t/BCyWsGjgMlPhrr_6Kt2RUAukBZkb-QRxNEo1UDYG7Rc=")</f>
        <v/>
      </c>
      <c r="G243" t="inlineStr">
        <is>
          <t>Palo Alto, CA, US</t>
        </is>
      </c>
      <c r="H243" s="3" t="n">
        <v>46050</v>
      </c>
      <c r="I2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4">
      <c r="A244" t="inlineStr">
        <is>
          <t>in-deb5ca35d1910faa</t>
        </is>
      </c>
      <c r="B244" t="inlineStr">
        <is>
          <t>Senior Full Stack Engineer</t>
        </is>
      </c>
      <c r="C244" t="inlineStr">
        <is>
          <t>GEICO</t>
        </is>
      </c>
      <c r="D244" t="inlineStr">
        <is>
          <t>indeed</t>
        </is>
      </c>
      <c r="E244">
        <f>HYPERLINK("https://www.indeed.com/viewjob?jk=deb5ca35d1910faa", "https://www.indeed.com/viewjob?jk=deb5ca35d1910faa")</f>
        <v/>
      </c>
      <c r="F244">
        <f>HYPERLINK("https://click.appcast.io/t/28lmkWU35pJNcYoZeXXWwyw0XKiR5jcgxGFWQay2WAY=", "https://click.appcast.io/t/28lmkWU35pJNcYoZeXXWwyw0XKiR5jcgxGFWQay2WAY=")</f>
        <v/>
      </c>
      <c r="G244" t="inlineStr">
        <is>
          <t>Dallas, TX, US</t>
        </is>
      </c>
      <c r="H244" s="3" t="n">
        <v>46050</v>
      </c>
      <c r="I2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5">
      <c r="A245" t="inlineStr">
        <is>
          <t>in-8e33fa7a353bc9f4</t>
        </is>
      </c>
      <c r="B245" t="inlineStr">
        <is>
          <t>Senior Full Stack Engineer</t>
        </is>
      </c>
      <c r="C245" t="inlineStr">
        <is>
          <t>GEICO</t>
        </is>
      </c>
      <c r="D245" t="inlineStr">
        <is>
          <t>indeed</t>
        </is>
      </c>
      <c r="E245">
        <f>HYPERLINK("https://www.indeed.com/viewjob?jk=8e33fa7a353bc9f4", "https://www.indeed.com/viewjob?jk=8e33fa7a353bc9f4")</f>
        <v/>
      </c>
      <c r="F245">
        <f>HYPERLINK("https://click.appcast.io/t/GrEZSWjNbNtuR2t7guksE0nwz0RCOJAdG-8OwWpwY1U=", "https://click.appcast.io/t/GrEZSWjNbNtuR2t7guksE0nwz0RCOJAdG-8OwWpwY1U=")</f>
        <v/>
      </c>
      <c r="G245" t="inlineStr">
        <is>
          <t>Seattle, WA, US</t>
        </is>
      </c>
      <c r="H245" s="3" t="n">
        <v>46050</v>
      </c>
      <c r="I2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6">
      <c r="A246" t="inlineStr">
        <is>
          <t>in-17f97e77ba40dd1c</t>
        </is>
      </c>
      <c r="B246" t="inlineStr">
        <is>
          <t>Senior Software Engineer, Adobe Firefly</t>
        </is>
      </c>
      <c r="C246" t="inlineStr">
        <is>
          <t>Adobe</t>
        </is>
      </c>
      <c r="D246" t="inlineStr">
        <is>
          <t>indeed</t>
        </is>
      </c>
      <c r="E246">
        <f>HYPERLINK("https://www.indeed.com/viewjob?jk=17f97e77ba40dd1c", "https://www.indeed.com/viewjob?jk=17f97e77ba40dd1c")</f>
        <v/>
      </c>
      <c r="F246">
        <f>HYPERLINK("https://careers.adobe.com/us/en/job/ADOBUSR164775EXTERNALENUS/Senior-Software-Engineer-Adobe-Firefly?utm_source=indeed&amp;utm_medium=phenom-feeds", "https://careers.adobe.com/us/en/job/ADOBUSR164775EXTERNALENUS/Senior-Software-Engineer-Adobe-Firefly?utm_source=indeed&amp;utm_medium=phenom-feeds")</f>
        <v/>
      </c>
      <c r="G246" t="inlineStr">
        <is>
          <t>New York, NY, US</t>
        </is>
      </c>
      <c r="H246" s="3" t="n">
        <v>46050</v>
      </c>
      <c r="I24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Adobe Firefly team is growing and looking to hire a Senior Engineer. Adobe’s Firefly organization is responsible for enabling creative solutions, using top AI models which empower end users to ideate and executive seamlessly. This impactful opportunity is for a Fullstack engineer to join Adobe’s ever\-growing Firefly team, to build modern tools for creators all around the globe.
The Team
The best experiences are built by developers who have a strong sense of product and design. Such experiences are not built solely by developers, and that is why developers on Adobe Firefly partner closely with design, quality, product, and user research when crafting the next generation of design tools. We believe that a design tool should be lightweight and approachable, with low friction and amazing performance. This thinking is built into our approach to engineering. We favor excellence over shortcuts, and quality over scope. We also believe in transparent, open dialog with our customers, and continuous improvements to the product and ourselves. If you’re looking to be part of a team that is building the future of video and audio design tools, come join us!
The Role
Hybrid role, based out of our NYC office.
Develop high\-performance, reliable, testable, and maintainable code.
Develop user interfaces and interactions with nuance and attention to detail. Iterate rapidly to create a delightful user experience.
Work closely with our internal team and customers alike to understand their workflows and needs and adapt quickly based on their feedback.
Work well both independently and collaboratively within a fast\-moving development team, with clear, positive, and constructive communication.
Role Qualifications
Bachelor's or Master’s degree in computer science or equivalent experience.
4\-7 years of professional development experience, particularly in an engineering capacity.
Experience with JavaScript, Ruby on Rails, and React.
An interest in and ability to learn new technologies, languages, and libraries.
Desire to collaborate with multiple engineers, using concepts such as pair programming where applicable.
Strong conviction in programming concepts and architectural design.
Excellent verbal and written communication skills; can effectively articulate complex ideas and influence others through well\-reasoned explanations.
Bonus Qualifications
Strong familiarity with and passion for design and design tools.
Experience developing design tools.
Experience working with Generative AI models within the audio/video space.
Technical leadership experience.
\#FireflyGenAI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New York,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47">
      <c r="A247" t="inlineStr">
        <is>
          <t>in-dec32882c8a1577e</t>
        </is>
      </c>
      <c r="B247" t="inlineStr">
        <is>
          <t>Sr. Manager, Software Engineer</t>
        </is>
      </c>
      <c r="C247" t="inlineStr">
        <is>
          <t>PGA TOUR Superstore</t>
        </is>
      </c>
      <c r="D247" t="inlineStr">
        <is>
          <t>indeed</t>
        </is>
      </c>
      <c r="E247">
        <f>HYPERLINK("https://www.indeed.com/viewjob?jk=dec32882c8a1577e", "https://www.indeed.com/viewjob?jk=dec32882c8a1577e")</f>
        <v/>
      </c>
      <c r="F247">
        <f>HYPERLINK("https://pgatoursuperstore.wd12.myworkdayjobs.com/en-US/PGAT_SS/job/Store-Support-Center---Roswell-GA/Sr-Manager--Software-Engineer_JR5932", "https://pgatoursuperstore.wd12.myworkdayjobs.com/en-US/PGAT_SS/job/Store-Support-Center---Roswell-GA/Sr-Manager--Software-Engineer_JR5932")</f>
        <v/>
      </c>
      <c r="G247" t="inlineStr">
        <is>
          <t>Roswell, GA, US</t>
        </is>
      </c>
      <c r="H247" s="3" t="n">
        <v>46050</v>
      </c>
      <c r="I247" t="inlineStr">
        <is>
          <t>Overview
At PGA TOUR Superstore, we’re always looking for enthusiastic, self\-motivated, flexible individuals who will share a passion for helping transform our business. As one of the fastest growing specialty retailers, we’re dedicated to hiring selfless team players from different backgrounds to influence the growth of our organization. Part of the Arthur M. Blank Family of Businesses, PGA TOUR Superstore continuously strives to create a family culture for our Associates – driven by our vision to inspire people through golf and tennis.
Position Summary
The Sr. Manager of Software Engineering leads, scales, and develops a high performing team of software, DevOps and QA engineers responsible for building and maintaining digital solutions (e.g., Ecommerce website, mobile apps, in\-store apps) that deliver exceptional customer experience in a retail environment. This position requires strong technical, design, communication, and collaboration skills. We have aggressive goals over the next few years and are looking for candidates with a passion for building and scaling retail applications and a can\-do attitude!
Duties and Responsibilities:* *Team Leadership \&amp; Development:* Manage, mentor, and grow a team of software engineers. Conduct performance reviews, set goals, and support career development.
* *Technical Oversight:* Guide the design, development, and deployment of scalable applications using full stack technologies.
* *Hands\-On Contribution:* Engage directly in coding, troubleshooting, and code reviews when needed to support the team or accelerate delivery.
* *Project Management*: Lead planning and execution of software projects. Ensure timely delivery, quality assurance, and alignment with business priorities.
* *Architecture \&amp; Strategy*: Drive architectural decisions and long\-term technology strategy. Lead PoCs and evaluations for middleware, integration platforms, and development tools.
* *DevOps \&amp; Cloud Enablement:* Oversee CI/CD pipelines, cloud deployments (AWS, Azure, GCP), and infrastructure automation.
* *Cross\-Functional Collaboration:* Partner with business owners and business enablement managers to gather requirements and deliver integrated solutions.
* Compliance \&amp; Security: Ensure applications meet security, compliance, and regulatory standards. Promote secure coding practices and risk mitigation.
* *Documentation \&amp; Reporting:* Maintain documentation of systems, processes, and performance metrics. Provide regular updates to leadership.
* *Innovation \&amp; Continuous Improvement:* Foster a culture of learning, experimentation, and process optimization.
Qualifications and Skills Required:* Bachelor’s degree in computer science, Information Technology, or related field.
* Minimum of 10 years in software engineering, with the last 3 years in leadership/managerial role. Proven experience managing full stack development teams and delivering enterprise\-grade applications.
* Basic understanding of Salesforce Commerce Cloud (Demandware).
* Deep understanding of CI/CD principles, automation strategies, and modern SDLC best practices.
* Practical experience implementing these practices using developer platforms and tooling such as Azure DevOps, GitHub, and GitHub Actions.
* Hands\-on experience with containerization technologies and orchestration frameworks within cloud\-native architecture.
* Expertise in infrastructure\-as\-code and policy\-as\-code frameworks, with a focus on creating reusable templates and enforcing security and governance standards through automation.
* Demonstrated success leading large\-scale transformations with incremental value delivery.
* Strong execution mindset, able to navigate ambiguity and deliver results.
* Excellent communication, collaboration, and stakeholder management skills, with the ability to clearly articulate complex technical details to both technical and non\-technical business stakeholders.
* Solid understanding of basic eCommerce concepts, such as catalog architecture, pricing, and inventory management strategies, payment processes, and technologies that support a successful eCommerce strategy such as PIM, OMS.
* Experience with support and/or implementing public\-facing Web and Mobile applications.
Work Environment and Physical Requirements:* This role is based in our vibrant, collaborative office five days a week, with flexibility to accommodate family and life commitments when needed. Flexibility to work extended and varied hours as needed.
* Must be able to stand and/or sit for extended periods of time as the job is completed primarily at a desk each day. Variable desk heights are offered so alternatively sitting and/or standing at the desk is optional.
Travel:* Up to 10% of travel is required based on business needs.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PGA TOUR Superstores is an Equal Opportunity Employer, committed to a diverse and inclusive work environment.
We comply with all laws that prohibit discrimination based on race, color, religion, sex/gender, age (40 and over), national origin, ancestry, citizenship status, physical or mental disability, veteran status, marital status, genetic information, and any other legally protected status. Employment discrimination isn’t just unlawful, it violates our policies and is not who we are. Every associate at every level in the organization is prohibited from engaging in any form of discrimination.
An associate who believes s/he is being discriminated against should report it immediately to the Human Resources department. The law and our policies prohibit retaliation against anyone for making such a report.</t>
        </is>
      </c>
    </row>
    <row r="248">
      <c r="A248" t="inlineStr">
        <is>
          <t>in-b2739901783d526b</t>
        </is>
      </c>
      <c r="B248" t="inlineStr">
        <is>
          <t>Software Engineer &amp; Instruments &amp; Controls SME</t>
        </is>
      </c>
      <c r="C248" t="inlineStr">
        <is>
          <t>BTI</t>
        </is>
      </c>
      <c r="D248" t="inlineStr">
        <is>
          <t>indeed</t>
        </is>
      </c>
      <c r="E248">
        <f>HYPERLINK("https://www.indeed.com/viewjob?jk=b2739901783d526b", "https://www.indeed.com/viewjob?jk=b2739901783d526b")</f>
        <v/>
      </c>
      <c r="F248">
        <f>HYPERLINK("https://bti.applytojob.com/apply/O4sHZftrUz/Software-Engineer-Instruments-Controls-SME?source=INDE&amp;~", "https://bti.applytojob.com/apply/O4sHZftrUz/Software-Engineer-Instruments-Controls-SME?source=INDE&amp;~")</f>
        <v/>
      </c>
      <c r="G248" t="inlineStr">
        <is>
          <t>Richland, WA, US</t>
        </is>
      </c>
      <c r="H248" s="3" t="n">
        <v>46050</v>
      </c>
      <c r="I248" t="inlineStr">
        <is>
          <t>**Business Technology Integrators (BTI)** **is a** **Service\-Disabled Veteran\-Owned Small Business (SDVOSB)** **with more than** **25 years of experience** **delivering innovative and reliable IT and engineering solutions to the Federal Government. BTI specializes in supporting** **mission\-critical programs** **across defense and civilian agencies, with core expertise in** **cybersecurity, program management, enterprise IT, and technical oversight services****.**
--------------------------------------------------------------------------------------------------------------------------------------------------------------------------------------------------------------------------------------------------------------------------------------------------------------------------------------------------------------------------------------------------------------------------------------------------------------------------------------
For the Department of Energy (DOE) Hanford Field Office (HFO) and the Waste Treatment and Immobilization Project (WTP), BTI provides highly qualified technical professionals to support **independent oversight, compliance verification, and risk reduction activities** for complex nuclear and chemical processing facilities. BTI’s support enhances DOE’s ability to ensure systems—particularly **software and instrumentation \&amp; controls (I\&amp;C)**—are designed, implemented, tested, and operated in accordance with DOE Orders, regulatory requirements, and sound engineering practices.
BTI’s proven federal delivery model, deep understanding of government oversight environments, and commitment to quality and safety enable the successful execution of **High Level Waste (HLW)** facility objectives while reducing technical, operational, and programmatic risk.
**Position Overview**
---------------------
The Department of Energy (DOE) Hanford Field Office (HFO) requires a full\-time Software Engineer \&amp; Instrumentation and Controls (I\&amp;C) Subject Matter Expert (SME) to provide general engineering oversight and technical support to the **Waste Treatment and Immobilization Project (WTP) Engineering Division**, with primary focus on the **High Level Waste (HLW) Facility**.
The contractor will perform independent oversight activities to ensure contractor systems, processes, and deliverables comply with established DOE requirements, sound engineering principles, and professional standards. The position supports safe, reliable startup, commissioning, and operation of nuclear and chemical processing facilities.
**Key Responsibilities**
------------------------
### **Oversight \&amp; Compliance**
* Perform oversight of contractor support systems for the HLW Facility to ensure compliance with approved criteria, engineering standards, and professional practices in accordance with **DOE\-PRO\-CIPE\-50085, Integrated Oversight**.
* Conduct assessments, surveillances, design reviews, and other oversight activities.
* Identify, document, and report contractor performance issues in **iCAS**.
* Identify compliance issues, omissions, discrepancies, inadequacies, and nonconformances against approved procedures, criteria, and regulations.
* Validate implementation of program requirements for the HLW Facility.
### **Technical Assessments \&amp; Issue Resolution**
* Conduct critical technical assessments to determine root causes of issues affecting HLW systems and supporting facilities.
* Provide technically sound options and recommendations for issue resolution and corrective actions.
* Identify and assist in mitigation of risks associated with HLW and supporting facilities.
* Follow up on adverse conditions and ensure corrective actions are properly implemented.
### **Engineering \&amp; Technical Expertise**
Provide professional\-level expertise across multiple engineering disciplines, including but not limited to:
* **Software Engineering and Instrumentation \&amp; Controls (I\&amp;C)**
* Electrical, Mechanical, and Chemical Engineering
* Support systems such as **water systems and HVAC**
### **Coordination \&amp; Collaboration**
* Coordinate oversight activities with multiple organizations, disciplines, and stakeholders to ensure system operability, quality, and safety.
* Consult with engineers and technical staff across DOE, contractors, DOE Headquarters, regulatory agencies, and stakeholder groups.
* Provide technical advice and consultation to multidisciplinary engineering, operations, and startup teams.
* Participate in staff meetings and cross\-functional reviews.
### **Reviews \&amp; Deliverables**
Review and evaluate HLW technical products, including:
* Component and System Requirements
* Safety, Risk Reduction, and Reliability Designs
* Startup Test Indices (STIs)
* Contractor work execution in the field
* Process and procedure compliance
* Technical requirements implementation
### **Reporting \&amp; Communication**
* Produce thorough, accurate, and well\-documented work products compliant with established DOE criteria.
* Submit **weekly written status reports** to the DOE technical monitor detailing work performed, findings, and progress toward deliverables.
* Demonstrate excellent written and verbal communication skills in all interactions.
**Minimum Qualifications**
--------------------------
### **Education**
* **Bachelor’s degree** in Engineering, Science, or Business Management  
**US Citizens**
### **Experience**
* **14 years** of directly applicable experience interfacing with senior executives, senior management, or senior technical/business leaders in government or industry.
* Demonstrated career progression with increasing responsibility.
* Experience with testing, operations, maintenance, or training programs in a **nuclear facility**.
* Experience with **startup testing and commissioning** in chemical and/or nuclear facilities.
* Proven experience supporting programs requiring coordination, analysis, reporting, review, and monitoring.
### **Technical \&amp; Regulatory Knowledge**
* Ability to conduct oversight against the following DOE Orders/Standards:
	+ DOE O 422\.1 – Conduct of Operations
	+ DOE O 426\.2 – Training, Qualification, and Certification Requirements
	+ DOE O 425\.1D – Verification of Readiness to Start Up or Restart Nuclear Facilities
* Knowledge of DOE policies and procedures
* Knowledge of Hanford Site mission, activities, and priorities
* Knowledge of DOE program and project management practices
### **Tools \&amp; Systems**
* Proficient in **Microsoft Word, PowerPoint, Excel, and Microsoft 365**
### **Training \&amp; Qualifications**
* Ability to maintain proficiency through periodic training, including:
	+ WTP Site Access
	+ WTP Site Qualifications
	+ DOE Startup Engineer Qualification
**Preferred Experience \&amp; Capabilities**
----------------------------------------
* Experience with **Nuclear Power Plants**
* Proven success as an **I\&amp;C / Electrical / DCS / Software Startup Engineer**
* Advanced degree and/or certifications in:
	+ Electrical Design Engineering (Modification Qualified)
	+ Root Cause Investigation
	+ I\&amp;C and Electrical Setpoint Calculations
* Comprehensive understanding of Hanford Site mission and priorities
* In\-depth knowledge of DOE Hanford processes and procedures
* Familiarity with Hanford technology and project management tools
* Exceptional written and verbal communication skills
* Expert\-level proficiency in **MS Word and Excel**
**Required Training (Other Than HGET)**
---------------------------------------
The contractor shall maintain required proficiencies through periodic training, including:
* WTP Site Access
* WTP Site Qualifications
* DOE Startup Engineer Qualification
O4sHZftrUz</t>
        </is>
      </c>
    </row>
    <row r="249">
      <c r="A249" t="inlineStr">
        <is>
          <t>in-9e85264f9a93af65</t>
        </is>
      </c>
      <c r="B249" t="inlineStr">
        <is>
          <t>Mid. Software Engineer</t>
        </is>
      </c>
      <c r="C249" t="inlineStr">
        <is>
          <t>Belay Technologies, Inc</t>
        </is>
      </c>
      <c r="D249" t="inlineStr">
        <is>
          <t>indeed</t>
        </is>
      </c>
      <c r="E249">
        <f>HYPERLINK("https://www.indeed.com/viewjob?jk=9e85264f9a93af65", "https://www.indeed.com/viewjob?jk=9e85264f9a93af65")</f>
        <v/>
      </c>
      <c r="F249">
        <f>HYPERLINK("https://belaytechnologies.applytojob.com/apply/2d050f32745202047f787a4040455b6a6d781002062a72201e3f3e1a2308220e0a2903/Mid-Software-Engineer?sid=GjmmFb01OAIpqqhRXJOGAh1bZqhRgGcERkY&amp;source=INDE&amp;~", "https://belaytechnologies.applytojob.com/apply/2d050f32745202047f787a4040455b6a6d781002062a72201e3f3e1a2308220e0a2903/Mid-Software-Engineer?sid=GjmmFb01OAIpqqhRXJOGAh1bZqhRgGcERkY&amp;source=INDE&amp;~")</f>
        <v/>
      </c>
      <c r="G249" t="inlineStr">
        <is>
          <t>Annapolis Junction, MD, US</t>
        </is>
      </c>
      <c r="H249" s="3" t="n">
        <v>46050</v>
      </c>
      <c r="I249" t="inlineStr">
        <is>
          <t>**Belay Technologies has been voted Baltimore Business Journal's (BBJ) Best Places to Work 2019, runner up in 2020 and a finalist in 2021!**  
Belay Technologies is seeking a Software Engineer to join our intel team. Candidates should demonstrate a strong background with enterprise\-grade Java and/or Golang programming language developing applications with experience matching the listed skills based on software development focus area.  
**Candidates should have the following qualifications:*** TS/SCI Clearance with polygraph
* 8 years w/ degree (12 years w/o)
**Candidates are desired to have the following skill sets:*** Ability to debug and resolve applications errors and performance bottlenecks in a timely and effective manner
* Ability to clearly communicate ideas and status updates to peers and management
* Experience developing software with Git, Maven and Gradle
* Serverside/Back end position skills:
	+ Experience developing high\-performance, multi\-threaded Java applications or applications executed in distributed computing environments
	+ Knowledge of the Spring Framework and Dependency Injection
* Full\-Stack/Back\-end skills:
	+ Full\-stack software development experience
	+ Experience developing web applications
	+ Accessibility (a11y) and Section 508 compliance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UFW4Ymizwc</t>
        </is>
      </c>
    </row>
    <row r="250">
      <c r="A250" t="inlineStr">
        <is>
          <t>in-2e0979408a4e965f</t>
        </is>
      </c>
      <c r="B250" t="inlineStr">
        <is>
          <t>Software Engineer</t>
        </is>
      </c>
      <c r="C250" t="inlineStr">
        <is>
          <t>Belay Technologies, Inc</t>
        </is>
      </c>
      <c r="D250" t="inlineStr">
        <is>
          <t>indeed</t>
        </is>
      </c>
      <c r="E250">
        <f>HYPERLINK("https://www.indeed.com/viewjob?jk=2e0979408a4e965f", "https://www.indeed.com/viewjob?jk=2e0979408a4e965f")</f>
        <v/>
      </c>
      <c r="F250">
        <f>HYPERLINK("https://belaytechnologies.applytojob.com/apply/0pBHWsBDDW/Software-Engineer?source=INDE&amp;~", "https://belaytechnologies.applytojob.com/apply/0pBHWsBDDW/Software-Engineer?source=INDE&amp;~")</f>
        <v/>
      </c>
      <c r="G250" t="inlineStr">
        <is>
          <t>Annapolis Junction, MD, US</t>
        </is>
      </c>
      <c r="H250" s="3" t="n">
        <v>46050</v>
      </c>
      <c r="I250" t="inlineStr">
        <is>
          <t>**Belay Technologies has been voted Baltimore Business Journal's (BBJ) Best Places to Work 2019, runner up in 2020 and a finalist in 2021!**  
Belay Technologies is seeking a Software Engineer to join our intel team. As a Full\-Stack Developer, you and your team will be responsible for designing, developing, and implementing frontend and backend software for a critical web application that supports CNO mission goals. You will directly support analysts and developers. Working closely with the team, you will play a crucial role in helping to develop and maintain a full stack application supporting unique and tailored automations as well as assisting with integration of new automations into the system. Your responsibilities will include designing, coding, testing, implementation, deployment as well as support and maintenance.  
**Responsibilities:*** Work closely with the team to understand and address the needs of analysts and developers
* Design, architect, and implement robust and scalable software solutions that align with project objectives and requirements
* Continuously improve and optimize existing codebase to ensure high performance and maintainability
* Independently drive projects, taking ownership of the entire development lifecycle
* Perform full stack development of system features based on customer requirements
* Assist with automation of development tasks and implementation and maintenance of CI/CD workflows and development best practices such as testing
**Candidates should have the following qualifications:*** TS/SCI Clearance with polygraph
* 3 yrs., B.S. in a technical discipline or 4 additional yrs. in place of B.S.
**Candidates are required to have the following skills:*** Experience with back\-end development using Python frameworks such as Django to create custom libraries and REST APIs
* Proficiency in front\-end technologies such as React/Vue/Next, JavaScript, HTML5, and CSS3 for creating user interfaces
* Familiarity with SQL and NoSQL databases (PostGres, MySQL, Elasticsearch, MongoDB, Redis, etc.)
* Familiarity with version control systems like Git for collaborative development
* Willingness and ability to learn and adapt quickly on the job, including internal systems unique to CNO
* Problem\-solving mindset and a passion for delivering quality solutions
* Atlassian Tools (Jira, Confluence)
**Candidates are required to have the following skills:*** Prior experience within CNO
* Service containerization and deployment with Docker/Kubernetes
* Familiarity with data orchestration tools such as Nifi, Dagster, Airflow, etc.
* Familiarity with Devops tools and processes such as automated testing and CI/CD workflows
* Linux · Jupyter Notebooks · XKS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0pBHWsBDDW</t>
        </is>
      </c>
    </row>
    <row r="251">
      <c r="A251" t="inlineStr">
        <is>
          <t>in-d90846bdf69edb4a</t>
        </is>
      </c>
      <c r="B251" t="inlineStr">
        <is>
          <t>Software Engineer (SRE)</t>
        </is>
      </c>
      <c r="C251" t="inlineStr">
        <is>
          <t>FIS</t>
        </is>
      </c>
      <c r="D251" t="inlineStr">
        <is>
          <t>indeed</t>
        </is>
      </c>
      <c r="E251">
        <f>HYPERLINK("https://www.indeed.com/viewjob?jk=d90846bdf69edb4a", "https://www.indeed.com/viewjob?jk=d90846bdf69edb4a")</f>
        <v/>
      </c>
      <c r="F251">
        <f>HYPERLINK("https://careers.fisglobal.com/us/en/job/FIGLUSJR0304123EXTERNAL/Software-Engineer-SRE?utm_source=indeed&amp;utm_medium=phenom-feeds", "https://careers.fisglobal.com/us/en/job/FIGLUSJR0304123EXTERNAL/Software-Engineer-SRE?utm_source=indeed&amp;utm_medium=phenom-feeds")</f>
        <v/>
      </c>
      <c r="G251" t="inlineStr">
        <is>
          <t>Jacksonville, FL, US</t>
        </is>
      </c>
      <c r="H251" s="3" t="n">
        <v>46050</v>
      </c>
      <c r="I251" t="inlineStr">
        <is>
          <t>**Position Type :**
Full time**Type Of Hire :**
Experienced (relevant combo of work and education)**Education Desired :**
Bachelor of Computer Engineering**Job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**NOTE: This position is hybrid (3 days onsite) at our FIS Office locations in Jacksonville (Florida), Atlanta (Georgia), \&amp; Milwaukee (Wisconsin).**
**About the role:**  
We are seeking a highly skilled Site Reliability Engineer (SRE) with strong expertise in platform engineering, infrastructure reliability, cloud operations, and automation. The ideal candidate will play a key role in ensuring the performance, stability, scalability, and security of our production environments while partnering closely with development and operations teams to build resilient, self‑service platforms.
 **About the team:**
This position is under our CTO org to support SRE functions for innovation and growth for the Banking Solutions, Payments and Capital Markets business. This role will report under our Wealth and Retirement team.
FIS empowers small to large retirement plan providers around the globe with a comprehensive, integrated suite of retirement solutions. Our industry\-leading offering includes an extensive selection of technology and services. From record keeping technology and plan administration and compliance solutions, to financial wellness that supports all aspects of retirement services business and positions our clients for future growth.
 **What you will be doing:**  
**Infrastructure Reliability \&amp; Systems Engineering:**
* Manage, tune and support enterprise environments across:
	+ AIX: LPARs, PowerVM/VIOS, NIM, storage, tuning
	+ Linux: RHEL, SUSE, Ubuntu—performance, security hardening, system services
	+ Windows Server: IIS administration, clustering, GPO, patching
* Support and optimize:
	+ Oracle databases (RAC, Data Guard, RMAN, SQLNet/capacity tuning)
	+ IIS web infrastructure (app and thread pools, SSL/TLS, ARR, logs)
	+ Load balancers (F5 BIG‑IP, HAProxy—monitors, iRules/policies)
	+ Akamai CDN/WAF, caching, edge configuration
* Ensure operational excellence in backup/restore, patching, DR, and capacity management
* Provide enterprise application support (mission‑critical in‑house systems—performance, reliability, release operations)
**Deployment \&amp; Release Engineering:**
* Own, manage, and execute deployments across UAT, Production and DR.
* Maintain and optimize deployment runbooks, build artifacts, and environment promotion workflows.
* Implement safe‑deployment strategies including blue/green, canary, rolling, and feature‑flag‑based releases.
* Coordinate with development and DevOps teams to ensure deployment readiness, including configuration, dependencies, and release validation.
* Troubleshoot deployment issues, manage rollbacks, and ensure post‑release stability.
* Enhance and maintain CI/CD pipelines to improve deployment predictability, reliability, and auditability.
* Integrate deployment telemetry into observability tools to detect release\-related anomalies early.
* Enforce deployment quality gates, configuration consistency, and compliance requirements.
* Support continuous improvement of release processes, reducing manual steps and eliminating deployment toil.
**Monitoring, Observability \&amp; Event Management:**
* Monitor system health and respond to incidents with a focus on rapid recovery and root‑cause analysis and long\-term remediation
* Administer and optimize monitoring and observability tools including Splunk, Dynatrace, BigPanda, Zabbix, SiteScope, Wireshark and Idera.
* Build and maintain robust logging, metrics and tracing stacks.
* Develop dashboards, alerts, and automated remediation workflows.
* Drive post‑incident reviews and continuous improvement initiatives.
**Performance \&amp; Scalability:**
* Conduct capacity planning and performance tuning across infrastructure and applications.
* Identify systemic issues and architect resilient solutions.
* Collaborate with engineering teams to optimize systems for reliability and performance.
**Automation \&amp; Platform Engineering:**
* Automate provisioning and operations using Ansible, PowerShell, Bash, and Python.
* Implement Infrastructure‑as‑Code using Terraform/Ansible
* Build internal self‑service tools to reduce manual work.
* Administer IBM Tivoli Workload Scheduler (TWS): workload automation, job streams, monitoring.
**Security, Compliance \&amp; Governance:**
* Implement OS/middleware hardening, SSL/TLS certificate management, vulnerability remediation.
* Experience in high compliance environments (SOC2, HIPAA, FedRAMP, ISO27001\).
* Partner with security teams to remediate vulnerabilities and ensure environment hardening.
* Support compliance requirements through automation, logging, and operational controls
* Follow ITIL processes for change, incident, and problem management.
**Collaboration \&amp; Continuous Improvement:**
* Partner with DevOps, application, database, and network teams.
* Maintain documentation, runbooks, diagrams, and standards.
* Contribute to release planning, environment readiness, and cross‑team coordination
 **What you will need:**
* 10\+ years of experience in SRE, DevOps, or platform engineering roles.
* Proven experience building resilient, scalable, and highly available systems.
* Expertise with AIX, IBM mainframe, Linux, Windows, Oracle, IIS, F5 load balancers, Akamai.
* Experience with Splunk, Dynatrace, BigPanda, Zabbix, SiteScope, Idera, and IBM TWS.
* Database tuning, advanced load balancer configuration, Akamai WAF tuning.
* Cloud and containerization experience.
* Certifications (RHCE, Microsoft, Oracle, F5, Akamai).
* Strong scripting and automation skills. (Python, Bash, PowerShell, Go).
* Familiarity with common enterprise application architectures, including multi‑tier (web/app/db), service‑oriented architecture (SOA), microservices, message‑driven/event‑driven systems, API‑centric integration patterns, and distributed system design principles.
* Translate complex technical concepts into clear, business‑friendly language and communicate expectations, risks, and solutions effectively with clients
* Communicate effectively with clients at all levels—technical and non‑technical—building trust while understanding their goals, constraints, and success criteria, and proactively managing expectations through clear, timely, and transparent dialogue.
* Commitment to continuous improvement.
* Investigating issues across multi‑layered systems, identifying root causes and anticipating blockers before they occur.
* Strong collaboration with cross functional teams (dev, ops, security, product).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**NOTE: This position is hybrid (3 days onsite) at our FIS Office locations in Jacksonville (Florida), Atlanta (Georgia), \&amp; Milwaukee (Wisconsin).**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252">
      <c r="A252" t="inlineStr">
        <is>
          <t>in-15034fc3ce4b020b</t>
        </is>
      </c>
      <c r="B252" t="inlineStr">
        <is>
          <t>Mainframe Software Engineer I</t>
        </is>
      </c>
      <c r="C252" t="inlineStr">
        <is>
          <t>FIS</t>
        </is>
      </c>
      <c r="D252" t="inlineStr">
        <is>
          <t>indeed</t>
        </is>
      </c>
      <c r="E252">
        <f>HYPERLINK("https://www.indeed.com/viewjob?jk=15034fc3ce4b020b", "https://www.indeed.com/viewjob?jk=15034fc3ce4b020b")</f>
        <v/>
      </c>
      <c r="F252">
        <f>HYPERLINK("https://careers.fisglobal.com/us/en/job/FIGLUSJR0304096EXTERNAL/Mainframe-Software-Engineer-I?utm_source=indeed&amp;utm_medium=phenom-feeds", "https://careers.fisglobal.com/us/en/job/FIGLUSJR0304096EXTERNAL/Mainframe-Software-Engineer-I?utm_source=indeed&amp;utm_medium=phenom-feeds")</f>
        <v/>
      </c>
      <c r="G252" t="inlineStr">
        <is>
          <t>Columbus, GA, US</t>
        </is>
      </c>
      <c r="H252" s="3" t="n">
        <v>46050</v>
      </c>
      <c r="I252" t="inlineStr">
        <is>
          <t>**Position Type :**
Full time**Type Of Hire :**
Experienced (relevant combo of work and education)**Job Description**
Position is only open to work in Columbus, GA office. Candidates must live locally in the Columbus, GA area to be considered and will work a Hybrid work model of 2\-3 days in office.  
At this time, we are unable to offer visa sponsorship for this position. Candidates must be legally authorized to work for any employer in the United States (or applicable country) on a full\-time basis without the need for current or future immigration sponsorship.  
**On a day to day basis you will:**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**You would be a particularly good fit if you:**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**Job Specific Duties \&amp; Responsibilities:**
* Programmer duties and responsibilities as listed in job description, along with contributing to/ participating in and supporting Agile practices.
* Agile team of 5\-7 people comprised of Business, Technical, and Testing team members, sitting in close proximity to each other, finding a balance between individual and team work. Aside from learning TSYS and TS2, which is ongoing for one’s entire time at TSYS, truly understanding and supporting what Agile means and how it drives the majority of what we do and how we do them.
* Participate in all phases of the software development life cycle utilizing Agile Scrum methodology in the creation of new software products.
* Design, create, and deliver moderately complex program specifications for code development and support on multiple projects/issues with a wide understanding of the application / database to better align interactions and technologies.
* Provide broad and in\-depth knowledge of analysis, modification, and development of complex code/unit testing in order to develop concise application documentation.
* Advise leadership on the design, development and enforcement of business / infrastructure application standards to include associated controls, procedures and monitoring to ensure compliance and accuracy of data.
* Perform and advise on testing, validation requirements, and corrective measures for complex code deficiencies and provides systemic proposals
 **Job Specific Skills \&amp; Competencies**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**Typical Day in the Life of the Role**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**Job Specific Skills Required/Desired:**  
Cobol, IMS, \&amp; DB2 (Required) for Level II \&amp; Above Candidates  
There could be quarterly travel to visit client site in the Eastern Time Zone for 2\-3 days  
**Minimum Qualifications**
* Bachelor's Degree
* Relevant Experience or Degree in: Computer Science, Management Information Systems, Business or related field
* Typically Minimum 0\-2\+ Years Relevant Exp
* Four\-year college degree and 0\-2\+ years professional experience, or a high school diploma with 2\-4\+ years professional experience in coding, designing, developing and analyzing data
 **Preferred Qualifications**
* Typically Minimum 2\+ Years Relevant Exp
* IBM Rational Tools a plus
 **What Are Our Desired Skills and Capabilities?**  
Skills / Knowledge \- Having wide\-ranging experience, uses professional concepts and company objectives to resolve complex issues in creative and effective ways. Some barriers to entry exist at this level (e.g., dept./peer review).  
Job Complexity \- Works on complex issues where analysis of situations or data requires an in\-depth evaluation of variable factors. Exercises judgment in selecting methods, techniques and evaluation criteria for obtaining results. Networks with key contacts outside own area of expertise.  
Supervision \- Determines methods and procedures on new assignments and may coordinate activities of other personnel (Team Lead).  
IBM Mainframe System \- COBOL, JCL, CICS, SQL, z/OS, DB2, IMS, Assembler, VSAM, XML, TSO/ISPF, MQ  
Hardware Platform \- HP Non\-Stop Utilities, Scobol, COBOL, SQL, Enscribe, TAL  
IT Tools \- Easytrieve, RSXX, CA\-7, Metavante Custom Statement Formatter, Dialogue, Network Data Mover (NDM), Rational Developer of System z (RDz), IBM Debug tool for z/OS, IBM Fault Analyzer, IBM File Manager, IBM Application Performance Analyzer, GT Software Ivory BMS/TS, Syncsort, SPUFI  
“The position listed in this requisition is ineligible for the referral bonus award program”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253">
      <c r="A253" t="inlineStr">
        <is>
          <t>in-dca9afc600f5e1fd</t>
        </is>
      </c>
      <c r="B253" t="inlineStr">
        <is>
          <t>Senior Software Engineer (.Net) - (US - Remote)</t>
        </is>
      </c>
      <c r="C253" t="inlineStr">
        <is>
          <t>ICF</t>
        </is>
      </c>
      <c r="D253" t="inlineStr">
        <is>
          <t>indeed</t>
        </is>
      </c>
      <c r="E253">
        <f>HYPERLINK("https://www.indeed.com/viewjob?jk=dca9afc600f5e1fd", "https://www.indeed.com/viewjob?jk=dca9afc600f5e1fd")</f>
        <v/>
      </c>
      <c r="F253">
        <f>HYPERLINK("https://careers.icf.com/us/en/job/IIIIIIUSR2600265EXTERNALENUS/Senior-Software-Engineer-Net-US-Remote?utm_source=indeed&amp;utm_medium=phenom-feeds", "https://careers.icf.com/us/en/job/IIIIIIUSR2600265EXTERNALENUS/Senior-Software-Engineer-Net-US-Remote?utm_source=indeed&amp;utm_medium=phenom-feeds")</f>
        <v/>
      </c>
      <c r="G253" t="inlineStr">
        <is>
          <t>Reston, VA, US</t>
        </is>
      </c>
      <c r="H253" s="3" t="n">
        <v>46050</v>
      </c>
      <c r="I253" t="inlineStr">
        <is>
          <t>Description
***\*We are open to supporting 100% remote work anywhere within the United States. Must be able to support Eastern Time Zone\****
As a Senior Software Engineer at ICF you play the central role in driving innovation and using technology to drive connections through a multi\-channel experience. If you have an incredible passion for innovative technology development and enjoy working with clients, ICF is the place for you. You should have experience with common development tools, techniques, and numerous programming languages. All team members are very dynamic with experience delivering end\-to\-end solutions, quite often skilled in front\-end and back\-end technologies.
ICF is seeking a Senior Software Engineer (.Net) to support our Department of Defense (DoD) Child and Youth Programs (CYP) program. ICF works with government representatives and users to build and enhance CYP systems. The DoD recognizes the importance of providing military and DoD\-affiliated families with access to quality, affordable childcare programs. Access to childcare directly affects the efficiency, mission readiness, morale, and retention of DoD personnel worldwide.
**Essential Functions:**
* Stay up to date on assigned specialties, work on expanding to others.
* Work in full life\-cycle software engineering project environment.
* Conduct thorough code reviews, implement unit and integration tests, and ensure code quality.
* Bring new ideas, tools, services, and techniques to the group.
* Use analytical thinking to make decisions based on facts and metrics whenever possible.
* Be willing to step up and lead initiatives at, or slightly above your title.
* Develop and follow ICF coding standards.
* Demonstrate a desire to learn and accept new challenges within and outside of team.
* Foster asynchronous communication approaches and thrive in remote working environment.
* Expected to own smaller efforts and components of larger projects.
**What you must have:**
* Bachelor’s degree or equivalent experience.
* 5\+ years of experience in full stack software engineering with a strong understanding of best practices, design patterns, clean code, and unit/integration testing.
* 3\+ years of experience in .NET development including development of REST APIs.
* 3\+ years of experience in Frontend development with frameworks such as Angular or React (React preferred)
* 2\+ years of experience working with REST APIs.
* 2\+ years of experience writing and debugging SQL queries and building applications that integrate with relational databases such as SQL Server.
* 2\+ years of experience with Entity Framework or equivalent ORM technologies.
* 1\+ year of experience with Agile and Scrum methodologies, including sprint planning, stand\-ups, and retrospectives.
* Excellent communication skills both written and verbal.
* MUST RESIDE IN THE United States (U.S.) and the work MUST BE PERFORMED in the United States (U.S.), as this work is for a federal contract and laws do apply
* Must be US Citizen or Permanent Resident (Greencard holder) due to a federal contract requirements.
**Preferred Skills:**
* AWS
* Docker and Kubernetes.
* Microservice Architecture
* DevSecOps and CI/CD pipeline experience
* Bachelor’s degree in computer science, management information systems, mathematics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$98,614\.00 \- $167,644\.00
Nationwide Remote Office (US99\)</t>
        </is>
      </c>
    </row>
    <row r="254">
      <c r="A254" t="inlineStr">
        <is>
          <t>in-12d43b2cd8648cae</t>
        </is>
      </c>
      <c r="B254" t="inlineStr">
        <is>
          <t>Software Engineer, Growth</t>
        </is>
      </c>
      <c r="C254" t="inlineStr">
        <is>
          <t>render</t>
        </is>
      </c>
      <c r="D254" t="inlineStr">
        <is>
          <t>indeed</t>
        </is>
      </c>
      <c r="E254">
        <f>HYPERLINK("https://www.indeed.com/viewjob?jk=12d43b2cd8648cae", "https://www.indeed.com/viewjob?jk=12d43b2cd8648cae")</f>
        <v/>
      </c>
      <c r="F254">
        <f>HYPERLINK("https://jobs.ashbyhq.com/render/62ea10c7-ad69-444f-9632-dd4b50b8c805", "https://jobs.ashbyhq.com/render/62ea10c7-ad69-444f-9632-dd4b50b8c805")</f>
        <v/>
      </c>
      <c r="G254" t="inlineStr">
        <is>
          <t>Remote, US</t>
        </is>
      </c>
      <c r="H254" s="3" t="n">
        <v>46050</v>
      </c>
      <c r="I254" t="inlineStr">
        <is>
          <t>Location
Remote: United States, Remote: Canada
Employment Type
Full time
Location Type
Remote
Department
Engineering
Compensation
$170K – $290K • Offers Equity
*Our openings span more than one career level. The provided salary depends on many factors, such as work experience and transferable skills, business needs and impact, location, and market demands.*
At Render, we’re building the modern cloud platform for developers creating AI\-native, full\-stack, multi\-service applications. Our mission is to eliminate the tradeoff between the power of hyperscalers and the simplicity of developer\-friendly platforms—so teams can ship fast, scale reliably, and focus on their product, not infrastructure.
Unlike complex hyperscalers or ephemeral edge/serverless solutions, Render offers a developer\-first experience with persistent compute, dynamic autoscaling, built\-in orchestration, and observability, allowing teams to launch, scale, and manage real\-world applications without writing infrastructure code or managing servers. Whether you're building LLM\-powered applications, scalable SaaS products, or async processing pipelines, Render empowers teams to move fast and scale confidently from MVP to millions of users.
Our platform is trusted by over 3 million developers worldwide and continues to grow rapidly. In January 2025, we raised $80M in Series C financing, bringing our total funding to $157M, to accelerate our vision of making cloud infrastructure both powerful and intuitive—designed for the speed of modern AI development.
We’re a diverse and talented team that values craft, velocity, and user experience. If you’re excited to help shape the future of the intelligent cloud and empower developers everywhere, we’d love to hear from you.
**Applying to Render**
We're seeking candidates who possess high integrity, humility, and an insatiable drive to learn. Through reasoned discussions and continuous feedback, we strive to improve both individually and collectively. We foster an environment of mutual trust and respect, empowering effective debate to achieve the best outcomes for our customers and team.
We especially encourage members of underrepresented groups in the tech community to apply and understand that not all successful candidates will meet each requirement listed.
Our interview process is unique to each role, and we value the candidate experience just as much as our customer experience. We hope your conversations with us reflect a thoughtful process that is illuminative, enjoyable, and respectful of your time.
**About the Role**
Render's mission is to eliminate the undifferentiated work that goes into building software products by offering an easy\-to\-use, powerful cloud platform for developer teams of all sizes.
By joining us at an early stage, you will design and build the cloud platform you've always wanted for yourself, and make decisions that will shape our product and company, directly impacting developers around the globe.
The challenge is in building the right user\-facing features and abstractions that make simple application deployments effortless and complex application deployments possible. User experience is our primary focus and drives everything we do. As a product engineer at Render, you will take complete, end\-to\-end ownership of full stack projects. You should already have experience building products across the stack and have a keen understanding of databases, web frameworks, APIs, and multiple programming languages.
**What You'll Do**
* Build new products (e.g. new forms to make Render more powerful and valuable to our users. We are continuously building new and easier ways for our users to build their applications.
* Collaborate closely with design, product, other engineers, and cross\-functional stakeholders.
* Help evolve and mature the Render codebase and technology as the product scales and increases in complexity over time.
* Participate in team planning, roadmapping, and goal\-setting.
* Help shape team culture and practices as the company scales.
* Participate in on\-call responsibilities with the rest of your team.
**What We're Looking For**
* 6\+ years of professional experience shipping software. Bonus points if you’ve excelled at a small, high\-growth startup.
* Experience collaborating with product and design stakeholders.
* Experience wearing multiple hats and working across the stack, both collaboratively and independently.
* Strong understanding of web frameworks, APIs, and databases, and experience working with multiple programming languages.
* Strong sense of ownership and ability to make pragmatic decisions about your work.
**Nice\-to\-haves:**
* Familiarity with modern tooling for software build and deploy processes.
* Familiarity building for product\-driven growth and modern enterprise audiences.
* Experience with any of the technologies the Render product runs on: Go, Typescript, React, Kubernetes, Postgres, Terraform, Temporal.
If this role excites you but you don’t meet every single requirement, we’d still love to hear from you—your unique experience might be just what we need.
**Benefits**
* 4 weeks of paid vacation.
* 14 weeks of fully paid parental leave for all parents to bond with a newly born, adopted, or fostered child. We will also work with you to create a supportive plan of return.
* Long\-term disability, life insurance, and 401K plans.
* 100% employer\-paid medical coverage and 99% employer\-paid dental and vision coverage for you and a dependent. FSAs and HSAs are available as well.
* Monthly lifestyle stipend for wellness, mental health and therapy, hobbies, etc.
* Monthly cell phone and internet subsidy.
* Commuter benefits for Renders in the Bay Area, and home office stipends for remote Renders.
* Continuous learning benefits \&amp; related support.
*Render is an equal\-opportunity employer. We know that employing a team rich in diverse thoughts, experiences, and opinions allows our employees, product, and community to flourish. We make all employment decisions including hiring, evaluation, termination, promotional, and training opportunities, without regard to race, religion, color, sex, age, national origin, ancestry, sexual orientation, physical handicap, mental disability, medical condition, disability, gender or identity or expression, pregnancy or pregnancy\-related condition, marital status, height and/or weight.*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 encourage all who are interested to apply. We can't wait to hear from you!*
Render — CCPA Applicant Privacy Notice
Render — GDPR Applicant Privacy Notice</t>
        </is>
      </c>
    </row>
    <row r="255">
      <c r="A255" t="inlineStr">
        <is>
          <t>in-10b642596f58e7d3</t>
        </is>
      </c>
      <c r="B255" t="inlineStr">
        <is>
          <t>Software Developer in Test (SDET) - II</t>
        </is>
      </c>
      <c r="C255" t="inlineStr">
        <is>
          <t>Syms Strategic Group, LLC (SSG)</t>
        </is>
      </c>
      <c r="D255" t="inlineStr">
        <is>
          <t>indeed</t>
        </is>
      </c>
      <c r="E255">
        <f>HYPERLINK("https://www.indeed.com/viewjob?jk=10b642596f58e7d3", "https://www.indeed.com/viewjob?jk=10b642596f58e7d3")</f>
        <v/>
      </c>
      <c r="F255">
        <f>HYPERLINK("https://symsstrategicgroup.applytojob.com/apply/4hjPKhfKQd/Software-Developer-In-Test-SDET-II?source=INDE&amp;~", "https://symsstrategicgroup.applytojob.com/apply/4hjPKhfKQd/Software-Developer-In-Test-SDET-II?source=INDE&amp;~")</f>
        <v/>
      </c>
      <c r="G255" t="inlineStr">
        <is>
          <t>Newport News, VA, US</t>
        </is>
      </c>
      <c r="H255" s="3" t="n">
        <v>46050</v>
      </c>
      <c r="I255"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4hjPKhfKQd</t>
        </is>
      </c>
    </row>
    <row r="256">
      <c r="A256" t="inlineStr">
        <is>
          <t>in-5f793447a38e20b5</t>
        </is>
      </c>
      <c r="B256" t="inlineStr">
        <is>
          <t>Software Developer in Test (SDET) - II</t>
        </is>
      </c>
      <c r="C256" t="inlineStr">
        <is>
          <t>Syms Strategic Group, LLC (SSG)</t>
        </is>
      </c>
      <c r="D256" t="inlineStr">
        <is>
          <t>indeed</t>
        </is>
      </c>
      <c r="E256">
        <f>HYPERLINK("https://www.indeed.com/viewjob?jk=5f793447a38e20b5", "https://www.indeed.com/viewjob?jk=5f793447a38e20b5")</f>
        <v/>
      </c>
      <c r="F256">
        <f>HYPERLINK("https://symsstrategicgroup.applytojob.com/apply/MYGHItgOR8/Software-Developer-In-Test-SDET-II?source=INDE&amp;~", "https://symsstrategicgroup.applytojob.com/apply/MYGHItgOR8/Software-Developer-In-Test-SDET-II?source=INDE&amp;~")</f>
        <v/>
      </c>
      <c r="G256" t="inlineStr">
        <is>
          <t>San Antonio, TX, US</t>
        </is>
      </c>
      <c r="H256" s="3" t="n">
        <v>46050</v>
      </c>
      <c r="I256"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MYGHItgOR8</t>
        </is>
      </c>
    </row>
    <row r="257">
      <c r="A257" t="inlineStr">
        <is>
          <t>in-4e9e01dc562c2508</t>
        </is>
      </c>
      <c r="B257" t="inlineStr">
        <is>
          <t>Sr Software Engineer</t>
        </is>
      </c>
      <c r="C257" t="inlineStr">
        <is>
          <t>Labcorp</t>
        </is>
      </c>
      <c r="D257" t="inlineStr">
        <is>
          <t>indeed</t>
        </is>
      </c>
      <c r="E257">
        <f>HYPERLINK("https://www.indeed.com/viewjob?jk=4e9e01dc562c2508", "https://www.indeed.com/viewjob?jk=4e9e01dc562c2508")</f>
        <v/>
      </c>
      <c r="F257">
        <f>HYPERLINK("https://jsv3.recruitics.com/redirect?rx_cid=3600&amp;rx_jobId=2530817&amp;rx_url=https%3A%2F%2Fcareers.labcorp.com%2Fglobal%2Fen%2Fjob%2F2530817%3Frx_a%3D0%26rx_c%3D%26rx_ch%3Djobp4p%26rx_group%3D442132%26rx_id%3D1a876889-fd53-11f0-a2d9-13111c7403e5%26rx_job%3D2530817%26rx_medium%3Dcpc%26rx_r%3Dnone%26rx_source%3Dindeed%26rx_ts%3D20260130T020458Z%26rx_vp%3Dcpc%26source%3Dindeed%26utm_medium%3Dorganic%26utm_source%3Dindeed", "https://jsv3.recruitics.com/redirect?rx_cid=3600&amp;rx_jobId=2530817&amp;rx_url=https%3A%2F%2Fcareers.labcorp.com%2Fglobal%2Fen%2Fjob%2F2530817%3Frx_a%3D0%26rx_c%3D%26rx_ch%3Djobp4p%26rx_group%3D442132%26rx_id%3D1a876889-fd53-11f0-a2d9-13111c7403e5%26rx_job%3D2530817%26rx_medium%3Dcpc%26rx_r%3Dnone%26rx_source%3Dindeed%26rx_ts%3D20260130T020458Z%26rx_vp%3Dcpc%26source%3Dindeed%26utm_medium%3Dorganic%26utm_source%3Dindeed")</f>
        <v/>
      </c>
      <c r="G257" t="inlineStr">
        <is>
          <t>Durham, NC, US</t>
        </is>
      </c>
      <c r="H257" s="3" t="n">
        <v>46049</v>
      </c>
      <c r="I257" t="inlineStr">
        <is>
          <t>LabCorp is actively searching for an experienced Senior Software Engineer who will leverage their technology skills to develop business solutions within the healthcare industry. You will be challenged with cutting\-edge technologies to provide a modern framework for container, cloud, and serverless Java/Linux\-based solutions. You will be engaged in a wide variety of work, including but not limited to web applications and web service development, platform development, automation, and coaching/mentoring of teams adopting the platforms. You will contribute technical thought leadership in our agile development teams and deal with complex business integrations, eliciting requirements, and implementing secure and high\-performance services consumed by various devices and applications across the organization. You will drive our software evolution and innovations ensuring that we meet our internal and external clients' software needs today and tomorrow.
Applicants who live within 35 miles of either the Burlington, NC or Durham, NC location will follow a hybrid schedule. This schedule includes a minimum of three in\-office days per week at an assigned location, either Burlington or Durham, supporting both collaboration and flexibility.
**Responsibilities:**
* Develop through modern Agile development methodologies intuitive, easy\-to\-use software in collaboration with the development team, project managers, business analysts, UX designers, quality assurance and users across the organization.
* Take ownership of assigned application development tasks.
* Design and code complex RESTful micro services for new applications and enhancing existing applications.
* Follow best practices for test\-driven development and QA automation integration.
* Push the envelope with innovative and creative thinking.
* Provide modern and performant solutions for large\-scale applications.
* Mentor and train developers to help solve technical challenges.
**Minimum Requirements:**
* Bachelor’s degree in Computer Science or related discipline.
* 3\+ years JAVA development experience.
* Experience working on SPRING frameworks developing RESTful web services.
* Demonstrate the ability to learn new technologies, research new areas within computer science, and apply this research to ongoing initiatives.
* Have excellent troubleshooting, follow\-through, and problem\-solving skills.
* Show strong analytical, communication and team collaboration skills to actively participate in our Agile teams.
**Preferred Requirements:**
* 3\+ years work experience and expert knowledge of primary AWS services (Lambda, ECS, IAM, VPC, EC2, ELB, RDS, Route53, S3, API gateway, SQS).
* Experience in working with various relational and NoSQL databases (e.g., Mongo DB, Hadoop, etc.) for large enterprise solutions.
* Experience developing container based and serverless applications.
* Experience with messaging services like SQS, Kafka, IBM MQ, or ActiveMQ.
* Ability to coach and mentor junior developers and champion cross team reuse of existing code in new environments.
* Current or previous Labcorp experience preferred.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258">
      <c r="A258" t="inlineStr">
        <is>
          <t>in-02f19079c1fb2e47</t>
        </is>
      </c>
      <c r="B258" t="inlineStr">
        <is>
          <t>Senior Software Developer</t>
        </is>
      </c>
      <c r="C258" t="inlineStr">
        <is>
          <t>Oracle</t>
        </is>
      </c>
      <c r="D258" t="inlineStr">
        <is>
          <t>indeed</t>
        </is>
      </c>
      <c r="E258">
        <f>HYPERLINK("https://www.indeed.com/viewjob?jk=02f19079c1fb2e47", "https://www.indeed.com/viewjob?jk=02f19079c1fb2e47")</f>
        <v/>
      </c>
      <c r="F258">
        <f>HYPERLINK("https://eeho.fa.us2.oraclecloud.com/hcmUI/CandidateExperience/en/sites/CX_1/job/315781", "https://eeho.fa.us2.oraclecloud.com/hcmUI/CandidateExperience/en/sites/CX_1/job/315781")</f>
        <v/>
      </c>
      <c r="G258" t="inlineStr">
        <is>
          <t>Seattle, WA, US</t>
        </is>
      </c>
      <c r="H258" s="3" t="n">
        <v>45975</v>
      </c>
      <c r="I258" t="inlineStr">
        <is>
          <t>OCI Compute is responsible for providing bare metal and virtual machines at scale to our customers, which include CPUs and GPUs. This space is growing fast with machine learning advances and the demand for GPUs and CPUs is exploding.  
The OCI Compute Core Architecture team designs, builds, and incubates new microservices based solutions to address the growing compute infrastructure demands of some of our largest customers. If you enjoy solving complex scaling and efficiency challenges in large scale distributed systems, this is the team for you. Host State Management Service is a new effort to increase efficiency around the host lifecycle, improving usability, increase visibility, and decrease repair times for GPU and CPU systems. We need strong engineers with distributed systems background to design and implement this new service to scale Compute into the future.  
The Oracle Cloud Infrastructure (OCI) organization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As a Senior Software Developer, you will lead engineering efforts, to develop the Compute state machine services for efficiency and scalability. You will take an active role in the definition and evolution of standard practices and procedures. You will develop high quality components to enable a resilient and maintainable service that can scale to the growing needs of the business.  
Qualifications:
* BS degree in Computer Science or related technical field involving coding or equivalent practical experience
* Experience with large scale, highly available distributed systems
* Proficiency with Cloud\-based Data Store primitives
* Proficiency in Java programming patterns
* Experience with operating distributed services at scale
* Expertise in Linux and operating systems
* Systematic problem\-solving approach, strong communication skills, strong ownership and drive
* Deep understanding of service metrics and alarms through the development of dashboards, service KPIs, alarming systems
* Design and direct automation, optimizations, and enhancements
Preferred Qualifications:
* Proficiency with Cloud and CICD environments
* Proficiency with Terraform, Docker
* Proficiency with modern build tools and pipelines
* Proficiency with change control management and mature operating processes
* Proficiency with Database and Data Stores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li-4367348013</t>
        </is>
      </c>
      <c r="B2" t="inlineStr">
        <is>
          <t>Software Engineer III</t>
        </is>
      </c>
      <c r="C2" t="inlineStr">
        <is>
          <t>Cayuse Holdings</t>
        </is>
      </c>
      <c r="D2" t="inlineStr">
        <is>
          <t>linkedin</t>
        </is>
      </c>
      <c r="E2" t="inlineStr"/>
      <c r="F2" t="inlineStr"/>
      <c r="G2" t="inlineStr">
        <is>
          <t>Austin, TX</t>
        </is>
      </c>
      <c r="H2" t="inlineStr"/>
      <c r="I2" t="inlineStr">
        <is>
          <t>**Overview**
**JOB TITLE:**
 Software Engineer III
**Cayuse Company**
 Cayuse Civil Services, LLC
**LOCATION**
 Austin, TX
**Salary**
 $117,270\.40\- $167,523\.20
**Employee Type**
 Full\-Time Salary Exempt
**TRAVEL**
 No
**RELOCATION**
 No
**Employment in this role is conditional upon successful execution of the contract by the client.**
**The Work**
 The Software Engineer III will provide support and expertise for the development, enhancement, and maintenance of critical IT applications within the client’s portfolio. This role will ensure that delivered solutions align with business requirements, follow established guidelines, and effectively support the client’s initiatives.
 This position aligns with Cayuse’s core values of Innovation, Excellence, Collaboration, Adaptability, and Integrity by fostering technical solutions that meet customer needs, promoting teamwork, and prioritizing quality and inclusivity in deliverables.
**Responsibilities**
* Performs highly advanced senior\-level computer programming work.
* Develops software solutions by studying information needs, conferring with users, and studying systems flow, data usage, and work processes.
* Investigates problem areas.
* Prepares and installs solutions by determining and designing system specifications, standards, and programming.
* Write, test, debug, and document complex programs, including client/server and web\-based applications using C\# (.Net), Blazor, and/or SQL.
* Design, develop and implement specialized programs or routines to create, supplement, and enhance front and back\-end web\-based applications software using HTML5, CSS, C\# .NET Blazor, SQL, Stored Procedures, Oracle, and SQL Server.
* Work closely and coordinate with systems analysts, architects, and various business areas to gather/validate requirements, understand technical issues, limitations and model solutions that meet the functional and technical requirements.
* Provide support of Texas Department of Agriculture applications software through diagnosis of problems and implementation of changes to resolve problems and maintain software at the most current level.
* Experience in developing and enhancing licensing systems for state agencies, including migrating licensing functionality to modern platforms while enabling seamless legacy data portability for the State of Texas licensing system.
* Perform research and analysis required specialized programs or routines to supplement and enhance front and back\-end web\-based applications software using HTML5, CSS, C\# .NET Blazor, SQL, Stored Procedures, Oracle, and SQL Server.
* Recommend improvements to processes for application development projects, as needed.
* Other duties as assigned.
**Qualifications**
**Here’s What You Need**
* Bachelor’s degree or higher.
* 8 years of experience of senior\-level work and knowledge in analyzing software application systems workflow processes to identify environment efficiencies and improvements.
* 8 years of experience in root cause analysis and resolutions.
* 8 years of experience in leading the design and development of web\-based software applications.
* 8 years of experience in programming in various coding languages including but not limited to: .Net, HTML, HTML5, ASP, Java, JSP, .NET/C\#, front end and back\-end user interface methodologies technologies, SQL, and stored procedures.
* 8 years of experience with independently performing a variety of complicated SDLC related tasks at all phases of the SDLC.
* 8 years of experience in software application administration and management.
* 8 years of experience leading SDLC projects from scope to deployment including coordinating with organizational change control boards and release schedules.
* 8 years of experience experience and proficiency in web programming using code languages: .NET/C\#, JavaScript, HTML, CSS SQL, Stored Procedures, Oracle, and SQL Server.
* 6 years of experience with Agile SDLC methodology.
* 6 years of experience in cross\-team collaboration for requirements gathering and software development, modifications, and maintenance.
* 5\+ years of experience in programming and implementing software application modifications to accommodate information security requirements and network security integrity.
* 5\+ years of experience leading and directing SDLC teams including code validation and approval of fellow programmers.
* 5\+ years of experience in technical writing and documentation of environment and network changes and release notes.
* 5\+ year of experience in presenting in\-person software application change demonstrations for the purposes of seeking customer approval of proposed design.
* 4\+ years of experience using Azure Dev Ops, Jira, or similar.
* 2\+ years of experience programming in C\# .Net Blazor.
* Proficiency in Visual Studio 2022, .NET Core 9\.0, Oracle DB, and DevExpress tools to deliver secure, scalable, and user\-friendly solutions.
* Must be able to pass a background check. May require additional background checks as required by projects and/or clients at any time during employment.
**Desired Qualifications**
* 4 years of experience in porting existing codebase from Java to C\# .NET Blazor.
* 4 years of experience and knowledge of responsive web design practices and implementation.
* 4 years of experience and knowledge of Web Content Accessibility Guidelines (WCAG), and implementation.
* 4 years of experience working with TDA systems.
**Benefits**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 Ability to work on\-site in Austin, Texas
* Must be physically and mentally able to perform duties extended periods of time.
* Ability to use a computer and other office productivity tools with sufficient speed to meet the demands of this position.
* Must be able to establish a productive and professional workspace.
* Must be able to sit for long periods of time looking at computer screen.
* May be asked to work a flexible schedule which may include holidays.
* May be asked to travel for business or professional development purposes.
* May be asked to work hours outside of normal business hours.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$117,270\.40 \- USD $167,523\.20 /Yr.</t>
        </is>
      </c>
    </row>
    <row r="3">
      <c r="A3" t="inlineStr">
        <is>
          <t>li-4366898441</t>
        </is>
      </c>
      <c r="B3" t="inlineStr">
        <is>
          <t>Software Engineer, Google Ads, Auction Mechanisms</t>
        </is>
      </c>
      <c r="C3" t="inlineStr">
        <is>
          <t>Google</t>
        </is>
      </c>
      <c r="D3" t="inlineStr">
        <is>
          <t>linkedin</t>
        </is>
      </c>
      <c r="E3" t="inlineStr"/>
      <c r="F3" t="inlineStr"/>
      <c r="G3" t="inlineStr">
        <is>
          <t>Mountain View, CA</t>
        </is>
      </c>
      <c r="H3" t="inlineStr"/>
      <c r="I3" t="inlineStr">
        <is>
          <t>**Minimum qualifications:**
* Bachelor’s degree or equivalent practical experience.
* 2 years of experience with software development in C\+\+.
* 1 year of experience in experiment design.
**Preferred qualifications:**
* Master's degree or PhD in Computer Science, Mathematics or a related technical field.
* 2 years of experience with data structures and algorithms in either an academic or industry setting.
* Experience in code and system health, diagnosis and resolution, and software test engineering.
* Experience with auction theory.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tasked with optimizing value for the advertiser, users and Google through mechanism innovations. We collaborate closely with auction research, ads prediction stack modeling, bidding, ads UI and targeting to optimize long\-term business for Google.
 Our mode of operation is a mix between research scientist, data scientist and software engineer. We are constantly making hypotheses about the way the world works, testing them experimentally, working out what auction changes are appropriate, testing those changes and iterating to get to a more ideal state.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analyses to test hypotheses about the user\-value landscape and what improvements (e.g., new mechanisms or improvements to existing ones) might be appropriate.
* Implement and test mechanisms in the auction.
* Contribute in designing experiments to evaluate hypotheses, tease out and analyze effects on improving user and advertiser value, and document findings.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
      <c r="A4" t="inlineStr">
        <is>
          <t>li-4367335696</t>
        </is>
      </c>
      <c r="B4" t="inlineStr">
        <is>
          <t>AI Software Engineer</t>
        </is>
      </c>
      <c r="C4" t="inlineStr">
        <is>
          <t>People In AI</t>
        </is>
      </c>
      <c r="D4" t="inlineStr">
        <is>
          <t>linkedin</t>
        </is>
      </c>
      <c r="E4" t="inlineStr"/>
      <c r="F4" t="inlineStr"/>
      <c r="G4" t="inlineStr"/>
      <c r="H4" t="inlineStr"/>
      <c r="I4" t="inlineStr">
        <is>
          <t>**Job Title:** 
 AI Software Engineer
**Compensation:** 
 $180,000 \- $200,000 base \+ equity
**Location:** 
 Remote (US)
 This high\-growth startup is building the backbone for high\-assurance Generative AI applications. As GenAI systems become more intricate and business\-critical, engineering teams need transparent, reliable infrastructure to validate performance, monitor behavior, and ensure real\-world reliability. Backed by top\-tier investors, this team is moving fast to build tools that make GenAI development more predictable, trustworthy, and scalable.
**About the Role:** 
 This is a high\-impact opportunity for an experienced full\-stack AI engineer who thrives in fast\-paced, early\-stage environments. You’ll work across the stack \- from UI to backend to AI integrations \- owning feature delivery end\-to\-end. You'll play a key role in shaping the architecture, contributing to core platform capabilities, and bringing new GenAI\-powered features to production.
**What You’ll Do:** 
* Design and ship production\-grade Generative AI capabilities
* Build full\-stack features using TypeScript, React, and Node.js
* Develop observability and AI\-tracing systems for complex AI workflows
* Own feature delivery from requirements to implementation and iteration
* Collaborate cross\-functionally with product, design, and leadership
* Improve performance, reliability, and quality of AI\-driven systems
* Contribute to internal frameworks and reusable components
* Lead and participate in technical discussions and code reviews
**What You’ll Bring:** 
* Ample full\-stack software engineering experience
* Proven experience with LLM\-powered applications, agents, or workflows
* Strong skills in TypeScript, React, and Node.js
* Familiarity with GenAI development patterns (RAG, embeddings, vector search)
* Hands\-on with orchestration tools (LangChain, LangGraph, LlamaIndex, etc.)
* Ability to operate autonomously and make pragmatic technical decisions
* Strong debugging, architecture, and performance tuning skills
**Tech Stack:** 
* TypeScript / React / Node.js
* LLM orchestration tools: LangChain, LangGraph, LlamaIndex
* Observability: OpenTelemetry, custom tracing systems
* GenAI integrations and evaluation frameworks
* Bonus: Python, vector databases, ML infra, open\-source contributions
**Why Join?** 
* Work on real\-world AI systems with a major impact on production reliability
* Join an ambitious, fast\-growing team tackling foundational challenges in GenAI
* Fully remote with flexible hours and generous PTO
* Employee equity and regular team off\-sites
* Big growth potential in a critical emerging space
**About People In AI:** 
 People In AI connects top\-tier talent with the most ambitious companies in artificial intelligence. We work with founders, VCs, and engineering leaders to build world\-class teams shaping the future of machine learning and AI infrastructure.</t>
        </is>
      </c>
    </row>
    <row r="5">
      <c r="A5" t="inlineStr">
        <is>
          <t>li-4367306812</t>
        </is>
      </c>
      <c r="B5" t="inlineStr">
        <is>
          <t>Principal Software Engineer, Ads Quality</t>
        </is>
      </c>
      <c r="C5" t="inlineStr">
        <is>
          <t>Instacart</t>
        </is>
      </c>
      <c r="D5" t="inlineStr">
        <is>
          <t>linkedin</t>
        </is>
      </c>
      <c r="E5" t="inlineStr"/>
      <c r="F5" t="inlineStr"/>
      <c r="G5" t="inlineStr"/>
      <c r="H5" t="inlineStr"/>
      <c r="I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Are you excited about applying cutting\-edge AI / ML models and technologies to complex real\-world problems? Are you inspired to deliver tangible, quantifiable impact to tens of millions of users and partners, while solving some of the toughest optimization challenges in a 4\-sided marketplace? Are you passionate about mentoring and growing ML engineering talent, while instilling and fostering a principled engineering culture? If so, we have a job for you! The Ads Engineering team is looking for a seasoned ML engineering leader to act as the Area Tech Lead of Ads Quality, working alongside Ads Software Engineering leaders. In this role, you will directly contribute to the company’s myriad of AI, ML, and Quality innovations, both as an Individual Contributor and Technical Lead. You will lead the team to design next\-generation, AI\-powered solutions to support the business’ broadening growth. You will partner with Eng and PM leadership to prioritize and support all product needs. You will develop company\-defining collaborations with other engineering pillars across Instacart. You will grow and mentor engineers, and contribute to shaping engineering culture not only for Ads but for all of Instacart.
**About The Team**
 The Ads Engineering team builds E2E, full\-stack systems to power Instacart’s industry\-leading ads innovations in digital ads’ top growing channel \- Retail Media. As a fast\-growing, critical piece of Instacart’s overall business, the Ads Engineering team strives to both meet and support our advertiser partners for their needs today, while also challenging the status quo to push forward next\-generation technologies. The team consists of a broad spectrum of engineers across all levels, with expertise ranging from backend infrastructure to data engineering to machine learning \&amp; AI to frontend technologies and more.
**About The Job**
* Develop \&amp; design innovative AI\-powered systems addressing a wide range of Ads Quality challenges, such as: Optimize ads bidding, retrieval and auction processes toward a diverse set of advertiser goals, balancing short\- and long\-term objectives,
* balance between user, advertiser, and retailer needs, and turn such solutions into quantifiable, optimizable formulations,
* identify and build gen AI solutions to revolutionize all aspects of the quality stack,
* build advanced generative AI and recommendation frameworks revolutionizing advertiser experience and campaign efficacy,
* construct systems and frameworks to provide intelligent recommendations and assistance to advertisers,
* collaborate with Data Scientists to establish metrics and methodologies for both tracking, optimization, and goaling purposes.
* Define \&amp; own the Ads Quality technical strategy and roadmap, balancing between both short\-term needs and long\-term sustainability.
* Demonstrates ability to architect and design complex AI / quality components, considering scalability, reliability, performance, and security.
* Serves as a technical leader and mentor, guiding and empowering junior ML and software engineers through code and design reviews, knowledge sharing, collaborative problem\-solving, improving key engineering processes, and fostering a thriving engineering culture.
* Serve as a technical mentor, empowering engineers at all career levels through effective coaching, collaborative code reviews and knowledge sharing to develop the next set of leaders
* Builds and maintains synergies with other ML engineering teams across Instacart; acts as a bridge representing Ads as an influential voice in company\-wide technical forums.
* Contributes to company\-level technical initiatives as a thought leader and key driver of Instacart’s engineering vision \&amp; goals
* Note this is a hands\-on IC / TL role at the Director\+ level. There are no people management expectations.
**About You**
***Minimum Qualifications***
* PhD in AI / ML or related field, or equivalent academic and research experience.
* 15\+ years of experience as a software and / or ML engineer.
* Proven track record of architecting \&amp; building production\-grade ML systems, AI and quantitative optimization technologies at a global scale.
* Demonstrated ability to lead technical discussions and collaborate effectively at senior to executive levels, driving consensus and clarity.
* Experience mentoring and developing engineering culture and talent.
**Preferred Qualifications**
* Hands\-on expertise in building large\-scale AI/ML systems bridging generative AI, predictive modeling, and recommendation engines to solve real\-world problems.
* Deep understanding of Ads Quality systems, including bidding, yield optimization, retrieval processes, and auction dynamics.
* Familiar with AWS, Golang, Spark, Clickhouse, Snowflake, TensorFlow.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$335,000—$372,000 USD
 WA
 $321,000—$357,000 USD
 OR, DE, ME, MA, MD, NH, RI, VT, DC, PA, VA, CO, TX, IL, HI
 $308,000—$342,000 USD
 All other states
 $278,000—$309,000 USD</t>
        </is>
      </c>
    </row>
    <row r="6">
      <c r="A6" t="inlineStr">
        <is>
          <t>li-4311837319</t>
        </is>
      </c>
      <c r="B6" t="inlineStr">
        <is>
          <t>Software Engineer</t>
        </is>
      </c>
      <c r="C6" t="inlineStr">
        <is>
          <t>Ripple</t>
        </is>
      </c>
      <c r="D6" t="inlineStr">
        <is>
          <t>linkedin</t>
        </is>
      </c>
      <c r="E6" t="inlineStr"/>
      <c r="F6" t="inlineStr"/>
      <c r="G6" t="inlineStr">
        <is>
          <t>New York, NY</t>
        </is>
      </c>
      <c r="H6" t="inlineStr"/>
      <c r="I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Ledger and Balance team builds and operates the internal financial systems that power real\-time balance management, settlement, and reconciliation for Ripple’s Finance and Finance Operations teams. We design the services and data models that ensure accuracy, scalability, and transparency across fiat, crypto, and stablecoin flows.
**Join our team** 
 and help build the Internet of Value — where funds move instantly, accurately, and transparently across borders and ledgers. As a Software Engineer, you’ll work at the intersection of finance and engineering, designing the systems that keep Ripple’s financial ecosystem in sync, auditable, and trusted. Every service you build and every transaction you help process strengthens the foundation of a more reliable, connected, and inclusive global financial network
**WHAT YOU’LL DO:** 
* Develop scalable ledger and balance platforms that power real\-time balance management,reconciliation and settlement
* Prototype new solutions for sophisticated software problems and implement them for customers or stakeholders
* Design, develop, and maintain web\-based platforms and applications for internal and commercial use
* Work in close collaboration with members of your team within an Agile environment and contribute across the entire software development lifecycle
* Work with teams across the organization, including operations, product, marketing, and business development to think beyond the technical implications of your design decisions
**WHAT YOU'LL BRING:** 
* Bachelors in Computer Science or similar \+ 2 years of hands\-on Software Development experience in at least one of the following technologies: Java, Python, Go
* Full\-stack development experience across backend services
* Experience with accounting or finance operations
* Experience building scalable and performant enterprise software
* Eagerness to work openly and collaboratively with a diverse team
* A positive attitude and a passion for sharing knowledge
**NICE TO HAVE:** 
* Experience working with accounting or finance systems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$120,000 USD \- $145,000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7">
      <c r="A7" t="inlineStr">
        <is>
          <t>li-4358734095</t>
        </is>
      </c>
      <c r="B7" t="inlineStr">
        <is>
          <t>Software Engineer, Fullstack</t>
        </is>
      </c>
      <c r="C7" t="inlineStr">
        <is>
          <t>CLEAR</t>
        </is>
      </c>
      <c r="D7" t="inlineStr">
        <is>
          <t>linkedin</t>
        </is>
      </c>
      <c r="E7" t="inlineStr"/>
      <c r="F7" t="inlineStr"/>
      <c r="G7" t="inlineStr">
        <is>
          <t>New York, NY</t>
        </is>
      </c>
      <c r="H7" t="inlineStr"/>
      <c r="I7"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8">
      <c r="A8" t="inlineStr">
        <is>
          <t>li-4366881831</t>
        </is>
      </c>
      <c r="B8" t="inlineStr">
        <is>
          <t>Software Engineer, Platforms and Devices</t>
        </is>
      </c>
      <c r="C8" t="inlineStr">
        <is>
          <t>Google</t>
        </is>
      </c>
      <c r="D8" t="inlineStr">
        <is>
          <t>linkedin</t>
        </is>
      </c>
      <c r="E8" t="inlineStr"/>
      <c r="F8" t="inlineStr"/>
      <c r="G8" t="inlineStr">
        <is>
          <t>Mountain View, CA</t>
        </is>
      </c>
      <c r="H8" t="inlineStr"/>
      <c r="I8" t="inlineStr">
        <is>
          <t>**Minimum qualifications:**
* Bachelor’s degree or equivalent practical experience.
* 2 years of experience programming in C\+\+, Java, Python or Kotlin.
* Experience in large\-scale distributed systems.
* Experience in building back\-ends.
**Preferred qualifications:**
* Master's degree or PhD in Computer Science or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Play is a marketplace for discovering apps, games, subscriptions, and more. The Play Promotion team is at the heart of this growing ecosystem, crafting a scalable Offer Platform with shared capabilities and a rich catalog of promotional experiences to fuel Play's business growth.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
      <c r="A9" t="inlineStr">
        <is>
          <t>li-4367012695</t>
        </is>
      </c>
      <c r="B9" t="inlineStr">
        <is>
          <t>Full Stack Software Engineer</t>
        </is>
      </c>
      <c r="C9" t="inlineStr">
        <is>
          <t>Apple</t>
        </is>
      </c>
      <c r="D9" t="inlineStr">
        <is>
          <t>linkedin</t>
        </is>
      </c>
      <c r="E9" t="inlineStr"/>
      <c r="F9" t="inlineStr"/>
      <c r="G9" t="inlineStr">
        <is>
          <t>Cupertino, CA</t>
        </is>
      </c>
      <c r="H9" t="inlineStr"/>
      <c r="I9" t="inlineStr">
        <is>
          <t>**Summary**
 The System Health and Intelligent Platform team in Core OS is looking for a Full Stack Software Development Engineer to lead the architecture and development of essential quality and workflow tooling at scale. The team enables all Core OS engineers to deliver high quality software through best in class engineering experiences, efficient workflow, data driven insights, and a culture of continuous improvement.
**Description**
 You are passionate about software engineering and web services development. You are effective at implementing the right solution for a given problem and you are keeping the user experience in mind. You are an advocate for continuous improvement culture and DevOps concepts in software engineering. You have extensive experience architecting solutions for scalability and testability. You are excited when leading engineering discussions and demonstrating your achievements.
 You’ll work on an internal system that helps thousands of engineers build and test code for operating systems that ship on all Apple devices worldwide
**Responsibilities**
* Build software tools, libraries and Frameworks in Python or Swift to enable test development and execution of tests in automated fashion. Build framework to automate tools for use by software developers, continuous integration systems, log collection, error extraction from reports of test coverage on Apple products.
* Collaborate with development team as well as quality team to identify, build and deploy tools, infrastructure based on the need. Solutions range from python automated tools to cloud service to support complex workflow automation.
* Design automation and solutions to verify complex OS features.
**Minimum Qualifications**
* Proficient in Python/Swift or similar language with some development experience in Unix, Linux, macOS, or iOS
* Data\-oriented mindset
* AI is part of your essential development toolkit
* Bachelor's degree in Computer Science or related courses or 3 years of equivalent work experience.
**Preferred Qualifications**
* Proven professional experience in full stack software development with tech like Postgres or other SQL databases
* Experience with designing and implementing REST and GraphQL APIs
* Product engineering and customer\-centric approach to problems
* Familiarity with Kubernetes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
      <c r="A10" t="inlineStr">
        <is>
          <t>li-4366883656</t>
        </is>
      </c>
      <c r="B10" t="inlineStr">
        <is>
          <t>Senior Software Engineer - Web</t>
        </is>
      </c>
      <c r="C10" t="inlineStr">
        <is>
          <t>C the Signs</t>
        </is>
      </c>
      <c r="D10" t="inlineStr">
        <is>
          <t>linkedin</t>
        </is>
      </c>
      <c r="E10" t="inlineStr"/>
      <c r="F10" t="inlineStr"/>
      <c r="G10" t="inlineStr">
        <is>
          <t>Boston, MA</t>
        </is>
      </c>
      <c r="H10" t="inlineStr"/>
      <c r="I10" t="inlineStr">
        <is>
          <t>C the Signs is dedicated to transforming the future of cancer care through our innovative AI\-powered platform. We empower healthcare professionals and patients with the tools and information needed to effectively recognize cancer symptoms, ensuring timely treatment and improved outcomes. As we expand our impact into new markets, we are looking for a passionate Sr. Frontend Developer to join our talented team.
**About The Role**
 As a Sr. Software Engineer with web focus, you will take a leadership role in crafting exceptional user experiences for our consumer\-facing applications, ensuring healthcare professionals and patients have intuitive, accessible tools at their fingertips. You will be responsible for designing and implementing responsive, performant frontend solutions while collaborating with cross\-functional teams to deliver seamless digital experiences. Your expertise will be instrumental in establishing frontend best practices, driving technical excellence, and ensuring our applications meet the highest standards of usability and accessibility for the diverse users who depend on them.
* Design, develop, and maintain sophisticated consumer\-facing web applications using React (v.18\) and TypeScript
* Lead frontend projects from conception to deployment, ensuring quality, performance, and adherence to timelines
* Architect and implement scalable, maintainable frontend solutions with a focus on component reusability and code quality
* Develop intuitive, accessible user interfaces that provide exceptional experiences across devices and browsers, adhering to WCAG standards
* Optimize application performance, including bundle size, load times, and runtime efficiency
* Collaborate with product managers, designers, backend engineers, and other stakeholders to translate user needs and requirements into technical specifications
* Mentor and guide junior frontend engineers, fostering a collaborative and growth\-oriented team culture focused on frontend excellence
* Stay up\-to\-date with industry trends and emerging frontend technologies to continuously improve our applications
**Requirements**
* 6\+ years of experience as a Frontend Developer, with strong expertise in building consumer\-facing applications
* Proven experience designing and building scalable, user\-centric web applications in a production environment
* Deep proficiency in React (v.18\), TypeScript, JavaScript (ES6\+), HTML5, and CSS3
* Strong understanding of modern frontend architecture patterns, state management solutions (Redux, Zustand, Context API, or similar), and component design
* Experience with responsive design principles, CSS\-in\-JS solutions (styled\-components, Emotion, or similar), and CSS preprocessors
* Proficiency in frontend build tools and bundlers (Webpack, Vite, or similar) and package managers
* Strong understanding of web accessibility standards (WCAG) and best practices for inclusive design
* Experience with frontend testing frameworks (Jest, React Testing Library, Cypress, or similar)
* Solid understanding of RESTful APIs, GraphQL, and asynchronous programming
* Familiarity with CI/CD pipelines and modern frontend deployment practices
* Experience with Agile development methodologies
* Excellent problem\-solving and analytical skills, with a strong attention to detail and design sensibility
* Strong communication and interpersonal skills, capable of presenting ideas clearly to technical and non\-technical audiences
* Ability to thrive in a fast\-paced, collaborative environment and adapt to changing priorities
* Experience in healthcare or health\-tech frontend development is a plus
**Benefits**
* Health Care Plan (Medical, Dental \&amp; Vision)
* Retirement Plan (401k, IRA)
* Life Insurance (Basic, Voluntary \&amp; AD\&amp;D)
* Paid Time Off (Vacation, Sick \&amp; Public Holidays)
* Work From Home</t>
        </is>
      </c>
    </row>
    <row r="11">
      <c r="A11" t="inlineStr">
        <is>
          <t>li-4367366146</t>
        </is>
      </c>
      <c r="B11" t="inlineStr">
        <is>
          <t>Senior Software Engineer</t>
        </is>
      </c>
      <c r="C11" t="inlineStr">
        <is>
          <t>KPI Solutions</t>
        </is>
      </c>
      <c r="D11" t="inlineStr">
        <is>
          <t>linkedin</t>
        </is>
      </c>
      <c r="E11" t="inlineStr"/>
      <c r="F11" t="inlineStr"/>
      <c r="G11" t="inlineStr">
        <is>
          <t>Cincinnati, OH</t>
        </is>
      </c>
      <c r="H11" t="inlineStr"/>
      <c r="I11" t="inlineStr">
        <is>
          <t>Software Developer (Level II\-III) — GTP / HT
 We are seeking a strong mid\-to\-senior level Software Developer to support delivery on the GTP / HT program. This role is critical to stabilizing execution on a highly visible, schedule\-driven initiative. The ideal candidate can contribute immediately, operate independently, and thrive in a complex, high\-stakes environment.
**Key Responsibilities**
* Deliver high\-quality software across the Opto platform and supporting legacy systems
* Leverage, extend, and contribute to the shared Framework in connector and platform development
* Own features and technical problem areas end\-to\-end, from design through implementation and stabilization
* Proactively identify, communicate, and escalate delivery risks and blockers
* Collaborate closely with architects, product owners, and adjacent engineering teams
* Improve engineering standards, reuse, and patterns to reduce delivery friction and long\-term complexity
**Preferred Attributes**
* Experience operating in delivery\-constrained or high\-pressure environments
* Comfort stepping into informal leadership or lead\-adjacent responsibilities when needed
* Willingness to evangelize shared frameworks and contribute to platform\-level improvements
* Personal artwork or creative output in personal development pursuits (e.g., open\-source projects, technical writing, tools, visualizations, or other demonstrable creative work)
**Leveling Expectation**
 This role is not entry\-level. The expectation is a Level II\-III developer who can contribute immediately, help restore delivery momentum, and operate with minimal oversight.
**Requirements**
* Bachelor's degree in computer science, Software Engineering, or a related field, with 5\-7 years of professional software development experience; or a provable equivalent level of professional experience for candidates without a formal degree
* Strong proficiency in Java and Spring Boot, with experience building and maintaining backend services
* Experience working in distributed systems, including performance, reliability, and failure\-mode considerations
* Ability to context switch effectively between modern platforms and legacy systems
* Demonstrated ownership mindset with the ability to operate autonomously in ambiguous environments
* Strong written and verbal communication skills, with a focus on clarity and proactive risk visibility
**Benefits**
* Medical Insurance
* Dental Insurance
* Vision Insurance
* Health Care Concierge Service
* 401(k) Retirement Plan (Pre\-tax \&amp; Roth)
* Company paid Basic Life Insurance, Short\-Term Disability \&amp; Long\-Term Disability
* Voluntary Life \&amp; AD\&amp;D Insurance
* Voluntary Accident, Critical Illness \&amp; Hospital Indemnity Insurance
* Pet Insurance
* Milk Stork Program
* Wellness Program with gift card redemption and wellness challenges
* Paid Time Off (Vacation, Sick \&amp; 10 Holidays)
* Training \&amp; Development
*KPI Solutions provides equal employment opportunity to all individuals regardless of their race, color, creed, religion, gender, age, sexual orientation, national origin, disability, veteran status, or any other characteristic protected by states, federal, or local law.*</t>
        </is>
      </c>
    </row>
    <row r="12">
      <c r="A12" t="inlineStr">
        <is>
          <t>li-4344091028</t>
        </is>
      </c>
      <c r="B12" t="inlineStr">
        <is>
          <t>Software Engineer II</t>
        </is>
      </c>
      <c r="C12" t="inlineStr">
        <is>
          <t>Ripple</t>
        </is>
      </c>
      <c r="D12" t="inlineStr">
        <is>
          <t>linkedin</t>
        </is>
      </c>
      <c r="E12" t="inlineStr"/>
      <c r="F12" t="inlineStr"/>
      <c r="G12" t="inlineStr">
        <is>
          <t>San Francisco, CA</t>
        </is>
      </c>
      <c r="H12" t="inlineStr"/>
      <c r="I1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In this role, As a Software Engineer II, you will be one of the core engineers within Ripple’s central Data Engineering. This team implements the data ingestion and transformation for analytics, machine learning and powering various business functions at Ripple. You are curious about the bottlenecks and failure modes of a system and look for opportunities to continually improve cost/performance characteristics. You are hands\-on in driving key technical decisions, ensuring the right tradeoffs are made to deliver high\-quality results and deliver high, measurable customer value. You work well across functions and teams, including data science, product, application engineering, compliance, finance and others. Your passion for good engineering is complemented by strong instincts to deliver value.
**What you’ll do:** 
* Highly efficient in shipping solutions to both large and small projects.
* Can handle ambiguity in requirements and can define and propose solutions for them.
* Writes, presents, and gets agreement on the design document for a project highlighting the architecture, timelines and alternatives considered.
* Owns the development and rollout for a small to mid\-sized projects.
* Writes clean tech specs and identifies risks before starting major projects.
* Recognizes trade\-offs and identifies impact/risks between alternative solutions.
* Improves code structure and architecture in data pipelines of testability and maintainability.
* Plays an active role in breaking down initiatives that span multiple sprints and tasks.
* Leads feature development with 1\-2 collaborators.
 What you'll bring:
 * Proficient( 3 \- 6yrs) in at least one primary programming language (e.g. Python, Scala) and comfortable working with SQL
* Experienced in at least one Data Warehouse or data lake platforms such as Databricks
* Ability to write sophisticated code and comfortable with picking up new technologies independently.
* Enjoy helping teams push the boundaries of analytical insights, creating new product features using data, and powering machine\-learning models.
* Familiar with developing distributed systems with experience in scalable data pipelines
* Familiar with data technologies like Spark or Flink and comfortable in engineering data pipelines using these technologies on financial datasets.
* Experience with RESTful APIs and server\-side APIs integration
* Highly or conceptually familiar with AWS cloud resources (S3, Lambda, API Gateway, Kinesis, Athena, etc.,)
* Experience in orchestrating CI/CD pipelines using GitLab, Helm, and Terraform.
* Appreciate the importance of excellent documentation and data debugging skills.
* Excel at taking vague requirements and crystallizing them into scalable data solutions
* Excited about operating independently, demonstrating perfection, and learning new technologies and framework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$140,000 USD \- $174,999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3">
      <c r="A13" t="inlineStr">
        <is>
          <t>li-4367304925</t>
        </is>
      </c>
      <c r="B13" t="inlineStr">
        <is>
          <t>Software Developer</t>
        </is>
      </c>
      <c r="C13" t="inlineStr">
        <is>
          <t>Naturescape</t>
        </is>
      </c>
      <c r="D13" t="inlineStr">
        <is>
          <t>linkedin</t>
        </is>
      </c>
      <c r="E13" t="inlineStr"/>
      <c r="F13" t="inlineStr"/>
      <c r="G13" t="inlineStr">
        <is>
          <t>Muskego, WI</t>
        </is>
      </c>
      <c r="H13" t="inlineStr"/>
      <c r="I13" t="inlineStr">
        <is>
          <t>**Naturescape** 
 , a family\-owned business in
 **Muskego, WI,** 
 operating for over 40 years, is looking for a remote/hybrid
 **Software Developer.** 
 As a Software Developer at Naturescape, you'll create and maintain a wide variety of applications.
 This position offers flexibility to work remotely, but candidates must reside in one of the states where we operate: Wisconsin, Minnesota, Illinois, Iowa, Nebraska, Michigan, Indiana, Kentucky, Tennessee, Georgia, South Carolina, Missouri, or North Carolina. If you're local to the Muskego, WI area, you'll also have the chance to collaborate in person from time to time.
 This is an opportunity for meaningful work in a supportive and appreciative environment. Are you looking for a
 **long\-term career** 
 with a
 **stable,** 
**family\-owned business** 
 ? Would you like to be a
 **valued and respected** 
 member of a
 **close\-knit team** 
 ? If so, look no further!
**Benefits At a Glance**
* Starting at $60,320
* Full\-time, flexible schedule
* 401k with unheard\-of 200% company match (vested immediately \- no waiting period!)
* Generous benefits: health, dental, vision, and supplemental insurance; HRA and HSA; up to 3 weeks of PTO and holidays in the first year of employment; and employee discounts
* Opportunities to learn new skills
* Military friendly, willing to work with current drill schedules
**A DAY IN THE LIFE OF A SOFTWARE DEVELOPER**
 As a Software Developer at our company, you will be instrumental in crafting innovative software solutions that significantly elevate both the customer and employee experience. We offer the best of both worlds: the robust stability and resources of a larger organization, coupled with the agility and close\-knit collaboration of a focused, dynamic team. You'll be working primarily with JavaScript and Vue.js, as well as Kotlin and Capacitor for our internal Android applications. We're currently tackling exciting challenges such as optimizing vehicle fleet routing and maintenance, fostering excellent customer service through continuous development of our custom CMS/LMS, and maximizing the efficiency/effectiveness of our specialists in the field with our mobile app development.
 We are passionate about delivering exceptional value, which translates into a stimulating and fast\-paced work environment with diverse projects and challenges. You will have an opportunity to immerse yourself in the core of our business operations, participating in the strategic planning and hands\-on implementation of solutions that directly impact our success.
 In this multifaceted role, your responsibilities will encompass the entire software development lifecycle, from initial conceptualization and rigorous development through seamless deployment and ongoing maintenance. You will gain invaluable experience and quickly master new development skills within a flexible and supportive atmosphere that fosters continuous learning and professional growth. We are looking for individuals who bring dedication, a positive attitude, and a genuine desire to contribute to shaping the future trajectory of our company. Join us and make a tangible difference!
**Qualifications**
 A qualified candidate will be fluent in English, will have front\-end experience or a willingness to learn, and should be ready to assist us with back\-end programming. Professional experience with Node.js and Vue.js or React.js is essential, as is being comfortable working in a Linux environment.
**About Naturescape**
 Naturescape is a family\-owned company that is 100% committed to making our customers happy with our lawn and landscape care. Since our humble beginnings in Appleton, WI in 1986, we have been committed to providing the highest quality service, guaranteeing satisfaction, and offering very affordable prices. Because of these continued commitments, we have grown and now have 42 locations around the Midwest and South.
 We know that we owe this success to our outstanding team. We care about employee satisfaction and want you to
 **love your job** 
 . Here at Naturescape, we have a team culture where
 **management is always willing to train and take the time to help you succeed** 
 .
 For the benefit of our employees, customers, and anyone who interacts with Naturescape, we are proud to be a drug\-free workplace and provide safe and healthy working conditions at all of our branches.
**Here's What Our Employees Love About Working At Naturescape**
*"Management is team\-oriented and genuinely interested in employees, team environment is positively reinforced and overall a great place to be."*
*"Everyone has made an effort in training me. People actually care about me and my family, along with things we are involved in."*
*"Naturescape is an awesome company to work for . . . very generous and have always been very caring and understanding. I am happy to have chosen Naturescape for my career."*
**ARE YOU READY TO JOIN OUR TEAM?**
 If you feel that you would be right for this position, please fill out our initial
 **3\-minute, mobile\-friendly application** 
 so that we can review your information. We look forward to meeting you!
**Come Grow With Us!**
***Job Posted by ApplicantPro***</t>
        </is>
      </c>
    </row>
    <row r="14">
      <c r="A14" t="inlineStr">
        <is>
          <t>li-4367303779</t>
        </is>
      </c>
      <c r="B14" t="inlineStr">
        <is>
          <t>Backend Software Engineer</t>
        </is>
      </c>
      <c r="C14" t="inlineStr">
        <is>
          <t>Eco Battery</t>
        </is>
      </c>
      <c r="D14" t="inlineStr">
        <is>
          <t>linkedin</t>
        </is>
      </c>
      <c r="E14" t="inlineStr"/>
      <c r="F14" t="inlineStr"/>
      <c r="G14" t="inlineStr"/>
      <c r="H14" t="inlineStr"/>
      <c r="I14" t="inlineStr">
        <is>
          <t>**About Eco Battery**
 Eco Battery is a leading manufacturer of lithium batteries for golf carts, celebrated as the fastest\-growing company in its sector over the past three years. Known for its innovative engineering and cutting\-edge technology, Eco Battery delivers tailored energy solutions designed to enhance performance and reliability. The company’s success is driven by a relentless focus on customer satisfaction, crafting every product and service with the user’s needs in mind. Eco Battery’s commitment to excellence and sustainable energy solutions positions it as a trusted name in the industry, redefining the way golf carts are powered.
**Role Overview**
 Eco Battery is a leading lithium battery company building smart, reliable energy solutions. We are seeking a
 ****Backend Engineer****
 to join a small, high\-caliber engineering team developing an
 ****event\-sourced backend on AWS****
 that powers our mobile applications and connected battery systems.
 This is a hands\-on, fast\-paced role focused on execution. We work in short iterations, ship MVPs quickly, and continuously refine our systems based on real\-world use.
**Key Responsibilities**
* Design, develop, and maintain backend services supporting mobile, web, and IOT related applications.
* Build and deploy production\-grade Python services in AWS
* Implement and support event\-driven architectures for scalable systems
* Debug and resolve production issues by analyzing logs and system behavior
* Collaborate closely with engineering, product, and operations teams
* Take ownership of features from development through deployment and ongoing support
* Write and maintain test suites for APIs and web applications
**Qualifications**
****What You Must Have****
* Working knowledge of Python Experience writing Python code that is deployed and running in a production environment
* AWS proficiency Comfort navigating AWS services and understanding how common services integrate
* Debugging skills Ability to trace issues, interpret logs, and diagnose problems in live systems
* Strong work ethic Willingness to put in the effort required to ship and support real software
* Positive attitude Collaborative, adaptable, and receptive to feedback
**Preferred Skills**
* Experience with event sourcing, event modeling, and CQRS
* Familiarity with multiple data stores:
* 
+ SQL
+ NoSQL
+ In\-memory databases
* Experience with Python backend tools such as:
* 
+ FastAPI and Pydantic
+ AWS boto3
+ Pytest and Playwright
* A good sense of humor
****Do Not Apply If:****
 You do not meet
 ****all****
 requirements listed under
 ****What You Must Have****
 .
**What We Offer**
* Full coverage medical, dental, and vision insurance
* 401(k) plan with 4% company match
* 3 weeks of paid time off (PTO)
* 3 paid sick days
* 11 paid company holidays
* Opportunity to work on innovative products in the lithium battery and clean energy space
* A collaborative, high\-ownership environment with room to make real impact
**The Pay Range For This Role Is**
 105,000 \- 115,000 USD per year(Remote (United States))</t>
        </is>
      </c>
    </row>
    <row r="15">
      <c r="A15" t="inlineStr">
        <is>
          <t>li-4366897923</t>
        </is>
      </c>
      <c r="B15" t="inlineStr">
        <is>
          <t>Senior Software Engineer, Navigation &amp; Robotics</t>
        </is>
      </c>
      <c r="C15" t="inlineStr">
        <is>
          <t>ATEC Spine</t>
        </is>
      </c>
      <c r="D15" t="inlineStr">
        <is>
          <t>linkedin</t>
        </is>
      </c>
      <c r="E15" t="inlineStr"/>
      <c r="F15" t="inlineStr"/>
      <c r="G15" t="inlineStr">
        <is>
          <t>Carlsbad, CA</t>
        </is>
      </c>
      <c r="H15" t="inlineStr"/>
      <c r="I15" t="inlineStr">
        <is>
          <t>The Senior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 Perform integration and system level testing of software and software/hardware systems
* Develop documentation related to software development projects (design artifacts, test plans/cases, etc.)
* Perform task estimation and develop software projects according to project plan
* Manage multiple tasks/projects and priorities
* Attend surgical cases, engage with surgeons, and maintain familiarity with current company endeavors across technical areas
* Support integration of advanced algorithms into production software applications, including AI/ML image processing systems and image display \&amp; rendering toolkits
* Work closely with R\&amp;D and Marketing teams to support clinical prototyping, testing, and formal evaluation in cadaveric surgical lab settings
* Maintain rigorous version control, unit testing, and documentation to support regulatory evaluation and formal test efforts
* Ability to travel up to 15% of the time
**Requirements**
 The requirements listed below are representative of the knowledge, skill, and/or ability required. Reasonable accommodations may be made to enable individuals with disabilities to perform the essential functions.
* Experienced with commercial software development for medical devices (IEC 62304\). Experience with surgical navigation a plus
* Experienced in C\+\+ development in Linux environment. Experience with Qt framework is a plus
* Exposure to 2D\-to\-3D image registration, particularly in intra\-op spine imaging, desired
* Familiarity with image processing and rendering toolkits such as VTK, ITK, OpenCV
* Experience with 3D volumetric imaging (such as CT, CBCT, MRI) and medical image data formats (DICOM)
* Experience with Agile software development methodologies, Git / Azure DevOps / Jira
* Excellent written and verbal communication skills
* Familiarity with 3D geometry for spatial navigation systems a plus
**Education And Experience**
* 5\+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$140,000 Full\-Time Annual Salary
*Please Note: The employer will not sponsor applicants for work visas for this position.*</t>
        </is>
      </c>
    </row>
    <row r="16">
      <c r="A16" t="inlineStr">
        <is>
          <t>li-4367326994</t>
        </is>
      </c>
      <c r="B16" t="inlineStr">
        <is>
          <t>Full Stack Engineer</t>
        </is>
      </c>
      <c r="C16" t="inlineStr">
        <is>
          <t>Eight Sleep</t>
        </is>
      </c>
      <c r="D16" t="inlineStr">
        <is>
          <t>linkedin</t>
        </is>
      </c>
      <c r="E16" t="inlineStr"/>
      <c r="F16" t="inlineStr"/>
      <c r="G16" t="inlineStr"/>
      <c r="H16" t="inlineStr"/>
      <c r="I16"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We’re a team that puts in the extra effort, not because it’s required, but because we care about the impact of our work. We’re here to build fast, push limits, and deliver without compromise. If you thrive under pressure and want to do the most meaningful work of your career, you’ll feel right at home. If you’re looking for something easier – this isn’t it.
**The Role**
 We're looking for a talented Full Stack Engineer to join our team, with responsibilities spanning all parts of our web stack, including our consumer website, payments and ecommerce infrastructure, and online member experience. If you are a mission\-oriented engineer who is excited working across a diverse set of challenges to ship game\-changing health and fitness experiences, this is the right opportunity for you.
**What You'll Build**
* Build and own full stack consumer experiences, from pixel\-perfect interfaces to robust, scalable backend infrastructure
* Run experiments and iterate towards a best\-in\-class ecommerce storefront that accelerates growth and serves as a compelling first touchpoint for our future members.
* Collaborate with product managers, designers, and engineers across the organization to bring our game\-changing member experience to the web
* Shape the future of our growing software team by laying the groundwork for new product areas
**What You'll Need To Succeed**
* 6\+ years of experience shipping high\-quality consumer web apps using React
* Expertise in Javascript, TypeScript and Node.js
* End\-to\-end knowledge of modern web app architecture (including relational databases, API design, cloud infrastructure, and security) as well as best development practices
* Familiarity with manipulating and processing complex data
* BA/BS in Computer Science, or equivalent experience
 And...
* You’re excited about the health and fitness technology space and the opportunity to measurably improve lives
* You have the desire to make an outsized impact as part of a rapidly growing, dynamic team
* You are willing to roll up your sleeves and use whatever language or framework will best help you get the job done
* You love thinking about things from the customer’s perspective and trying to understand what motivates and drives decision making
* You have side projects outside of work that you’re excited to tell us about
**Preferred Experience**
* Familiarity with Next.js, Three.js, GSAP
* Experience working at a consumer products company focusing on health and wellness.
* Knowledge of design programs (Figma, Sketch, Photoshop).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Pay grows rapidly as you accumulate experience with Eight Sleep and translate it into concrete impact.
**Your Own Pod \- And Other Great Benefits**
 Every Eight Sleep employee receives the very product that defines our mission: a Pod of their own. If you join us you’ll get your own Pod, along with other benefits. Learn more at eightsleep.com/careers
 At Eight Sleep we continually celebrate the diverse community different individuals cultivate. As an equal opportunity employer, we stay true to our values by ensuring everyone feels they can flourish and grow. We are committed to equal employment opportunities regardless of race, color, ancestry, religion, sex, national origin, sexual orientation, age, citizenship, marital status, disability, gender identity or Veteran status.</t>
        </is>
      </c>
    </row>
    <row r="17">
      <c r="A17" t="inlineStr">
        <is>
          <t>li-4367339055</t>
        </is>
      </c>
      <c r="B17" t="inlineStr">
        <is>
          <t>Software Engineer</t>
        </is>
      </c>
      <c r="C17" t="inlineStr">
        <is>
          <t>Belay Technologies</t>
        </is>
      </c>
      <c r="D17" t="inlineStr">
        <is>
          <t>linkedin</t>
        </is>
      </c>
      <c r="E17" t="inlineStr"/>
      <c r="F17" t="inlineStr"/>
      <c r="G17" t="inlineStr">
        <is>
          <t>Annapolis Junction, MD</t>
        </is>
      </c>
      <c r="H17" t="inlineStr"/>
      <c r="I17" t="inlineStr">
        <is>
          <t>**Belay Technologies has been voted Baltimore Business Journal's (BBJ) Best Places to Work 2019, runner up in 2020 and a finalist in 2021!**
 Belay Technologies is seeking a Software Engineer to join our intel team. As a Full\-Stack Developer, you and your team will be responsible for designing, developing, and implementing frontend and backend software for a critical web application that supports CNO mission goals. You will directly support analysts and developers. Working closely with the team, you will play a crucial role in helping to develop and maintain a full stack application supporting unique and tailored automations as well as assisting with integration of new automations into the system. Your responsibilities will include designing, coding, testing, implementation, deployment as well as support and maintenance.
**Responsibilities:**
* Work closely with the team to understand and address the needs of analysts and developers
* Design, architect, and implement robust and scalable software solutions that align with project objectives and requirements
* Continuously improve and optimize existing codebase to ensure high performance and maintainability
* Independently drive projects, taking ownership of the entire development lifecycle
* Perform full stack development of system features based on customer requirements
* Assist with automation of development tasks and implementation and maintenance of CI/CD workflows and development best practices such as testing
**Candidates should have the following qualifications:**
* TS/SCI Clearance with polygraph
* 3 yrs., B.S. in a technical discipline or 4 additional yrs. in place of B.S
**Candidates are required to have the following skills:**
* Experience with back\-end development using Python frameworks such as Django to create custom libraries and REST APIs
* Proficiency in front\-end technologies such as React/Vue/Next, JavaScript, HTML5, and CSS3 for creating user interfaces
* Familiarity with SQL and NoSQL databases (PostGres, MySQL, Elasticsearch, MongoDB, Redis, etc.)
* Familiarity with version control systems like Git for collaborative development
* Willingness and ability to learn and adapt quickly on the job, including internal systems unique to CNO
* Problem\-solving mindset and a passion for delivering quality solutions
* Atlassian Tools (Jira, Confluence)
**Candidates are required to have the following skills:**
* Prior experience within CNO
* Service containerization and deployment with Docker/Kubernetes
* Familiarity with data orchestration tools such as Nifi, Dagster, Airflow, etc.
* Familiarity with Devops tools and processes such as automated testing and CI/CD workflows
* Linux
* Jupyter Notebooks
* XKS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0pBHWsBDDW</t>
        </is>
      </c>
    </row>
    <row r="18">
      <c r="A18" t="inlineStr">
        <is>
          <t>li-4367320166</t>
        </is>
      </c>
      <c r="B18" t="inlineStr">
        <is>
          <t>Backend Software Engineer</t>
        </is>
      </c>
      <c r="C18" t="inlineStr">
        <is>
          <t>Eco Battery</t>
        </is>
      </c>
      <c r="D18" t="inlineStr">
        <is>
          <t>linkedin</t>
        </is>
      </c>
      <c r="E18" t="inlineStr"/>
      <c r="F18" t="inlineStr"/>
      <c r="G18" t="inlineStr">
        <is>
          <t>St George, UT</t>
        </is>
      </c>
      <c r="H18" t="inlineStr"/>
      <c r="I18" t="inlineStr">
        <is>
          <t>**About Eco Battery**
 Eco Battery is a leading manufacturer of lithium batteries for golf carts, celebrated as the fastest\-growing company in its sector over the past three years. Known for its innovative engineering and cutting\-edge technology, Eco Battery delivers tailored energy solutions designed to enhance performance and reliability. The company’s success is driven by a relentless focus on customer satisfaction, crafting every product and service with the user’s needs in mind. Eco Battery’s commitment to excellence and sustainable energy solutions positions it as a trusted name in the industry, redefining the way golf carts are powered.
**Role Overview**
 Eco Battery is a leading lithium battery company building smart, reliable energy solutions. We are seeking a
 ****Backend Engineer****
 to join a small, high\-caliber engineering team developing an
 ****event\-sourced backend on AWS****
 that powers our mobile applications and connected battery systems.
 This is a hands\-on, fast\-paced role focused on execution. We work in short iterations, ship MVPs quickly, and continuously refine our systems based on real\-world use.
**Key Responsibilities**
* Design, develop, and maintain backend services supporting mobile, web, and IOT related applications.
* Build and deploy production\-grade Python services in AWS
* Implement and support event\-driven architectures for scalable systems
* Debug and resolve production issues by analyzing logs and system behavior
* Collaborate closely with engineering, product, and operations teams
* Take ownership of features from development through deployment and ongoing support
* Write and maintain test suites for APIs and web applications
**Qualifications**
****What You Must Have****
* Working knowledge of Python Experience writing Python code that is deployed and running in a production environment
* AWS proficiency Comfort navigating AWS services and understanding how common services integrate
* Debugging skills Ability to trace issues, interpret logs, and diagnose problems in live systems
* Strong work ethic Willingness to put in the effort required to ship and support real software
* Positive attitude Collaborative, adaptable, and receptive to feedback
**Preferred Skills**
* Experience with event sourcing, event modeling, and CQRS
* Familiarity with multiple data stores:
* 
+ SQL
+ NoSQL
+ In\-memory databases
* Experience with Python backend tools such as:
* 
+ FastAPI and Pydantic
+ AWS boto3
+ Pytest and Playwright
* A good sense of humor
****Do Not Apply If:****
 You do not meet
 ****all****
 requirements listed under
 ****What You Must Have****
 .
**What We Offer**
* Full coverage medical, dental, and vision insurance
* 401(k) plan with 4% company match
* 3 weeks of paid time off (PTO)
* 3 paid sick days
* 11 paid company holidays
* Opportunity to work on innovative products in the lithium battery and clean energy space
* A collaborative, high\-ownership environment with room to make real impact
**The Pay Range For This Role Is**
 105,000 \- 115,000 USD per year(Remote (United States))</t>
        </is>
      </c>
    </row>
    <row r="19">
      <c r="A19" t="inlineStr">
        <is>
          <t>li-4367334926</t>
        </is>
      </c>
      <c r="B19" t="inlineStr">
        <is>
          <t>Full Stack Engineer</t>
        </is>
      </c>
      <c r="C19" t="inlineStr">
        <is>
          <t>Eight Sleep</t>
        </is>
      </c>
      <c r="D19" t="inlineStr">
        <is>
          <t>linkedin</t>
        </is>
      </c>
      <c r="E19" t="inlineStr"/>
      <c r="F19" t="inlineStr"/>
      <c r="G19" t="inlineStr">
        <is>
          <t>New York, NY</t>
        </is>
      </c>
      <c r="H19" t="inlineStr"/>
      <c r="I19"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We’re a team that puts in the extra effort, not because it’s required, but because we care about the impact of our work. We’re here to build fast, push limits, and deliver without compromise. If you thrive under pressure and want to do the most meaningful work of your career, you’ll feel right at home. If you’re looking for something easier – this isn’t it.
**The Role**
 We're looking for a talented Full Stack Engineer to join our team, with responsibilities spanning all parts of our web stack, including our consumer website, payments and ecommerce infrastructure, and online member experience. If you are a mission\-oriented engineer who is excited working across a diverse set of challenges to ship game\-changing health and fitness experiences, this is the right opportunity for you.
**What You'll Build**
* Build and own full stack consumer experiences, from pixel\-perfect interfaces to robust, scalable backend infrastructure
* Run experiments and iterate towards a best\-in\-class ecommerce storefront that accelerates growth and serves as a compelling first touchpoint for our future members.
* Collaborate with product managers, designers, and engineers across the organization to bring our game\-changing member experience to the web
* Shape the future of our growing software team by laying the groundwork for new product areas
**What You'll Need To Succeed**
* 6\+ years of experience shipping high\-quality consumer web apps using React
* Expertise in Javascript, TypeScript and Node.js
* End\-to\-end knowledge of modern web app architecture (including relational databases, API design, cloud infrastructure, and security) as well as best development practices
* Familiarity with manipulating and processing complex data
* BA/BS in Computer Science, or equivalent experience
 And...
* You’re excited about the health and fitness technology space and the opportunity to measurably improve lives
* You have the desire to make an outsized impact as part of a rapidly growing, dynamic team
* You are willing to roll up your sleeves and use whatever language or framework will best help you get the job done
* You love thinking about things from the customer’s perspective and trying to understand what motivates and drives decision making
* You have side projects outside of work that you’re excited to tell us about
**Preferred Experience**
* Familiarity with Next.js, Three.js, GSAP
* Experience working at a consumer products company focusing on health and wellness.
* Knowledge of design programs (Figma, Sketch, Photoshop).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Pay grows rapidly as you accumulate experience with Eight Sleep and translate it into concrete impact.
**Your Own Pod \- And Other Great Benefits**
 Every Eight Sleep employee receives the very product that defines our mission: a Pod of their own. If you join us you’ll get your own Pod, along with other benefits. Learn more at eightsleep.com/careers
 At Eight Sleep we continually celebrate the diverse community different individuals cultivate. As an equal opportunity employer, we stay true to our values by ensuring everyone feels they can flourish and grow. We are committed to equal employment opportunities regardless of race, color, ancestry, religion, sex, national origin, sexual orientation, age, citizenship, marital status, disability, gender identity or Veteran status.</t>
        </is>
      </c>
    </row>
    <row r="20">
      <c r="A20" t="inlineStr">
        <is>
          <t>li-4366223375</t>
        </is>
      </c>
      <c r="B20" t="inlineStr">
        <is>
          <t>Senior Software Engineer (Backend), Research Enablement</t>
        </is>
      </c>
      <c r="C20" t="inlineStr">
        <is>
          <t>Path Robotics</t>
        </is>
      </c>
      <c r="D20" t="inlineStr">
        <is>
          <t>linkedin</t>
        </is>
      </c>
      <c r="E20" t="inlineStr"/>
      <c r="F20" t="inlineStr"/>
      <c r="G20" t="inlineStr">
        <is>
          <t>Columbus, OH</t>
        </is>
      </c>
      <c r="H20" t="inlineStr"/>
      <c r="I20"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looking for a Senior Software Engineer to be the architect and caretaker of our codebase, building the systems and tools that make it easy for our ML, CV, and robotics engineers to explore ideas and turn them into production\-grade solutions. You’ll work closely with our research teams and our data platform team — leveraging their data and ML infrastructure expertise — while focusing on creating a robust, scalable, and developer\-friendly foundation.
 What You’ll Do
 * Architect production\-grade Python systems that make experimentation, prototyping, and deployment fast, reliable, and low\-friction for research teams.
* Lead engineering best practices around code quality, testing, modularity, and documentation to keep our codebase clean and maintainable.
* Build internal tooling, APIs, and libraries that abstract away infrastructure complexity so researchers can focus on solving ML, CV, and robotics problems.
* Collaborate with the data platform team to integrate data processing, training, and inference capabilities — without owning those pipelines end\-to\-end.
* Design CI/CD workflows for research\-heavy Python projects to ensure smooth transition from prototype to production.
* Integrate team’s ML/CV code into the company’s C\+\+/ROS codebase.
* Act as the technical lead within the research team, making key engineering decisions and mentoring others in writing high\-quality, maintainable code.
 Who You Are
 * Strong background in software architecture and large\-scale Python development
* Have experience building developer tools, frameworks, or platforms for technical teams.
* Proven experience with cloud\-based development, including designing and managing data storage, persistence, and secure access in cloud environments; deploying ML workloads in AWS and/or Azure; and integrating on\-premises infrastructure with cloud services.
* Understand ML/CV/robotics workflows well enough to support them — but your superpower is building great software, not tuning models.
* Thrive in collaborative environments where you’re a bridge between research and production.
 Team Player:
 * **Startup Energizer:** 
 The idea of joining a growing venture\-backed startup excites you because you know your work will have an immediate and significant impact.
* **Collaboration Champion:** 
 You thrive in a collaborative environment, working closely with others to achieve common goals and drive success.
* **Mentorship Minded:** 
 You are passionate about helping peers, fostering best practices, and promoting continuous improvement within the team.
* **Quality Advocate:** 
 You are dedicated to maintaining high standards of quality, shipping reliable and high\-quality code that you can be proud of, knowing that good quality also enables fast delivery.
 Why You'll Love It Here
 * Free lunch every day
* Flexible PTO
* Medical, Dental, and Vision insurance
* 6 weeks 100% paid parental leave plus an additional 6\-8 weeks maternity leave for the birthing parent (12\-14 weeks total)
* 401K through Empower
* Paid Referral Bonus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21">
      <c r="A21" t="inlineStr">
        <is>
          <t>li-4367365177</t>
        </is>
      </c>
      <c r="B21" t="inlineStr">
        <is>
          <t>Software Engineer</t>
        </is>
      </c>
      <c r="C21" t="inlineStr">
        <is>
          <t>Awetomaton Ltd</t>
        </is>
      </c>
      <c r="D21" t="inlineStr">
        <is>
          <t>linkedin</t>
        </is>
      </c>
      <c r="E21" t="inlineStr"/>
      <c r="F21" t="inlineStr"/>
      <c r="G21" t="inlineStr">
        <is>
          <t>Beavercreek, OH</t>
        </is>
      </c>
      <c r="H21" t="inlineStr"/>
      <c r="I21" t="inlineStr">
        <is>
          <t>Awetomaton is seeking a Software Engineer to support existing customers at Wright\-Patterson Air Force Base in Dayton, Ohio. In this role you will work with a team of 10\-15 managing and sustaining an enterprise analysis platform to derive insights from raw sensor data. The ideal candidate will possess a BS degree or higher in engineering or related field. This position will largely be performed from WPAFB and require a security clearance. Sponsorship is available, but Active Top Secret is
 *highly preferred.*
**Criteria for success**
* Communicate effectively in both written and verbal form with peers \&amp; decision makers
* Demonstrate initiative when faced with limited guidance or ambiguous requirements
* Familiarity with platform management concepts including containerization and Kubernetes
**Required Experience and Skills**
* Bachelor of Science in Computer Science, Engineering, or Software focused Engineering discipline
* Mastery of software configuration management using Git
* Proficient in a modern programming language (Python, JavaScript, etc.)
**Desired Education and Experience**
* Expertise developing modular, reusable software via strong Object\-Oriented Software development practices
* Experience with Container Technology (Docker / podman / etc.)
* Experience following GitFlow and GitOps workflows using team repository (GitHub / Gitlab / etc.)
* Ability to apply agentic tooling to accelerate development velocity
**About Awetomaton**
 We build software that enables humans to make informed decisions from raw intel data, with a specialization in satellite collection. We are a Dayton\-based defense startup that believes there is a critical skill \&amp; culture gap \- one we are filling with high\-output, mission focused engineering talent. Results matter to our customers. We've never lost a customer because we deliver what they need. Awetomaton is where you do work that matters with a passionate team in an environment that inspires your creativity.
**Benefits**
 We provide industry leading benefits that balance your health \&amp; wellbeing today, as well as lay a solid financial future into retirement. Highlights of our benefit plan include:
* Flexible time off totaling 36 days / year. No approvals required.
* 100% 401k company match up to IRS annual limits. This is a benefit of up to $23,500 for 2025\.
* Health plan through Blue Cross Blue Shield with Health Savings Account (HSA). We pay 95% of employee premiums including family plans.
* Employee favorite: Tech and Wellness reimbursement of $3000 / year. Treat yourself with the newest gadgets or athletic gear. No approvals required.
* Annual profit sharing as 401k contribution. No set percent and dependent on annual company performance. Benefit is above and beyond 401k match.
* Windows or MacBook laptop and well\-equipped office spaces for optimal productivity in office and on\-the\-go.</t>
        </is>
      </c>
    </row>
    <row r="22">
      <c r="A22" t="inlineStr">
        <is>
          <t>li-4257040419</t>
        </is>
      </c>
      <c r="B22" t="inlineStr">
        <is>
          <t>Senior Software Engineer (Remote)</t>
        </is>
      </c>
      <c r="C22" t="inlineStr">
        <is>
          <t>Pomelo Care</t>
        </is>
      </c>
      <c r="D22" t="inlineStr">
        <is>
          <t>linkedin</t>
        </is>
      </c>
      <c r="E22" t="inlineStr"/>
      <c r="F22" t="inlineStr"/>
      <c r="G22" t="inlineStr"/>
      <c r="H22" t="inlineStr"/>
      <c r="I22" t="inlineStr">
        <is>
          <t>**About Us**
 Pomelo Care is the national leader in evidence\-based healthcare for women and children. We deliver personalized, high\-quality clinical interventions from reproductive care and pregnancy, infant care and pediatrics, to hormonal health through perimenopause and menopause, with long\-term preventive care and condition management. Our model delivers 24/7 multispecialty care to address the medical, behavioral, and social factors that most significantly impact outcomes for women and children. We partner with payers, employers, and providers to expand access to quality healthcare across the system.
 Our engineering team is the engine behind our innovative virtual care platform, building AI\-powered solutions that fundamentally transform care delivery and create exceptional experiences for both patients and clinicians. If you're passionate about using technology to effect real, tangible good in the world, we'd love to meet you.
**What You'll Do**
 As a Software Engineer, you will take a leading role in designing, building and scaling the technology that underpins Pomelo’s success. You will be a technical leader and a mentor to others. On any given day, you may:
* Write clean, elegant code to ship new features and keep our platform humming
* Lead the design and development of robust, scalable systems that enable our clinical team to deliver personalized, data\-driven care
* Push the boundaries of our new AI\-powered tools, building agents that make clinicians drastically more efficient and effective
* Enhance our mobile experience, ensuring parents and families feel connected and supported throughout their journey
* Mentor other engineers, providing technical guidance and thoughtful code reviews, and generally fostering a culture of engineering excellence
* Collaborate with product and clinical leadership to influence the technical roadmap and ensure we are tackling the most impactful problems
**Who You Are**
 You’re a seasoned, product\-minded engineer who is comfortable with ambiguity and proactively identifies opportunities that have a big impact on the business. You would rather talk to a customer than be handed a spec and you have a proven ability to translate user needs into high\-quality technical solutions. In particular, you:
* Have 5\+ years of experience shipping high\-quality, scalable software systems
* Have a high level of proficiency in system and relational database design and one or more languages like Java, C\#, Kotlin, Python, Go, etc.
* Have experience developing applications with modern front\-end frameworks like React or Vue.js
* Are passionate about staying on the cutting\-edge of agentic tooling to significantly accelerate delivery and amplify engineering impact
* Have a track record of delivering elegant and maintainable solutions to complex problems that matter
**We'll Be Super Excited If You**
* Have prior experience in AI/ML, natural language processing or building agent\-based systems
* Have previously worked in a fast\-paced, product\-oriented environment
**Why you should join our team**
 By Joining Pomelo, You Will Help Shape The Future Of a Fast\-moving, Well\-funded And Mission\-driven Startup That Always Puts The Patient First. You Will Learn, Grow And Be Challenged \-\- And Have Fun With Your Team While Doing It. We Strive To Create An Environment Where Employees From All Backgrounds Are Respected. We Also Offer
* Competitive healthcare benefits
* Generous equity compensation
* Unlimited vacation
* Membership in the First Round Network (a curated and confidential community with events, guides, thousands of Q\&amp;A questions, and opportunities for 1\-1 mentorship)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$190,000 to $220,000\. We expect most candidates to fall in the middle of the range.*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row>
    <row r="23">
      <c r="A23" t="inlineStr">
        <is>
          <t>li-4367022422</t>
        </is>
      </c>
      <c r="B23" t="inlineStr">
        <is>
          <t>Senior Backend Software Engineer</t>
        </is>
      </c>
      <c r="C23" t="inlineStr">
        <is>
          <t>Apple</t>
        </is>
      </c>
      <c r="D23" t="inlineStr">
        <is>
          <t>linkedin</t>
        </is>
      </c>
      <c r="E23" t="inlineStr"/>
      <c r="F23" t="inlineStr"/>
      <c r="G23" t="inlineStr">
        <is>
          <t>Seattle, WA</t>
        </is>
      </c>
      <c r="H23" t="inlineStr"/>
      <c r="I23" t="inlineStr">
        <is>
          <t>**Summary**
 Imagine what you could do here. At Apple, new ideas have a way of becoming extraordinary products very quickly. Bring passion and dedication to your job, and there's no telling what we can accomplish together. We're looking for a hardworking and passionate person to join this amazing team, and if you feel this is you, we'd love to hear from you! As part of Apple Services Engineering (ASE) organization, the Content Partner Application team is one of the most exciting examples of Apple’s long\-held passion for combining art and technology. This is the team that is responsible for providing analytical insights to content partners such as App Developers, Music Artists and Podcast Artists. The scale and reach of what this team builds is huge, for example App Analytics is used by app developers worldwide to track key performance indicators for their apps, Similarly, Apple Music for Artists serves music artists worldwide who publish their songs on Apple Music. While our reach is large, the team is small, nimble, and multi\-functional. As our charter grows, we are looking for an experienced Application Backend Enginee to join our team. By joining us your innovative ideas will impact millions of users worldwide and you will contribute to Apple’s magic.
**Description**
 We’re a team of full stack engineers (iOS, frontend and backend). We build web and iOS applications that are used by music artists, podcasters and app developers. Your responsibilities will include all aspects of iOS development, from design and analysis to development, implementation and maintenance. You will work multi\-functionally to implement new product features, improves existing features, and add performance and software quality metrics to our codebase.
**Minimum Qualifications**
* BS in Computer Science (or equivalent field) with demonstrated ability
* Deep expertise in Java and a strong grasp of multithreading and memory management, and using Java web\-service frameworks
* Professional experience with relational databases and writing optimized, complex SQL.
* Prior experience designing, implementing, maintaining, and deploying distributed web services on cloud architecture
* Excellent communication and teamwork skills.
**Preferred Qualifications**
* Prior experience building server\-side reusable components, platforms, or capabilities
* Hands on experience using Java (or similar JVM based technology) web\-service frameworks and build systems (Bazel, Gradle, etc)
* Proficiency in packaging applications with Docker and managing deployments within Kubernetes to ensure scalable and reliable application hosting.
* Experience with CI/CD tools and practices to automate the build, test, and deployment process.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
      <c r="A24" t="inlineStr">
        <is>
          <t>li-4366898341</t>
        </is>
      </c>
      <c r="B24" t="inlineStr">
        <is>
          <t>Staff Full Stack Software Engineer</t>
        </is>
      </c>
      <c r="C24" t="inlineStr">
        <is>
          <t>C the Signs</t>
        </is>
      </c>
      <c r="D24" t="inlineStr">
        <is>
          <t>linkedin</t>
        </is>
      </c>
      <c r="E24" t="inlineStr"/>
      <c r="F24" t="inlineStr"/>
      <c r="G24" t="inlineStr">
        <is>
          <t>New York, NY</t>
        </is>
      </c>
      <c r="H24" t="inlineStr"/>
      <c r="I24" t="inlineStr">
        <is>
          <t>C the Signs is dedicated to transforming the future of cancer care through our innovative AI\-powered platform. We empower healthcare professionals and patients with the tools and information needed to effectively recognize cancer symptoms, ensuring timely treatment and improved outcomes. As we expand our impact into new markets, we are looking for a passionate Staff Full Stack Software Engineer to join our talented team.
**About The Role**
 As a Staff Full Stack Software Engineer, you will take a leadership role in both front\-end and back\-end development, shaping the architecture of our platform and driving key technical initiatives. You will be responsible for designing and implementing scalable and efficient applications while collaborating with cross\-functional teams to deliver exceptional user experiences. Your expertise will be instrumental in guiding other engineers, fostering best practices, and ensuring the success of our engineering efforts.
* Design, develop, and maintain robust web applications using modern technologies
* Lead technical projects from conception to deployment, ensuring quality and adherence to timelines
* Architect and implement scalable backend services, leveraging cloud technologies and best practices
* Develop intuitive user interfaces in React (v.18\) and TypeScript, ensuring responsive design principles
* Collaborate with product managers, designers, and other stakeholders to translate requirements into technical specifications
* Mentor and guide junior engineers, fostering a collaborative and growth\-oriented team culture
* Stay up\-to\-date with industry trends and emerging technologies to continuously improve our platform
**Requirements**
* 8\+ years of experience as a Full Stack Software Engineer, with a strong focus on both front\-end (React, TypeScript) and back\-end (Java, Node.js, or similar) technologies
* Proven experience designing and building scalable applications and services in a production environment
* Strong understanding of RESTful APIs and microservices architecture
* Proficiency in cloud platforms (AWS, GCP, or Azure) and containerization technologies like Docker
* Experience with database technologies (SQL and NoSQL)
* Solid understanding of web security principles and best practices
* Familiarity with CI/CD pipelines and DevOps practices
* Experience with Agile development methodologies
* Excellent problem\-solving and analytical skills, with a strong attention to detail
* Strong communication and interpersonal skills, capable of presenting ideas clearly to technical and non\-technical audiences
* Ability to thrive in a fast\-paced, collaborative environment and adapt to changing priorities
* Experience in healthcare or health\-tech development is a plus
* Native mobile development experience is also a plus.
**Benefits**
* Health Care Plan (Medical, Dental \&amp; Vision)
* Retirement Plan (401k, IRA)
* Life Insurance (Basic, Voluntary \&amp; AD\&amp;D)
* Paid Time Off (Vacation, Sick \&amp; Public Holidays)
* Work From Home</t>
        </is>
      </c>
    </row>
    <row r="25">
      <c r="A25" t="inlineStr">
        <is>
          <t>li-4367338299</t>
        </is>
      </c>
      <c r="B25" t="inlineStr">
        <is>
          <t>Senior Software Engineer, Data Platforms</t>
        </is>
      </c>
      <c r="C25" t="inlineStr">
        <is>
          <t>Pryon</t>
        </is>
      </c>
      <c r="D25" t="inlineStr">
        <is>
          <t>linkedin</t>
        </is>
      </c>
      <c r="E25" t="inlineStr"/>
      <c r="F25" t="inlineStr"/>
      <c r="G25" t="inlineStr">
        <is>
          <t>Boston, MA</t>
        </is>
      </c>
      <c r="H25" t="inlineStr"/>
      <c r="I25" t="inlineStr">
        <is>
          <t>**About Pryon:**
 We’re a team of AI, technology, and language experts whose DNA lives in Alexa, Siri, Watson, and virtually every human language technology product on the market. Now we’re building an industry\-leading knowledge management and Retrieval\-Augmented Generation (RAG) platform. Our proprietary, cutting\-edge natural language processing capabilities transform unstructured data into meaningful experiences that increase productivity with unmatched accuracy and speed.
 We're looking to hire a Senior Software Engineer onto our AI Engineering team. In this role, you'll work collaboratively with other members of the AI Engineering team as well as the Software Engineering, Platform and Product teams to build our data platform, supporting a large scale enterprise answer engine product. You'll have the opportunity to work with some of the most talented engineers in the AI space on truly ground\-breaking technology. If this sounds appealing, please read on!
**In This Role, You Will:**
* Build a secure, stable, and scalable platform for connecting to wide variety of systems of record in an enterprise setting
* Improve data ingestion systems needed for world class Information Retrieval and Question Answering systems over structured and unstructured data
* Enable our IR systems to scale to very large collections of documents
* Enable new generation of AI\-driven applications over enterprise data
**What You'll Need to Be Successful:**
* A deep grounding in Computer Science with competencies in data structures, algorithms, and software design
* Masters or higher degree in Computer Science, Machine Learning, or related field, or Bachelors degree with relevant work experience
* 5\+ years of industry experience; technical leadership experience a plus
* Proficiency in Node.js/TypeScript and demonstrated experience with with Golang, Python, and SQL
* Experience with developing large\-scale micro\-service oriented solutions
* Deep understanding of REST, SOAP, GraphQL
* Familiarity with authentication mechanisms like OAuth, JWT and Keycloak
* Direct developer experience with collaboration and content management platforms
* Experience collaborating with and communicating feature impacts to front\-end and back\-end engineering teams
**Benefits for Full Time Employees:**
* Remote first organization
* 100% Company paid Health/Dental/Vision benefits for you and your dependents
* Life Insurance, Short\-term and Long\-term Disability
* 401k
* Unlimited PTO
 We are interested in every qualified candidate who is authorized to work in the United States. However, we are not able to sponsor or take over sponsorship of employment visas at this time.
 Pryon will not consider race, religion, sex, sexual preference, or national origin in ways that violate the Nation's civil rights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Actual cash compensation may vary depending on factors including, but not limited to, location and experience. The range listed is just one component of Pryon's compensation package.</t>
        </is>
      </c>
    </row>
    <row r="26">
      <c r="A26" t="inlineStr">
        <is>
          <t>li-4365321873</t>
        </is>
      </c>
      <c r="B26" t="inlineStr">
        <is>
          <t>Senior Software Engineer</t>
        </is>
      </c>
      <c r="C26" t="inlineStr">
        <is>
          <t>Synack</t>
        </is>
      </c>
      <c r="D26" t="inlineStr">
        <is>
          <t>linkedin</t>
        </is>
      </c>
      <c r="E26" t="inlineStr"/>
      <c r="F26" t="inlineStr"/>
      <c r="G26" t="inlineStr">
        <is>
          <t>San Mateo, CA</t>
        </is>
      </c>
      <c r="H26" t="inlineStr"/>
      <c r="I26" t="inlineStr">
        <is>
          <t>Synack's Penetration Testing as a Service platform manages customers' attack surfaces by discovering new assets, pentesting for critical vulnerabilities and gaining visibility into the root causes of security risks. We are committed to making the world more secure by harnessing a talented, vetted community of security researchers to deliver continuous penetration testing and vulnerability management, with actionable results. Synack's PTaaS platform has uncovered more than 71,000 exploitable vulnerabilities to date, protecting a growing list of Global 2000 customers and U.S. agencies in a FedRAMP Moderate Authorized environment. For more information, please visit
 **www.synack.com** 
 .
 Are you ready to leverage your software development skills to build a platform that is transforming cybersecurity? As a Senior Software Engineer, Backend you will be part of a fast\-paced, collaborative team developing our attack surface intelligence capabilities. You will be a critical contributor to the development and integration of reconnaissance technologies and products while also moving forward the state of engineering best practices in our cybersecurity platform. If you enjoy pivoting between different problems and meeting new challenges every day while developing solutions that are mission critical to the organization, this role is for you! Sounds interesting? Keep reading…
**Please note:** 
 This is a remote position based in the U.S. We can only hire U.S. citizens for this position due to federal government contract requirements.
**Here's what you'll do**
* Develop and integrate cybersecurity testing and analysis systems with best\-in\-class cybersecurity platform
* Build high\-performance, resilient, scalable cloud\-based software, microservices architecture and containers
* Take software through CI/CD all the way to production and own its quality and availability
* Utilize GCP platform to build and run highly\-available software systems
* Identify and resolve performance issues across systems and components
* Collaborate on a cross\-functional team, working with Product, Operations, and Platform Engineering
* Integrate monitoring and alerting capabilities with backend modules to allow proactive improvements to availability and response times
* Design, implement and deliver well\-tested, scalable, highly available systems
* Own and ideate technical solutions for product requirements and user stories
* Actively engage and participate in design and code reviews
* Offer guidance and support to junior team members, encouraging and cultivating a culture of continuous learning within the team
**Here's what you'll need**
* 7\+ years of experience in distributed\-systems and backend software engineering
* Strong Golang Required: 7\+ years of experience minimum.
* Strong experience and understanding of microservices, REST API design, gRPC, unit testing, BDD testing
* Strong design skills required – UML is a bonus; exposure to Domain Driven Design desirable
* Experience with asynchronous messaging technologies such as Google PubSub, Kafka
* In depth knowledge of NoSQL and RDBMS technologies
* Strong experience with Docker, Kubernetes, Cloud Environments (GCP preferred)
* Experience working on agile teams
* Excellent communication and collaboration skills in all mediums
* Experience developing scalable and observable microservice\-based applications
* Experience with GitOps and DevOps principles, practices and tools
* A proven ability to thrive in a collaborative environment involving different stakeholders and subject matter experts
**Nice to have** 
* 
+ Interest in security / penetration testing
+ Interest in GenAI and LLM technologies
**Ready to join us?**
 Synack is committed to embracing diversity. Our people are our strength. Each addition to our team is an opportunity to grow and diversify our ideas, experiences, and viewpoints. Synack strives to be inclusive of all people.
 As a candidate, Synack cares about your privacy. Please view our candidate privacy policy here.
**This position has responsibility to ensure Synack's security and privacy posture is maintained.**
**$150,000 \- $180,000**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For more details about our benefits, please see here. Then for the Employer code, enter:
 **synack**</t>
        </is>
      </c>
    </row>
    <row r="27">
      <c r="A27" t="inlineStr">
        <is>
          <t>li-4366879860</t>
        </is>
      </c>
      <c r="B27" t="inlineStr">
        <is>
          <t>Software Engineer - Mobile (iOS)</t>
        </is>
      </c>
      <c r="C27" t="inlineStr">
        <is>
          <t>C the Signs</t>
        </is>
      </c>
      <c r="D27" t="inlineStr">
        <is>
          <t>linkedin</t>
        </is>
      </c>
      <c r="E27" t="inlineStr"/>
      <c r="F27" t="inlineStr"/>
      <c r="G27" t="inlineStr">
        <is>
          <t>Milwaukee, WI</t>
        </is>
      </c>
      <c r="H27" t="inlineStr"/>
      <c r="I27" t="inlineStr">
        <is>
          <t>C the Signs is dedicated to transforming the future of cancer care through our innovative AI\-powered platform. We empower healthcare professionals and patients with the tools and information needed to effectively recognize cancer symptoms, ensuring timely treatment and improved outcomes. As we expand our impact into new markets, we are looking for a passionate Software Engineer \- Mobile (iOS) to join our talented team.
**About The Role**
 As a Software Engineer \- Mobile (iOS), you will take a leadership role in building and enhancing our native iOS applications, ensuring seamless, high\-performance experiences for healthcare professionals and patients on Apple devices. You will be responsible for designing and implementing elegant, scalable iOS solutions while collaborating with cross\-functional teams to deliver exceptional user experiences. Your expertise will be instrumental in establishing iOS development best practices, leveraging the latest Apple technologies, and ensuring our iOS platform meets the evolving needs of our users.
* Design, develop, and maintain robust native iOS applications using Swift and modern iOS frameworks
* Lead iOS development projects from conception to deployment, ensuring quality and adherence to timelines
* Architect and implement scalable, maintainable iOS solutions that integrate seamlessly with backend services and follow Apple's Human Interface Guidelines
* Develop intuitive, responsive user interfaces using UIKit and SwiftUI, ensuring exceptional user experiences across iPhone and iPad devices
* Collaborate with product managers, designers, backend engineers, and other stakeholders to translate requirements into technical specifications
* Mentor and guide junior developers, fostering a collaborative and growth\-oriented team culture focused on iOS excellence
* Stay up\-to\-date with industry trends and emerging Apple technologies to continuously improve our applications
**Requirements**
* 5\+ years of experience as an iOS Developer, with strong proficiency in Swift and modern iOS development
* Proven experience designing and building scalable iOS applications successfully deployed to the App Store
* Strong proficiency in Swift, SwiftUI, UIKit, and iOS SDK frameworks
* Deep understanding of iOS architecture patterns (MVVM, VIPER, Clean Architecture, or similar)
* Strong understanding of RESTful APIs, networking, and data persistence solutions (Core Data, Realm, or similar)
* Proficiency in iOS CI/CD pipelines, TestFlight, and App Store deployment processes
* Experience with iOS testing frameworks (XCTest, XCUITest) and debugging tools (Instruments)
* Solid understanding of iOS security principles, Keychain, data encryption, and best practices
* Experience with performance optimization, memory management, and iOS app profiling
* Experience with Agile development methodologies
* Excellent problem\-solving and analytical skills, with a strong attention to detail
* Strong communication and interpersonal skills, capable of presenting ideas clearly to technical and non\-technical audiences
* Ability to thrive in a fast\-paced, collaborative environment and adapt to changing priorities
* Experience in healthcare or health\-tech iOS development is a plus
* Experience with HealthKit, CareKit, or other health\-related Apple frameworks is also a plus
* Exposure to React Native is also beneficial
**Benefits**
* Health Care Plan (Medical, Dental \&amp; Vision)
* Retirement Plan (401k, IRA)
* Life Insurance (Basic, Voluntary \&amp; AD\&amp;D)
* Paid Time Off (Vacation, Sick \&amp; Public Holidays)
* Work From Home</t>
        </is>
      </c>
    </row>
    <row r="28">
      <c r="A28" t="inlineStr">
        <is>
          <t>li-4366896343</t>
        </is>
      </c>
      <c r="B28" t="inlineStr">
        <is>
          <t>Staff Full Stack Software Engineer</t>
        </is>
      </c>
      <c r="C28" t="inlineStr">
        <is>
          <t>C the Signs</t>
        </is>
      </c>
      <c r="D28" t="inlineStr">
        <is>
          <t>linkedin</t>
        </is>
      </c>
      <c r="E28" t="inlineStr"/>
      <c r="F28" t="inlineStr"/>
      <c r="G28" t="inlineStr">
        <is>
          <t>Boston, MA</t>
        </is>
      </c>
      <c r="H28" t="inlineStr"/>
      <c r="I28" t="inlineStr">
        <is>
          <t>C the Signs is dedicated to transforming the future of cancer care through our innovative AI\-powered platform. We empower healthcare professionals and patients with the tools and information needed to effectively recognize cancer symptoms, ensuring timely treatment and improved outcomes. As we expand our impact into new markets, we are looking for a passionate Staff Full Stack Software Engineer to join our talented team.
**About The Role**
 As a Staff Full Stack Software Engineer, you will take a leadership role in both front\-end and back\-end development, shaping the architecture of our platform and driving key technical initiatives. You will be responsible for designing and implementing scalable and efficient applications while collaborating with cross\-functional teams to deliver exceptional user experiences. Your expertise will be instrumental in guiding other engineers, fostering best practices, and ensuring the success of our engineering efforts.
* Design, develop, and maintain robust web applications using modern technologies
* Lead technical projects from conception to deployment, ensuring quality and adherence to timelines
* Architect and implement scalable backend services, leveraging cloud technologies and best practices
* Develop intuitive user interfaces in React (v.18\) and TypeScript, ensuring responsive design principles
* Collaborate with product managers, designers, and other stakeholders to translate requirements into technical specifications
* Mentor and guide junior engineers, fostering a collaborative and growth\-oriented team culture
* Stay up\-to\-date with industry trends and emerging technologies to continuously improve our platform
**Requirements**
* 8\+ years of experience as a Full Stack Software Engineer, with a strong focus on both front\-end (React, TypeScript) and back\-end (Java, Node.js, or similar) technologies
* Proven experience designing and building scalable applications and services in a production environment
* Strong understanding of RESTful APIs and microservices architecture
* Proficiency in cloud platforms (AWS, GCP, or Azure) and containerization technologies like Docker
* Experience with database technologies (SQL and NoSQL)
* Solid understanding of web security principles and best practices
* Familiarity with CI/CD pipelines and DevOps practices
* Experience with Agile development methodologies
* Excellent problem\-solving and analytical skills, with a strong attention to detail
* Strong communication and interpersonal skills, capable of presenting ideas clearly to technical and non\-technical audiences
* Ability to thrive in a fast\-paced, collaborative environment and adapt to changing priorities
* Experience in healthcare or health\-tech development is a plus
* Native mobile development experience is also a plus.
**Benefits**
* Health Care Plan (Medical, Dental \&amp; Vision)
* Retirement Plan (401k, IRA)
* Life Insurance (Basic, Voluntary \&amp; AD\&amp;D)
* Paid Time Off (Vacation, Sick \&amp; Public Holidays)
* Work From Home</t>
        </is>
      </c>
    </row>
    <row r="29">
      <c r="A29" t="inlineStr">
        <is>
          <t>li-4366560744</t>
        </is>
      </c>
      <c r="B29" t="inlineStr">
        <is>
          <t>Software Developer</t>
        </is>
      </c>
      <c r="C29" t="inlineStr">
        <is>
          <t>Life Cycle Engineering</t>
        </is>
      </c>
      <c r="D29" t="inlineStr">
        <is>
          <t>linkedin</t>
        </is>
      </c>
      <c r="E29" t="inlineStr"/>
      <c r="F29" t="inlineStr"/>
      <c r="G29" t="inlineStr">
        <is>
          <t>Quantico, VA</t>
        </is>
      </c>
      <c r="H29" t="inlineStr"/>
      <c r="I29" t="inlineStr">
        <is>
          <t>Join Life Cycle Engineering in support of the NCIS IT support services mission headquartered in Quantico, Virginia. The Information Technology Directorate (ITD) supports the NCIS core mission areas to investigate and defeat criminal, terrorist, and foreign intelligence threats by planning for and providing services through appropriate use of the people, equipment, technology, and infrastructure resources of the United States (U.S.) Navy and Marine Corps.
 This position is expected to start in Q3 of 2026
**Position Summary:**
 The Software Developer will work in conjunction with the NCIS IT team and is responsible for program design, modeling, simulation, coding, testing, debugging and documentation.
**Clearance Requirements:**
* Must have an active DoD Top Secret/SCI clearance
**Essential Functions and Responsibilities:**
* Formulates and defines specifications for new applications and modifies (maintains) existing applications using engineering releases and utilities from the manufacturer.
* Responsible for applications dealing with the operating system, such as sophisticated file maintenance routines, large telecommunications / communications networks, accounting, advanced mathematical/scientific software packages (e.g., biometric applications), and applications specific to LE and IC domains.
* Instructs, directs, and reviews the work of other software engineering personnel.
* Evaluates new and existing COTS and GOTS software products.
* Applies industry best practices to all development efforts.
* Must have managed or had significant involvement with complex or substantive information technology projects.
**Required Education, Skills, and Experience** 
 :
* Minimum of ten (10\) years of experience with current technologies and, where required for the task, emerging technologies.
* Skilled in software development using object\-oriented and other general purpose languages (e.g. Java Script, C\+\+, Perl, Python, Ruby, Cold Fusion.Net)
* Understands when agile methodology or a hybrid approach is required
* Experience with Oracle, SQL, Erwin Data Modeler, CVS, and/or Apache Ant.
* Experience with DoN (Department of Navy), DIA (Department of Internal Affairs), DoD (Department of Defense), or LE (Law Enforcement) application requirements
* Minimum of Security Plus (\+) certification or equivalent
**Physical Demands and Expectations:**
* Regular physical activity including walking, climbing stairs, bending, stooping, reaching, lifting (up to 30 pounds), and standing; occasional prolonged sitting
* Ability to speak, read, hear and write, with or without assistance
* Ability to use phone and computer systems, copier, fax and other office equipment
*This position description re present s a summary of the major components and requirements of the outlined job. Other duties and responsibilities may be assigned or required as business needs dictate. Questions regarding this description should immediately be addressed to the department manager or to Human Resources.*
**LIFE CYCLE ENGINEERING**
 Life Cycle Engineering (LCE) is a privately held, employee\-owned company with an emphasis on "doing the right thing the right way”, which applies to the way we treat our customers and employees. We are proud to have been recognized as a "Best Place to Work” in Engineering and in many states and local communities in which we work! Learn more below and at www.lce.com .
**Mission**
**Our mission is to enable people and organizations to achieve their full potential.**
 As a professional services organization, our mission is focused on our clients' people and organizations. It is our company's cornerstone belief that we will not lead the industry in assisting our clients unless we excel at helping our own people and teams reach their full potential.
**Culture**
**Our corporate culture encourages personal and professional growth because** 
**LCE's success depends on the talent, innovation, professionalism, and commitment of its employees.** 
 LCE is a strengths\-based organization focused on turning individual talents into strengths and then turning individual strengths into organizational performance that supports our clients' success.
**Benefits**
* Affordable Medical/Dental/Vision Plans for employees and their families
* Free Employee Life and Disability Insurance, with supplemental coverage options available
* Health Savings Account and Flexible Savings Account options
* Company matched 401(k) \&amp; company\-funded Employee Stock Ownership Program (ESOP)
* Paid Vacation, Holiday, Sick Leave
* Continuing Education and Professional Development programs at all levels
* Flexible Schedules and Relaxed Dress Code
* Employer\-sponsored events, social collaboration, and open communication
* Free access to an extensive online training library, including certification prep
* Bonus Program for outstanding contributions, Employee Referral Program, numerous Recognition Opportunities, and more...
 \*Benefits may vary by business unit and location.
**Life Cycle Engineering is an equal opportunity employer and makes all employment decisions without regard to race, color, religion, sex, sexual orientation, gender identity, national origin, citizenship, age, disability, genetic information, application for or service in the military or status as a disabled veteran or veteran, because of or on the basis of pregnancy, childbirth, or related medical conditions, including, but not limited to, lactation, and any other status protected by applicable state or federal law.**</t>
        </is>
      </c>
    </row>
    <row r="30">
      <c r="A30" t="inlineStr">
        <is>
          <t>li-4367324907</t>
        </is>
      </c>
      <c r="B30" t="inlineStr">
        <is>
          <t>Software Engineer - Sports Technology</t>
        </is>
      </c>
      <c r="C30" t="inlineStr">
        <is>
          <t>JLB</t>
        </is>
      </c>
      <c r="D30" t="inlineStr">
        <is>
          <t>linkedin</t>
        </is>
      </c>
      <c r="E30" t="inlineStr"/>
      <c r="F30" t="inlineStr"/>
      <c r="G30" t="inlineStr">
        <is>
          <t>New York, United States</t>
        </is>
      </c>
      <c r="H30" t="inlineStr"/>
      <c r="I30" t="inlineStr">
        <is>
          <t>**JLB is working with multiple fast\-growing sports technology companies** 
 that are building products used by teams, leagues, venues, and sports organisations across the U.S. We’re looking for talented Software Engineers to join high\-impact engineering teams based in New York.
 These roles offer the chance to work at the intersection of
 **technology and sport** 
 , helping modernise how the industry operates — from participation and performance to fan engagement and operations.
 You’ll be hands\-on across the stack, collaborating closely with product teams and founders, and contributing directly to features that ship quickly and scale with the business.
**What you’ll be doing:** 
* Building and maintaining production\-grade software used by real customers
* Working closely with product and design to deliver new features
* Writing clean, scalable, and well\-tested code
* Helping improve performance, reliability, and platform scalability
**What we’re looking for:** 
* Commercial experience as a Software Engineer
* Strong foundations in modern programming languages and frameworks
* Comfortable working in growth\-stage, fast\-moving environments
* Product\-focused mindset and strong problem\-solving skills
* Interest in sports or sports technology is a plus, not a requirement
**What’s on offer:** 
* Competitive salary and equity (role dependent)
* Opportunities to work closely with founders and leadership teams
* High ownership and real influence on product direction
* Collaborative teams based in New York
* The chance to build technology that has a genuine impact on sport
 If you’re a Software Engineer interested in opportunities across the sports technology space, we’d love to hear from you.</t>
        </is>
      </c>
    </row>
    <row r="31">
      <c r="A31" t="inlineStr">
        <is>
          <t>li-4367325410</t>
        </is>
      </c>
      <c r="B31" t="inlineStr">
        <is>
          <t>Senior Software Engineer, Data Platforms</t>
        </is>
      </c>
      <c r="C31" t="inlineStr">
        <is>
          <t>Pryon</t>
        </is>
      </c>
      <c r="D31" t="inlineStr">
        <is>
          <t>linkedin</t>
        </is>
      </c>
      <c r="E31" t="inlineStr"/>
      <c r="F31" t="inlineStr"/>
      <c r="G31" t="inlineStr">
        <is>
          <t>Seattle, WA</t>
        </is>
      </c>
      <c r="H31" t="inlineStr"/>
      <c r="I31" t="inlineStr">
        <is>
          <t>**About Pryon:**
 We’re a team of AI, technology, and language experts whose DNA lives in Alexa, Siri, Watson, and virtually every human language technology product on the market. Now we’re building an industry\-leading knowledge management and Retrieval\-Augmented Generation (RAG) platform. Our proprietary, cutting\-edge natural language processing capabilities transform unstructured data into meaningful experiences that increase productivity with unmatched accuracy and speed.
 We're looking to hire a Senior Software Engineer onto our AI Engineering team. In this role, you'll work collaboratively with other members of the AI Engineering team as well as the Software Engineering, Platform and Product teams to build our data platform, supporting a large scale enterprise answer engine product. You'll have the opportunity to work with some of the most talented engineers in the AI space on truly ground\-breaking technology. If this sounds appealing, please read on!
**In This Role, You Will:**
* Build a secure, stable, and scalable platform for connecting to wide variety of systems of record in an enterprise setting
* Improve data ingestion systems needed for world class Information Retrieval and Question Answering systems over structured and unstructured data
* Enable our IR systems to scale to very large collections of documents
* Enable new generation of AI\-driven applications over enterprise data
**What You'll Need to Be Successful:**
* A deep grounding in Computer Science with competencies in data structures, algorithms, and software design
* Masters or higher degree in Computer Science, Machine Learning, or related field, or Bachelors degree with relevant work experience
* 5\+ years of industry experience; technical leadership experience a plus
* Proficiency in Node.js/TypeScript and demonstrated experience with with Golang, Python, and SQL
* Experience with developing large\-scale micro\-service oriented solutions
* Deep understanding of REST, SOAP, GraphQL
* Familiarity with authentication mechanisms like OAuth, JWT and Keycloak
* Direct developer experience with collaboration and content management platforms
* Experience collaborating with and communicating feature impacts to front\-end and back\-end engineering teams
**Benefits for Full Time Employees:**
* Remote first organization
* 100% Company paid Health/Dental/Vision benefits for you and your dependents
* Life Insurance, Short\-term and Long\-term Disability
* 401k
* Unlimited PTO
 We are interested in every qualified candidate who is authorized to work in the United States. However, we are not able to sponsor or take over sponsorship of employment visas at this time.
 Pryon will not consider race, religion, sex, sexual preference, or national origin in ways that violate the Nation's civil rights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Actual cash compensation may vary depending on factors including, but not limited to, location and experience. The range listed is just one component of Pryon's compensation package.</t>
        </is>
      </c>
    </row>
    <row r="32">
      <c r="A32" t="inlineStr">
        <is>
          <t>li-4366854174</t>
        </is>
      </c>
      <c r="B32" t="inlineStr">
        <is>
          <t>Software Engineer II</t>
        </is>
      </c>
      <c r="C32" t="inlineStr">
        <is>
          <t>The Walt Disney Company</t>
        </is>
      </c>
      <c r="D32" t="inlineStr">
        <is>
          <t>linkedin</t>
        </is>
      </c>
      <c r="E32" t="inlineStr"/>
      <c r="F32" t="inlineStr"/>
      <c r="G32" t="inlineStr">
        <is>
          <t>New York, NY</t>
        </is>
      </c>
      <c r="H32" t="inlineStr"/>
      <c r="I32"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Sitting inside the Product Engineering team, the Client\-Data team plays a pivotal role in bridging the data requirements between our diverse portfolio of front\-end applications, and engineering services teams. Our work encompasses the application of software engineering, machine learning and data science at scale, addressing challenges such as platform health monitoring and ongoing performance tracking for new application releases. We collaborate closely with stakeholders to validate product specifications, ensuring clarity and precision, while also synchronizing data\-related decisions, instrumentation, and metrics across various platforms. Day to day tasks impact many aspects of the business, such as monitoring application engagement or tracking anomalous usage patterns.
**Responsibilities And Duties Of The Role**
* Create and maintain optimal data pipeline architecture
* Algorithm Development and Maintenance
* Develop Best Practices and Documentation
* Perform data analysis and data science projects for stakeholders
**Required Education, Experience/Skills/Training**
 Basic Qualifications
* 3\+ years of software engineering, machine learning or data science experience
* Experience with big data tools including Databricks, Snowflake, or similar.
* Knowledge of systems applications, server architecture, cloud technologies, and web applications.
* Experience working cross\-functionally with teams of different levels of expertise
* Service Reliability/Operational experience running large scale high\-performance systems \&amp; Internet services
* Ability to write and maintain reliable and understandable code in SQL, Python, Scala, or other languages.
**Preferred Qualifications**
 Familiarity with the end\-to\-end data lifecycle: from client\-side event generation to backend processing and consumption by Data Science models.
**Required Education**
 Bachelor’s degree in Computer Science, Information Systems, Software, Electrical or Electronics Engineering, or comparable field of study, and/or equivalent work experience
 The hiring range for this position in New York City is $123,000 \- $165,000 per year and in San Francisco, CA is $128,700 \- $172,500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3">
      <c r="A33" t="inlineStr">
        <is>
          <t>li-4367178242</t>
        </is>
      </c>
      <c r="B33" t="inlineStr">
        <is>
          <t>Backend Software Engineer</t>
        </is>
      </c>
      <c r="C33" t="inlineStr">
        <is>
          <t>MLabs</t>
        </is>
      </c>
      <c r="D33" t="inlineStr">
        <is>
          <t>linkedin</t>
        </is>
      </c>
      <c r="E33" t="inlineStr"/>
      <c r="F33" t="inlineStr"/>
      <c r="G33" t="inlineStr"/>
      <c r="H33" t="inlineStr"/>
      <c r="I33" t="inlineStr">
        <is>
          <t>**About The Company**
 MLabs Ltd is a pioneering technology firm operating at the forefront of the cryptocurrency and blockchain industry. Backed by venture capital, the company is experiencing rapid growth and is dedicated to developing innovative solutions that transform the landscape of digital trading and asset management. With a focus on cutting\-edge autonomous trading infrastructure, MLabs Ltd strives to deliver high\-performance, reliable, and scalable systems that cater to the demands of modern crypto markets. The company's culture emphasizes innovation, ownership, and excellence, fostering an environment where talented professionals can make a significant impact in shaping the future of decentralized finance and trading technologies.
**About The Role**
 We are seeking a highly skilled Staff / Principal Backend Engineer to join our dynamic team remotely, with a strong preference for candidates based in Austin, TX, as well as exceptional candidates in Europe. This senior role involves ownership of critical backend systems that power high\-throughput, real\-time crypto trading operations under extreme market conditions. The successful candidate will be responsible for designing and building low\-latency trading infrastructure, developing wallet and execution systems, and integrating AI\-driven layers to enhance trading outcomes. You will work at the intersection of crypto, trading infrastructure, and applied AI, contributing to frontier\-level backend engineering projects. This role demands a deep understanding of distributed systems, crypto wallets, tokens, trading APIs, and high\-performance backend development, with an emphasis on correctness, resilience, and speed. You will collaborate closely with cross\-functional teams, including product, AI, and operations, to deliver robust solutions that meet the company's strategic goals.
**Qualifications**
* Hands\-on experience with crypto wallets, tokens, and trading systems
* Deep production experience with Golang, Node.js, and TypeScript
* Strong understanding of distributed systems, performance, and reliability
* Experience working with trading APIs, execution flows, and transaction lifecycles
* Proven ability to lead end\-to\-end development of complex backend systems
* Experience in high\-throughput, low\-latency backend service development
* Active utilization of AI tools in development and iteration processes
* Experience with monitoring, incident response, and operational excellence in production environments
* Crypto\-native experience, including building or operating crypto trading platforms or wallets
* Exceptional problem\-solving skills and ability to make high\-impact technical decisions
* Strong communication skills and ability to work collaboratively in a remote setting
**Responsibilities**
* Own and develop business\-critical backend systems that enable high\-performance crypto trading
* Design and implement low\-latency, high\-throughput trading infrastructure
* Develop wallet management and execution systems capable of operating under extreme market volatility
* Integrate AI\-driven intelligence layers to optimize trading outcomes and system performance
* Ensure system correctness, resilience, and speed through rigorous testing and deployment practices
* Leverage AI tools to enhance development, architecture, and operational processes
* Collaborate with cross\-functional teams to define technical requirements and implement solutions
* Monitor and maintain production systems, ensuring high availability and reliability
* Lead technical decision\-making and mentor junior engineers as needed
* Stay updated with industry trends and incorporate best practices in system design and security
**Benefits**
* Initial stock grant of approximately 1% of the company, currently valued at around $230,000
* Opportunity for regular salary increases and bonuses based on revenue and usage targets
* Participation in Senpi’s token launch planned for 2026, with pro\-rata token upside
* Flexible remote work arrangements with a preference for candidates in the US, especially Austin, TX, and Europe
* Collaborative and innovative work environment focused on cutting\-edge technology
* Professional development opportunities and exposure to frontier\-level crypto and AI projects
* Access to a high\-growth, venture\-backed organization with a mission to redefine crypto trading infrastructure
 Equal Opportunity
 MLabs Ltd is committed to fostering a diverse and inclusive workplace. We provide equal employment opportunities to all candidates regardless of race, gender, age, disability, sexual orientation, religion, or background. We ensure our hiring process is accessible and accommodate reasonable adjustments for candidates with disabilities. Our goal is to create an environment where everyone can thrive and contribute to our innovative mission. We value diversity and are dedicated to building a team that reflects the communities we serve.</t>
        </is>
      </c>
    </row>
    <row r="34">
      <c r="A34" t="inlineStr">
        <is>
          <t>li-4367023414</t>
        </is>
      </c>
      <c r="B34" t="inlineStr">
        <is>
          <t>Software Engineer - Systems</t>
        </is>
      </c>
      <c r="C34" t="inlineStr">
        <is>
          <t>Apple</t>
        </is>
      </c>
      <c r="D34" t="inlineStr">
        <is>
          <t>linkedin</t>
        </is>
      </c>
      <c r="E34" t="inlineStr"/>
      <c r="F34" t="inlineStr"/>
      <c r="G34" t="inlineStr">
        <is>
          <t>Cupertino, CA</t>
        </is>
      </c>
      <c r="H34" t="inlineStr"/>
      <c r="I34" t="inlineStr">
        <is>
          <t>**Summary**
 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Using Swift, Objective\-C, C\+\+, and C programming languages, to develop system software components for all Apple operating systems. Collaborate with teams within the company to design and implement new system software features. Diagnose and fix flaws in system software. Audit system software for security vulnerabilities and implement security enhancements. Implement automated testing for system software. Review and critique software designs and changes proposed by associate engineers. Communicate project status and schedule forecast accurately to management. 40 hours/week. At Apple, base pay is one part of our total compensation package and is determined within a range. This provides the opportunity to progress as you grow and develop within a role. The base pay range for this role is between $181,100 \- $272,100/yr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**Minimum Qualifications**
* Bachelor’s degree or foreign equivalent in Systems Design Engineering; Computer Science, Electrical or Systems Engineering, or related field.
* Experience and/or education must include:
* Using the Objective\-C, Swift, C\+\+ programming languages, and development tools to develop software for iOS, macOS, or VisionOS operating systems.
* Developing user interface software, applying principles in user\-interaction design.
* Analyzing and developing software to protect user privacy and prevent devices from being compromised by malicious software by applying secure design principles including permission controls, access restriction, and data encryption.
* Utilizing concurrent, client\-server software to develop new frameworks and services for system software.
* Analyzing and fixing flaws in existing system software using Xcode and lldb debugging tools.
* Using Stash and Github software management tools and propose architectural and algorithm improvements.
* Planning complex engineering projects, identify cross\-team dependencies and accurately forecast completion schedules.
* Developing automated software tests to ensure ongoing product quality.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5">
      <c r="A35" t="inlineStr">
        <is>
          <t>li-4367042040</t>
        </is>
      </c>
      <c r="B35" t="inlineStr">
        <is>
          <t>Software Engineer</t>
        </is>
      </c>
      <c r="C35" t="inlineStr">
        <is>
          <t>PantheonAI</t>
        </is>
      </c>
      <c r="D35" t="inlineStr">
        <is>
          <t>linkedin</t>
        </is>
      </c>
      <c r="E35" t="inlineStr"/>
      <c r="F35" t="inlineStr"/>
      <c r="G35" t="inlineStr"/>
      <c r="H35" t="inlineStr"/>
      <c r="I35" t="inlineStr">
        <is>
          <t>**About Us** 
 We're building Talking Books. Instead of just reading or listening to audiobooks (the one\-way experience we're all used to), you can actually have a two\-way conversation with the author. Ask questions, dive deeper into ideas, turn it into a real dialogue.
**The Role** 
 We're looking for a Software Engineer to help build the infrastructure powering real\-time voice conversations with AI\-driven personas. You'll work across the full stack—from low\-latency audio pipelines to backend services and cloud infrastructure.
**What You'll Work On** 
* Real\-time voice streaming and conversation systems
* Backend services handling AI inference and persona management
* AI memory architectures—how personas remember, learn, and maintain coherent long\-term context
* Cloud infrastructure on GCP
* Building for sub\-300ms latency at scale
**What We're Looking For** 
* Strong proficiency in
 **TypeScript** 
 and
 **Python** 
 (FastAPI)
* Experience with
 **WebRTC** 
 or real\-time audio/video systems
* Hands\-on experience building
 **AI\-powered applications** 
 (LLMs, embeddings, RAG, etc.)
* Research background or deep familiarity with
 **AI memory systems** 
 —episodic memory, knowledge graphs, retrieval architectures, or related areas
* Familiarity with
 **GCP** 
 services (Cloud Run, Pub/Sub, Firestore, or similar)
* Comfort working in a fast\-moving early\-stage environment
**Nice to Have** 
* Experience with voice AI, speech\-to\-text, or text\-to\-speech systems
* Background in low\-latency streaming architectures
* Familiarity with vector databases or knowledge retrieval systems
* Prior startup experience
**Who You Are** 
 We're looking for tinkerers. People who build things on weekends because they're curious, not because someone assigned it. Multidisciplinary folks who happen to be engineers but are also into other things—music, writing, hardware, biology, whatever.
 When you apply, tell us:
 *I know you're an engineer, but what else are you interested in and good at?* 
**Why Join** 
* Early team member at a venture\-backed startup
* Work on a product people genuinely get excited about
* Shape the technical foundation from the ground up</t>
        </is>
      </c>
    </row>
    <row r="36">
      <c r="A36" t="inlineStr">
        <is>
          <t>li-4367354066</t>
        </is>
      </c>
      <c r="B36" t="inlineStr">
        <is>
          <t>Sr. Staff Software Engineer, Trust &amp; Safety</t>
        </is>
      </c>
      <c r="C36" t="inlineStr">
        <is>
          <t>LinkedIn</t>
        </is>
      </c>
      <c r="D36" t="inlineStr">
        <is>
          <t>linkedin</t>
        </is>
      </c>
      <c r="E36" t="inlineStr"/>
      <c r="F36" t="inlineStr"/>
      <c r="G36" t="inlineStr">
        <is>
          <t>Mountain View, CA</t>
        </is>
      </c>
      <c r="H36" t="inlineStr"/>
      <c r="I3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Trust Foundations we build the infrastructure to ensure the safety of job seekers, businesses, and our members across the world’s largest professional network. We focus on leveraging AI to detect and prevent harm before it happens, and to provide our members with the best experience possible across a range of experiences. As a tech leader working with the Data Foundations team you will lead the design and implementation of robust data systems and ML modeling features that power LinkedIn Trust’s AI\-driven transformation. This role will ensure that Trust features are reliably accessible, stable, secure, and contextually usable by LLMs and AI agents tasked with investigations, moderation, enforcement, and governance
 If you're passionate about using engineering to foster trust and safety across a global platform, join our team and help shape the future of trust engineering at LinkedIn!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drive the development of tooling and data aggregation to support LinkedIn Trusts AI efforts, including scalable data systems for real\-time detection and enforcement, investigation and moderation agents, and next generation large language model fine\-tuning
* You will work with Trust Foundation leads to develop long\-term roadmaps and plans for infrastructure modernization.
* You will be a role model and professional coach for more junior engineers with a strong bias for action and focus on craftsmanship.
* You lead the scaling of distributed systems, make architectural trade\-offs applying synchronous and asynchronous design patterns, review code, and drive operational excellence.
* You will build for continuous deployment and robust operations, utilizing unit and integration tests and real\-time observability to ensure quality.
**Qualifications**
**Basic Qualifications:**
* BA/BS Degree in Computer Science or related technical discipline, or equivalent practical experience
* 5\+ years of industry experience in software design, development, and algorithm related solutions.
* 5\+ years programming experience in languages such as Python, Java, Javascript, C/C\+\+, C\#, Objective\-C, Ruby, etc
* 2\+ years of experience in an architect or technical leadership position
**Preferred Qualifications:**
* 10\+ years’ experience in software design, development, and algorithm related solutions with at least 5 years of experience in a technical leadership position
* 5\+ years experience with large\-scale distributed systems and client\-server architectures
* 10\+ years programming experience in an object\-oriented programming language such as Java, C/C\+\+
* Experience with large\-scale distributed systems and client\-server architectures
* Experience leading by influence, formulating and driving technical strategies across various organizations
* Experience leading a large organization
**Suggested Skills:**
* Technical Leadership
* Architectural Mastery
* Code Review and Quality Assurance
* Cross\-organizational collaboration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 $297,000\.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7">
      <c r="A37" t="inlineStr">
        <is>
          <t>li-4366889491</t>
        </is>
      </c>
      <c r="B37" t="inlineStr">
        <is>
          <t>Lead Software Engineer</t>
        </is>
      </c>
      <c r="C37" t="inlineStr">
        <is>
          <t>C the Signs</t>
        </is>
      </c>
      <c r="D37" t="inlineStr">
        <is>
          <t>linkedin</t>
        </is>
      </c>
      <c r="E37" t="inlineStr"/>
      <c r="F37" t="inlineStr"/>
      <c r="G37" t="inlineStr">
        <is>
          <t>Milwaukee, WI</t>
        </is>
      </c>
      <c r="H37" t="inlineStr"/>
      <c r="I37" t="inlineStr">
        <is>
          <t>C the Signs is dedicated to transforming the future of cancer care through our innovative AI\-powered platform. We empower healthcare professionals and patients with the tools and information needed to effectively recognize cancer symptoms, ensuring timely treatment and improved outcomes. As we expand our impact into new markets, we are looking for a passionate Lead Software Engineer to join our talented team.
**About The Role**
 As a Lead Software Engineer, you will take a leadership role in both technical execution and team development, shaping the architecture of our platform while guiding and mentoring engineers to deliver exceptional results. You will be responsible for designing and implementing scalable and efficient applications across web and mobile platforms, leading technical projects, and fostering a high\-performing team culture. Your expertise will be instrumental in driving technical excellence, developing engineering talent, and ensuring the success of our engineering efforts as we scale our impact in transforming cancer care.
* Design, develop, and maintain robust web and mobile applications using modern technologies
* Lead technical projects from conception to deployment across web, iOS, and Android platforms, ensuring quality and adherence to timelines
* Architect and implement scalable backend services, leveraging cloud technologies and best practices
* Develop intuitive user interfaces in React (v.18\) and TypeScript, ensuring responsive design principles
* Provide technical guidance and oversight for mobile development initiatives on iOS and Android platforms
* Collaborate with product managers, designers, and other stakeholders to translate requirements into technical specifications
* Lead and mentor a team of engineers, providing technical guidance, code reviews, and career development support
* Facilitate team ceremonies including sprint planning, retrospectives, and technical design reviews
* Drive engineering best practices, including code quality standards, testing strategies, and documentation
* Identify and develop technical growth opportunities for team members, creating a culture of continuous learning
* Collaborate with engineering leadership to define technical roadmaps and team goals
* Foster a collaborative team environment that encourages innovation and knowledge sharing
* Stay up\-to\-date with industry trends and emerging technologies to continuously improve our platform
**Requirements**
* 7\+ years of experience as a Full Stack Software Engineer, with a strong focus on both front\-end (React, TypeScript) and back\-end (Java, Node.js, or similar) technologies
* 2\+ years of experience in a technical leadership role, including leading projects and mentoring engineers
* Proven experience designing and building scalable applications and services in a production environment
* Exposure to mobile development on iOS and/or Android platforms, with understanding of mobile\-specific challenges and best practices
* Demonstrated ability to lead and motivate engineering teams, with a track record of developing talent and improving team performance
* Strong technical decision\-making skills with the ability to balance trade\-offs between speed, quality, and technical debt
* Experience facilitating technical discussions, achieving consensus, and driving decisions in ambiguous situations
* Excellent mentorship and coaching skills, with a passion for helping engineers grow their technical and professional capabilities
* Strong understanding of RESTful APIs and microservices architecture
* Proficiency in cloud platforms (AWS, GCP, or Azure) and containerization technologies like Docker
* Experience with database technologies (SQL and NoSQL)
* Solid understanding of web security principles and best practices
* Familiarity with CI/CD pipelines and DevOps practices
* Experience with Agile development methodologies and leading agile teams
* Excellent problem\-solving and analytical skills, with a strong attention to detail
* Outstanding communication and interpersonal skills, capable of presenting ideas clearly to technical and non\-technical audiences, and providing constructive feedback
* Ability to thrive in a fast\-paced, collaborative environment and adapt to changing priorities while supporting team members through change
* Experience building high\-trust relationships across engineering, product, and design teams
* Experience in healthcare or health\-tech development is a plus
**Benefits**
* Health Care Plan (Medical, Dental \&amp; Vision)
* Retirement Plan (401k, IRA)
* Life Insurance (Basic, Voluntary \&amp; AD\&amp;D)
* Paid Time Off (Vacation, Sick \&amp; Public Holidays)
* Work From Home</t>
        </is>
      </c>
    </row>
    <row r="38">
      <c r="A38" t="inlineStr">
        <is>
          <t>li-4366886671</t>
        </is>
      </c>
      <c r="B38" t="inlineStr">
        <is>
          <t>Software Engineer III, Google Cloud Platforms</t>
        </is>
      </c>
      <c r="C38" t="inlineStr">
        <is>
          <t>Google</t>
        </is>
      </c>
      <c r="D38" t="inlineStr">
        <is>
          <t>linkedin</t>
        </is>
      </c>
      <c r="E38" t="inlineStr"/>
      <c r="F38" t="inlineStr"/>
      <c r="G38" t="inlineStr">
        <is>
          <t>Sunnyvale, CA</t>
        </is>
      </c>
      <c r="H38" t="inlineStr"/>
      <c r="I3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 keep our networks up and running, ensuring our users have the best and fastest experience possible.Google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li-4367189562</t>
        </is>
      </c>
      <c r="B39" t="inlineStr">
        <is>
          <t>Senior Software Engineer - Life Sciences</t>
        </is>
      </c>
      <c r="C39" t="inlineStr">
        <is>
          <t>McKinsey &amp; Company</t>
        </is>
      </c>
      <c r="D39" t="inlineStr">
        <is>
          <t>linkedin</t>
        </is>
      </c>
      <c r="E39" t="inlineStr"/>
      <c r="F39" t="inlineStr"/>
      <c r="G39" t="inlineStr">
        <is>
          <t>New York, NY</t>
        </is>
      </c>
      <c r="H39" t="inlineStr"/>
      <c r="I39"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Senior Software Engineer with the Life Sciences Data and Analytics Center of Excellence, you will develop full stack software applications in an exciting Life Sciences context, while leveraging GenAI\-supported insights, tools, or accelerators when relevant.
 You will deliver highly performant, tested, and scalable clean code, with openness to incorporating GenAI\-assisted development practices when beneficial. You will make application architecture decisions with the help of the team, and own product deployment and performance in production, potentially using GenAI\-based observability or anomaly detection tools in the operating environment.
 In this role, you will mentor and coach the more junior members of the technical team, including through code reviews and pair programming, and encourage thoughtful use of GenAI tools in the development process. You will anticipate and identify technical impediments and resolve them through architecture design, technology choices, or prioritization—considering GenAI’s role in enhancing or accelerating these pathways. Additionally, you will work closely with the Product Owner to align the roadmap with strengths and opportunities within the existing architecture, including GenAI\-enabled processes.
 You will act as a thought partner to the Product Owner in story creation and acceptance criteria, clearly communicating tradeoffs in a GenAI\-aware environment. You will co\-create engineering practices, coding style guidelines, and testing approaches, embedding GenAI considerations such as code suggestions, test automation, or documentation generation where appropriate. Finally, you will constantly look for better ways to solve technical problems and design solutions, remaining open to challenging the status quo and integrating GenAI\-supported methods where they enhance team performance or quality.
 McKinsey’s Life Sciences (LS) Practice serves clients across multiple dedicated functional service lines spanning Commercial, R\&amp;D, and Operations, as well as a host of client interest groups and functional joint ventures. Within the LS Practice, you’ll be a member of the Data \&amp; Analytics CoE.
 The Data \&amp; Analytics CoE is a highly visible, critical component of the practice. We are a growing group with an expanding global footprint. This is a top global priority and a high\-profile position; the CoE regularly works with McKinsey Life Sciences senior leaders. We have the important remit of improving the insights we deliver to clients by designing the data strategy and delivering a large portion of analytics for the LS practice.
**Your Qualifications and Skills**
* Undergraduate or master’s degree; or equivalent experience
* 5\+ years of experience in software development, with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with big data, pharmaceutical/MedTech data, a working knowledge of the pharmaceutical space, and/or greater Healthcare space required
* Entrepreneurial mindset with the ability to thrive in a fast\-changing environment and build connections across the organization; comfort with ambiguity and rapid changes common in early\-stage product development
* Exceptional problem\-solving skills, creativity, and a passion for working in cross\-cultural environments
* Strong work ethic, professional attitude, and a “can\-do” mindset, with the ability to manage multiple workstreams in a dynamic setting,
* Ability to collaborate closely with Product Owners and stakeholders to deliver feasibility/complexity assessments and think critically about backlog prioritization
* Practical knowledge of software engineering best practices, including Agile development methodologies, DevOps, DataOps, MLOps, containerization (e.g., Docker), and orchestration, as well as hands\-on experience with CI/CD tools and version control systems (GitHub), and ability to leverage and model Agile development practices and mindsets
* Recent experience in implementing cloud\-native software solutions on AWS, Azure and/or GCP with hands\-on experience debugging complex distributed systems using cloud\-native observability tooling, experience with cloud\-native architecture design a plus
* Experience building software solutions which integrate with GenAI resources, LLMs, or Agentic flows. Experience in prompt engineering for software development use cases. Experience in implementing GenAI capabilities with cloud\-native software using modern frameworks (e.g., langchain, lammaindex) a plus
* Strong communication skills, with the ability to align teams on complex technical decisions and explain technical concepts to non\-technical colleagues</t>
        </is>
      </c>
    </row>
    <row r="40">
      <c r="A40" t="inlineStr">
        <is>
          <t>li-4367022495</t>
        </is>
      </c>
      <c r="B40" t="inlineStr">
        <is>
          <t>Software Developer - Entry Level (On-Site)</t>
        </is>
      </c>
      <c r="C40" t="inlineStr">
        <is>
          <t>FundView</t>
        </is>
      </c>
      <c r="D40" t="inlineStr">
        <is>
          <t>linkedin</t>
        </is>
      </c>
      <c r="E40" t="inlineStr"/>
      <c r="F40" t="inlineStr"/>
      <c r="G40" t="inlineStr">
        <is>
          <t>Lubbock, TX</t>
        </is>
      </c>
      <c r="H40" t="inlineStr"/>
      <c r="I40" t="inlineStr">
        <is>
          <t>**Lubbock, TX \| In\-Office \| Full\-Time**
 At
 **FundView** 
 , we build software that helps local governments do things right clearly, accurately, and responsibly. We're looking for a
 **detail\-oriented Entry\-Level Software Developer** 
 who's excited to learn, contribute, and grow alongside a collaborative team.
 This is a great opportunity for someone early in their career who wants hands\-on experience, real ownership of their work, and exposure to a modern technology stack. Our code is important, impactful, and yes cool. It also requires curiosity, problem\-solving, and a willingness to think differently.
**This is an in\-office position based in Lubbock, Texas. Remote work is not available.**
**What You'll Do**
* Assist in designing, developing, testing, and maintaining web applications
* Write clean, maintainable code based on project requirements
* Identify, troubleshoot, and resolve software bugs and issues
* Test and validate code to ensure quality and performance standards are met
* Collaborate with team members to continuously improve functionality and user experience
**Technology You'll Work With**
* C\# / .NET
* Angular
* HTML / CSS
* SQL
* Artificial Intelligence
**What We're Looking For**
* Bachelor's degree in Computer Science or a related field or equivalent experience
* Foundational understanding of:
+ Object\-Oriented Programming concepts
+ HTML/CSS
+ SQL and basic database principles
* Strong attention to detail and eagerness to learn
* Ability to work collaboratively in a fast\-paced, in\-office environment
* U.S. citizenship is required for this position
*No professional development experience is required. We're excited to grow the right candidate.*
**Why FundView?**
* Fun, supportive, and collaborative team culture
* Hands\-on learning and professional development opportunities
* Real work with real impact — your code matters
* Strong focus on work/life balance
**Compensation \&amp; Benefits**
* Salary: $50,000 – $60,000 annually
* Benefits Include:
+ 401(k) with company matching
+ Medical, dental, and vision insurance
+ Life insurance
+ Paid time off
**Work Schedule \&amp; Location**
* Monday – Friday
* 8\-hour shifts
* On\-site in Lubbock, TX (79424\)
**Equal Employment Opportunity**
 FundView is an Equal Opportunity Employer. We are committed to creating an inclusive environment for all employees and applicants. Employment decisions are made without regard to race, color, religion, sex, sexual orientation, gender identity or expression, national origin, age, disability, veteran status, or any other protected characteristic under applicable law.</t>
        </is>
      </c>
    </row>
    <row r="41">
      <c r="A41" t="inlineStr">
        <is>
          <t>li-4367326395</t>
        </is>
      </c>
      <c r="B41" t="inlineStr">
        <is>
          <t>Senior Software Engineer, Data Platforms</t>
        </is>
      </c>
      <c r="C41" t="inlineStr">
        <is>
          <t>Pryon</t>
        </is>
      </c>
      <c r="D41" t="inlineStr">
        <is>
          <t>linkedin</t>
        </is>
      </c>
      <c r="E41" t="inlineStr"/>
      <c r="F41" t="inlineStr"/>
      <c r="G41" t="inlineStr">
        <is>
          <t>Chicago, IL</t>
        </is>
      </c>
      <c r="H41" t="inlineStr"/>
      <c r="I41" t="inlineStr">
        <is>
          <t>**About Pryon:**
 We’re a team of AI, technology, and language experts whose DNA lives in Alexa, Siri, Watson, and virtually every human language technology product on the market. Now we’re building an industry\-leading knowledge management and Retrieval\-Augmented Generation (RAG) platform. Our proprietary, cutting\-edge natural language processing capabilities transform unstructured data into meaningful experiences that increase productivity with unmatched accuracy and speed.
 We're looking to hire a Senior Software Engineer onto our AI Engineering team. In this role, you'll work collaboratively with other members of the AI Engineering team as well as the Software Engineering, Platform and Product teams to build our data platform, supporting a large scale enterprise answer engine product. You'll have the opportunity to work with some of the most talented engineers in the AI space on truly ground\-breaking technology. If this sounds appealing, please read on!
**In This Role, You Will:**
* Build a secure, stable, and scalable platform for connecting to wide variety of systems of record in an enterprise setting
* Improve data ingestion systems needed for world class Information Retrieval and Question Answering systems over structured and unstructured data
* Enable our IR systems to scale to very large collections of documents
* Enable new generation of AI\-driven applications over enterprise data
**What You'll Need to Be Successful:**
* A deep grounding in Computer Science with competencies in data structures, algorithms, and software design
* Masters or higher degree in Computer Science, Machine Learning, or related field, or Bachelors degree with relevant work experience
* 5\+ years of industry experience; technical leadership experience a plus
* Proficiency in Node.js/TypeScript and demonstrated experience with with Golang, Python, and SQL
* Experience with developing large\-scale micro\-service oriented solutions
* Deep understanding of REST, SOAP, GraphQL
* Familiarity with authentication mechanisms like OAuth, JWT and Keycloak
* Direct developer experience with collaboration and content management platforms
* Experience collaborating with and communicating feature impacts to front\-end and back\-end engineering teams
**Benefits for Full Time Employees:**
* Remote first organization
* 100% Company paid Health/Dental/Vision benefits for you and your dependents
* Life Insurance, Short\-term and Long\-term Disability
* 401k
* Unlimited PTO
 We are interested in every qualified candidate who is authorized to work in the United States. However, we are not able to sponsor or take over sponsorship of employment visas at this time.
 Pryon will not consider race, religion, sex, sexual preference, or national origin in ways that violate the Nation's civil rights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Actual cash compensation may vary depending on factors including, but not limited to, location and experience. The range listed is just one component of Pryon's compensation package.</t>
        </is>
      </c>
    </row>
    <row r="42">
      <c r="A42" t="inlineStr">
        <is>
          <t>li-4367333805</t>
        </is>
      </c>
      <c r="B42" t="inlineStr">
        <is>
          <t>AI-Enabled Senior Software Engineer (Typescript/Fullstack)</t>
        </is>
      </c>
      <c r="C42" t="inlineStr">
        <is>
          <t>Silicon Valley Consulting</t>
        </is>
      </c>
      <c r="D42" t="inlineStr">
        <is>
          <t>linkedin</t>
        </is>
      </c>
      <c r="E42" t="inlineStr"/>
      <c r="F42" t="inlineStr"/>
      <c r="G42" t="inlineStr"/>
      <c r="H42" t="inlineStr"/>
      <c r="I42" t="inlineStr">
        <is>
          <t>**Location:** 
 San Francisco (100% In\-Office)
 Silicon Valley Consulting builds AI agents trusted by the largest B2C companies in the world. Industry leaders like DoorDash trust us with their most complex support and operations workflows across voice, chat, and email.
 Engineers at SVC work on problems like
* building agents with almost no hallucination rates
* a voice experience that's better than talking to humans
* creating self\-learning agents that optimize metrics
**Perks \&amp; Benefits** 
* Competitive total compensation
* Equinox membership
* Full health, dental, and vision coverage
* On\-demand snacks, coffee, and DoorDash Credits
* Ubers covered home
**Interview Process** 
* Take home project (video recording of your vibe coding process)
* Screening call w/ recruiting lead (20 min)
* Live coding round (1\.5 hr)
* In\-office interview (full day)</t>
        </is>
      </c>
    </row>
    <row r="43">
      <c r="A43" t="inlineStr">
        <is>
          <t>li-4367179216</t>
        </is>
      </c>
      <c r="B43" t="inlineStr">
        <is>
          <t>Full Stack Engineer, AI/ML</t>
        </is>
      </c>
      <c r="C43" t="inlineStr">
        <is>
          <t>General Motors</t>
        </is>
      </c>
      <c r="D43" t="inlineStr">
        <is>
          <t>linkedin</t>
        </is>
      </c>
      <c r="E43" t="inlineStr"/>
      <c r="F43" t="inlineStr"/>
      <c r="G43" t="inlineStr"/>
      <c r="H43" t="inlineStr"/>
      <c r="I43" t="inlineStr">
        <is>
          <t>**About The Company**
 General Motors (GM) is a global leader in automotive manufacturing and innovation, committed to shaping the future of mobility through advanced technologies in electric and autonomous vehicles. With a rich history of engineering excellence and a forward\-looking vision, GM strives to create safer, cleaner, and more efficient transportation solutions. The company emphasizes sustainability, technological innovation, and customer\-centric design, aiming to lead the industry in zero\-emission and zero\-accident mobility. GM’s dedication to diversity, inclusion, and community engagement reflects its core values and commitment to making a positive impact worldwide.
**About The Role**
 We are seeking a highly skilled Staff AI/ML Full\-Stack Engineer to join our AV Pipelines \&amp; Lineage team at GM. In this role, you will be responsible for designing, developing, and maintaining comprehensive software products that support the end\-to\-end AI lifecycle. Your focus will be on building scalable, reliable, and secure systems that enable ML engineers and researchers to perform experimentation, model development, evaluation, and operational visibility across diverse environments. This is a hands\-on, individual contributor position emphasizing technical depth, innovative system design, and impactful product development. You will lead complex projects, collaborate with cross\-functional teams, and mentor junior engineers, contributing to GM’s cutting\-edge AI infrastructure initiatives.
**Qualifications**
* 5\+ years of professional experience in software engineering, including full\-stack development
* Proven experience building and operating production\-grade web applications
* At least 3 years of experience leading large\-scale technical initiatives
* Proficiency in cloud technologies such as GCP, Azure, or AWS
* Strong skills in Python, C\+\+, Golang, or similar programming languages
* Experience working with relational and NoSQL databases
* Solid understanding of scalable system architecture and distributed computing
* Bachelor’s, Master’s, or Ph.D. in Computer Science, Electrical Engineering, Mathematics, Physics, or related fields, or equivalent practical experience
**Responsibilities**
* Design, develop, and maintain user\-facing web applications and internal tools for AV engineering teams
* Build scalable backend services and APIs to support frontend functionalities
* Develop modern, responsive user interfaces using frameworks such as React or Angular
* Leverage cloud platforms (GCP/Azure) to design and implement distributed data processing solutions
* Own technical projects from conception through deployment, including making key architectural decisions
* Participate in team planning, code reviews, and design discussions to ensure high\-quality deliverables
* Collaborate effectively across multiple teams to align project goals and resolve conflicts
* Mentor junior engineers and interns, fostering a culture of technical growth and knowledge sharing
* Stay updated with emerging technologies and incorporate best practices into development processes
**Benefits**
* Comprehensive health insurance including medical, dental, and vision coverage
* Retirement savings plans with company matching contributions
* Paid vacation, holidays, and paid time off
* Tuition reimbursement and professional development programs
* Employee assistance programs and wellness initiatives
* GM vehicle discounts and other employee perks
* Flexible work arrangements, including remote and hybrid options
* Relocation support where applicable
 Equal Opportunity
 General Motors is an equal opportunity employer committed to fostering an inclusive environment where all employees and applicants are treated with respect and dignity. We do not discriminate based on race, color, religion, sex, national origin, age, disability, sexual orientation, gender identity, veteran status, or any other protected characteristic. We encourage candidates from diverse backgrounds to apply and join our team in driving meaningful change toward a safer, cleaner, and more equitable future.</t>
        </is>
      </c>
    </row>
    <row r="44">
      <c r="A44" t="inlineStr">
        <is>
          <t>li-4358775130</t>
        </is>
      </c>
      <c r="B44" t="inlineStr">
        <is>
          <t>Associate Software Engineer</t>
        </is>
      </c>
      <c r="C44" t="inlineStr">
        <is>
          <t>MCA Connect</t>
        </is>
      </c>
      <c r="D44" t="inlineStr">
        <is>
          <t>linkedin</t>
        </is>
      </c>
      <c r="E44" t="inlineStr"/>
      <c r="F44" t="inlineStr"/>
      <c r="G44" t="inlineStr"/>
      <c r="H44" t="inlineStr"/>
      <c r="I44" t="inlineStr">
        <is>
          <t>Through passion and deep industry expertise, MCA Connect helps manufacturers succeed by unlocking innovation with actionable business insights. Our strategic solutions, innovation, and industry intelligence help manufacturers gain visibility, improve profitability, and achieve a competitive edge.
 Established in 2002, MCA Connect has grown into one of the largest US\-based solution partners in Microsoft Business Applications and Azure Data \&amp; AI / Digital \&amp; App Innovation. Our Microsoft Specialties include Finance and Supply Chain, Analytics on Azure, Data Warehouse Migration, and Power Platform. We’re also a fifteen\-time Microsoft Partner of the Year and three\-time Inc. Best Workplaces award winner.
 This position is part of the
 **Development Center of Excellence (DCOE) Training Program** 
 . Please read carefully below for more information.
 This is a
 **full\-time, salaried position** 
 beginning
 **June 1, 2026** 
 , designed to launch your career as a Microsoft Dynamics 365 Technical Consultant through our Development Center of Excellence (DCOE). You will start with an immersive 10\-week paid training program, where you’ll build a strong foundation in Dynamics 365 development and consulting best practices.
**Program Details**
* Start Date: June 1, 2026
* Training Length: 10 weeks (paid at your regular salary rate)
* Training Format: Hybrid (fully remote position POST training)
* Approximately 50% onsite at our Denver headquarters
* Onsite weeks are Monday–Thursday; Fridays are remote
* All travel, lodging, and meals are fully covered during onsite training
**Interview Timeline**
* Interviews begin mid to late February
* Offers expected no later than April
**After Training**
 You will be assigned to a client project and join our Technical Services team where you will work on new client implementations or Managed Services post–go\-live engagements
 THE JOB DESCRIPTION BELOW SPECIFICALLY APPLIES TO POST\-COMPLETION OF THE TRAINING PROGRAM
**Description**
 The Associate Software Engineer will be involved in the design from deployment through operations phases of the project. They will design, develop, test, analyze, and maintain software applications including integration with existing client systems. This individual will also provide documentation for solutions as required and work in a fluid team environment with other developers, analysts, project managers and client staff.
**Responsibilities**
* Developing extensions, or customizations, to the Microsoft Dynamics 365 suite of applications according to documented coding standards and best practices.
* Coding, unit testing, and creating supporting documentation.
* Gaining an understanding of client’s needs, collaborating with other consultants, and supporting teams to complete design and testing documentation.
* Responsible for learning and supporting the effort to migrate clients’ data sources into Microsoft’s sources, ensuring proper alignment of data models. Offers support on Microsoft tools for migration and integration.
* Implements reports per documented requirements.
* May be tasked with additional development tasks such as creating C\# solutions to support integrations.
* Testing modifications for validity of results, accuracy, reliability, and conformance to the documented test plan.
* Participating in system and acceptance testing.
**Qualifications**
* B.S. or B.A. in Computer Science, MIS or related discipline; or equivalent experience and certification
* 1\-2\+ years of professional software/web development experience (internship experience to be considered)
* Familiarity with one or more of the following (or equivalent): C\#, .NET, Java, SQL, or XML
* Knowledge of standard development techniques (SDLC)
* Knowledge of Relational Databases and Object\-Oriented Programming and Design
* Familiarity with Microsoft Office products
* Familiarity with Microsoft development tools
* Strong analytical problem\-solving skills
* Excellent verbal and written communication skills
* Professional business demeanor
* Customer\-focused attitude and desire to interface directly with end\-user clients
* Willingness to travel up to 20%
 $65,000 \- $85,000 a year
**Additional Supplemental Compensation Paid In Quarterly Installments**
**Why work for MCA Connect?**
 Our Compensation Plan Offers One Of The Best Bonus Structures In The Industry. Along With This We Also Offer a Generous Benefit Package
* Work/Life Balance with Unlimited Paid Time Off (UPTO)
* 401k Plan with Company Matching Contribution
* Monthly Stipend for Home Office Expenses
* Subsidized Medical, Dental and Vision Coverage
* Health Savings and Flexible Spending Accounts
* Company Paid Life and Disability Insurance
* Training, Certification and Continuing Education Support
 MCA Connect offers limitless opportunities for personal and professional growth in a stimulating, challenging, and performance\-oriented work culture where you can share your ideas and make impactful daily contributions. Our employees are highly motivated and talented individuals dedicated to developing, marketing, and selling products designed to deliver value for mid\-market and enterprise\-size manufacturing, distribution, and energy companies. We take the time to train our consultants so that they understand the industries we serve and can deliver best practices, proven methodologies, and ongoing industry expertise to our clients.
 MCA Connect is an Equal Opportunity Employer. MCA Connect promotes equal employment opportunity to all employees and applicants and does not discriminate on the basis of race, religion, color, creed, national origin, sex, age, sexual/gender orientation, status as a protected disabled or Vietnam Era Veteran, disability, or any other legally protected status. We firmly believe our differences make us stronger!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5">
      <c r="A45" t="inlineStr">
        <is>
          <t>li-4367030186</t>
        </is>
      </c>
      <c r="B45" t="inlineStr">
        <is>
          <t>Software Engineer, Applied AI</t>
        </is>
      </c>
      <c r="C45" t="inlineStr">
        <is>
          <t>Airbyte</t>
        </is>
      </c>
      <c r="D45" t="inlineStr">
        <is>
          <t>linkedin</t>
        </is>
      </c>
      <c r="E45" t="inlineStr"/>
      <c r="F45" t="inlineStr"/>
      <c r="G45" t="inlineStr">
        <is>
          <t>San Francisco, CA</t>
        </is>
      </c>
      <c r="H45" t="inlineStr"/>
      <c r="I45" t="inlineStr">
        <is>
          <t>Airbyte is the open‑source standard for data movement. We've enabled data teams to move data from applications, APIs, unstructured sources and databases to data warehouses, lakes, and AI applications. With tens of thousands of connectors built and hundreds of thousands of companies adopting Airbyte, we've proven the economics of data integration at scale. And now Airbyte is building the frontier agentic data infrastructure, purpose\-built for AI agents that need fast, accurate access to data across hundreds of sources. Our mission: make data available and actionable, everywhere.
 We've raised $181M from the world's top investors (Benchmark, Accel, Altimeter, Coatue, Y Combinator, etc.) and we believe in product\-led growth, where we build something awesome that all our users love. We’ve raised enough capital to explore boldly, but we still choose to move quickly, stay scrappy, and experiment constantly as we find the right paths in an AI\-native landscape.
**The Role**
 As a Software Engineer on our Data Replication team, you will design and build intelligent systems that dramatically improve how data moves through Airbyte. From first deployment and initial sync to ongoing execution at scale. You’ll leverage LLM\-based tools, agentic workflows, and automation to accelerate connector rollout, improve sync reliability, reduce TCO (total cost of ownership), and make the data movement experience seamless for both OSS and Cloud users.
 This role sits at the intersection of AI systems, distributed data platforms, and developer experience. Your work will directly impact sync performance, operational excellence, and how quickly Airbyte can ship improvements across its control plane, data plane, and connector ecosystem.
**What You’ll Do**
* Build AI\-driven systems for data replication and connector lifecycle management, accelerating connector development, rollout, testing, and upgrades across OSS, Enterprise, and Cloud
* Design and implement agentic workflows that assist with diagnosing sync failures, schema evolution issues, performance regressions, and rollout risks across large fleets of connectors
* Build connectors and frameworks with AI to scale a wide range of reliable integrations
* Develop observability, anomaly detection, and automated remediation systems (ML \+ LLM hybrid) for data sync execution, job correctness, and CDC pipelines
* Improve control plane and data plane operations by automating deployment validation, release qualification, and environment testing (AWS, GCP, local, KIND)
* Own AI systems across the full lifecycle: design, prompt engineering, evaluation, deployment, monitoring, and iteration in production (LLMOps)
* Partner closely with platform, infra, and product teams to embed AI\-powered capabilities into Airbyte’s deployment flows, APIs, and Cloud self\-serve experience
* Build high\-leverage internal tooling that helps Airbyte ship connector and CDK changes faster while maintaining correctness, performance, and cost efficiency
**What You’ll Need**
* 5\+ years of engineering experience (backend, platform, or distributed systems) with strong proficiency in Python and/or Kotlin
* Hands\-on experience building or operating data pipelines, replication systems, or ETL/ELT platforms
* Experience designing systems that integrate LLMs with structured data, logs, APIs, or retrieval systems
* Familiarity with agentic or orchestration frameworks (e.g., LangChain, Pydantic AI, Temporal\-style workflows)
* Experience deploying and monitoring production systems, including LLMOps, observability, and alerting
* Experience running services on Kubernetes, Helm, Terraform, and major cloud providers
* Strong understanding of APIs, databases, connectors, schemas, and telemetry in distributed environments
* Systems\-level thinking with an emphasis on performance, reliability, cost, and scalability
* A startup\-ready mindset: comfortable with ambiguity, moving fast, and owning problems end\-to\-end
* A builder’s instinct for automation, leverage, and developer experience
**Nice To Have**
* Experience with open\-source platforms, especially in data integration or infrastructure tooling
* Familiarity with Airbyte, CDKs, or connector\-based architectures
* Exposure to large\-scale connector fleets, schema evolution, CDC, or long\-running sync execution
* Background in control plane/data plane architectures or internal developer platforms
**Location:**
* Onsite 5 days/week in San Francisco, CA
 If you find this role exciting, we encourage you to apply even if you think you don’t meet all of the requirements!
*Airbyte is an equal opportunity employer that does not discriminate on the basis of actual or perceived race, creed, color, religion, national origin, ancestry, age, physical or mental disability, pregnancy, genetic information, sex, sexual orientation, gender identity or expression, marital status, familial status, domestic violence victim status, veteran or military status, or any other legally recognized protected basis under federal, state or local laws. Pursuant to the San Francisco Fair Chance Ordinance, we will consider for employment qualified applicants with arrest and conviction records.*
*Airbyte is committed to providing reasonable accommodations for qualified individuals with disabilities in our job application procedures. Please let us know if you need assistance or accommodations due to a disability.*
 Compensation Range: $230K \- $260K</t>
        </is>
      </c>
    </row>
    <row r="46">
      <c r="A46" t="inlineStr">
        <is>
          <t>li-4294625040</t>
        </is>
      </c>
      <c r="B46" t="inlineStr">
        <is>
          <t>Software Engineer, Roku TV</t>
        </is>
      </c>
      <c r="C46" t="inlineStr">
        <is>
          <t>Roku</t>
        </is>
      </c>
      <c r="D46" t="inlineStr">
        <is>
          <t>linkedin</t>
        </is>
      </c>
      <c r="E46" t="inlineStr"/>
      <c r="F46" t="inlineStr"/>
      <c r="G46" t="inlineStr">
        <is>
          <t>Austin, TX</t>
        </is>
      </c>
      <c r="H46" t="inlineStr"/>
      <c r="I4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When you work at Roku, you work on a platform that real people use: You can show off the fruits of your labor to your family and friends and see it in your favorite stores’ electronics departments. 
 As a member of the Roku Products Engineering team, you will design and develop embedded software systems that enable us to build world\-class products, with Roku “inside” as their OS. To make this possible, you will work on the Roku OS on new technologies and develop new features while keeping our existing code clean and performant. Additionally, you will work with product managers to accommodate shifting demands and schedules; collaborate cross\-functionally with our QA and other development teams; and build solutions with external hardware component vendors.
 We value individuals who take pride in their ability to navigate ambiguity, collaborate, and partner with both internal and external teams, including those with demanding engineering standards and a passion for building the highest\-performing, best\-in\-class consumer products.
 We aren’t kidding that Roku is a place where no one is a bystander. If you want to work on a team where you will be surrounded by the best talent\-building things used by millions of people, if you want a tech culture that just works, you should reach out.
 About the role
 We are looking for a talented engineer to join our Products Team working on the Roku TV program! You will be responsible for the core tasks ranging from Roku OS feature development, SoC partner collaboration, third\-party API integration, code maintenance, design scalability solutions to help onboard new factories, supporting our QA and Channel certification teams, and everything else involved in our end\-to\-end product development and release cycles. To succeed in this challenging role, the following expertise is strongly preferred.
 What you'll be doing
* Roku OS feature development
* Code maintenance and scalability solution design and development
* Partner with internal QA and development teams
* System\-on\-a\-Chip (SoC) integration and platform bring\-up
* Third\-party API integration
* Working end\-to\-end product development and release cycles
 We're excited if you have
* Bachelor's or master's degree in computer science or computer engineering, Electrical Engineering, or other relevant fields
* 3\+ years of relevant software development experience
* 2\+ years C/C\+\+ coding experience
* System\-on\-a\-chip (SoC) development and integration preferred
* Experience developing/debugging on Linux or Android\-based embedded platforms
* Good understanding of Linux system and kernel concepts, multithreading primitives, Linux tools, libraries, and open\-source development
* Experience with streaming audio/video platforms, graphics, and industry standards
* Ability to excel in a fast\-paced engineering environment
* Have an ability to communicate with candor and effectiveness
* Experience working collaboratively with cross\-functional teams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47">
      <c r="A47" t="inlineStr">
        <is>
          <t>li-4367325351</t>
        </is>
      </c>
      <c r="B47" t="inlineStr">
        <is>
          <t>Software Engineer, Growth Infrastructure</t>
        </is>
      </c>
      <c r="C47" t="inlineStr">
        <is>
          <t>Replit</t>
        </is>
      </c>
      <c r="D47" t="inlineStr">
        <is>
          <t>linkedin</t>
        </is>
      </c>
      <c r="E47" t="inlineStr"/>
      <c r="F47" t="inlineStr"/>
      <c r="G47" t="inlineStr">
        <is>
          <t>Foster City, CA</t>
        </is>
      </c>
      <c r="H47" t="inlineStr"/>
      <c r="I47" t="inlineStr">
        <is>
          <t>Replit is the agentic software creation platform that enables anyone to build applications using natural language. With millions of users worldwide and over 500,000 business users, Replit is democratizing software development by removing traditional barriers to application creation.
**Job Summary**
 We are looking for an experienced Growth Infrastructure Engineer to build and maintain the technical backbone that enables scalable growth experiments, high\-performance data pipelines, and automated systems that drive user acquisition, engagement, and product iteration. This role sits at the intersection of growth, product, and infrastructure — combining deep technical engineering with experimentation and data\-driven optimization.
 You will collaborate with product, data science, and backend teams to ensure that growth initiatives run smoothly and scale efficiently across systems.
**Key Responsibilities**
**Growth Infrastructure \&amp; Systems**
* Design, implement, and maintain scalable infrastructure that supports growth and experimentation needs.
* Build and optimize analytics pipelines to capture key product and growth metrics (acquisition, activation, retention, etc.).
* Develop automated workflows for user onboarding, campaign delivery, and performance tracking.
**Experimentation \&amp; Optimization**
* Support A/B testing frameworks and integrate them into production systems.
* Enable reliable data collection and evaluation for growth experiments.
* Automate deployment and rollout of growth feature flags and tests.
**Cross\-Functional Collaboration**
* Partner with Growth Product Managers, Data Engineers, and Analysts to define technical requirements for growth initiatives.
* Translate business goals into technical specifications and system designs.
* Provide guidance on performance, reliability, and scalability trade\-offs.
**Monitoring \&amp; Reliability**
* Implement monitoring and alerting for growth infrastructure services.
* Troubleshoot production issues and optimize for uptime and performance.
* Ensure data quality and consistency for reporting and decision\-making.
**Continuous Improvement**
* Evaluate new tools, frameworks, and platforms that accelerate growth engineering.
* Drive best practices in infrastructure as code, CI/CD, and automated testing.
* Train and mentor teammates on growth infrastructure principles. (Teal)
**Required Qualifications**
* Bachelor’s degree in Computer Science, Software Engineering, or related technical field.
* 3\+ years of experience building backend or infrastructure\-focused services.
* Strong programming skills in languages such as Python, Go, or JavaScript.
* Experience with cloud platform infrastructure (e.g., AWS, GCP, Azure).
* Solid understanding of data pipelines, ETL processes, and databases.
* Experience with CI/CD systems and Infrastructure as Code (Terraform, CloudFormation, etc.).
* Experience with experimentation platforms (StatSig, Segment, LaunchDarkly, or in\-house).
**Nice to Have**
* Familiarity with growth metrics and product analytics tools (Amplitude, etc.).
* Experience designing and scaling A/B testing systems and feature flag orchestration.
* Proficient with containerization (Docker, Kubernetes) and distributed systems.
* Knowledge of observability tools (Datadog, etc).
**What Success Looks Like**
* Growth initiatives that deploy reliably and quickly with minimal manual intervention.
* High\-fidelity data pipelines that enable real\-time insight into key growth metrics.
* Growth teams are empowered to run experiments and launch campaigns without heavy infrastructure support.
**Why Join Us?**
* This is a rare opportunity to be among the first engineers on a newly formed Growth team, with significant ownership and influence over both technical direction and product outcomes. You’ll be working on a product that scaled from \~2M to 250M users in under a year, operating in a massive and still largely untapped market. The impact of your work will be visible, measurable, and foundational to how the company grows next.
* Impact how engineering and product teams scale solutions for millions of users.
* Competitive compensation and benefits tailored to growth\-focused engineers.
*This is a full\-time role that can be held from our Foster City, CA office. The role has an in\-office requirement of Monday, Wednesday, and Friday.*
**Full\-Time Employee Benefits Include:**
 💰 Competitive Salary \&amp; Equity
 💹 401(k) Program
 ⚕️ Health, Dental, Vision and Life Insurance
 🩼 Short Term and Long Term Disability
 🚼 Paid Parental, Medical, Caregiver Leave
 🚗 Commuter Benefits
 📱 Monthly Wellness Stipend
 🧑‍💻 Autonoumous Work Environement
 🖥 In Office Set\-Up Reimbursement
 🏝 Flexible Time Off (FTO) \+ Holidays
 🚀 Quarterly Team Gatherings
 ☕ In Office Amenities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$180K \- $290K</t>
        </is>
      </c>
    </row>
    <row r="48">
      <c r="A48" t="inlineStr">
        <is>
          <t>li-4302910340</t>
        </is>
      </c>
      <c r="B48" t="inlineStr">
        <is>
          <t>Senior Software Engineer  - Application Traffic team</t>
        </is>
      </c>
      <c r="C48" t="inlineStr">
        <is>
          <t>Databricks</t>
        </is>
      </c>
      <c r="D48" t="inlineStr">
        <is>
          <t>linkedin</t>
        </is>
      </c>
      <c r="E48" t="inlineStr"/>
      <c r="F48" t="inlineStr"/>
      <c r="G48" t="inlineStr">
        <is>
          <t>Mountain View, CA</t>
        </is>
      </c>
      <c r="H48" t="inlineStr"/>
      <c r="I48" t="inlineStr">
        <is>
          <t>P\-78
 At Databricks, we are passionate about enabling data teams to solve the world’s toughest problems, from advancing AI research to powering next\-generation applications. We do this by building and operating the world’s best data and AI infrastructure platform. Founded by engineers and driven by customer obsession, we embrace the hardest technical challenges, whether it’s scaling distributed systems across multiple clouds or delivering reliable, low\-latency communication between thousands of services. And we’re only getting started.
 As a Senior Software Engineer on the
 **Application Traffic team** 
 , you will design and build the systems that power Databricks’ service\-to\-service communication across thousands of clusters in a multi\-cloud environment. You will also help create abstractions that hide networking complexity from product teams, making connectivity, discovery, and reliability seamless by default.
**The Impact You’ll Have**
 You’ll work across three key areas that define Databricks’ networking stack:
* Ingress Control Plane: Build the control plane for Databricks’ global ingress layer. Enable programming of API gateways with static and dynamic endpoints, simplify service onboarding, and make it easy to expose APIs securely across clouds.
* Service\-to\-Service Communication: Design scalable mechanisms for service discovery and load balancing across thousands of clusters. Provide networking abstractions so product teams don’t need to worry about underlying connectivity details.
* Overload Protection: Build intelligent rate limiting and admission control systems to protect critical services under high load. Ensure reliability and predictable performance for both customer\-facing and internal workloads.
**What We Look For**
* BS (or higher) in Computer Science or related field
* 5\+ years of experience designing and building large\-scale distributed systems
* Strong proficiency in one or more languages such as Java, Scala, Go, or C\+\+
* Experience with service\-oriented architectures and large scale distributed systems
* Familiarity with cloud platforms (AWS, Azure, GCP) and container/orchestration technologies (Kubernetes, Docker)
* Track record of shipping infrastructure that supports mission\-critical workloads at scale
 Preferred: background in
 **service discovery, DNS, load balancing, Envoy, or related networking systems**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9">
      <c r="A49" t="inlineStr">
        <is>
          <t>li-4358154885</t>
        </is>
      </c>
      <c r="B49" t="inlineStr">
        <is>
          <t>Senior Software Engineer II, Agentic AI Systems</t>
        </is>
      </c>
      <c r="C49" t="inlineStr">
        <is>
          <t>Moveworks</t>
        </is>
      </c>
      <c r="D49" t="inlineStr">
        <is>
          <t>linkedin</t>
        </is>
      </c>
      <c r="E49" t="inlineStr"/>
      <c r="F49" t="inlineStr"/>
      <c r="G49" t="inlineStr">
        <is>
          <t>San Francisco, CA</t>
        </is>
      </c>
      <c r="H49" t="inlineStr"/>
      <c r="I49" t="inlineStr">
        <is>
          <t>**The Role**
 Are you a software engineer who has honed your craft, partnership, and execution over years building and improving production systems, and are looking to apply your skills at the cutting edge of AI agents? This may be the role for you.
 As a senior software engineer on our “agent lab” Natural Language Understanding team, you will play a central part in our mission: to advance the frontier of work that can be entrusted to agents to perform reliably at scale. You will have the opportunity to shape the evolution of the Moveworks AI Assistant platform in several of the following areas: agent orchestration, sandboxed file systems and code execution, latency optimization, agent memory, LLM self\-reflection and improvement, execution environment simulation, enterprise knowledge graphs, and multimodal I/O. You will have all the tools of modern enterprise AI at your disposal, including best\-in\-class LLMs from providers like OpenAI.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capable AI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production systems, ideally at scale
* Ability to think and communicate clearly about complex engineering problems and systems
* Comfort giving and receiving feedback, and in holding yourself and your coworkers accountable to a high standard of operational excellence
* Readiness to hit the ground running in a Mac development environment, programming in Python, Golang, and/or Java
* Desire to ship at a startup pace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50">
      <c r="A50" t="inlineStr">
        <is>
          <t>li-4367347064</t>
        </is>
      </c>
      <c r="B50" t="inlineStr">
        <is>
          <t>Senior Software Engineer - AI</t>
        </is>
      </c>
      <c r="C50" t="inlineStr">
        <is>
          <t>United Therapeutics Corporation</t>
        </is>
      </c>
      <c r="D50" t="inlineStr">
        <is>
          <t>linkedin</t>
        </is>
      </c>
      <c r="E50" t="inlineStr"/>
      <c r="F50" t="inlineStr"/>
      <c r="G50" t="inlineStr"/>
      <c r="H50" t="inlineStr"/>
      <c r="I50" t="inlineStr">
        <is>
          <t>California, US residents click here.
**The job details are as follows:**
 Senior Software Engineer, AI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 seeks to travel down the corridors of indifference to develop treatments for rare, deadly diseases. We were founded in 1996 by a family seeking a cure for their daughter’s pulmonary arterial hypertension (
 **PAH** 
 ). Today, we have six FDA\-approved therapies that treat PAH, pulmonary hypertension associated with interstitial lung disease (
 **PH\-ILD** 
 ) and neuroblastoma, a rare pediatric cancer. Our near\-term pipeline seeks to develop additional therapies for PAH and pulmonary fibrosis (
 **PF** 
 ).
 The cure for end\-stage life\-threatening diseases like PAH, PH\-ILD, PF, and many others is an organ transplant, but only a small percentage of donated organs are available to address the vast need. For this reason, we are working to create manufactured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This role is responsible for designing, building, and maintaining enterprise\-grade, AI\-enabled web applications for United Therapeutics Corporation (UTC). As a Senior Software Engineer, this position plays a critical role in shaping and upholding platform architecture, design standards, and long\-term technical strategy for custom AI solutions.
 The engineer will design and manage communication across multiple services, agents, models, and indexes, ensuring reliable data flow, observability, and performance.
 Overall, this role combines hands\-on development, system design, and technical leadership to enable United Therapeutics to build and sustain high\-quality, enterprise\-ready AI applications that deliver long\-term value to the organization
* Design, develop, and maintain scalable web AI applications using modern frameworks and technologies including , C\# Blazor, .NET, and RESTful APIs, MCP, and Azure AI
* Collaborate with business stakeholders, product owners, and cross\-functional teams to gather, refine, and translate business requirements into technical solutions
* Architect and implement custom software solutions and system integrations to support enterprise and business\-critical workflows
* Establish reusable design patterns, components, and shared services to ensure consistency, maintainability, and scalability across multiple websites and platforms
* Develop and maintain cloud\-based solutions in Microsoft Azure, including application hosting, storage, security, and monitoring
* Build and maintain CI/CD pipelines to support automated builds, testing, and deployments across development, staging, and production environments
* Implement unit tests, integration tests, and automated quality checks to ensure code reliability, performance, and security
* Design and develop front\-end user interfaces that are performant, accessible, and aligned with UX/UI best practices
* Build proof\-of\-concept applications and technical prototypes to evaluate new technologies, frameworks, and architectural approaches
* Optimize application performance, search efficiency, and cost optimization for AI platform
* Monitor, analyze, and report on AI utilization and business value for custom applications
* Identify opportunities for automation and process improvement to increase development efficiency and platform reliability
* Ensure all solutions adhere to security, compliance, and governance requirements appropriate for an enterprise and regulated environment
* Perform all other duties as required
**Minimum Requirements**
* Bachelor’s or Master’s Degree in computer science, information systems, or related field or
* 5\+ years of experience in software engineering with a Bachelor’s Degree or
* 3\+ years of experience in software engineering with a Master's Degree
* 1\+ Years experience developing custom AI applications utilizing modern GPT LLMs (preferably GPT \&amp; Copilot)
* 3\+ years of experience with object oriented software development (preferably in .NET, Python)
* 3\+ years of experience with web stack technologies (MVC, HTML CSS, Blazor, Node)
* 3\+ years of experience with web APIs and server\-oriented architecture
* 3\+ years of experience with cloud development and architecture (preferably Azure)
* 2\+ years of experience in software development methodologies ( Agile, scrum, shape\-up)
* 1\+ years of experience with dashboards, including understanding the visualization of data and its underlying structure and relationship
* 1\+ years of experience with SQL or similar relational databases, including querying and star schemas
* Demonstrated experience developing in a modern cloud environment with PaaS, IaaS, and SaaS solutions
* Ability to produce and understand IEEE software engineering documents, such as requirements and specification documents
* Documentation skills with the ability to make UML diagrams to document and brainstorming programming architecture
* Ability to solve complex technical problems and debug enterprise software
* Experience in technical writing and analysis
* Excellent written and verbal communication skills to effectively convey technical concepts to non technical parties in and out of the department
**Preferred Qualifications**
* Experience with DataBricks or other Data Pipeline technologies
 At United Therapeutics, our mission and vision are one. We use our enthusiasm, creativity, and persistence to innovate for the unmet medical needs of our patients and to benefit our other stakeholders. We are bold and unconventional. We have fun, we do good.
 Eligible employees may participate in the Company’s comprehensive benefits suite of programs, including medical / dental / vision / prescription coverage, employee wellness resources, savings plans (401k and ESPP), paid time off \&amp; paid parental leave benefits, disability benefits, and more. For additional information on Company benefits, please visit https://www.unither.com/careers/benefits\-and\-amenities
 United Therapeutics Corporation is an Equal Opportunity Employer, including veterans and individuals with disabilities.</t>
        </is>
      </c>
    </row>
    <row r="51">
      <c r="A51" t="inlineStr">
        <is>
          <t>li-4356460571</t>
        </is>
      </c>
      <c r="B51" t="inlineStr">
        <is>
          <t>Java Software Engineer</t>
        </is>
      </c>
      <c r="C51" t="inlineStr">
        <is>
          <t>BeaconFire Inc.</t>
        </is>
      </c>
      <c r="D51" t="inlineStr">
        <is>
          <t>linkedin</t>
        </is>
      </c>
      <c r="E51" t="inlineStr"/>
      <c r="F51" t="inlineStr"/>
      <c r="G51" t="inlineStr"/>
      <c r="H51" t="inlineStr"/>
      <c r="I5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52">
      <c r="A52" t="inlineStr">
        <is>
          <t>li-4367342226</t>
        </is>
      </c>
      <c r="B52" t="inlineStr">
        <is>
          <t>Senior Frontend Engineer</t>
        </is>
      </c>
      <c r="C52" t="inlineStr">
        <is>
          <t>Cambio</t>
        </is>
      </c>
      <c r="D52" t="inlineStr">
        <is>
          <t>linkedin</t>
        </is>
      </c>
      <c r="E52" t="inlineStr"/>
      <c r="F52" t="inlineStr"/>
      <c r="G52" t="inlineStr">
        <is>
          <t>New York, NY</t>
        </is>
      </c>
      <c r="H52" t="inlineStr"/>
      <c r="I52" t="inlineStr">
        <is>
          <t>**About Cambio**
 Cambio is a software platform for world\-class real estate decarbonization. We help commercial real estate owners and tenants bring their real estate portfolios to net\-zero using a machine learning\-driven, end\-to\-end real estate sustainability platform. Our mission is to take the real estate industry into the climate action era.
 We are proud to be the fastest growing startup in our category, with world\-class partners and investors including Y Combinator, Google, the U.S. Department of Energy, Stanford University and Fifth Wall. We are seeking team members who are passionate about building transformative products, enthusiastic about problem\-solving, and excited to work at the forefront of climate and real estate technology. Join us on our mission to achieve net zero by 2050\.
**Things Our Engineers Love:**
* Mission\-driven: Climate can’t wait. We’re building real solutions for one of the most carbon\-intensive industries — real estate.
* Hypergrowth: We've tripled our ARR last year and we’re on track to do it again.
* AI\-forward: We're tripling our investment in AI to supercharge our platform and help customers decarbonize faster.
* World\-class team: Ex\-Google, Bain, Faire, One Medical, OMERS, Goldman Sachs, and more.
* High ownership: Join early, ship fast, and help shape the product, team, and culture from the ground up.
* Competitive compensation \+ meaningful early\-stage equity
**The role**
 As a Senior Frontend Engineer, you will play a critical role in crafting and implementing our software platform's user interface. Your mission will be to build intuitive, responsive, and performant web applications that bring our decarbonization platform to life.
 If you are passionate about creating seamless user experiences and are driven by the impact of technology on real estate decarbonization, then this role is for you.
**What You Will Be Doing**
* Design, build, and maintain high\-quality, scalable frontend features and user interfaces for production web applications.
* Lead architectural decisions and contribute to frontend best practices, coding standards, and system design discussions.
* Collaborate closely with product managers, designers, and backend engineers to deliver seamless, user\-centric experiences.
* Drive performance, reliability, and accessibility improvements, using modern tooling and data\-driven insights.
* Mentor and support team members, providing code reviews, technical guidance, and contributing to a culture of continuous improvement.
**What We’re Looking For**
* Excellent collaboration and communication skills, with a track record of working effectively in cross\-functional teams
* 5\+ years of experience building production web applications, with a strong focus on modern frontend development.
* Proficiency in HTML, CSS, TypeScript, and hands\-on experience with React
* Strong understanding of modern web technologies, including responsive design, accessibility, and cross\-browser compatibility.
* Proven ability to lead technical projects, drive architectural decisions, and mentor other engineers.
* Bonus: experience optimizing web performance, including bundle optimization, caching strategies, and profiling.
**Logistics:**
* Work Authorization: Authorization to work in US is required.
* Location: This is a hybrid role requiring 2–3 days of in\-person collaboration per week.
 If you thrive on creating well\-crafted products and systems that have a disproportionate impact on the real estate industry’s path to net zero, we invite you to join our team. Apply now to embark on this journey with us.</t>
        </is>
      </c>
    </row>
    <row r="53">
      <c r="A53" t="inlineStr">
        <is>
          <t>li-4367336487</t>
        </is>
      </c>
      <c r="B53" t="inlineStr">
        <is>
          <t>Software Engineer I</t>
        </is>
      </c>
      <c r="C53" t="inlineStr">
        <is>
          <t>Honeywell</t>
        </is>
      </c>
      <c r="D53" t="inlineStr">
        <is>
          <t>linkedin</t>
        </is>
      </c>
      <c r="E53" t="inlineStr"/>
      <c r="F53" t="inlineStr"/>
      <c r="G53" t="inlineStr">
        <is>
          <t>Salem, OR</t>
        </is>
      </c>
      <c r="H53" t="inlineStr"/>
      <c r="I53" t="inlineStr">
        <is>
          <t>**Job Description**
 As a Software Engineer I here at Honeywell, you will be responsible for developing and maintaining software applications and solutions that meet the needs of our customers. You will work on both the front\-end and back\-end of applications, ensuring seamless integration and optimal performance. Your expertise in both front\-end and back\-end technologies will contribute to the success of our software development projects.
 You will report directly to our Software Engineering Manager, and you'll work out of our Salem, Oregon location on a hybrid work schedule.
 In this role, you will impact the development and delivery of innovative software solutions that drive customer satisfaction and business growth.
**Responsibilities**
 As an Software Engineer I here at Honeywell, you will be responsible for developing and maintaining software applications and solutions that meet the needs of our customers. You will work on both the front\-end and back\-end of applications, ensuring seamless integration and optimal performance. Your expertise in both front\-end and back\-end technologies will contribute to the success of our software development projects.
 In this role, you will impact the development and delivery of innovative software solutions that drive customer satisfaction and business growth.
 This role also requires passion and knowledge of software cyber security and how it plays into a traditional SDLC. The ideal candidate will understand cyber process from requirements definition, threat modeling, secure scanning of software code and binaries, and supporting penetration test teams with doing vulnerability assessments of the software. All these activities include analysis and identification, remediation, and verification of potential threats and vulnerabilities of the system and software. You will work closely with a cyber security architect to ensure new product development and engineering teams are adhering to industry standard 62443 cyber security practices.
 In this role, you will impact the development and delivery of innovative software solutions that drive customer satisfaction and business growth.
**Qualifications**
**YOU MUST HAVE**
* Bachelor’s degree from an accredited institution in a technical discipline such as science, technology, engineering, mathematics.
* Minimum of 1 years of experience in full stack software development.
* Minimum of 1 years of demonstrated proficiency with front\-end technologies including React, Typescript, HTML, CSS.
* Minimum of 1 years of experience with back\-end technologies including Node.js and MongoDB.
* Minimum of 1 year of experience with software cyber security, including all aspects of cyber security activities within the entire SDLC.
**WE VALUE**
* Bachelor’s degree or 2–3\-year Web Application Development Diploma from an accredited institution in a technical discipline.
* Experience with cloud technologies such as GCP, AWS, or Azure.
* Knowledge of other database systems such as MySQL or PostgreSQL.
* Familiarity with Agile software development methodologies.
* Experience using GitHub, Jira, and other collaborative tools.
* Excellent communication and collaboration skills.
* Passion for cyber security and helping build secure products and educating fellow developers on how to design and build secure solutions.
 Due to compliance with U.S. export control laws and regulations, candidate must be a U.S. Person, which is defined as, a U.S. citizen, a U.S. permanent resident, or have protected status in the U.S. under asylum or refugee status or have the ability to obtain an export authorization.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Job Posting Date: January 29\. 2026\.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54">
      <c r="A54" t="inlineStr">
        <is>
          <t>li-4367198804</t>
        </is>
      </c>
      <c r="B54" t="inlineStr">
        <is>
          <t>Software Engineer</t>
        </is>
      </c>
      <c r="C54" t="inlineStr">
        <is>
          <t>Lockheed Martin</t>
        </is>
      </c>
      <c r="D54" t="inlineStr">
        <is>
          <t>linkedin</t>
        </is>
      </c>
      <c r="E54" t="inlineStr"/>
      <c r="F54" t="inlineStr"/>
      <c r="G54" t="inlineStr">
        <is>
          <t>Marietta, GA</t>
        </is>
      </c>
      <c r="H54" t="inlineStr"/>
      <c r="I54" t="inlineStr">
        <is>
          <t>**Job Description**
 WHO WE ARE:
 The Skunk Works (Lockheed Martin Advanced Development Programs) is looking for world\-class talent in Software Engineering to be a part of a team that will carry on our 80\-year tradition\-making history in advanced aircraft development. The ground vehicle management software team writes software that powers remote\-control, monitoring, and data\-management for unmanned aerial vehicles. We are a highly innovative fast paced team working to develop modular and reusable software to support both our current platforms and the aircraft of the future.
**What’s In It For You**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are involved within the company as well as outside the organization. This positions offers meaningful and exciting technical work spanning both software development and supporting integration and test for a multi\-site team.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positions offers a motivated engineer the opportunity to have a high impact on a fast paced program as they grow their own skillset.
**Desired Skills**
* Experience integrating hardware and software
 Experience with LUA programming language
* Experience in scripting languages (e.g. python)
* Experience with build environments and tools (make and CMake)
* Experience using agile software development tools and methodologies (e.g. Git, Gitlab, JIRA, Jenkins, Confluence, etc.)
* Experience with networking protocols (e.g. IP, UDP, RTP, etc.)
* Experience working with safety/flight critical software development processes (e.g. MIL\-STD\-516C, MIL\-HDBK\-1797, AC\-17\-01, DO\-178\)
* Ability to build and maintain relationships and collaborative effectively with others
* Strong decision making and judgment skills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55">
      <c r="A55" t="inlineStr">
        <is>
          <t>li-4367358016</t>
        </is>
      </c>
      <c r="B55" t="inlineStr">
        <is>
          <t>Software Engineer: Multiple Levels</t>
        </is>
      </c>
      <c r="C55" t="inlineStr">
        <is>
          <t>Torch Technologies, Inc.</t>
        </is>
      </c>
      <c r="D55" t="inlineStr">
        <is>
          <t>linkedin</t>
        </is>
      </c>
      <c r="E55" t="inlineStr"/>
      <c r="F55" t="inlineStr"/>
      <c r="G55" t="inlineStr">
        <is>
          <t>Redstone Arsenal, AL</t>
        </is>
      </c>
      <c r="H55" t="inlineStr"/>
      <c r="I55"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multiple Software Independent Verification \&amp; Validation Engineers to support the evaluation, verification, and validation of software used in DoD missile systems, radar systems, and other mission\- and safety\-critical platforms. This role focuses on software integrity, airworthiness, analytical rigor, and lifecycle assurance to ensure software compliance with technical, safety, quality, and program requirements. Engineers at all levels will collaborate with systems, software, safety, and quality teams to assess software engineering processes, products, and automation across the system lifecycle. Level of responsibility and technical leadership will align with experience and grade.
**Key Responsibilities (All Levels)**
* Perform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**Level\-Specific Expectations**
**Software Engineer I**
* Entry\-level or early\-career position.
* Supports IV\&amp;V tasks under supervision.
* Assists with artifact reviews, test analysis, and documentation.
* Learns DoD processes, missile and radar system concepts, and applicable standards.
**Software Engineer II**
* Performs IV\&amp;V tasks with moderate supervision.
* Independently conducts software analysis and reviews.
* Contributes to risk assessments and technical findings.
* Participates in peer reviews and program technical discussions.
**Software Engineer III**
* Performs IV\&amp;V activities independently on complex systems.
* Leads analysis efforts for software subsystems or functions.
* Interfaces directly with program stakeholders and customers.
* Mentors’ junior engineers and supports process improvement.
**Software Engineer IV**
* Senior\-level technical authority in software IV\&amp;V and assurance.
* Leads IV\&amp;V strategy, planning, and execution across programs.
* Provides expert guidance on airworthiness, software integrity, and risk.
* Supports major reviews, audits, and customer engagements.
* Drives continuous improvement and technical best practices.
**Required Qualifications (All Levels)**
* US Citizenship.
* Bachelor’s Degree in Engineering, Computer Science, or related technical field.
* 0\-8 years applicable software design engineering experience.
* Experience or academic background in software engineering, software analysis, IV\&amp;V, or software assurance.
* Understanding of software development, lifecycles and verification methodologies.
* Ability to analyze complex technical information and clearly document results.
* Active DoD security clearance or ability to obtain one.
**Preferred Qualifications**
* Experience with DoD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program and engineering teams.
* Occasional travel may be required in support of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56">
      <c r="A56" t="inlineStr">
        <is>
          <t>li-4351420272</t>
        </is>
      </c>
      <c r="B56" t="inlineStr">
        <is>
          <t>Senior Software Engineer (C#) - Global Multi-Strat Hedge Fund - Excellent Compensation + Benefits</t>
        </is>
      </c>
      <c r="C56" t="inlineStr">
        <is>
          <t>Mondrian Alpha</t>
        </is>
      </c>
      <c r="D56" t="inlineStr">
        <is>
          <t>linkedin</t>
        </is>
      </c>
      <c r="E56" t="inlineStr"/>
      <c r="F56" t="inlineStr"/>
      <c r="G56" t="inlineStr">
        <is>
          <t>New York, United States</t>
        </is>
      </c>
      <c r="H56" t="inlineStr"/>
      <c r="I56" t="inlineStr">
        <is>
          <t>**My client, a top\-performing global hedge fund, is seeking a senior software engineering hire within their New York office to help lead in the build out of their global OMS.** 
 This is a rare opportunity to sit close to the business—Portfolio Managers, Traders, Compliance, Treasury, and Trade Operations—owning technology that powers the full trade lifecycle from origination through warehousing.
 You’ll lead the design and delivery of scalable, business\-critical applications that augment vendor OMS/EMS and integrate with bespoke systems for treasury, compliance, and trade ops. Expect a modern stack (SQL Server, Snowflake, AWS, Angular/React) and a fast\-paced environment where your engineering decisions directly shape a multi\-asset trading platform.
**Key responsibilities will include:** 
* **Architecting and building trade\-flow applications \&amp; reporting tools** 
 : You’ll design and deliver resilient services that streamline order capture, routing, compliance checks, allocations, warehousing, and end\-of\-day processes—integrating vendor OMS/EMS with in\-house platforms.
* **Enhancing and extending OMS/EMS workflows across asset classes** 
 : You’ll tailor and extend vendor functionality, close gaps with custom augmentations, and ensure seamless data and workflow integration across trading, compliance, treasury, and trade operations.
* **Partnering directly with front\-office and operations stakeholders** 
 : You’ll work hand\-in\-glove with PMs, traders, ops, and tech leadership to define requirements, iterate quickly, and ship solutions that improve speed, control, and transparency.
* **Modernising the platform and establishing best practices** 
 : You’ll drive cloud migration (AWS, Snowflake), uplift data models and pipelines, and set engineering standards around reliability, observability, testing, and performance—guiding junior engineers along the way.
* **Owning production quality and support:** 
 You’ll provide escalation\-level coverage for mission\-critical OMS/EMS platforms during market hours and EOD, helping keep the trade lifecycle running smoothly globally.
**They are seeking candidates with:** 
* 5\+ years’ OMS/EMS experience building and supporting order/execution workflows.
* Strong hands\-on skills in C\# or Python, advanced SQL, and solid foundations in data structures, memory management, and concurrency.
* Experience with AWS/Snowflake and modern UI frameworks (Angular/React/Vue).
* Excellent stakeholder communication and the ability to translate complex ideas into clear, actionable plans.
* Comfort balancing project delivery with production support in a fast\-moving environment.
* Bonus: knowledge of Equities, Fixed Income, Options, Futures and pragmatic use of AI tools to accelerate the SDLC.
 My client anticipates to pay a strong performer upwards of $400k year 1 total compensation package. As well as a market\-leading compensation package, they offer exceptional benefits including a top\-tier healthcare package, fully subsidised qualifications plus breakfast and lunch paid for each day.
**To apply, either respond to this advert or send your CV directly to sasha.duquesne@mondrian\-alpha.com**</t>
        </is>
      </c>
    </row>
    <row r="57">
      <c r="A57" t="inlineStr">
        <is>
          <t>li-4367308520</t>
        </is>
      </c>
      <c r="B57" t="inlineStr">
        <is>
          <t>Software Engineer</t>
        </is>
      </c>
      <c r="C57" t="inlineStr">
        <is>
          <t>Hirenza</t>
        </is>
      </c>
      <c r="D57" t="inlineStr">
        <is>
          <t>linkedin</t>
        </is>
      </c>
      <c r="E57" t="inlineStr"/>
      <c r="F57" t="inlineStr"/>
      <c r="G57" t="inlineStr"/>
      <c r="H57" t="inlineStr"/>
      <c r="I57" t="inlineStr">
        <is>
          <t>**About The Company**
 Dell Technologies is a global leader in innovative technology solutions, dedicated to empowering individuals and organizations to achieve their full potential. With a rich history of technological excellence, Dell offers a wide range of products and services including hardware, software, and cloud\-based solutions. The company is committed to fostering a diverse and inclusive work environment where creativity and collaboration thrive. Dell’s mission is to drive human progress through technology, making it easier for people to connect, work, and innovate in a rapidly evolving digital landscape.
**About The Role**
 The Senior Software Engineer at Dell Technologies plays a critical role in developing next\-generation storage solutions and software applications. This position is based in Hopkinton, MA, and offers an exciting opportunity to work on cutting\-edge projects that influence the future of enterprise storage systems. As part of the Software Engineering team, you will be responsible for designing, developing, and debugging complex software components, primarily using C/C\+\+ and Python. Your work will contribute to the core Data Path of Dell’s leading midrange storage products, ensuring high performance, efficiency, and reliability.
 The role involves collaborating with cross\-functional teams, including architects and senior developers, to model, analyze, and optimize storage system performance. You will be involved in the entire software lifecycle, from requirements gathering and specification drafting to testing and deployment. This position offers the chance to make a significant social impact by contributing to innovative storage solutions that meet the evolving needs of global businesses.
**Qualifications**
 To succeed in this role, candidates should possess a minimum of five years of related experience in software development. A strong knowledge of C/C\+\+ and Python programming languages is essential, along with a good understanding of operating systems, firmware, BIOS, device drivers, and embedded software. Familiarity with server, storage, networking, and client technologies is highly desirable. Candidates should demonstrate the ability to develop and debug sophisticated software programs based on detailed design specifications. A bachelor’s degree in Computer Science, Software Engineering, or a related field is preferred, although equivalent professional experience will also be considered.
**Responsibilities**
* Participate in the preparation, review, and assessment of software and storage requirements and specifications to ensure alignment with project goals.
* Design, develop, and maintain core storage software primarily using C/C\+\+ and Python, adhering to established coding standards and best practices.
* Draft detailed written specifications for tasks of varying complexity based on verbal or documented requirements.
* Utilize established software development lifecycle methodologies to ensure quality and timely delivery of software products.
* Review and implement testing strategies, including unit testing, integration testing, and performance testing, to validate software functionality and performance.
* Collaborate with cross\-functional teams to troubleshoot and resolve complex software issues, ensuring system stability and performance.
* Continuously analyze system performance and optimize algorithms to improve efficiency and reduce data processing times.
* Stay updated with the latest industry trends, technologies, and best practices to continuously improve software quality and development processes.
**Benefits**
 At Dell Technologies, employees enjoy a comprehensive benefits package designed to support their overall well\-being and professional growth. This includes competitive salary packages, health insurance, retirement plans, paid time off, and flexible working arrangements. Dell also offers opportunities for continuous learning and development through training programs, certifications, and career advancement initiatives. Employees are encouraged to maintain a healthy work\-life balance, with resources and support available to foster a positive and engaging work environment. Additionally, Dell promotes a culture of innovation, inclusion, and collaboration, making it an ideal place for talented professionals to thrive and make impactful contributions.
 Equal Opportunity
 Dell Technologies is committed to creating a diverse and inclusive workplace where all employees are valued and respected. The company provides equal employment opportunities regardless of race, color, religion, gender, sexual orientation, gender identity or expression, age, national origin, disability, or veteran status. Dell adheres to all applicable laws and regulations to ensure a fair and equitable hiring process. We believe that a diverse workforce fosters innovation and drives better business outcomes, and we are dedicated to providing an environment where everyone can succeed and grow.</t>
        </is>
      </c>
    </row>
    <row r="58">
      <c r="A58" t="inlineStr">
        <is>
          <t>li-4356477394</t>
        </is>
      </c>
      <c r="B58" t="inlineStr">
        <is>
          <t>Software Engineer</t>
        </is>
      </c>
      <c r="C58" t="inlineStr">
        <is>
          <t>Bastian Solutions</t>
        </is>
      </c>
      <c r="D58" t="inlineStr">
        <is>
          <t>linkedin</t>
        </is>
      </c>
      <c r="E58" t="inlineStr"/>
      <c r="F58" t="inlineStr"/>
      <c r="G58" t="inlineStr">
        <is>
          <t>Louisville, KY</t>
        </is>
      </c>
      <c r="H58" t="inlineStr"/>
      <c r="I58" t="inlineStr">
        <is>
          <t>Bastian Solutions is seeking experienced Software Engineers to work in their Louisville, KY location or new Noblesville, IN Headquarters.
 The Software Engineer will work together with Software Team Lead to coordinate and oversee design and development of future engineered products (new versions of Exacta, various automation and device integration with Exacta, Dynamics AX and other ERP system integration into Exacta, new functionality within Exacta \- vision systems, voice\-controlled Exacta, embedded software, etc.) Work together with Software Team Lead to ensure that the best architecture is implemented for the Exacta product. Will need to engage and solve the Critical issues and tasks that the software development group is challenged with. Be prepared to be vocal and influential with the direction that the project team pursues for the future our software suite. Mentor new developers and create an atmosphere that encourages growth and respect.
**Job Functions**
* Assist Software Team Lead to make sure all developers in the Programming Department are successful, and can produce fast, error\-free code.
* Receives detailed functional specification, software design documents and flow diagrams to illustrate the sequence of steps that the programs must follow and to describe input, output, and logical operations involved.
* Analyzes workflow logic of design documents, and resolves problems raised by theoretical and practical approach to the project design.
* Assist Software Architects with documentation for new Exacta modules
* Communicates closely with other project team members or the end user as necessary to resolve questions of the system functionality, data input, output requirements, and various internal checks and controls.
* Develop, debug, and unit test applications in accordance with established standards.
* Package and support deployment of releases.
* Maintain MS Certification as a Professional Developer. Encourage developers to become MCTSs and MCSDs.
* Maintain Bastian Software Coding Standards Document.
* Initiate and lead code review meetings strictly adhering to the Bastian Software coding standards
* Encourage and facilitate the use of unit testing algorithms and standards
* Completes successfully unit level testing prior to passing the programs on to QA
* Active participate during all PDSC meetings and activities.
* Ability to Execute R\&amp;D Projects
* Assist Team Lead on providing estimates to sales department
* Actively participate including presentations in monthly developer meetings
* Continuing education including but not limited to security training
* Ability to design and develop larger or lesser defined projects from start to finish
* Ability to perform all essential functions above with minimal supervision and less rework
**Travel Requirements**
* 20% overnight travel (Travel expenses paid by Bastian Solutions)
**Preferred Skills And Required Qualifications**
* Must be eligible to work in the USA long term without sponsorship.
* Bachelors degree in Computer Science; Bachelors degree in Computer Engineering Computer Science (CECS) is preferred
* 6\+ years of experience working in a professional setting as a Developer (C\# preferred)
* 6\+ years of work experience with C\#, .NET framework
* Ability to support or rewrite legacy Microsoft technologies such as ASP.NET, REST, and MVC v1 thru 4
* Experience in HTML5, CSS3, JavaScript, Ajax, JSON, XML, XHTML, security \&amp; performance issues with browsers
* Proficiency with C\+\+, COM, Mocking Frameworks and Debugging tools
* Knowledge of source control with TFS/Git including setting up solutions, publishing, CI, branching/merging
* Experience with database development including relational database design and ORM technologies
* Knowledge and application of object\-oriented design principles
* A deep understanding of development patterns and prior experience with implementation
* Deep understanding of coding techniques which contribute to the reliability, maintainability, readability, simplicity, performance, and testability of software
* A good understanding of IT environments including networking, server technologies, databases, security and performance
* Experience and proficiency in the day\-to\-day practicalities of Software Development methodologies such as Scrum, Waterfall and Kanban
* Software development qualifications such as Microsoft Certified Professional Developer
***To learn more about us, click the following link***
 \- https://www.youtube.com/watch?v\=\_wJsktTkF50
**About Bastian Solutions**
 Bastian Solutions, a Toyota Automated Logistics company, is an independent material handling and robotics system integrator providing automated solutions for distribution, manufacturing, and order fulfillment centers around the world. Our team specializes in consulting, system design, project management, maintenance, and installation, while sourcing the best equipment and automation technology. We take great pride in providing exceptional service and flexibility to our customers.
 In addition to exciting work at a growing company, we offer the following benefits:
* Health, Dental, and Vision Insurance
* 401(k) Retirement Plan with a company match
* Vacation/Holiday Pay
* Tuition Reimbursement
* Volunteer Work
* Professional Associations, Conferences and Subscriptions
* Company Meetings \&amp; Events
 Bastian Solutions does not work outside recruiting agencies. No solicitation phone calls please.</t>
        </is>
      </c>
    </row>
    <row r="59">
      <c r="A59" t="inlineStr">
        <is>
          <t>li-4367317060</t>
        </is>
      </c>
      <c r="B59" t="inlineStr">
        <is>
          <t>Senior Software Engineer</t>
        </is>
      </c>
      <c r="C59" t="inlineStr">
        <is>
          <t>The Flex</t>
        </is>
      </c>
      <c r="D59" t="inlineStr">
        <is>
          <t>linkedin</t>
        </is>
      </c>
      <c r="E59" t="inlineStr"/>
      <c r="F59" t="inlineStr"/>
      <c r="G59" t="inlineStr">
        <is>
          <t>San Marino, CA</t>
        </is>
      </c>
      <c r="H59" t="inlineStr"/>
      <c r="I59" t="inlineStr">
        <is>
          <t>Join the team redefining the future of global living.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If you’re motivated by
 **complex systems, automation, and building software that operates in the real world** 
 , this role gives you the ownership and scope to make a visible, lasting impact.
 💡 What You’ll Build
 As a
 **Senior Software Engineer** 
 , you’ll design, build, and scale critical parts of The Flex platform — from core services and APIs to automation workflows and real\-time systems.
 You’ll operate with high autonomy, owning problems end\-to\-end and contributing directly to architectural decisions, while staying deeply hands\-on with production code.
 This role is for engineers who want
 **impact, not meetings** 
 — and who take pride in building systems that are reliable, elegant, and scalable.
 ⚙️ Your Mission
**Build Core Systems**
 Develop and maintain scalable services that power bookings, payments, availability, pricing, and guest experience.
**Design Robust APIs**
 Create clean, well\-structured APIs that connect Base360\.ai with internal tools and external partners.
**Automate Operations**
 Build event\-driven workflows that eliminate manual processes and unlock operational leverage.
**Ship with Confidence**
 Deploy and operate cloud\-native infrastructure on AWS with a focus on reliability, security, and performance.
**Solve Meaningful Problems**
 Work on real\-time booking synchronization, pricing intelligence, keyless access logic, AI\-powered alerts, and live operational dashboards.
**Collaborate for Impact**
 Work closely with product, data, and operations teams to turn complex requirements into simple, effective systems.
 🧠 You’re a Great Fit If You Have
* Strong experience building production systems with Node.js, React, and AWS
* A solid understanding of distributed systems and API\-first design
* Experience with Python / FastAPI for automation or data services (bonus)
* A track record of shipping clean, maintainable, scalable code
* Comfort owning features and systems from design to production
* Curiosity about automation, AI\-driven operations, and proptech
* A bias toward execution — you deliver, iterate, and improve continuously
 🌍 Why You’ll Love Working Here
**Visible Impact**
 Your work will directly affect thousands of stays and real\-world operations.
**Autonomy \&amp; Trust**
 You’ll own systems and decisions without unnecessary process or micromanagement.
**Fast Growth Environment**
 We move quickly, learn constantly, and value technical excellence.
**Performance\-Based Rewards**
 Competitive compensation with upside for high performers.
**Remote\-First**
 Work from anywhere — outcomes matter more than hours.
 🚫 This Role Is Not for You If
* You want a narrowly scoped role with limited ownership
* You avoid production responsibility
* You’re uncomfortable working in fast\-moving environments
* “Good enough” is your standard</t>
        </is>
      </c>
    </row>
    <row r="60">
      <c r="A60" t="inlineStr">
        <is>
          <t>li-4366890593</t>
        </is>
      </c>
      <c r="B60" t="inlineStr">
        <is>
          <t>Software Engineer, ToR Infrastructure</t>
        </is>
      </c>
      <c r="C60" t="inlineStr">
        <is>
          <t>Google</t>
        </is>
      </c>
      <c r="D60" t="inlineStr">
        <is>
          <t>linkedin</t>
        </is>
      </c>
      <c r="E60" t="inlineStr"/>
      <c r="F60" t="inlineStr"/>
      <c r="G60" t="inlineStr">
        <is>
          <t>Sunnyvale, CA</t>
        </is>
      </c>
      <c r="H60" t="inlineStr"/>
      <c r="I60" t="inlineStr">
        <is>
          <t>**Minimum qualifications:**
* Bachelor’s degree or equivalent practical experience.
* 2 years of experience with coding in C\+\+.
* 1 year of experience with distributed computing.
* 1 year of experience with SQL.
**Preferred qualifications:**
* Master's degree or PhD in Computer Science or a related technical field.
* 1 year of experience with data center networking.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Rackswitch bandwidth provisioning and lifecycle management is a core/critical area in datacenter networking. The charter of the team is cost efficiency, reliability (i.e., minimize network congestion and impact to internal/external users), and application performance. Sub\-areas include: rack level job scheduling and optimizing rack switch uplink bandwidth provisioning. Lifecycle management of rack switch deployment, configuration, and decomissioning and infrastructure support for introducing new rackswitch hardware platforms.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end\-to\-end projects to support deployment of new rack switch hardware increase rack switch availability.
* Improve rack switch deployment flexibility, rack switch bandwidth provisioning efficiency.
* Increase velocity of rack switch deployments, and improve reliability of all rack switch life\-cycle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1">
      <c r="A61" t="inlineStr">
        <is>
          <t>li-4054555980</t>
        </is>
      </c>
      <c r="B61" t="inlineStr">
        <is>
          <t>Full Stack Software Engineer - Application Development</t>
        </is>
      </c>
      <c r="C61" t="inlineStr">
        <is>
          <t>Palantir Technologies</t>
        </is>
      </c>
      <c r="D61" t="inlineStr">
        <is>
          <t>linkedin</t>
        </is>
      </c>
      <c r="E61" t="inlineStr"/>
      <c r="F61" t="inlineStr"/>
      <c r="G61" t="inlineStr">
        <is>
          <t>New York, NY</t>
        </is>
      </c>
      <c r="H61" t="inlineStr"/>
      <c r="I61"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Palantir Foundry is an end\-to\-end platform for data\-driven decision\-making. We're transforming the way organizations securely integrate their data, so they can then build reliable, critical applications atop that unified foundation. Our customers use Foundry to perform rich analyses that drive core operations within their organizations. They can also build sophisticated, full\-fledged programs, such as common operating pictures, alert\-triaging inboxes, and resource allocation planning tools driven by rich\-ML models.
 As a Full Stack Engineer focused on application development in Foundry, you will be responsible for crafting the tools used by thousands of users to build the sophisticated applications that power their businesses. You will be architecting and developing interfaces, state management and access patterns to support data\-intensive workflows that are both powerful and approachable. You may spend one day interviewing users to better understand their needs and identifying product gaps to improve. The next day, you might find yourself considering that customer context along with signal gathered from other customers in different industries, brainstorming approaches to handling intricate UX needs with your teammates.
 You’ll regularly be faced with sophisticated technical problems, requiring you to scope out the solution design and finding an incremental path to shipping the new features. As part of this, you will own APIs and schemas that power your frontend code, or work with other backend engineers in developing them together.
 We’re hiring engineers who are passionate about solving real\-world problems and empowering both developers and end\-users to work optimally. If you’re motivated to develop reliable, performant, and scalable systems, and to design robust APIs and primitives, this role offers the opportunity to make a significant impact on our products and the people who use them.
**Frontline**
 Foundry Software Engineers may be offered the opportunity to Frontline, an exclusive program unlike any other. This unique, short\-term assignment involves being embedded with customers, allowing you to work directly with users and gain firsthand insight into how our products are used and the challenges our customers face. Unlike traditional engineering roles, Frontline immerses you in complex, ambiguous problems, empowering you to deliver impactful solutions across some of the world’s most important industries and institutions.
 Some of our most successful products were built on the factory floor, addressing real\-world problems for the world's most important institutions. These products were developed by some of our most successful product engineers, who began their careers in roles aligned with Frontline responsibilities, gaining a deep understanding of both our technology and our customers.
 Frontliners operate across a broad spectrum of responsibilities, much like a startup CTO. They work in small teams to own the end\-to\-end execution of high\-stakes projects. This spectrum ranges from discussing architecture and building custom web apps to conducting workshops with users and strategizing with customer executives. No two days are alike, as each day is diverse and impactful. By witnessing how customers engage with Foundry and experiencing these pain points firsthand, you’ll gain unique insights that feed directly back into our development process, helping to refine and enhance our products. After your frontline rotation is complete, you will return to your regular role where you can apply the experience and understanding you’ve gained.
**Core Responsibilities**
* Working as part of a community of engineers building shared frontend tooling to enable teams across Foundry.
* Designing and building for high\-scale data intensive APIs (example).
* Developing interactive workflow UIs.
* Building products which aim to make technical concepts accessible for non\-technical users.
* Creating low\-code/no\-code WYSIWYG tools, which enable application builders within Foundry to build products for their users.
**Technologies We Use**
* Typescript, React, CSS Modules and GraphQL.
* Palantir maintains Blueprint, and open\-source component library, which you will use to build applications.
* A combination of open\-source and internal technologies that suit the problems at hand.
* Industry\-standard build tooling, including Gradle, Webpack, GitHub, and CircleCI.
* Our build and deployment tooling is owned by an expert, dedicated and friendly frontend infrastructure team that you can collaborate directly with or contribute to, further enhancing our tooling.
**What We Value**
* Passion for improving user workflows and building user interfaces that enable users to tackle their problems, while still maintaining engineering quality.
* Ability to work collaboratively in teams of technical and non\-technical individuals and understand how technical decisions impact the people who will use what you're building.
* Skill and comfort working in a constantly evolving environment with dynamic objectives and iteration with users.
* Experience brainstorming and iterating with product designers.
* Experience building high\-quality software in a fast\-paced CI/CD development environment.
* Proven ability to learn continuously, work independently, and make decisions with minimal supervision.
* Ability to learn new technology and concepts, even without in\-depth experience.
* Active US Security clearance, or eligibility and willingness to obtain a US Security clearance is beneficial, but not necessary.
**What We Require**
* 2\+ years of frontend software engineering experience.
* Strong frontend coding skills used to write clean, effective code, regardless of framework, and existing proficiency in JavaScript and understanding of how web technologies work.
* Familiarity with data structures, loading patterns, frontend frameworks, and other technical tools and concepts.
* Proficiency with programming languages such as JavaScript/TypeScript, or similar languages.
* Strong written and verbal communication skills.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 Employees (and their eligible dependents) can enroll in medical, dental, and vision insurance as well as voluntary life insurance
* Employees are automatically covered by Palantir’s basic life, AD\&amp;D and disability insurance
* Commuter benefits
* Relocation assistance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
 If you would like to understand more about how your personal data will be processed by Palantir, please see our Privacy Policy .</t>
        </is>
      </c>
    </row>
    <row r="62">
      <c r="A62" t="inlineStr">
        <is>
          <t>li-4367321904</t>
        </is>
      </c>
      <c r="B62" t="inlineStr">
        <is>
          <t>Full Stack Software Developer (AHT) - R10221040</t>
        </is>
      </c>
      <c r="C62" t="inlineStr">
        <is>
          <t>Northrop Grumman</t>
        </is>
      </c>
      <c r="D62" t="inlineStr">
        <is>
          <t>linkedin</t>
        </is>
      </c>
      <c r="E62" t="inlineStr"/>
      <c r="F62" t="inlineStr"/>
      <c r="G62" t="inlineStr">
        <is>
          <t>Newport News, VA</t>
        </is>
      </c>
      <c r="H62" t="inlineStr"/>
      <c r="I62"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is looking for a
 **Software Engineer** 
 based out of either
 **Hollywood (MD), Manhattan Beach (CA), or Newport News (VA)** 
 . Our Team works on state\-of\-the\-art Mission Planning systems. This is a role in a large program that will support the full software product lifecycle in an Agile Scrum framework: requirement definition, estimation, implementation, unit testing, integration testing, SW/HW integration, test documentation, supporting test events, and customer support. The ideal candidate will be a cross\-functional team player, willing to take on challenges, that collaborates with internal and external teams and that is driven to provide solutions to internal and external customers.
**Responsibilities Include**
* Designs, develops, documents, tests and debugs applications software and systems that contain logical and mathematical solutions while ensuring software standards are met
* Maintain and improve the software CI/CD pipelines to enable fast, bug free delivery of critical business software to production
* Set up and deploy Development, Test, and Build environments
* Create and update Windows installers
* Install, test, and verify software products
* Provide support for the software build and installation
* Work within a Cross\-Functional scrum to develop high\-priority mission planning features.
* Understand third\-party software and hardware peripherals to support implementation of software interfaces and support integration
* Develop software test products such as Verification Cross Reference Matrices to tie software requirements to software tests, Software Test Plans, Software Test Procedures, and Software Test Reports.
* Define and develop test approaches for new software and system capabilities.
* Compile data and define changes required in testing procedures or new testing requirements.
* Perform frequent Smoke Testing and frequent Acceptance Testing on SW builds.
* Resolve technical issues within a scrum, across scrums, and with the support of other functional roles.
* Support authoring and development of contract deliverable documentation that support deliverable software products and test events
 All work must be performed on\-site at one of the three available locations
**Basic Qualifications**
* Bachelor's degree in STEM with a minimum of 2 years of relevant experience OR 0 years of experience with a Master's degree in STEM; OR 6 additional years of relevant experience in lieu of a degree
* Current DoD Secret Clearance (adjudicated within the last 5 years), with ability to obtain a Top Secret clearance and Special Access Program (SAP) clearances
* Knowledge of C\# / other object\-oriented programming languages (Java, C\+\+, ..)
* Experience using Microsoft Windows Technologies (e.g., .NET Framework, WinForms, ..)
* Proficient in one or more scripting language: PowerShell, Batch, Python
* Understanding of Version control systems (Git)
* Familiarity with debugging – code level and window service/process level
* Experience with Sonarqube or other static code analysis framework
**Preferred (Nice To Have) Qualifications**
* Joint Mission Planning System development experience
* Service hosting and inter\-process communication experience
* Experience managing Microservices
* Understanding of CI/CD pipelines
 Primary Level Salary Range: $83,400\.00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3">
      <c r="A63" t="inlineStr">
        <is>
          <t>li-4367367094</t>
        </is>
      </c>
      <c r="B63" t="inlineStr">
        <is>
          <t>Staff Software Engineer</t>
        </is>
      </c>
      <c r="C63" t="inlineStr">
        <is>
          <t>Harmonic</t>
        </is>
      </c>
      <c r="D63" t="inlineStr">
        <is>
          <t>linkedin</t>
        </is>
      </c>
      <c r="E63" t="inlineStr"/>
      <c r="F63" t="inlineStr"/>
      <c r="G63" t="inlineStr">
        <is>
          <t>New York, NY</t>
        </is>
      </c>
      <c r="H63" t="inlineStr"/>
      <c r="I63" t="inlineStr">
        <is>
          <t>**About us**
 Harmonic is the startup discovery engine.
 It pains us to see great startup opportunities consistently go undiscovered. So, we dedicated ourselves to mapping out the startup landscape and building the tools that ensure the most promising founders get found and funded.
 The world's largest and most prolific venture capital firms (as well as the up\-and\-comers you haven't heard of yet) rely on us to find and invest in the next Google, AirBnB, Uber, Stripe, and Anduril. We play a crucial part in ensuring hundreds of billions of dollars get routed efficiently and that the innovations the world would most benefit from materialize.
 We're growing revenue at a rate of 100%\+ annually and already power thousands of investors' workflow. Backed by $30M from investors like Craft, Floodgate, and Sozo Ventures, we want to power the entire investment workflow from discovery to term sheet. If you resonate with our values and want to fundamentally evolve how venture capital markets work, come join us.
**About Discovery \&amp; Scout**
 The Discovery team sits at the core of Harmonic's product and data engine. We make it possible to search, research, analyze, compare, and evaluate across the entire universe of startups (we track tens of millions of companies, hundreds of millions of operators and, tens of thousands of investors along with their deal activity, and counting). We source and ingest data from first\-, second\- and third\-party sources, including hundreds of fragmented and unstructured sources, and turn them into structured insights and searchable indices. Recently, we built the industry leading agentic layer for startup search and research, that's unlocking new paradigms for VCs to make sense of this vast amount of data on startups and automate critical tasks in their sourcing and diligence workflows.
 We're in the middle of a massive platform shift where AI and LLMs are transforming what "software" is. Agentic product\- and user\-experience patterns will be spelled out in playbooks before long – and we're building those playbooks, not waiting for them. This includes conversational interfaces, deep research, dynamic agentic frameworks purpose built for venture, and AI\-first product workflows. We're looking for folks that want to help redefine software and push on this frontier with deep curiosity, an insatiable growth mindset, and high agency.
 To learn more about the team:
* Explore Working with Sang
* Check out your Scout focused teammates Austin, Yesh, and Kelvin
* Explore the Team Page. We're a mix of ex\-founders and seasoned engineers from top engineering institutions like Google, LinkedIn, Microsoft and Meta.
 The role
**Scope of the role:** 
* **Architect the core intelligence behind Scout**
+ Own the end to end architecture of our sourcing engine from data ingestion, ranking, personalization, and model orchestration.
+ Define scalable frameworks for retrieval, reranking, and LLM driven evaluation to ensure we deliver highly personalized and high quality results.
+ Create architectural patterns that integrate Scout seamlessly with our existing products to power repeatable sourcing workflows.
* **Lead agentic experimentation and evaluation**
+ Drive technical discovery for emerging technologies (e.g. memory systems, schema, prompt libraries, embedding models, and agentic frameworks).
+ Improve and extend our evaluation pipelines to test new models and determine lifts in specific parts of our product.
+ Build systems that allow fast iteration without compromising quality or reliability. Our priorities are reliability, performance, cost, and then developer productivity.
* **Shape AI native product experiences**
+ Partner with product and design to define patterns that make LLM powered sourcing intuitive and fast.
+ Translate ambiguous product goals into scalable technical designs that unblock new workflows for our users.
+ Establish best practices for building AI\-first UX patterns (agentic flows, async interactions, structured outputs).
* **Provide architectural leadership across engineering**
+ Mentor and guide engineers on the team raising the bar for system design, documentation, and technical decision making.
+ Drive clarity in cross team architecture with Flow, Data, and Infra ensuring Sourcing evolves as a cohesive, maintainable system.
+ Set long term technical direction for how we build AI powered sourcing systems.
**Background we're looking for:**
* 7\-8\+ YoE building distributed systems or large scale backend architecture.
* Designed and scaled search, recommendation, or ranking systems that balance precision, recall, and performance.
* Led or heavily contributed to ML or LLM integrations in production.
* A track record of technical leadership mentoring others, introducing frameworks, and influencing technical direction.
* Strong experience with data\-intensive systems, asynchronous processing, or event\-driven architectures.
**Pay**
 $210\-280k Salary \+ Equity depending on the level
 Our stack
 The Process
 Here's our interview process:
* Recruiter Screening: 20 mins
* Technical Screening (Debugging): 45 mins
* Technical Screening (System Design): 45 mins
* Jam Session: 2 hours
* Behavioral interviews with our Head of Engineering and CEO: 30 mins each
* References
**Benefits**
* 🩺 Top of the line health, dental and vision insurance, with 100% premium covered
* 📈 401k matching
* 🍜 Free lunch in office
* 🍣 Monthly team dinner (we have a lot of foodies) for each office
* 🚂 Commuter benefits</t>
        </is>
      </c>
    </row>
    <row r="64">
      <c r="A64" t="inlineStr">
        <is>
          <t>li-4367347112</t>
        </is>
      </c>
      <c r="B64" t="inlineStr">
        <is>
          <t>Senior Software Developer</t>
        </is>
      </c>
      <c r="C64" t="inlineStr">
        <is>
          <t>Rishabh Software</t>
        </is>
      </c>
      <c r="D64" t="inlineStr">
        <is>
          <t>linkedin</t>
        </is>
      </c>
      <c r="E64" t="inlineStr"/>
      <c r="F64" t="inlineStr"/>
      <c r="G64" t="inlineStr">
        <is>
          <t>Alexandria, VA</t>
        </is>
      </c>
      <c r="H64" t="inlineStr"/>
      <c r="I64" t="inlineStr">
        <is>
          <t>**Job Title:** 
 Sr Software Developer
**Location:** 
 Alexandria, VA 22312 (Onsite)
**Duration:** 
 Permanent Full time
 Person should have a
 **CLEARANCE.** 
 Must be hands on supporting production apps and able to pick up quickly. Customer says they must have strength on daily (hands on) support of the following. Not someone who has been managing and just solutioning…
**Prioritize on:** 
1. Java
2. Linux
3. AWS
4. .NET
**These are the base requirements:** 
* Independently perform senior level cloud\-native applications analysis, design, development, innovative problem\-solving, and integration with custom applications and packaged software for the benefit of NTIS’ applications and other legacy systems.
* Leverage ASP.Net, C\#, JavaScript, Java and SQL to deliver solutions.
* Replace current code and systems with automated process including RPA.
* Design and implement high\-quality and highly scalable code to enable processing of large volumes of data.
* Reverse engineer legacy code to troubleshoot issues and migrate to modern platforms.
* Design and implement new UI components, features, and applications.
* Develop Web Services, Microservices, and APIs architectures as needed.
* Utilize DevOps to manage and improve upon build and deployment pipeline.
* Work with Scrum team to plan sprints and delivery of features.
* Review code change requests to identify potential improvements and to prevent errors, before approving and releasing the code
* Drive the design of major features within the engineering team, by leading design review meetings and ensuring that new features fit into the existing architecture.
* Work closely with product owners to prioritize the features, synchronize on delivery by helping organizing tasks within the team and coordinating work with other teams.
* Independent driver / owner of high impact features or initiatives.
* Assessing the legacy system and identifying need for APIs, microservices, database conversions as well as creating these services.
* Propose and implement solutions to modify or enhance system functionality.
* Assist in the transition of system components to new platforms as needed.</t>
        </is>
      </c>
    </row>
    <row r="65">
      <c r="A65" t="inlineStr">
        <is>
          <t>li-4283414571</t>
        </is>
      </c>
      <c r="B65" t="inlineStr">
        <is>
          <t>Senior Software Engineer</t>
        </is>
      </c>
      <c r="C65" t="inlineStr">
        <is>
          <t>CIBC US</t>
        </is>
      </c>
      <c r="D65" t="inlineStr">
        <is>
          <t>linkedin</t>
        </is>
      </c>
      <c r="E65" t="inlineStr"/>
      <c r="F65" t="inlineStr"/>
      <c r="G65" t="inlineStr">
        <is>
          <t>Chicago, IL</t>
        </is>
      </c>
      <c r="H65" t="inlineStr"/>
      <c r="I65"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**Overview**
 Join CIBC’s Bank USA Application Development team as a Senior Full Stack Software Engineer. In this hybrid role (3 days onsite in Chicago Downtown), you'll leverage your expertise in .NET, C\#, Angular, and SQL Server to design, develop, and maintain robust software solutions. You will play a key part in application development, data design and modeling, troubleshooting, and collaborating across teams to deliver high\-quality solutions aligned with business objectives.
**Key Responsibilities**
* Design and Development: Architect, design, and implement full stack applications using .NET (C\#, ASP.NET), Angular, and SQL Server.
* Data Modeling: Develop and maintain relational database models, ensuring data integrity and optimal performance.
* Troubleshooting: Analyze, debug, and resolve complex technical issues across the stack, ensuring high reliability and performance.
* Collaboration: Work closely with developers, architects, infrastructure specialists, and business stakeholders to gather requirements, conduct impact analysis, and recommend technical solutions.
* Software Lifecycle: Participate in all phases of the software development lifecycle (SDLC), including requirements analysis, design, coding, testing, deployment, and documentation.
* Enhancements \&amp; Support: Enhance existing systems, perform bug fixes, and provide expert\-level user and technical support.
* Best Practices: Apply industry best practices, design patterns (MVC), and emerging technologies to deliver scalable and maintainable solutions.
* Agile Methodology: Contribute within Agile/Scrum teams, utilizing tools such as Azure DevOps, Jira, GitHub.
* Quality Assurance: Write unit tests and UI automation tests to ensure software quality and reliability.
* Documentation: Develop and maintain comprehensive documentation throughout the SDLC.
**Qualifications**
* Experience: Minimum 7 years in full stack application development with .NET (ASP.NET, C\#), Angular, and SQL Server.
* Technical Skills:
+ Strong proficiency in .NET languages (C\#, Visual Basic.NET), ASP.NET MVC, Angular, HTML5, CSS, and RESTful APIs.
+ Advanced SQL Server experience, including data design, modeling, and performance optimization.
+ Familiarity with architectural styles (REST, RPC), object\-oriented design, SOLID principles, JSON, and cloud application patterns.
+ Experience with MS Azure, Jira, GitHub, Confluence, and Azure DevOps (ADO)
* Methodologies: Deep understanding of Agile methodologies and experience working in Scrum teams.
* Troubleshooting: Excellent analytical, troubleshooting, and communication skills.
* Education: Bachelor’s degree in computer science, Engineering, or a related field.
* Certification: AZ\-900 certification preferred.
* Additional Assets: Experience with unit testing, UI automation, and application documentation.
* Experience with Databricks ETL processes, ML features, a huge plus.
**How You’ll Succeed**
* Write clean, scalable, and maintainable code with a keen eye for defects and optimization.
* Collaborate effectively across teams to design, develop, and maintain high\-quality software solutions.
* Demonstrate leadership in technical design, data modeling, and troubleshooting.
* Stay current with emerging technologies and best practices, proactively applying them to enhance business outcomes.
**Benefits**
* Competitive compensation and performance\-based incentives.
* Hybrid work model with flexibility.
* Opportunities for professional growth and certification.
* Collaborative, innovative team environment.
 California residents — your privacy rights regarding your actual or prospective employment
***This position does not offer visa sponsorship.***
*At CIBC, we offer a competitive total rewards package. This role has an expected salary range of $130,000\.00 \- $142,000\.00 for the Chicago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10th Fl
**Employment Type**
 Regular
**Weekly Hours**
 40
**Skills**
 Analytical Thinking, Application Development, Applications Programming, Emerging Technologies, IT Strategic Planning, Mentoring Staff, Project Management Technology, Work Collaboratively</t>
        </is>
      </c>
    </row>
    <row r="66">
      <c r="A66" t="inlineStr">
        <is>
          <t>li-4359363219</t>
        </is>
      </c>
      <c r="B66" t="inlineStr">
        <is>
          <t>Senior System Software Engineer - Performance</t>
        </is>
      </c>
      <c r="C66" t="inlineStr">
        <is>
          <t>NVIDIA</t>
        </is>
      </c>
      <c r="D66" t="inlineStr">
        <is>
          <t>linkedin</t>
        </is>
      </c>
      <c r="E66" t="inlineStr"/>
      <c r="F66" t="inlineStr"/>
      <c r="G66" t="inlineStr">
        <is>
          <t>Santa Clara, CA</t>
        </is>
      </c>
      <c r="H66" t="inlineStr"/>
      <c r="I6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tightly coupled CPU, GPU and DPU technology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searching for a highly motivated, technical engineer to join the Tegra system\-on\-chip (SoC) software organization. You will work on key aspects of our ARM SW ecosystem and system software architecture. With a targeted charter to enable best\-in\-class datacenter\-scale performance and efficiency for our next generation of datacenter products, including CPUs and CPU\+GPU Superchips.
**What You Will Be Doing**
* Design, develop, test, and optimize software for our next\-generation SoCs. In both pre\-silicon and post\-silicon phases of execution.
* Review architectural performance bottlenecks for various system wide work loads. Identify HW/SW policies to drive performance and performance/watt leadership.
* Using strong communication skills, build and drive architecture, analysis documents and communications to internal and/or external audiences about our technology.
* Competitive analysis comparing uArchitecture \&amp; workload performance metrics on NVIDIA's ARM SoCs against emerging processors from other silicon vendors.
* Influence and drive full\-stack adoption of performance optimizations and best practices across NVIDIA SW products \&amp; OSS SDKs
**What We Need To See**
* BS or MS degree in Computer Engineering, Computer Science, or related degree (or equivalent experience).
* 6\+ years of relevant computer architecture or SW development experience.
* Proven leadership skills and strong ownership on past projects.
* Hands on technical experience and demonstrated excellence in an environment with complex software and hardware designs.
* Strong understanding of multicore hardware, operating systems design, concurrency, virtual memory, caching, interrupts, device drivers and real\-time programming.
* Strong stills in performance analysis, data analysis and performance optimization.
**Ways To Stand Out From The Crowd**
* Deep expertise in ARM architecture and SW ecosystem.
* Proficient in analyzing, debugging and tuning performance of complex system software stacks.
* Experience with CPU server system workloads and performance analysis.
* Familiarity with CUDA programming and/or GPUs.
* Experience with HPC or large\-scale computing environments.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JR2001796</t>
        </is>
      </c>
    </row>
    <row r="67">
      <c r="A67" t="inlineStr">
        <is>
          <t>li-4356556718</t>
        </is>
      </c>
      <c r="B67" t="inlineStr">
        <is>
          <t>Software Engineer in Test</t>
        </is>
      </c>
      <c r="C67" t="inlineStr">
        <is>
          <t>BeaconFire Inc.</t>
        </is>
      </c>
      <c r="D67" t="inlineStr">
        <is>
          <t>linkedin</t>
        </is>
      </c>
      <c r="E67" t="inlineStr"/>
      <c r="F67" t="inlineStr"/>
      <c r="G67" t="inlineStr"/>
      <c r="H67" t="inlineStr"/>
      <c r="I67"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68">
      <c r="A68" t="inlineStr">
        <is>
          <t>li-4356627790</t>
        </is>
      </c>
      <c r="B68" t="inlineStr">
        <is>
          <t>Java Software Engineer</t>
        </is>
      </c>
      <c r="C68" t="inlineStr">
        <is>
          <t>VistalTech Inc</t>
        </is>
      </c>
      <c r="D68" t="inlineStr">
        <is>
          <t>linkedin</t>
        </is>
      </c>
      <c r="E68" t="inlineStr"/>
      <c r="F68" t="inlineStr"/>
      <c r="G68" t="inlineStr">
        <is>
          <t>Plano, TX</t>
        </is>
      </c>
      <c r="H68" t="inlineStr"/>
      <c r="I68" t="inlineStr">
        <is>
          <t>1. Safe Agile trained.
2. Extensive software development experience using Java.
3. Experience working with front\-end technology and framework such as JavaScript, AngularJS, and ReactJS.
4. Experience using Java JSON to create microservices RESTful services.
5. Experience with version control tools such as Git.
6. Experience with XP Principles, including TDD and continuous deployment.
7. Experience with Agile development methodologies.
8. Aggressive problem diagnosis and creative problem solving skills on highly complex problems; technical agility
9. Experience with Microservices /Rest services / Soap)
10. Experience with JavaScript build tools and dependency management (npm, bower, grunt, gulp)
11. Experience creating responsive designs (Bootstrap, mobile, etc.)
12. Experience with unit and automation testing (Jasmine, Protractor, JUnit)
13. Knowledge of Java build tools and dependency management (gradle, maven)
14. Understanding functioning of containerization tools like Kubernetes, Docker
15. Understanding tools like Quantum Metrics and IBM Tealeaf to capture user experience on websites.
16. Knowledge of MongoDB, Cassandra
17. Experience with Node.js, React, Backbone or other client\-side MVC technologies is a plus
18. Experience with Kafka.
19. Experience with API testing, load and performance test tools like JMeter, Postman
20. Understanding of Splunk, ELK for searching, analyzing and visualizing data generated by application.
21. Knowledge JUNIT Mockito
22. Migration experience from Monolithic Architecture to Microservice Architect.</t>
        </is>
      </c>
    </row>
    <row r="69">
      <c r="A69" t="inlineStr">
        <is>
          <t>li-4367312602</t>
        </is>
      </c>
      <c r="B69" t="inlineStr">
        <is>
          <t>Frontend Engineer</t>
        </is>
      </c>
      <c r="C69" t="inlineStr">
        <is>
          <t>Best Job Tool</t>
        </is>
      </c>
      <c r="D69" t="inlineStr">
        <is>
          <t>linkedin</t>
        </is>
      </c>
      <c r="E69" t="inlineStr"/>
      <c r="F69" t="inlineStr"/>
      <c r="G69" t="inlineStr"/>
      <c r="H69" t="inlineStr"/>
      <c r="I69" t="inlineStr">
        <is>
          <t>**About The Company**
 JT4 is a leading provider of integrated engineering, technical, and operational services dedicated to supporting the aerospace, defense, and government sectors. With a focus on innovation, safety, and excellence, JT4 has established a reputation for delivering high\-quality solutions that meet the complex needs of its clients. The company prides itself on fostering a collaborative work environment that encourages continuous learning, professional growth, and a commitment to integrity and sustainability. Leveraging cutting\-edge technology and a highly skilled workforce, JT4 consistently strives to exceed client expectations and contribute to the advancement of national security and aerospace capabilities.
**About The Role**
 We are seeking a highly motivated and detail\-oriented Engineering Technician to join our dynamic team at JT4\. In this role, you will be responsible for supporting engineering projects through precise testing, troubleshooting, and maintenance activities. You will work closely with engineers and technical staff to ensure the successful execution of projects, adherence to safety standards, and compliance with regulatory requirements. The ideal candidate will possess strong technical skills, a proactive approach to problem\-solving, and the ability to work effectively in a fast\-paced environment. This position offers an excellent opportunity to develop your technical expertise while contributing to impactful aerospace and defense initiatives.
**Qualifications**
 The ideal candidate should possess a minimum of a high school diploma or equivalent, with relevant technical certifications or an associate degree in engineering, electronics, or a related field preferred. Prior experience in an engineering or technical environment, particularly within aerospace or defense industries, is highly desirable. Strong understanding of electrical, mechanical, or avionics systems is essential. Candidates must demonstrate excellent problem\-solving skills, attention to detail, and the ability to interpret technical drawings and specifications. Proficiency with diagnostic tools, testing equipment, and computer\-aided design (CAD) software is advantageous. Good communication skills and the ability to work collaboratively within a team are also critical for success in this role.
**Responsibilities**
* Assist engineers in designing, testing, and troubleshooting aerospace and defense systems.
* Conduct routine inspections, maintenance, and calibration of equipment and systems to ensure optimal performance.
* Document test results, maintain detailed records, and prepare technical reports for review.
* Participate in safety audits and ensure compliance with all safety protocols and regulatory standards.
* Support the development and implementation of process improvements to enhance operational efficiency.
* Collaborate with cross\-functional teams to resolve technical issues and implement corrective actions.
* Maintain a clean and organized work environment, adhering to all safety and operational procedures.
* Stay updated on industry standards, new technologies, and best practices relevant to aerospace and defense systems.
**Benefits**
 JT4 offers a comprehensive benefits package designed to support the well\-being and professional development of our employees. This includes competitive salary packages, health, dental, and vision insurance, and a retirement savings plan with company contributions. Employees have access to ongoing training and certification programs to enhance their skills and career growth. The company promotes a healthy work\-life balance through flexible work arrangements and paid time off policies. Additionally, JT4 fosters a culture of recognition and teamwork, providing opportunities for advancement within the organization. We are committed to creating an inclusive environment where every employee feels valued and empowered to succeed.
 Equal Opportunity
 JT4 is an equal opportunity employer committed to fostering a diverse and inclusive workplace. We do not discriminate based on race, color, religion, gender, sexual orientation, gender identity, age, national origin, disability, veteran status, or any other protected characteristic. We believe that a diverse workforce enhances our ability to innovate and serve our clients effectively. All qualified applicants will receive consideration for employment without regard to any protected status. We are dedicated to providing equal employment opportunities and ensuring a workplace free from discrimination and harassment.</t>
        </is>
      </c>
    </row>
    <row r="70">
      <c r="A70" t="inlineStr">
        <is>
          <t>li-4358763519</t>
        </is>
      </c>
      <c r="B70" t="inlineStr">
        <is>
          <t>Senior System Software Engineer Platform - Server Embedded Firmware</t>
        </is>
      </c>
      <c r="C70" t="inlineStr">
        <is>
          <t>NVIDIA</t>
        </is>
      </c>
      <c r="D70" t="inlineStr">
        <is>
          <t>linkedin</t>
        </is>
      </c>
      <c r="E70" t="inlineStr"/>
      <c r="F70" t="inlineStr"/>
      <c r="G70" t="inlineStr">
        <is>
          <t>Santa Clara, CA</t>
        </is>
      </c>
      <c r="H70" t="inlineStr"/>
      <c r="I70"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form teams with the smartest people in the world.
 Are you ready to change the next generation of computing? Join us at the forefront of technological advancement.
**What You’ll Be Doing**
* Design and implement Microcontroller Firmware for GPU Server platforms, focusing on but not limited to ARM M\-class microcontrollers.
* Develop C/C\+\+ server manageability features in an RTOS embedded\-optimized environment.
* Perform hands\-on work with microcontroller firmware bring\-up, debugging, performance analysis, and coding manageability features for NVIDIA’s Server platforms.
* Develop embedded management software to enable reporting and connectivity between server management devices.
* Implement register\-based communication and DMTF standard messaging protocols for seamless interaction between BMC, GPUs, switches, memory, I/O expanders, sensors, and local microcontroller peripherals.
* Design a highly portable microcontroller framework that will be implemented across a wide variety of server management subsystems. Develop and review code, write and review design documents, and collaborate with team members to meet product requirements.
* Instrument code for maximum coverage, automate unit tests, maintain detailed test case reports, and provide software quality reports based on static analysis, code coverage, and microcontroller load.
* Collaborate with security and hardware teams to ensure code aligns with security goals and influence hardware design and architecture review. Develop performance\-optimized active monitoring BMC solutions using DMTF Standards such as MCTP, Redfish, SPDM, and PLDM specifications.
**What We Need To See**
* A Bachelor of Science Degree (or higher) in Electrical Engineering or Computer Science or equivalent experience.
* 5\+ years of experience in low level microcontroller Firmware development on embedded microcontrollers using Zephyr or FreeRTOS
* Demonstrated experience in developing BMC and/or microcontroller firmware for managing CPU, GPU, Network and Storage Devices.
* Experience with the following embedded interfaces \- USB and I3C. Sound experience working with ARM Integrated Development Environments (IDE), debuggers, logic and protocol analyzers, and oscilloscopes.
* A deep understanding of interrupt schemes, multi\-threading, DMA, memory management, and working in resource restricted embedded environments.
* Strong embedded programming and scripting skills using C/C\+\+, Bash, Python, Go, etc.
* Experience reviewing and using hardware schematics, reference manuals, and datasheets for embedded development.
* Expertise working with server manageability protocols such as MCTP, PLDM, SPDM, SMBUS, and OCP recovery.
* Solid understanding of Linux fundamentals, various distributions, packages, upgrade mechanisms, and image building/deployment.
**Ways To Stand Out From The Crowd**
* Hands on background working with microcontroller embedded firmware development and OOB management
* Hands\-on experience implementing MCTP stack in embedded environments or FPGA. Contributor to industry groups like Open Compute, OpenBMC, DMTF and open source.
* Expertise in system software and platform security for x86/ARM based Rack/Blade server systems.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JR2001011</t>
        </is>
      </c>
    </row>
    <row r="71">
      <c r="A71" t="inlineStr">
        <is>
          <t>li-4352180250</t>
        </is>
      </c>
      <c r="B71" t="inlineStr">
        <is>
          <t>Software Engineer II – JavaScript/Python</t>
        </is>
      </c>
      <c r="C71" t="inlineStr">
        <is>
          <t>ConstructConnect</t>
        </is>
      </c>
      <c r="D71" t="inlineStr">
        <is>
          <t>linkedin</t>
        </is>
      </c>
      <c r="E71" t="inlineStr"/>
      <c r="F71" t="inlineStr"/>
      <c r="G71" t="inlineStr">
        <is>
          <t>Cincinnati, OH</t>
        </is>
      </c>
      <c r="H71" t="inlineStr"/>
      <c r="I71" t="inlineStr">
        <is>
          <t>**Overview**
 This position is hybrid in Cincinnati, Ohio or Atlanta, Georgia and sits within our Product Development division, which develops, tests, and improves our software solutions in an innovative and collaborative environment.
**The Opportunity**
 ConstructConnect is looking for our next Software Engineer II (SEII). As a SEII, you confidently navigate your tech stack with autonomy. Your passion for learning drives application enhancements. Collaborate with your team to deconstruct tasks into manageable, testable components, delivering high\-quality solutions through Test\-Driven Development and automated testing.
**Responsibilities**
**What You’ll Be Doing**
* Build low\-latency, highly available, and performant applications
* Build reusable code and libraries using test\-driven development
* Logically identify and resolve issues using root cause analysis
* Adhere to our coding standards
* Use proper branching and code review processes
* Provide estimates for the level of effort and time for completion
* Take part in and encourage your team to pair program
* Work closely with your team to build automated tests and ensure they are valuable and our applications meet expectations
* Work closely with your team to break down features into small testable stories
* Always observant to find ways to improve our applications and how we work
* Learn continuously
* Address security vulnerabilities
* Assist in the management of your team’s CI/CD pipelines
* Communicate effectively
* Closely follows advancements in AI and system capabilities to advance our team’s capabilities
* This job description in no way implies that the duties listed here are the only ones that team members can be required to perform
**Qualifications**
**What You Bring to the Team**
* BS degree in Computer Sciences, programming or a related discipline or demonstrable equivalent experience
* 3\-5 years experience with Java or Python
* 3\-5 years experience with JavaScript/Typescript, React, CSS, SASS or other CSS preprocessor, and HTML
* Experience with SQL and relational databases
* Solid understanding of Git
* Familiarity with CI/CD pipelines and the necessary steps within a pipeline
* Expert understanding of Object\-Oriented Programming Principles, Data Structures, and Algorithms
* Experience with Agile processes and workflowExperience (or open to) using Test\-Driven Development (TDD)
* A strong desire to write testable code and work closely with your team team to ensure our applications are of the highest quality
* Familiarity with cloud infrastructure and awareness of key differences between cloud native and traditional deployments
* Capable of analyzing issues in existing code and providing root cause analysis as well as remedy options
* Eager to learn and evolve with technology changes, including AI assisted software engineering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72">
      <c r="A72" t="inlineStr">
        <is>
          <t>li-4358783459</t>
        </is>
      </c>
      <c r="B72" t="inlineStr">
        <is>
          <t>Senior Systems Software Engineer – GPU Software</t>
        </is>
      </c>
      <c r="C72" t="inlineStr">
        <is>
          <t>NVIDIA</t>
        </is>
      </c>
      <c r="D72" t="inlineStr">
        <is>
          <t>linkedin</t>
        </is>
      </c>
      <c r="E72" t="inlineStr"/>
      <c r="F72" t="inlineStr"/>
      <c r="G72" t="inlineStr">
        <is>
          <t>Santa Clara, CA</t>
        </is>
      </c>
      <c r="H72" t="inlineStr"/>
      <c r="I72" t="inlineStr">
        <is>
          <t>NVIDIA is searching for a creative and highly motivated engineer with expertise in system s software to join the GPU Software team. You will design key aspects of our production GPU kernel drivers and embedded SW that impacts our products both in the datacenter and in gaming markets.
**What You'll Be Doing**
* Design, develop and verify features for our next generation GPU driver architecture; collaborating with hardware engineers and fellow software engineers
* Help identify and solve performance bottlenecks in our driver, both in markets of scale like datacenter as well in gaming markets where applications need to run as fast as possible
* Get opportunities to collaborate and communicate effectively with teams from all around the globe
**What We Need To See**
* BS or MS degree in Computer Engineering, Computer Science, or related fields (or equivalent experience)
* 10\+ years of relevant software development experience
* Proven leadership skills and strong ownership of past projects
* Hands on technical experience and demonstrated excellence in an environment with complex software and hardware designs
* Exceptional C programming and low\-level driver experience; background and strength with complex system\-level debugging
* Kernel experience with Linux, Android, Chrome, or Windows systems
* Familiarity and comfort with computer system architecture, microprocessor, and microcontroller fundamentals (caches, buses, memory controllers, DMA, etc.)
**Ways To Stand Out From The Crowd**
* Experience as a maintainer or contributor to large open source software projects
* Knowledge of virtualization platforms (XenServer, KVM, Hyper\-V)
* Familiarity with kernel level security concepts; this includes testing techniques and a familiarity with static code analysis, dynamic analysis, fuzzing, negative testing and other techniques
* Experience with embedded system SW concepts, e.g.: RTOS and overlay programming models
 NVIDIA is widely considered to be one of the technology world’s most desirable employers.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JR1997061</t>
        </is>
      </c>
    </row>
    <row r="73">
      <c r="A73" t="inlineStr">
        <is>
          <t>li-4367011294</t>
        </is>
      </c>
      <c r="B73" t="inlineStr">
        <is>
          <t>Frontend Engineer</t>
        </is>
      </c>
      <c r="C73" t="inlineStr">
        <is>
          <t>RemoteHunter</t>
        </is>
      </c>
      <c r="D73" t="inlineStr">
        <is>
          <t>linkedin</t>
        </is>
      </c>
      <c r="E73" t="inlineStr"/>
      <c r="F73" t="inlineStr"/>
      <c r="G73" t="inlineStr"/>
      <c r="H73" t="inlineStr"/>
      <c r="I73"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4">
      <c r="A74" t="inlineStr">
        <is>
          <t>li-4352152343</t>
        </is>
      </c>
      <c r="B74" t="inlineStr">
        <is>
          <t>Senior Software Engineer</t>
        </is>
      </c>
      <c r="C74" t="inlineStr">
        <is>
          <t>Alarm.com</t>
        </is>
      </c>
      <c r="D74" t="inlineStr">
        <is>
          <t>linkedin</t>
        </is>
      </c>
      <c r="E74" t="inlineStr"/>
      <c r="F74" t="inlineStr"/>
      <c r="G74" t="inlineStr">
        <is>
          <t>Needham, MA</t>
        </is>
      </c>
      <c r="H74" t="inlineStr"/>
      <c r="I74" t="inlineStr">
        <is>
          <t>As a Senior Software Engineer, you will work with a small team of full\-stack developers that work on all server\-side aspects of HVAC home automation and security. Our mandate is very broad and includes but not limited to processing HVAC\-related events, provisioning equipment, monitoring alerts, testing\-automation and integrating a wide and diverse set of devices with the Alarm.com connected ecosystem. Our software development includes working on backend services, websites, and database design that make up our whole ecosystem.
 As a Senior Software Engineer, you will have the opportunity to work across a variety of technical areas. Typical projects will involve diverse technologies and skills, and require close collaboration with device engineers, business partners, and other engineering teams. Strong multi\-tasking skills and the ability to self\-learn are must\-have attributes. Candidates must be able to communicate well within a team environment and work independently on self\-directed tasks.
 Very few small companies innovate and develop across such a broad range of technologies as Alarm.com. This position is ideal for the candidate who seeks a small, friendly company culture where one can work closely with smart and highly productive people across a very interesting spectrum of wireless, software, and hardware/device technologies to develop outstanding consumer products.
**WHAT’S IN IT FOR YOU?**
* Collaborate with outstanding people: We have a strong focus on teamwork, and we work to create a collaborative and welcoming environment that enables our teams to excel.
* Make an immediate impact: You can expect to be given real responsibility for bringing new technologies to the marketplace. You will be empowered to perform as soon as you join the team!
* Work with the latest technologies: You’ll gain exposure to a broad spectrum of IoT and SaaS technology. Our tech stack includes C\# .NET, SQL Server, Kafka, Ember.js, Node.js, Python, K8s, Azure, Redis, Artemis as well as native iOS and Android applications.
* Be Empowered: We don’t want to micro\-manage you. We barely want to tell you what to do. We want you to own stuff and bring your experience to make those products best in class.
* Focus on fun: Alarm.com places high value on our team culture. We even have a committee dedicated to hosting a stand\-out holiday party, happy hours, and other fun corporate events.
* Alarm.com values working tougher and collaborating in person. Our employees work from the office 4 days a week.
**WHAT CAN YOU DO FOR ALARM.COM?**
* Lead and develop full stack software for a wide variety of platforms and technologies.
* Take part in the entire project life cycle, from requirements development to deployment with lots of cross\-team collaboration.
* Engage in the research, evaluation, and application of new technologies and methodologies to solve challenging project goals.
* Exercise good judgment. Know when to work quickly, and when to build a robust solution.
* Bring your ideas! We want our engineers to collaborate on product development, not blindly build to a spec.
**WHAT DO YOU NEED?**
**We are seeking someone who has:**
* Bachelor’s degree in computer science, computer engineering, a related field or equivalent work experience
* 5\+ years of professional software development experience
* Experience leading projects to completion and mentoring other engineers
* Strong object\-oriented programming skills
* Experience with C\#, .NET Core is a plus
* Experience with database design and development
**We would love it if you had some of the below (but it is fine if you don’t):**
* Experience working with high\-availability, high\-throughput services
* Experience working in an enterprise\-scale microservices architecture
* Experience with external facing APIs and/or third\-party platform integrations
* Familiarity with distributed event streaming platforms, such as Kafka
* Experience with JavaScript development using an established JS framework, such as Ember/React/Angular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
 JR105530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$145,000—$155,000 USD</t>
        </is>
      </c>
    </row>
    <row r="75">
      <c r="A75" t="inlineStr">
        <is>
          <t>li-4367329768</t>
        </is>
      </c>
      <c r="B75" t="inlineStr">
        <is>
          <t>Full Stack Software Engineer - TypeScript/AI/React/AWS</t>
        </is>
      </c>
      <c r="C75" t="inlineStr">
        <is>
          <t>Hatch Talent</t>
        </is>
      </c>
      <c r="D75" t="inlineStr">
        <is>
          <t>linkedin</t>
        </is>
      </c>
      <c r="E75" t="inlineStr"/>
      <c r="F75" t="inlineStr"/>
      <c r="G75" t="inlineStr"/>
      <c r="H75" t="inlineStr"/>
      <c r="I75" t="inlineStr">
        <is>
          <t>**Full Stack Software Engineer \| AI \+ Supply Chain \| $200K–$250K \+ Equity \| SF (In\-Office)** 
 We’re hiring a
 **Full Stack Software Engineer** 
 to join a YC\-backed (W24\) AI start\-up that’s building the
 **first\-to\-market compliance engine** 
 for some of the world’s biggest retailers (think Walmart, Amazon \&amp; Target).
 This is your chance to be an early joiner at a fast\-growing, seed\-funded company, work shoulder\-to\-shoulder with ex\-Stord founders, and make a genuine dent in a massive, outdated industry.
 💼
 **The Role** 
 You’ll help design, build, and scale mission\-critical software used by major retailers and warehouses. You’ll have real ownership, working across the stack with modern technologies like
 **React Native, Flask, Next.js, TypeScript, and AWS** 
 , while shaping both the technical direction and company culture.
 You’ll be working from their San Francisco office (5 days/week), collaborating closely with founders and customers — and yes, you’ll get to visit warehouses to see your code in action
 🌟
 **Why Join** 
* 🧠
 **Huge impact from day one** 
 — Your code saves customers time and money by preventing $100k a week in unnecessary outgoings.
* 🧭
 **Early team member opportunity** 
 — Influence product direction, culture, and strategy.
* 🚀
 **Career catapult** 
 — Early\-stage start\-up experience that Series B\+ companies love.
* 💰
 **Strong package** 
 — $165K–$190K base salary
 **\+ meaningful equity** 
 .
* 🛠
 **Modern tech disrupting legacy systems** 
 — Build fast, ship often, and move an entire industry forward.
* 🧑 🤝 🧑
 **Sports\-team culture** 
 — High\-performing, collaborative, and genuinely fun.
 🧩
 **What We’re Looking For** 
* 3–8 years of experience as a
 **Full\-Stack Engineer** 
 , ideally in at least one
 **start\-up environment** 
 (Seed–Series C).
* Strong backend experience and solid full\-stack fundamentals.
* Passion for building and shipping — side projects, active GitHub, or just a genuine love of coding.
* Experience with React Native, Flask, Next.js, or TypeScript is a plus.
* Ability to thrive in a fast\-paced, early\-stage environment.
 🌍
 **Location** 
 📍
 **San Francisco, CA** 
 — In\-office 5 days per week, with travel to customer sites once per quarter to see your work in action!
**Full Stack Software Engineer \| AI \+ Supply Chain \| $200K–$250K \+ Equity \| SF (In\-Office)**</t>
        </is>
      </c>
    </row>
    <row r="76">
      <c r="A76" t="inlineStr">
        <is>
          <t>li-4359343281</t>
        </is>
      </c>
      <c r="B76" t="inlineStr">
        <is>
          <t>Senior Software Developer, VLSI Physical Design</t>
        </is>
      </c>
      <c r="C76" t="inlineStr">
        <is>
          <t>NVIDIA</t>
        </is>
      </c>
      <c r="D76" t="inlineStr">
        <is>
          <t>linkedin</t>
        </is>
      </c>
      <c r="E76" t="inlineStr"/>
      <c r="F76" t="inlineStr"/>
      <c r="G76" t="inlineStr">
        <is>
          <t>Santa Clara, CA</t>
        </is>
      </c>
      <c r="H76" t="inlineStr"/>
      <c r="I76" t="inlineStr">
        <is>
          <t>NVIDIA's success builds on a foundation of industry leading hardware. Achieving that distinction involves extensive design optimization, including combining the best of EDA with highly sophisticated, large scale internal CAD tools. Our team develops these tools by fusing advances in parallel computing, machine learning, and VLSI hardware design.
 We are seeking an innovative
 **Senior Software Developer, VLSI Physical Design** 
 with particular interest in algorithms for floorplanning, macro placement, global routing, and related physical design optimization. This position broadly spans all levels of development from computational geometry to graph optimization and visualization. Constant creativity and a self\-drive to explore and perfect high performance and high capacity software is required. If you like to work across many technical areas and see your successes directly realized in the world's fastest AI hardware, this is it! NVIDIA's engineering environment offers an ideal combination of supercomputing infrastructure and vast R\&amp;D resources, so you can explore colossal ideas as a world\-class leader, plus the nimbleness and opportunity to grow in a rapidly developing company. Check online for yourself \-\- NVIDIA employees love working here for good reason!
**What You’ll Be Doing**
* Invent and optimize new methods for floorplanning and chip\-level optimization tools.
* Improve designer insight and visualization by extending GUIs built on ImGui and/or OpenGL.
* Develop machine learning strategies to improve efficiency of design space exploration.
* As with any software engineering team, we do write a lot of code, but this is broader than a typical CAD or EDA role. Instead, we as a team own the whole process from discovery and invention of new optimization opportunities, developing solutions, and working directly inside design teams to facilitate deployment. Team members enjoy considerable flexibility in defining new projects and exploring new technical domains due to the breadth of our team's role.
**What We Need To See**
* BS, MS, PhD or equivalent experience in Electrical Engineering or Computer Science
* Strength in both CAD software and VLSI hardware design
* 6\+ years experience in software development with C\+\+
* Good understanding of computational geometry and graph theory
* Familiarity with VLSI floorplan concepts such as routability, congestion, and partitioning
* Expertise in algorithm development for physical design, analysis, and visualization
* Strong communication and interpersonal skills
**Ways To Stand Out From The Crowd**
* C\+\+17/C\+\+14 experience, such as lambdas and concurrency
* Experience and/or interest in GUI development using ImGui or OpenGL
* Deep understanding of algorithm design principles such as complexity analysis, efficient memory and I/O use, etc.
* In general, an obsession with performance and the practical skills to build highly innovative software for world leading hardware
 NVIDIA is widely considered to be one of the technology world’s most desirable employers. And due to outstanding growth, our teams are rapidly growing. Are you passionate about becoming a part of a best\-in\-class team supporting the latest in GPU and AI technology? If so, we want to hear from you!
 Your base salary will be determined based on your location, experience, and the pay of employees in similar positions. The base salary range is 168,000 USD \- 264,500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JR2006162</t>
        </is>
      </c>
    </row>
    <row r="77">
      <c r="A77" t="inlineStr">
        <is>
          <t>li-4358994798</t>
        </is>
      </c>
      <c r="B77" t="inlineStr">
        <is>
          <t>Software Engineer II (Co-op) United States</t>
        </is>
      </c>
      <c r="C77" t="inlineStr">
        <is>
          <t>Cisco</t>
        </is>
      </c>
      <c r="D77" t="inlineStr">
        <is>
          <t>linkedin</t>
        </is>
      </c>
      <c r="E77" t="inlineStr"/>
      <c r="F77" t="inlineStr"/>
      <c r="G77" t="inlineStr">
        <is>
          <t>Boston, MA</t>
        </is>
      </c>
      <c r="H77" t="inlineStr"/>
      <c r="I7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specifically focusing on leveraging Agentic AI to streamline operational workflows. Explore the opportunities at the intersection of backend engineering and AI, helping to transform how Cisco and its customers harness information and intelligent automation.
**Your Impact**
 As a passionate software engineer, you will contribute to critical initiatives aimed at improving operational efficiency and accelerating decision\-making through the application of Agentic AI. You will have the opportunity to develop and implement innovative solutions that process and analyze diverse data sources, helping to automate workflows and provide valuable insights. Your foundational programming skills and enthusiasm for AI will enable you to solve complex challenges, empowering Cisco’s business groups to leverage data\-driven intelligence for operational excellence and strategic growth. Your contributions will help ensure high\-quality, reliable platforms that support Cisco’s leadership in intelligent, scalable technology solutions.
**Minimum Qualifications**
* Currently enrolled in an undergraduate degree program with 2 years of relevant experience, or currently enrolled in a graduate degree program with 0 years of relevant experience. Relevant fields include: e.g., Computer Science, Software Engineering, Data Science, or a related technical field).
* Proficiency in at least one programming language (e.g., Python, Java, C\+\+, Go).
* Strong understanding of fundamental programming concepts, data structures, and algorithms.
* Exposure to collaboration and development tools like Confluence, JIRA, Jenkins, or GitHub.
**Preferred Qualifications**
* Conceptual understanding of AI/ML, particularly Agentic AI principles.
* Experience with web scraping or interacting with REST APIs.
* Familiarity with Linux operating systems.
* Familiarity with automation and software testing frameworks (e.g., pyTest).
* Basic understanding of CI/CD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$44,000\.00 \- $185,000\.00
**Non\-Metro New York State \&amp; Washington State**
 $44,000\.00 \- $185,000\.00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8">
      <c r="A78" t="inlineStr">
        <is>
          <t>li-4367319282</t>
        </is>
      </c>
      <c r="B78" t="inlineStr">
        <is>
          <t>Senior Software Engineer</t>
        </is>
      </c>
      <c r="C78" t="inlineStr">
        <is>
          <t>Microsoft</t>
        </is>
      </c>
      <c r="D78" t="inlineStr">
        <is>
          <t>linkedin</t>
        </is>
      </c>
      <c r="E78" t="inlineStr"/>
      <c r="F78" t="inlineStr"/>
      <c r="G78" t="inlineStr">
        <is>
          <t>Atlanta, GA</t>
        </is>
      </c>
      <c r="H78" t="inlineStr"/>
      <c r="I78"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PRIMO organization within EngOps is responsible for building great products to enable Customer Success at scale. This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by example within the team to produce extensible, maintainable, well\-tested, secure, and performant code that adheres to design specifications.
* Optimize, debug, and refactor code to improve performance and maintainability, and effectiveness.
* Acts as a Designated Responsible Individual (DRI) in monitoring system/product feature/service for degradation, downtime, or interruptions for simple problems, and recommends actions to restore system/product/service by following the playbook
* Apply metrics to drive the quality and stability of code, as well as appropriate coding patterns and best practices.
* Identifies dependencies and incorporates them into the development of design documents for a product, application, service or platform. Actively identify other teams and technologies to leverage, how they interact, and where their own system or team can support others.
* Leads discussions for product/service architecture and develop complex design specifications.
* Review code to ensure compliance with quality standards, is reliable and accurate, and is appropriate for the scale of the product/solution area.
* Mentor junior engineers
**Qualifications**
 Required Qualifications
* Bachelor's Degree in Computer Science, or related technical field AND 4\+ year(s) technical engineering experience with coding in languages including, but not limited to, C, C\+\+, C\#, Java, JavaScript, or Python,
**Other Qualifications**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C, C\+\+, C\#, Java, JavaScript, or Python,
+ OR Master's Degree in Computer Science or related technical field with proven experience coding in languages including, but not limited to, C, C\+\+, C\#, Java, or Python,
+ OR equivalent experience.
* Demonstrated proficiency in computer science concepts including data structures, algorithms, and software design patterns.
* Demonstrated experience in object\-oriented programming.
* Experience with distributed systems and a cloud technology stack such as Azure or AWS
* Experience or working knowledge of JavaScript/Node.js/React or another similar web stack
* Experience with distributed systems and a cloud technology stack such as Azure or AWS
* Experience with agent frameworks and hands\-on expertise in building solutions leveraging Generative AI technologies.
* Working knowledge of agile software development methodologies and tools that enable these, such as GitHub, Azure DevOps, etc.
 \#PRIMOjobs \#EngOps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9">
      <c r="A79" t="inlineStr">
        <is>
          <t>li-4337442842</t>
        </is>
      </c>
      <c r="B79" t="inlineStr">
        <is>
          <t>Software Engineer 5 - TV Release Quality</t>
        </is>
      </c>
      <c r="C79" t="inlineStr">
        <is>
          <t>Netflix</t>
        </is>
      </c>
      <c r="D79" t="inlineStr">
        <is>
          <t>linkedin</t>
        </is>
      </c>
      <c r="E79" t="inlineStr"/>
      <c r="F79" t="inlineStr"/>
      <c r="G79" t="inlineStr"/>
      <c r="H79" t="inlineStr"/>
      <c r="I7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seeking an experienced Senior Software Engineer passionate about quality to join our TV Release Quality team. This team is dedicated to assessing and communicating the quality of our TV streaming application, both pre\- and post\-production. We focus on innovating and enhancing our TVUI release process, test automation framework, metrics, observability, and alerting. Additionally, the team manages the TVUI member on\-call and release process, ensuring updates for millions of TV devices worldwide.
**About The Role**
 Join a team of senior foundational TV engineers who value inclusion, transparency, autonomy, and humility.
**Embrace Ambiguity \&amp; Drive Innovation**
 We are looking for a Senior Software Engineer who thrives in ambiguous environments and is passionate about supporting fellow developers. You will play a key role in building and maintaining tools that empower our TV Release Quality team and the broader TVUI engineering community. Your ability to balance immediate developer support needs with long\-term innovation will be critical to our success.
**Collaborate And Build Relationships**
 Work alongside talented TVUI colleagues to identify, quantify, and solve complex quality challenges for the TVUI streaming application, which serves hundreds of millions of members worldwide. You’ll collaborate across multiple teams, building alignment and fostering strong relationships with engineers and leaders. A positive, team\-focused attitude and the ability to give and receive candid feedback are essential in our culture of continuous improvement.
**Technical Excellence**
 You have proven experience updating and maintaining test frameworks, proactively identifying and resolving issues in CI pipelines, and driving significant improvements in test automation and release tooling. You are adept at quantifying problems, communicating their impact, and developing robust solutions that improve developer productivity and product quality.
**Impactful Tooling \&amp; Support**
 Develop and enhance tools that streamline testing, building, and releasing TVUI code. You’ll improve observability, alerting, dashboarding, and other signals to strengthen our on\-call (at least once per month during business hours rotations) and release processes, and ensure we effectively communicate our product’s quality story. Your work will directly impact the productivity of TVUI engineers and the reliability of our releases.
**Continuous Learning**
 The Netflix ecosystem is constantly evolving. You are eager to learn new systems and tools, adapt quickly, and share your knowledge with the team.
**What We’re Looking For**
* Experience with test framework development (Jest, Puppeteer, JavaScript/TypeScript)
* Experience in maintaining CI/CD environments (Jenkins, TeamCity, CircleCI, GitHub Actions)
* Experience designing, architecting, and scaling complex software systems, in addition to maintaining and improving existing frameworks/systems
* Strong problem\-solving skills: identifying, quantifying, and resolving technical issues, with proven expertise in debugging and troubleshooting complex, production\-level issues in a distributed environment. system
* Proven ability to support and enable developer teams through tooling and process improvements
* Excellent collaboration and communication skills, with a positive, feedback\-driven mindset
* Comfort working in a culture that values autonomy, candid feedback, and continuous learning
**Excelling In This Role**
* Relish complex technical challenges but find deep satisfaction in supporting their fellow developers
* Understand that engineering is a team sport and actively farm for feedback and dissent
* Thrives in ambiguous environments and is adept at self\-management, effectively prioritizing their time, energy, and resources. Our team is responsible for setting and executing our own roadmap, without working directly with a PM.
* Have the ability to break down abstract problems into concrete solutions
* Lead with empathy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0">
      <c r="A80" t="inlineStr">
        <is>
          <t>li-4358725117</t>
        </is>
      </c>
      <c r="B80" t="inlineStr">
        <is>
          <t>Sr. Java Full Stack Engineer - SHUDC5699519</t>
        </is>
      </c>
      <c r="C80" t="inlineStr">
        <is>
          <t>Compunnel Inc.</t>
        </is>
      </c>
      <c r="D80" t="inlineStr">
        <is>
          <t>linkedin</t>
        </is>
      </c>
      <c r="E80" t="inlineStr"/>
      <c r="F80" t="inlineStr"/>
      <c r="G80" t="inlineStr">
        <is>
          <t>Dallas, TX</t>
        </is>
      </c>
      <c r="H80" t="inlineStr"/>
      <c r="I80" t="inlineStr">
        <is>
          <t>**Role \- Sr. Java Full Stack Engineer \- SHUDC5699519** 
**Location \- Dallas Texas** 
**Hybrid \- 2 weeks onsite a month** 
**Must Have \- Java, Angular, AWS, Node.js, Oracle, NgRx, JxJs and Github Copilot** 
**The Expertise You Have** 
* Bachelor’s degree in a related field or equivalent experience preferred.
* 9\+ years of experience working in technology or a related field.
* Proven experience in Java, Spring framework, Spring boot, Restful Service is a must.
* Experience with Angular UI, TypeScript, HTML.
* Experience in Github, Insomnia and CI/CD pipeline is a must.
* Experience with production support is a must.
* Docker and Kubernetes experience is a strong plus.
* AWS experience in services like IAM, S3 and Lambda is a plus.
* Knowledge in SQL and data analysis
* Ability to write clean, readable, and maintainable code.
* Very good communication skills with ability to do internal demos and presentations.
* Basic knowledge or prior experience in the financial services domain a plus
**The Skills You Bring** 
* You can understand the domain in any project you work on through your ability to learn and analyze information independently.
* Collaborate with partners across business groups with unique business processes, data sets, and challenges finding the common ground needed to build the cross\-asset class capabilities into MEG.
* A passion for development with the ability to navigate MEG’s metadata and statistical databases.
* You have good verbal and written communication skills with the ability to communicate effectively to groups.
* You can work towards the ability to operate independently while maintaining focus on the overall project goal.
* You will work to refine problem solving skills with the ability to determine root cause and clearly communicate the problem statement and solution.
* Proficient in Scrum methodology and practices (backlog management, sprint planning, retrospectives)
* You can work to build experience writing user acceptance tests and ensuring 100% use case coverage.
* You can work to become familiar with micro\-services architecture, MEG’s applications and data APIs to aid in your development.
* You will work towards build relationships with key business partners and quickly establish trust to ensure effective delivery.
* You will learn to challenge assumptions from all interested parties to ensure the best product can be delivered.
**The Value You Deliver** 
* Gathering and incorporating feedback from management to aid in the design and development of the MEG products.
* Help define and implement the product vision, incorporating the best of both existing technologies with an eye to how future technologies can help advance the product.
* Bringing your unique perspectives and expertise to this role to make MEG an outstanding infrastructure solutions organization for MEG’s partners and clients.</t>
        </is>
      </c>
    </row>
    <row r="81">
      <c r="A81" t="inlineStr">
        <is>
          <t>li-4367015211</t>
        </is>
      </c>
      <c r="B81" t="inlineStr">
        <is>
          <t>Senior Fullstack Engineer</t>
        </is>
      </c>
      <c r="C81" t="inlineStr">
        <is>
          <t>RemoteHunter</t>
        </is>
      </c>
      <c r="D81" t="inlineStr">
        <is>
          <t>linkedin</t>
        </is>
      </c>
      <c r="E81" t="inlineStr"/>
      <c r="F81" t="inlineStr"/>
      <c r="G81" t="inlineStr"/>
      <c r="H81" t="inlineStr"/>
      <c r="I81"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2">
      <c r="A82" t="inlineStr">
        <is>
          <t>li-4367000976</t>
        </is>
      </c>
      <c r="B82" t="inlineStr">
        <is>
          <t>Software Engineer I, Fullstack, Risk Engineering (New Grad - 2025)</t>
        </is>
      </c>
      <c r="C82" t="inlineStr">
        <is>
          <t>RemoteHunter</t>
        </is>
      </c>
      <c r="D82" t="inlineStr">
        <is>
          <t>linkedin</t>
        </is>
      </c>
      <c r="E82" t="inlineStr"/>
      <c r="F82" t="inlineStr"/>
      <c r="G82" t="inlineStr"/>
      <c r="H82" t="inlineStr"/>
      <c r="I82"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li-4367002437</t>
        </is>
      </c>
      <c r="B83" t="inlineStr">
        <is>
          <t>Associate Software Engineer</t>
        </is>
      </c>
      <c r="C83" t="inlineStr">
        <is>
          <t>Haystack</t>
        </is>
      </c>
      <c r="D83" t="inlineStr">
        <is>
          <t>linkedin</t>
        </is>
      </c>
      <c r="E83" t="inlineStr"/>
      <c r="F83" t="inlineStr"/>
      <c r="G83" t="inlineStr"/>
      <c r="H83" t="inlineStr"/>
      <c r="I83" t="inlineStr">
        <is>
          <t>Software Engineers \- DevSecOps (Associate and Experienced) \| Berkeley, Missouri, United States \| Hybrid \| $91,800 \- $124,200 yearly
 We're working with Boeing on this exciting opportunity. Join a team dedicated to innovation and collaboration, contributing to critical projects in the Air Dominance organization. This role offers the chance to enhance existing capabilities and drive the continuous improvement of software delivery.
 The Role
 • Assist in deploying and configuring software development tools (build servers, CI/CD pipelines, automated testing).
 • Manage and maintain AWS or Azure cloud\-based and on\-premises infrastructure.
 • Create and maintain Infrastructure as Code (IaC) and automation scripts.
 • Support the setup of development and production environments and application deployment.
 • Develop best practices for provisioning, scaling, configuration management, monitoring, and troubleshooting.
 • Provide technical guidance and mentorship on DevSecOps best practices to junior engineers and development teams.
 What You'll Need
 • 1\-3 years of experience with C\+\+, C\#, Java, or Python.
 • 1\-3 years of experience with Agile Software Development.
 • Ability to obtain a U.S. Security Clearance (U.S. Citizenship required).
 • Experience with Amazon Web Services and Infrastructure as Code is a plus.
 • Strong problem\-solving skills and a proactive approach to improving software quality.
 • Bachelor, Master or Doctor of Science degree in a relevant field is preferred.
 What's On Offer
 • Competitive salary with opportunities for growth.
 • Comprehensive benefits package, including health insurance and retirement plans.
 • Relocation assistance for eligible candidates.
 • Opportunity to work on impactful projects within a collaborative and inclusive environment.
 Apply via Haystack today!</t>
        </is>
      </c>
    </row>
    <row r="84">
      <c r="A84" t="inlineStr">
        <is>
          <t>li-4367307534</t>
        </is>
      </c>
      <c r="B84" t="inlineStr">
        <is>
          <t>Senior Software Engineer</t>
        </is>
      </c>
      <c r="C84" t="inlineStr">
        <is>
          <t>CNH</t>
        </is>
      </c>
      <c r="D84" t="inlineStr">
        <is>
          <t>linkedin</t>
        </is>
      </c>
      <c r="E84" t="inlineStr"/>
      <c r="F84" t="inlineStr"/>
      <c r="G84" t="inlineStr">
        <is>
          <t>Sioux Falls, SD</t>
        </is>
      </c>
      <c r="H84" t="inlineStr"/>
      <c r="I84"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As a
 **Senior Software Engineer** 
 , you will be responsible for ensuring overall form, fit, and function of new or current products when integrated into a single, complete system.
**Key Responsibilities**
* Develop and Maintain Yocto Builds: Create and customize Yocto\-based embedded Linux distributions, including writing and maintaining recipes, layers, and configuration files.
* System Integration: Integrate hardware and software components, ensuring compatibility and optimal performance for embedded systems.
* Kernel and Driver Development: Customize Linux kernels and develop device drivers to support specific hardware platforms.
* Optimization and Debugging: Optimize system performance, troubleshoot issues, and ensure stability and reliability of Linux\-based platforms.
* Collaboration: Work closely with hardware engineers, application developers, and QA teams to deliver end\-to\-end solutions.
* Documentation: Maintain clear and comprehensive documentation for build processes, configurations, and system designs.
* Continuous Improvement: Stay updated on Yocto advancements, Linux kernel updates, and industry best practices to enhance platform capabilities.
**Experience Required**
* Bachelor’s degree in engineering or technical field with 5\+ years of engineering experience.
* Experience with real\-time operating systems (RTOS).
* Knowledge of security practices for embedded Linux systems.
* Contributions to open\-source projects related to Yocto or Linux.
**Pay Transparency**
 The annual salary for this role is $105,750 \- $141,000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85">
      <c r="A85" t="inlineStr">
        <is>
          <t>li-4367327802</t>
        </is>
      </c>
      <c r="B85" t="inlineStr">
        <is>
          <t>Fullstack Software Developer (.NET/ React)</t>
        </is>
      </c>
      <c r="C85" t="inlineStr">
        <is>
          <t>MAS Global Consulting</t>
        </is>
      </c>
      <c r="D85" t="inlineStr">
        <is>
          <t>linkedin</t>
        </is>
      </c>
      <c r="E85" t="inlineStr"/>
      <c r="F85" t="inlineStr"/>
      <c r="G85" t="inlineStr">
        <is>
          <t>New York, NY</t>
        </is>
      </c>
      <c r="H85" t="inlineStr"/>
      <c r="I85" t="inlineStr">
        <is>
          <t>**About MAS Global** 
 MAS Global is a technology consulting company that connects top engineering talent in Latin America with leading global organizations. We focus on building high\-performing, long\-term teams that deliver scalable, high\-quality software solutions while fostering professional growth and collaboration.
 Role Overview
 We are looking for a
 **Senior Full\-Stack Developer** 
 to join one of our delivery teams. You will work across backend and frontend systems, contributing to architecture, design, and delivery of end\-to\-end software solutions. You will collaborate closely with cross\-functional stakeholders while mentoring engineers and promoting engineering excellence.
**What You’ll Do** 
* Own and deliver quarterly goals for your team, leading engineers through ambiguity to solve complex, end\-to\-end problems while ensuring successful delivery.
* Collaborate with product management, design, and analytics throughout the product development lifecycle by participating in ideation, articulating technical constraints, and supporting decisions that consider risks and trade\-offs.
* Design, develop, and maintain scalable backend systems and APIs using
 **.NET** 
 , deployed on
 **AWS Cloud** 
 .
* Build and maintain responsive, high\-quality user interfaces using
 **React or Angular** 
 .
* Implement and maintain CI/CD pipelines using
 **Jenkins** 
 , ensuring reliable and efficient deployments.
* Proactively identify project, process, technology, or business issues, advocate for improvements, and lead their resolution.
* Support the operations and availability of applications by creating and monitoring metrics, troubleshooting issues, and contributing to “keep the lights on” efforts.
* Foster a culture of quality and ownership by defining or improving code review and design standards, and advocating for best practices through documentation and technical discussions.
* Help develop talent by providing feedback, mentorship, and guidance, and by leading through example.
**What We Look For** 
* 5–7 years of professional experience as a full\-stack or software engineer.
* Strong experience designing, developing, and maintaining backend systems using
 **.NET** 
 and
 **AWS Cloud** 
 .
* Hands\-on experience building frontend applications with
 **React and/or Angular** 
 .
* Experience setting up and maintaining
 **CI/CD pipelines using Jenkins** 
 .
* Proven ability to define and execute technical plans for complex features or system components using clean, scalable, and extensible designs.
* Experience working in large codebases while maintaining system stability, performance, and quality.
* Strong sense of ownership over personal growth, with a proactive approach to feedback and continuous improvement.
* Excellent verbal and written communication skills to collaborate effectively with distributed and international teams.
* Bachelor’s degree in a related field or equivalent practical experience.</t>
        </is>
      </c>
    </row>
    <row r="86">
      <c r="A86" t="inlineStr">
        <is>
          <t>li-4326532796</t>
        </is>
      </c>
      <c r="B86" t="inlineStr">
        <is>
          <t>Senior Embedded Software Engineer</t>
        </is>
      </c>
      <c r="C86" t="inlineStr">
        <is>
          <t>Engtal</t>
        </is>
      </c>
      <c r="D86" t="inlineStr">
        <is>
          <t>linkedin</t>
        </is>
      </c>
      <c r="E86" t="inlineStr"/>
      <c r="F86" t="inlineStr"/>
      <c r="G86" t="inlineStr">
        <is>
          <t>Boston, MA</t>
        </is>
      </c>
      <c r="H86" t="inlineStr"/>
      <c r="I86" t="inlineStr">
        <is>
          <t>**About the Role** 
 A growing robotics organization is seeking a Senior Embedded Software Engineer to lead the design, development, and enhancement of the embedded software powering its next\-generation electromechanical systems. This engineer will work closely with cross\-functional teams, contribute to the architecture and implementation of core software components, and ensure system reliability, safety, and high\-performance operation.
 This position follows a hybrid schedule requiring regular weekly on\-site collaboration.
**Key Responsibilities** 
* Design, develop, and maintain embedded software for advanced electromechanical systems, with a focus on performance, safety, and reliability
* Collaborate with hardware and systems engineers to integrate software with electronic, mechanical, and control subsystems
* Develop and optimize motion\-control and feedback algorithms for precision robotic operation
* Implement real\-time control software, sensor integration, and communication interfaces
* Conduct rigorous debugging and testing to ensure robust system operation in dynamic environments
* Produce clear and thorough documentation of software design, implementation decisions, and test procedures
* Work closely with multidisciplinary engineering teams to meet technical and program objectives
**Requirements** 
* 5\+ years of embedded software development experience in C, C\+\+, and Python for electromechanical or robotic products
* Experience developing software for motion control, brushless DC motors, or complex actuator systems
* Ability to independently take requirements and deliver reliable, well\-structured, and well\-documented software modules
* Familiarity with embedded communication protocols such as CAN, SPI, I2C, and UART
* Ability to interpret datasheets, schematics, and detailed technical documentation</t>
        </is>
      </c>
    </row>
    <row r="87">
      <c r="A87" t="inlineStr">
        <is>
          <t>li-4359365100</t>
        </is>
      </c>
      <c r="B87" t="inlineStr">
        <is>
          <t>Software Engineer IV</t>
        </is>
      </c>
      <c r="C87" t="inlineStr">
        <is>
          <t>SelectQuote Insurance Services</t>
        </is>
      </c>
      <c r="D87" t="inlineStr">
        <is>
          <t>linkedin</t>
        </is>
      </c>
      <c r="E87" t="inlineStr"/>
      <c r="F87" t="inlineStr"/>
      <c r="G87" t="inlineStr"/>
      <c r="H87" t="inlineStr"/>
      <c r="I87" t="inlineStr">
        <is>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As a Software Engineer IV you will be responsible for leading a team of engineers developing and designing software products that delight our users. You will collaborate within a cross\-functional team fostering mutual learning and growth while building supporting and deploying software with high availability performance efficiency and security ensuring disaster recovery capabilities. Additionally you will be involved in tool and technology selection deployments security tasks performance tuning and production monitoring.
 You’ll also be designing and developing software components for use across the organization as well as creating and maintaining architecture diagrams and other crucial product documentation. Additionally you’ll play a pivotal role in mentoring less experienced engineers helping them refine their skillset and grow as professionals.
 Ultimately you’ll be responsible for upholding product quality standards and service level objectives while fostering a collaborative development environment where innovation thrives.
**Supervisory Responsibilities**
* This position has no direct supervisory responsibilities.
**Essential Duties And Responsibilities**
* Independently write clean well\-documented and maintainable code
* Conduct unit integration and performance testing to ensure code quality and functionality
* Participate in code reviews learn from team feedback and provide suggestions for code improvement
* Debug and troubleshoot complex software issues efficiently
* Create new best practices and foster a collaborative and innovative development environment
* Participate in a predictable on\-call schedule to provide major incident support for production issues
* Collaborate with team members in an agile development environment and actively lead team discussions
* Stay ahead of the curve in the latest software development trends and technologies and drive their adoption across the organization
* Architect and lead the technical roadmap design and documentation for technology initiatives across the organization
* Work with agile team members to ensure user stories are actionable valuable testable and easy to understand by stakeholders
* Document review and ensure that all quality and change control standards are met
* Master in working throughout the entire technology stack
* Lead technical evaluations and selection of tools and technologies.
* Grow senior engineers by providing technical guidance and feedback
* Lead the organization in building high performing software products our users love
* Partner with the Product Owner to define product requirements estimate work effort and ensure product quality standards are met
* Manage technical risks and proactively mitigate potential issues
**Skills/Abilities**
* Proven ability to architect and deliver large\-scale software products
* Extensive knowledge of software development principles and architectures
* Strong leadership and mentorship skills to inspire and motivate others
* Excellent communication and negotiation skills to influence stakeholders
* Track record of successfully overcoming technical challenges and exceeding expectations
**Education And Experience**
* Bachelor’s degree in Computer Science, Software Engineering or a related field required
* 8 years of relevant work experience required
* Extensive experience in front end technology such as HTML, CSS, and JavaScript/TypeScript frameworks required (Angular preferred)
* Extensive experience in an object\-oriented programming language required (C\# preferred)
* Extensive experience in source code version control required (git preferred)
* Experience in data modeling in relational and NoSQL database technology required
* Extensive experience in writing SQL queries against a relational database required
* Extensive experience in cloud native design and development required (AWS preferred)
* Extensive experience in containerization required (Docker)
* Extensive experience in CI/CD tools required
* Extensive experience with design patterns and software architecture principles required
* Experience in security frameworks for user and services authentication and authorization required
* Familiarity with developing technical roadmaps including work estimation refactoring and modernizing legacy systems required
**Physical Requirements**
* Work is performed indoors with potential for exposure to safety and health hazards related to office work. Could periodically travel to other office and operational sites. The noise level in the work environment is usually moderate.
* Prolonged periods of sitting at a desk and working on a computer.
**SelectQuote Core Values**
**S** 
 ervice: We create positive customer experiences.
**E** 
 ntrepreneurship: We create innovate \&amp; take risks.
**L** 
 eadership: We build \&amp; invest in high\-performing teams.
**E** 
 mpowerment: We embrace a changing environment.
**C** 
 ourage: We challenge the status quo \&amp; drive continuous improvement.
**T** 
 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t>
        </is>
      </c>
    </row>
    <row r="88">
      <c r="A88" t="inlineStr">
        <is>
          <t>li-4367331158</t>
        </is>
      </c>
      <c r="B88" t="inlineStr">
        <is>
          <t>Lead Software Engineer</t>
        </is>
      </c>
      <c r="C88" t="inlineStr">
        <is>
          <t>Caterpillar Inc.</t>
        </is>
      </c>
      <c r="D88" t="inlineStr">
        <is>
          <t>linkedin</t>
        </is>
      </c>
      <c r="E88" t="inlineStr"/>
      <c r="F88" t="inlineStr"/>
      <c r="G88" t="inlineStr">
        <is>
          <t>Chicago, IL</t>
        </is>
      </c>
      <c r="H88" t="inlineStr"/>
      <c r="I88"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Purpose**
 Lead Software Engineer provides technical leadership in design, development, testing and deployment of Caterpillar’s state\-of\-the\-art digital platform hosted on AWS. This position will build a world class platform to host a wide range of digital applications.
**Job Duties**
* As a Lead Software Engineer you will be responsible for designing and developing backend RESTful API web services using Microservices architecture.
* Be responsible for overseeing and mentoring other developers and handle code reviews.
* Acts as team leader for development and support groups; provides programming and application/technical leadership, guidance, and assistance to other team members.
* Works directly on complex application/technical problem identification and resolution.
* Drives application development focused around delivering business valuable features
* Maintains high standards of software quality within the team by establishing good practices and habits
* Guide the team to develop a structured application/interface code, new program documentation, operations documentation and user guides in a casual, flexible environment
* Lead development of new functionality and applications on cross\-functional Agile project teams
**What You Will Have**
* Software Development: Knowledge of software development tools and activities; ability to produce software products or systems in line with product requirements.
* Software Product Design/Architecture: Knowledge of software product design; ability to convert market requirements into the software product design.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**Top Candidates Will Also Have**
* Extensive experience software development experience using Java 17 or higher and SpringBoot RESTful API development
* Extensive experience deploying and maintaining software using public clouds such as AWS or Azure.
* Message streaming solutions, such as AWS Kinesis, AWS SQS, AWS SNS, Apache Kafka, RabbitMQ, Apache ActiveMQ, Azure Event Hub.
* Datastores such as AWS Aurora, AWS RDS, AWS DynamoDB, PostgreSQL, MySQL, Oracle, ElasticSearch, MongoDB, Cassandra, Redis.
* Deploying software using CI/CD tools such as Azure Devops, Jenkins, GoCD, etc.
* Working within an Agile framework (ideally Scrum)
**Additional Details**
* This position requires the candidate to be based in Chicago, IL
* Relocation assistance is NOT available for this position
* Visa sponsorship is available for this position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January 29,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9">
      <c r="A89" t="inlineStr">
        <is>
          <t>li-4331091812</t>
        </is>
      </c>
      <c r="B89" t="inlineStr">
        <is>
          <t>Software Developer - Web</t>
        </is>
      </c>
      <c r="C89" t="inlineStr">
        <is>
          <t>Uline</t>
        </is>
      </c>
      <c r="D89" t="inlineStr">
        <is>
          <t>linkedin</t>
        </is>
      </c>
      <c r="E89" t="inlineStr"/>
      <c r="F89" t="inlineStr"/>
      <c r="G89" t="inlineStr">
        <is>
          <t>Kenosha, WI</t>
        </is>
      </c>
      <c r="H89" t="inlineStr"/>
      <c r="I89" t="inlineStr">
        <is>
          <t>**Pay from $80,000 to $119,000 per year**
**Corporate Headquarters**
**12575 Uline Drive, Pleasant Prairie, WI 53158**
 Develop custom solutions and enjoy a great career at Uline. Bring your extensive skillset to a place ready to employ every facet of it. Collaborate on customer\-facing and internal projects among a team of dedicated fellow developers.
**Careers Packed with Potential.** 
 Backed by 45\+ years of success, Uline offers opportunities to grow your career with stability you can count on.
**Position Responsibilities**
* Apply industry best practices and cutting\-edge techniques to design, develop, test, deploy, support and maintain sophisticated web applications based on business requirements.
* Enhance and support our world\-class e\-commerce and mobile sites, along with sales, intranet and internal web applications.
* Collaborate closely with the development team to ensure process consistency and timely completion of deliverables.
* Conduct design and code reviews to help maintain code quality, performance and application responsiveness.
**Minimum Requirements**
* Bachelor's degree in Computer Science, Information Technology or a related field.
* 2\+ years of web development experience.
* Strong understanding of object\-oriented design, web application architecture and relational database design.
* Proven experience in delivering web and e\-commerce solutions using technologies like .NET, MVC, C\# and JavaScript (jQuery or TypeScript).
* Proficiency in writing T\-SQL queries and stored procedures.
* Experience in writing automated unit tests to ensure high\-quality code.
* Familiarity with Java, Agile methodology, Angular, Dynatrace, Cassandra or ELK a plus.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(\#IN\-PPITL4\)
 \#ZR\-HQIT
 Our employees make the difference and we are committed to offering exceptional benefits and perks! Explore https://www.uline.jobs/\#working\-here\_blankUline.jobs to learn more!</t>
        </is>
      </c>
    </row>
    <row r="90">
      <c r="A90" t="inlineStr">
        <is>
          <t>li-4358372771</t>
        </is>
      </c>
      <c r="B90" t="inlineStr">
        <is>
          <t>Sr. Software Engineer I - Core Team</t>
        </is>
      </c>
      <c r="C90" t="inlineStr">
        <is>
          <t>OppFi</t>
        </is>
      </c>
      <c r="D90" t="inlineStr">
        <is>
          <t>linkedin</t>
        </is>
      </c>
      <c r="E90" t="inlineStr"/>
      <c r="F90" t="inlineStr"/>
      <c r="G90" t="inlineStr"/>
      <c r="H90" t="inlineStr"/>
      <c r="I90" t="inlineStr">
        <is>
          <t>OppFi is a leading tech\-enabled digital finance platform that works with banks to provide financial products and services for everyday Americans. Through a transparent and responsible platform, which includes financial inclusion and excellent customer experience, the Company supports consumers who are turned away by mainstream options to build better financial health.
 We are a team of caring, innovative, and inclusive individuals who thrive in being immersed in diverse talents, expertise, perspectives, and backgrounds. Our employees approach every new challenge with an unparalleled ability to see what could be rather than settle for what is. Our business principles guide us and create an open and collaborative culture where we improve 1% every day, and the best ideas always win! We welcome individuals who want to make an impact in the financial system by facilitating credit access, expanding financial inclusion, promoting financial health, and delivering exceptional customer service.
 A few other fun facts about us. OppFi is one of the top consumer\-rated financial platforms online, maintaining a 4\.5/5\.0\-star rating on Trustpilot. We are a 2025 Crain’s Fast 50™ company and were named on Built In's 2025 Best Places to Work in Chicago.
**About The Job**
 As a Senior Software Engineer on the Core Team, you will contribute to the development of OppFi’s software ecosystem that makes up our product portfolio. Specifically, this role’s function is to develop, maintain, and improve core libraries and documentation used by all of the Application Development teams. Knowing this, you will…
* Develop software using the latest Java, SpringBoot, Docker, Amazon Web Services, PostgreSQL, EventStoreDB, Github, ArgoCD and more as the org continues to expand and improve.
* Enhance core libraries to implement cross\-cutting concerns such as security, observability, data encryption, horizontal scaling, resiliency and other non\-functional requirements
* Debug non\-trivial issues requiring partnering with Application Developers, vendors and platform teams
* Collaborate with business and technology professionals across the company in an Agile fashion to ensure technical systems meet requirements.
* Perform code reviews, unit and integration testing; write high quality documentation, and implement other industry recognized best practices.
* Continue to learn new tools and patterns. We take development seriously! Our team develops and manages its own internal training courses, budgets for externally held classes and conferences, and covers books and other training related materials….we want you to grow your skills with us!
* Mentor junior engineers and new hires.
**Requirements**
* A relevant undergraduate and/or graduate degree (e.g. Computer Science, Software Engineering, etc) or at least 5 years of professional software development experience.
* At least 5 years of experience with industry recognized automated testing standards (e.g. unit and integration testing) and methodologies (e.g. test or behavior driven development)
* At least 5 years of experience developing and maintaining internal APIs, and integrating with external APIs.
* At least 3 years of experience with Amazon Web Services.
* At least 1 years of experience maintaining internal libraries used by multiple teams
* Experience leading small to medium sized projects (e.g. Creating a new micro\-service, major project refactoring, etc)
* Strong Experience with Java, SpringBoot, Docker, CI, Github
* Excellent written and verbal communication skills
**Preferences**
* Familiarity with technologies existing in OppFi’s stack (, Docker, Amazon Web Services, PostgreSQL, Kubernetes, Github)
* Familiarity with methodologies existing within OppFi (Agile Development, Test Driven Development, Domain Driven Design, Event Sourcing)
* Experience mentoring junior developers.
**Reports to:** 
 Sr. Manager, Engineering
**Job Level:** 
 Sr. Tech I
**Total Rewards And Benefits**
 At OppFi, we are committed to fostering a fair and equitable workplace. The compensation range for this role reflects our good faith compensation estimate for this position. Final offers are determined based on a myriad of factors including, but not limited to experience, skills, qualifications, and other relevant business considerations. Candidates are encouraged to discuss compensation expectations during the hiring process. In addition to base pay, the total compensation package includes eligibility and potential for performance\-based bonuses and equity grants dependent upon the role and job level.
 OppFi offers a flexible, remote environment, 401(k) matching program, and generous paid time off. Other benefits include medical, dental, and vision coverage, and tuition reimbursement. Additional benefits include DoorDash DashPass, Figo pet insurance, Rocket Lawyer, and access to LinkedIn Learning. OppFi also offers Fringe, a lifestyle benefits platform that allows employees to decide how to spend rewards from dozens of vendors like Uber, DoorDash, and UrbanSitter.
**Compensation Range**
 $123,200 \- $184,800 USD
**EEO Statement**
 OppFi is an equal opportunity employer and does not discriminate based on any actual or perceived legally recognized protected bases under local, state, federal law, or regulations. Our goal as a company is to build an equitable workplace that actively works to dismantle systems of oppression in our processes, procedures, and interactions. We aim to help our employees thrive where they work and beyond. Check out our Culture page here.
 As part of OppFi’s commitment to providing equal opportunity to qualified individuals, OppFi will ensure that persons with disabilities are provided reasonable accommodation as defined by applicable laws and organizational policies. If reasonable accommodation is needed to participate in the job application or interview processes or job requirements, please contact our People Team at recruiting@oppfi.com.
 Pursuant to the requirements of the California Consumer Privacy Act, OppFi is providing the "OppFi California Employee Privacy Policy", which details the categories of personal information collected and your rights under the policy. If you are a California resident, please review the policy here: https://www.oppfi.com/careers/.
 The information in this document is for general informational purposes only. It is not intended to be an all\-inclusive list or description of the organization and its requirements for positions and employees. OppFi reserves the right to modify or change the information on this document at its discretion.</t>
        </is>
      </c>
    </row>
    <row r="91">
      <c r="A91" t="inlineStr">
        <is>
          <t>li-4367341155</t>
        </is>
      </c>
      <c r="B91" t="inlineStr">
        <is>
          <t>Team Lead Software Engineer, VP</t>
        </is>
      </c>
      <c r="C91" t="inlineStr">
        <is>
          <t>State Street</t>
        </is>
      </c>
      <c r="D91" t="inlineStr">
        <is>
          <t>linkedin</t>
        </is>
      </c>
      <c r="E91" t="inlineStr"/>
      <c r="F91" t="inlineStr"/>
      <c r="G91" t="inlineStr">
        <is>
          <t>Burlington, MA</t>
        </is>
      </c>
      <c r="H91" t="inlineStr"/>
      <c r="I91" t="inlineStr">
        <is>
          <t>The Charles River Front Office organization is seeking an individual who can lead one or more scrum teams to build and maintain the core OEMS product areas.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 Provide technical leadership and expertise within the front office teams and across the organization.
* Work in an Architect capacity to lay down the modernization plans for the OEMS modules and drive the teams towards implementation.
* Work with Product peers to design new features based on market needs, meet client commitments, and support the existing legacy application.
* Manage the staff, including assignment of work items, employee performance, engagement, and professional development.
* Fulfill the Scrum Master role by leading the team in their Agile development process and working to foster a strong continuous improvement culture.
* Identify improvements in team development and quality including defining new strategies, processes, and required tooling to improve quality
* Write, review, and approve software development specifications, projects, proposals, methods and schedules.
* Provide expert guidance and critical analysis of proposed changes during code reviews.
* Advise staff members on complex technical problems including specifying proper software designs and use of existing facilities to solve common problems
* Monitor progress on a variety of initiatives and work packages to ensure fulfillment of product and scheduling objectives.
* Review testing strategy and test plans for team’s product to ensure high product quality.
* Mentor team members to cultivate technical and financial domain knowledge expertise, and assist with developing other essential skills to further their careers
* Develop, test, debug, and implement software programs, applications and projects using Microservices, Java, C\#, SQL, JavaScript, or other related software engineering languages as well as keeping abreast of emerging technologies impactful to CRDs business.
* Work with the client services organization to provide support \&amp; maintenance to current customers.
* Coordinate with other Scrum teams within the R\&amp;D organization to ensure seamless integration of functional workflows
**Qualifications**
**Recommended Education:**
* B.S. degree (or foreign education equivalent) in Computer Science, Engineering, Mathematics, and Physics or other technical course of study required. MS degree strongly preferred.
**Recommended Experience**
* A minimum of 15 years of progressively responsible professional experience in a software engineering role required with a minimum of 3 years of technical leadership/ architect level experience.
* A minimum of 8 years of experience in designing and developing software solutions in a highly transactional ,concurrent, event driven system.
* A minimum of 5 years of experience in financial services developing solutions for Portfolio Management, Trading, Compliance, Post\-Trade, IBOR or Wealth Management is strongly desired.
* A minimum of 5 years’ Cloud native application development experience in at least one of the cloud native platforms(preferably, Microsoft Azure) and experience in Spring Boot, Microservices, Kafka, Kubernetes and cloud databases.
* Demonstrated experience with object\-oriented programming, compiler or interpreter technologies, embedded systems, operating systems, relational databases (RDBMS), scripting and new/advanced programming languages.
* UI development experience in C\#, React, JavaScript is preferred.
* A minimum of 5 years working with an Agile development methodology.
* Excellent written and verbal communication skills and ability to summarize results clearly and succinctly for upper management .
* Demonstrated experience in organizing and running efficient meetings.
* Ability to manage solution complexity to ensure simple designs and workflows.
* Ability to coordinate and lead cross\-team activities.
* Strong contributor to project plans and backlog management.
**Salary Range**
 $120,000 \- $202,500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R\-783252</t>
        </is>
      </c>
    </row>
    <row r="92">
      <c r="A92" t="inlineStr">
        <is>
          <t>li-4330925054</t>
        </is>
      </c>
      <c r="B92" t="inlineStr">
        <is>
          <t>Software Developer - Java</t>
        </is>
      </c>
      <c r="C92" t="inlineStr">
        <is>
          <t>Uline</t>
        </is>
      </c>
      <c r="D92" t="inlineStr">
        <is>
          <t>linkedin</t>
        </is>
      </c>
      <c r="E92" t="inlineStr"/>
      <c r="F92" t="inlineStr"/>
      <c r="G92" t="inlineStr">
        <is>
          <t>Milwaukee, WI</t>
        </is>
      </c>
      <c r="H92" t="inlineStr"/>
      <c r="I92" t="inlineStr">
        <is>
          <t>**Pay from $80,000 to $119,000 per year**
**Corporate Headquarters**
**12575 Uline Drive, Pleasant Prairie, WI 53158**
 Are you ready to design, innovate and lead in a collaborative, cutting\-edge tech environment? Uline is seeking a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4\+ years of hands\-on Java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(\#IN\-PPITL4\)
 \#ZR\-HQIT
 Our employees make the difference and we are committed to offering exceptional benefits and perks! Explore https://www.uline.jobs/\#working\-here\_blankUline.jobs to learn more!</t>
        </is>
      </c>
    </row>
    <row r="93">
      <c r="A93" t="inlineStr">
        <is>
          <t>li-4367301064</t>
        </is>
      </c>
      <c r="B93" t="inlineStr">
        <is>
          <t>Senior Software Engineer</t>
        </is>
      </c>
      <c r="C93" t="inlineStr">
        <is>
          <t>10x National Security</t>
        </is>
      </c>
      <c r="D93" t="inlineStr">
        <is>
          <t>linkedin</t>
        </is>
      </c>
      <c r="E93" t="inlineStr"/>
      <c r="F93" t="inlineStr"/>
      <c r="G93" t="inlineStr">
        <is>
          <t>Maryland, United States</t>
        </is>
      </c>
      <c r="H93" t="inlineStr"/>
      <c r="I93" t="inlineStr">
        <is>
          <t>**Senior Software Engineer** 
 Defense\-Grade AI SystemsRemote (US Only) \| Must Be Eligible for Security Clearance (US Residency Required)
 Compensation Range: $150,000 \- $220,000
**About the Role** 
 We are building defense\-grade, production\-ready AI systems that solve real national security problems at scale. This is not a DevOps role and not a maintenance role. This is a hands\-on engineering position for senior builders who want to design, ship, and evolve high\-impact software used by hundreds or thousands of users.
 You will work on a mix of new IRAD initiatives and existing products, contributing directly to architecture decisions, feature development, and modernization efforts. We are assembling a small, elite engineering team and are intentional about who joins it.
 If you are a senior engineer who thrives in environments where you build new things that make a real world impact, take extreme ownership of your craft and strive for continuous growth, this role is designed for you.
**What You’ll Be Working On** 
* Building/evolving AI\-powered applications using modern frameworks and open\-source tools
* Designing and shipping production\-grade software with real users, not hobby projects
* Developing backend systems in Rust and application layers in Django
* Working with large language models and AI tooling, including OpenAI\-based systems
* Contributing to new product development as well as modernizing existing platforms
* Collaborating closely with leadership and other senior engineers to shape technical direction
* Operating as a true individual contributor with autonomy and accountability
**What We’re Looking For** 
* 8 to 12 years of professional software engineering experience
* Minimum of 5 years working on enterprise or production\-grade software
* Strong experience with Django and front end application development systems
* Strong experience with Rust for backend systems
* Hands\-on experience working with LLMs, AI tooling, or OpenAI\-style frameworks
* Demonstrated ability to ship software used by hundreds or thousands of users
* Ability to self\-start, propose solutions, and execute with empowerment
* Comfortable owning problems end\-to\-end, from concept to deployment
* Experience in national security or defense is
 **not required** 
 , but interest in the space is expected.
**How We Evaluate Candidates** 
 We take the candidate experience seriously while maintaining a high bar.
* Our interview process includes
* Brief cultural and behavioral interview
* Deeper dive into your technical skills through a customized case study evaluation
* Closing out with a brief core values presentation to assess intentionality, alignment, and communication fits within the team
 We value thoughtful preparation, clarity of thinking, and ownership more than perfect answers.
**Compensation and Equity** 
* Base salary range: $150,000 to $220,000
* Exceptional candidates may be considered at higher compensation levels
* Bonuses and performance\-based incentives
* Opportunity to grow with the company toward a targeted IPO timeline
 We are transparent about compensation and structure offers thoughtfully for the right people.
**Why Join Us** 
* You’ll work on real products with real impact
* You’ll join a small, senior team with high standards and low bureaucracy
* You’ll have visibility, ownership, and influence from day one
* You’ll help shape systems, not just tickets
* You’ll be part of a company focused on building real value, not inflated narratives
 This is a role for engineers who want to build, not hide.
 Join us in driving innovation through technology as we enhance our service delivery capabilities!
**Job Type:** 
 Full\-time
**Benefits:** 
* 401(k)
* Dental insurance
* Health insurance
* Life insurance
* Paid time off
* Vision insurance
**Experience:** 
* Django for Frontend Buildouts: 1 year (Preferred)
* Production Grade Software: 5 years (Required)
* Rust for Backend Systems: 2 years (Preferred)
**Work Location:** 
* Remote but for East Coast candidates: MD or VA
* Based on Security Clearance Requirements \- Candidates Must Be United States Citizens w/ ability to Clear Security Clearance Protocols (US Residency is Required)</t>
        </is>
      </c>
    </row>
    <row r="94">
      <c r="A94" t="inlineStr">
        <is>
          <t>li-4331022348</t>
        </is>
      </c>
      <c r="B94" t="inlineStr">
        <is>
          <t>Software Developer - Web</t>
        </is>
      </c>
      <c r="C94" t="inlineStr">
        <is>
          <t>Uline</t>
        </is>
      </c>
      <c r="D94" t="inlineStr">
        <is>
          <t>linkedin</t>
        </is>
      </c>
      <c r="E94" t="inlineStr"/>
      <c r="F94" t="inlineStr"/>
      <c r="G94" t="inlineStr">
        <is>
          <t>Pleasant Prairie, WI</t>
        </is>
      </c>
      <c r="H94" t="inlineStr"/>
      <c r="I94" t="inlineStr">
        <is>
          <t>**Pay from $80,000 to $119,000 per year**
**Corporate Headquarters**
**12575 Uline Drive, Pleasant Prairie, WI 53158**
 Develop custom solutions and enjoy a great career at Uline. Bring your extensive skillset to a place ready to employ every facet of it. Collaborate on customer\-facing and internal projects among a team of dedicated fellow developers.
**Careers Packed with Potential.** 
 Backed by 45\+ years of success, Uline offers opportunities to grow your career with stability you can count on.
**Position Responsibilities**
* Apply industry best practices and cutting\-edge techniques to design, develop, test, deploy, support and maintain sophisticated web applications based on business requirements.
* Enhance and support our world\-class e\-commerce and mobile sites, along with sales, intranet and internal web applications.
* Collaborate closely with the development team to ensure process consistency and timely completion of deliverables.
* Conduct design and code reviews to help maintain code quality, performance and application responsiveness.
**Minimum Requirements**
* Bachelor's degree in Computer Science, Information Technology or a related field.
* 2\+ years of web development experience.
* Strong understanding of object\-oriented design, web application architecture and relational database design.
* Proven experience in delivering web and e\-commerce solutions using technologies like .NET, MVC, C\# and JavaScript (jQuery or TypeScript).
* Proficiency in writing T\-SQL queries and stored procedures.
* Experience in writing automated unit tests to ensure high\-quality code.
* Familiarity with Java, Agile methodology, Angular, Dynatrace, Cassandra or ELK a plus.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(\#IN\-PPITL4\)
 \#ZR\-HQIT
 Our employees make the difference and we are committed to offering exceptional benefits and perks! Explore https://www.uline.jobs/\#working\-here\_blankUline.jobs to learn more!</t>
        </is>
      </c>
    </row>
    <row r="95">
      <c r="A95" t="inlineStr">
        <is>
          <t>li-4311937803</t>
        </is>
      </c>
      <c r="B95" t="inlineStr">
        <is>
          <t>Senior Staff Software Engineer</t>
        </is>
      </c>
      <c r="C95" t="inlineStr">
        <is>
          <t>Fanatics</t>
        </is>
      </c>
      <c r="D95" t="inlineStr">
        <is>
          <t>linkedin</t>
        </is>
      </c>
      <c r="E95" t="inlineStr"/>
      <c r="F95" t="inlineStr"/>
      <c r="G95" t="inlineStr"/>
      <c r="H95" t="inlineStr"/>
      <c r="I95" t="inlineStr">
        <is>
          <t>**Overview**
**JOB DESCRIPTION**
 As Fanatics Betting \&amp; Gaming propels Fanatics' mission to create the ultimate digital sports platform, the Senior Staff Software Engineer role stands at the forefront of this transformative journey. Within the OddsFactory team, you'll assume a pivotal position, blending technical prowess with strategic vision to lead our risk and trading domain. This role is not just about leading projects; it's about pioneering solutions that redefine how fans engage with sports, making every aspect of their passion more accessible and engaging.
 Your leadership extends beyond traditional boundaries, influencing multiple teams and shaping the systems that drive both FBG's products and the wider Fanatics ecosystem. With a focus on our real\-time decision\-making platform, your work ensures that we're not only meeting but setting new standards for fan engagement and product excellence. Your role is a unique blend of strategy and hands\-on innovation, inspiring teams to push the envelope and create groundbreaking technologies.
 In fostering a culture of innovation, you'll navigate teams through the complexities of modern software development, championing a learning\-oriented environment that bolsters both personal and collective growth. Your mentorship will cultivate the next generation of tech leaders, ensuring that FBG's engineering practices continue to evolve and surpass industry benchmarks.
 Embrace the opportunity to make an indelible mark on the sports industry as a Senior Staff Software Engineer at FBG. Your leadership will catalyze our ongoing quest to revolutionize sports fan engagement, leaving a lasting legacy of innovation and a fan\-centric approach that echoes across the sports world.
**Responsibilities**
* Strategically lead and mentor engineering teams, ensuring the development of extensible, scalable, and high\-quality software solutions.
* Define clear requirements, provide accurate estimates, and make critical decisions to enhance team efficiency and product delivery.
* Navigate and resolve complex technical challenges, making informed decisions that balance immediate needs against long\-term goals and technical vision.
* Drive architectural excellence, making crucial decisions that influence software structure, dependencies, and overall performance.
* Champion improvements in operational processes and documentation. Proactively address code complexity and architectural improvements to enhance system performance and maintainability.
* Serve as a key advisor on technology and product strategy, contributing insights that drive FBG's growth and innovation.
* Cultivate a learning environment, reducing onboarding times and fostering professional development across the team.
* Contribute to team planning and design discussions, building more expertise around design approaches, driving best practices and improving the speed of delivery
* Lead code reviews to provide constructive direction and actionable feedback.
* Proactively simplify code and resolve team architecture deficiencies.
* Uphold engineering best practices, influencing your team's approach to software development and ensuring adherence to FBG's strategic principles.
* Develop a deep understanding of the sports betting industry, FBG's product ecosystem, and future technological trends, leveraging this knowledge to drive innovation and seize opportunities.
* Collaborate seamlessly with Product, Quants and Engineering teams to ensure timely delivery of stable and reliable applications aligned with our product vision.
* Demonstrate mastery in .NET technologies, adhering to and advocating for industry\-leading practices, patterns, and standards.
* Provide mentorship, inspiring team members through knowledge sharing and encouraging professional growth and continuous improvement.
* Support critical operations through participation in an on\-call rotation
* Be willing to travel occasionally for special events and for essential offsite meetings and team collaboration sessions.
**Required Qualifications**
* 7\+ years real\-world demonstrable experience building \&amp; deploying scalable, high\-performance applications
* Strong technical experience with C\#, cloud platforms (Azure a plus), and SQL/NoSQL.
* Strong communication skills, capable of demystifying complex technical topics for diverse audiences.
* Excellent analytical and problem solving skills.
* Team\-first mentality, with a willingness to do what it takes to get the job done and a desire to strive for better..
* Deep understanding of software design, development, and testing principles including SOLID, DRY, TDD, BDD
* A genuine passion for software engineering and a desire to share knowledge and innovate within a highly collaborative team.
**Preferred Qualifications**
* Familiarity with sports betting or a keen interest in sports is desirable.
* Experience of building software using Domain Driven Design (DDD)
* Ability to translate business needs into technical solutions.
* Experience in partnering with cross\-functional teams.
* Experience working in a start\-up environment
* Passionate about working in a highly collaborative team environment
*If you possess some of these qualifications but not all of them, we still encourage you to apply!*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$144,000 \- $318,000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96">
      <c r="A96" t="inlineStr">
        <is>
          <t>li-4356577259</t>
        </is>
      </c>
      <c r="B96" t="inlineStr">
        <is>
          <t>Embedded Software Engineer</t>
        </is>
      </c>
      <c r="C96" t="inlineStr">
        <is>
          <t>Ideal Innovations, Inc.</t>
        </is>
      </c>
      <c r="D96" t="inlineStr">
        <is>
          <t>linkedin</t>
        </is>
      </c>
      <c r="E96" t="inlineStr"/>
      <c r="F96" t="inlineStr"/>
      <c r="G96" t="inlineStr">
        <is>
          <t>Adelphi, MD</t>
        </is>
      </c>
      <c r="H96" t="inlineStr"/>
      <c r="I96" t="inlineStr">
        <is>
          <t>**IMPORTANT: US citizenship is required to obtain the necessary US clearance.** 
**Highlights:** 
* In this multi\-year project, you will help develop state\-of\-the\-art systems that detect threat objects before they can cause harm. The system will help solve an urgent need to protect US military and civilian personnel abroad and at home.
* You will be part of a dynamic team of engineers, scientists and programmers. You will work with one of the nation’s premier laboratories alongside top\-notch talent from the civilian, contractor and military sectors, and you will have access to advanced test equipment and analysis software.
* In this project, you will help develop a system\-of\-systems (SoS) approach that fuses data from radars and other sensors to provide real\-time detection of threats. Your work will employ field data collections to obtain data for machine learning, and you will be involved in designing the system from the ground up.
* By applying your hands\-on knowledge of RF signal processing and system integration, you will play a direct role in transitioning this technology from the laboratory to the battlefield.
* In this role, you will build your strengths in designing, building and testing RF signal processing chains. You will be exposed to new analysis tools, test equipment and test methods. Each day will present a new opportunity to learn and grow. Professional development is encouraged and expected at I\-3\.
**Typical Day:** 
* A typical day will be spent in the office and lab, involving a wide variety of activities such as design and analysis, testing and evaluation of algorithms and data visualization tools, customer meetings and design review meetings.
**Tasks:** 
 We are seeking an Embedded Software Engineer to design and develop software for prototype embedded platforms. This role emphasizes practical, hands\-on embedded development and close interaction with hardware, making it well suited for candidates with a background in Computer Engineering or Electrical Engineering.
* Develop and test embedded software for microcontroller\-based systems.
* Interface directly with microcontroller hardware peripherals such as GPIO, timers, ADC/DACs, SPI, I2C, UART, and other standard interfaces.
* Prototype and validate designs using development platforms such as Arduino or similar microcontroller ecosystems.
* Debug and troubleshoot software and hardware issues using standard embedded debugging tools (JTAG, logic analyzers, oscilloscopes).
* Collaborate closely with hardware engineers to bring up new boards, validate designs, and resolve system\-level issues.
* Contribute to system integration, testing, and reliability improvements.
* Produce clear technical documentation for software design, interfaces, and test procedures.
**Required Qualifications** 
* Bachelor’s degree in Computer Engineering, Electrical Engineering, Computer Science, or a closely related discipline.
* Solid experience with embedded C/C\+\+ development.
* Hands\-on experience working with microcontrollers and their hardware peripherals.
* Understanding of low\-level software concepts such as memory management, interrupts, and concurrency.
**Desired Qualifications:** 
* Master’s degree in a relevant technical field is a plus; a PhD is not required for this role.
* Experience with common embedded development platforms and frameworks (e.g., Arduino or similar ecosystems).
* Exposure to real\-time operating systems (RTOS) and scheduling concepts.
* Experience with hardware abstraction layers and low\-level drivers.
* Familiarity with version control systems, code reviews, and embedded software development best practices.
* Open to candidates ranging from early\-career engineers to experienced professionals (8\-12 years of experience).
* We value motivated, fast\-learning engineers with strong fundamentals as well as more experienced candidates who can work independently and mentor others.
 This role focuses on practical embedded software development rather than purely academic research. Candidates should be comfortable working close to the hardware and contributing across the full embedded software design cycle.
**Position Type Shift Information:** 
* 8 Hour Work Day
* Hybrid but mostly on\-site at Adelphi Lab Center
**US Citizenship \&amp; US Clearance:** 
 US citizenship is required. Candidates should possess or be eligible to obtain a SECRET clearance.
**Location:** 
 Hybrid but mostly on\-site at Adelphi Lab Center, Adelphi, MD
**Apply:** 
 Online at https://www.idealinnovations.com/careers
***Ideal Innovations, Inc. is an Equal Opportunity Employer:***
***All qualified applicants will receive consideration for employment without regard to race, color, religion, sex, national origin, sexual orientation, gender identity, disability, or veteran status.***
***Ideal Innovations, Inc. is a VEVRAA Federal Contractor.***</t>
        </is>
      </c>
    </row>
    <row r="97">
      <c r="A97" t="inlineStr">
        <is>
          <t>li-4367341573</t>
        </is>
      </c>
      <c r="B97" t="inlineStr">
        <is>
          <t>Senior Software Developer (.NET/ C#)</t>
        </is>
      </c>
      <c r="C97" t="inlineStr">
        <is>
          <t>MAS Global Consulting</t>
        </is>
      </c>
      <c r="D97" t="inlineStr">
        <is>
          <t>linkedin</t>
        </is>
      </c>
      <c r="E97" t="inlineStr"/>
      <c r="F97" t="inlineStr"/>
      <c r="G97" t="inlineStr">
        <is>
          <t>New York, NY</t>
        </is>
      </c>
      <c r="H97" t="inlineStr"/>
      <c r="I97" t="inlineStr">
        <is>
          <t>**About MAS Global** 
 MAS Global is a technology consulting company that connects top engineering talent in Latin America with leading global organizations. We focus on building high\-performing, long\-term teams that deliver scalable, high\-quality software solutions while fostering professional growth and collaboration.
**Role Overview** 
 We are looking for a
 **Senior Backend Developer** 
 to join one of our delivery teams. In this role, you will focus on designing, building, and maintaining scalable backend systems and services. You will contribute to architectural decisions, ensure reliable system performance, and lead backend delivery while mentoring other engineers.
**What You’ll Do** 
* Own and deliver quarterly goals for your team, leading engineers through ambiguity to solve complex backend problems while ensuring successful delivery.
* Collaborate with product management, design, and analytics throughout the product development lifecycle by participating in ideation, articulating backend technical constraints, and supporting decisions that properly consider risks and trade\-offs.
* Design, develop, and maintain scalable backend systems and APIs using
 **.NET** 
 , deployed on
 **AWS Cloud** 
 .
* Build, maintain, and optimize CI/CD pipelines using
 **Jenkins** 
 to support reliable and efficient deployments.
* Proactively identify project, process, technology, or business issues, advocate for improvements, and lead their resolution.
* Support the operations and availability of backend systems by creating and monitoring metrics, troubleshooting issues, and contributing to “keep the lights on” efforts.
* Foster a culture of quality and ownership by defining or improving backend code review and design standards, and advocating for best practices through documentation and technical discussions.
* Help develop talent by providing feedback, mentorship, and guidance, and by leading through example.
**What We Look For** 
* 5–7 years of professional experience as a backend or software engineer.
* Strong experience designing, developing, and maintaining backend systems using
 **.NET** 
 and
 **AWS Cloud** 
 .
* Hands\-on experience implementing and maintaining
 **CI/CD pipelines with Jenkins** 
 .
* Solid understanding of API design, system integration, and distributed systems.
* Proven ability to define and execute technical plans for complex backend features or system components using clean, scalable, and extensible designs.
* Experience working in large codebases while maintaining system stability, performance, and reliability.
* Strong sense of ownership over personal growth, with a proactive approach to feedback and continuous improvement.
* Excellent verbal and written communication skills to collaborate effectively with distributed and international teams.
* Bachelor’s degree in a related field or equivalent practical experience.</t>
        </is>
      </c>
    </row>
    <row r="98">
      <c r="A98" t="inlineStr">
        <is>
          <t>li-4367313937</t>
        </is>
      </c>
      <c r="B98" t="inlineStr">
        <is>
          <t>Software Developer in Test (SDET) - II</t>
        </is>
      </c>
      <c r="C98" t="inlineStr">
        <is>
          <t>Syms Strategic Group, LLC (SSG)</t>
        </is>
      </c>
      <c r="D98" t="inlineStr">
        <is>
          <t>linkedin</t>
        </is>
      </c>
      <c r="E98" t="inlineStr"/>
      <c r="F98" t="inlineStr"/>
      <c r="G98" t="inlineStr">
        <is>
          <t>Tampa, FL</t>
        </is>
      </c>
      <c r="H98" t="inlineStr"/>
      <c r="I98"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LMDVZUKVzM</t>
        </is>
      </c>
    </row>
    <row r="99">
      <c r="A99" t="inlineStr">
        <is>
          <t>li-4366882798</t>
        </is>
      </c>
      <c r="B99" t="inlineStr">
        <is>
          <t>Staff Software Engineer, Infrastructure, Google Cloud AI</t>
        </is>
      </c>
      <c r="C99" t="inlineStr">
        <is>
          <t>Google</t>
        </is>
      </c>
      <c r="D99" t="inlineStr">
        <is>
          <t>linkedin</t>
        </is>
      </c>
      <c r="E99" t="inlineStr"/>
      <c r="F99" t="inlineStr"/>
      <c r="G99" t="inlineStr">
        <is>
          <t>Sunnyvale, CA</t>
        </is>
      </c>
      <c r="H99" t="inlineStr"/>
      <c r="I99" t="inlineStr">
        <is>
          <t>**Minimum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0">
      <c r="A100" t="inlineStr">
        <is>
          <t>li-4356497348</t>
        </is>
      </c>
      <c r="B100" t="inlineStr">
        <is>
          <t>Senior Specialist - Software Engineering</t>
        </is>
      </c>
      <c r="C100" t="inlineStr">
        <is>
          <t>LTIMindtree</t>
        </is>
      </c>
      <c r="D100" t="inlineStr">
        <is>
          <t>linkedin</t>
        </is>
      </c>
      <c r="E100" t="inlineStr"/>
      <c r="F100" t="inlineStr"/>
      <c r="G100" t="inlineStr">
        <is>
          <t>New York, NY</t>
        </is>
      </c>
      <c r="H100" t="inlineStr"/>
      <c r="I100" t="inlineStr">
        <is>
          <t>****Role Description****
**Job Title:** 
 Software Engineer \- Media Platform (Python/AWS)
**Location:** 
 New York, NY
**Work Mode:** 
 Onsite
****About The Role****
 We are seeking a skilled Software Engineer to join our team, a media file transformation and content distribution platform built on AWS. You will develop and maintain serverless workflows that power media operations for content distribution deals and internal content supply pipelines.
**Responsibilities**
* Design, develop, and maintain serverless applications using AWS Lambda, Step Functions, SQS, DynamoDB, and S3
* Build and deploy infrastructure using AWS CDK (Python)
* Develop media processing workflows including video transformation, transcoding, watermarking, and timed text operations
* Integrate with media processing services like AWS MediaConvert, Hybrik, and Nielsen encoding
* Write clean, testable Python code following best practices
* Participate in code reviews and contribute to technical documentation
* Troubleshoot and resolve production issues in a distributed system environment
**Required Qualifications**
* Experience with Python 3\.11\+
* Strong experience with AWS services: Lambda, Step Functions, S3, SQS, DynamoDB, EventBridge, CloudWatch
* Experience with Infrastructure as Code (AWS CDK preferred, CloudFormation acceptable)
* Familiarity with serverless architectures and event\-driven design patterns
* Experience with CI/CD pipelines (CodePipeline, GitHub Actions)
* Understanding of REST APIs and asynchronous processing
* Experience with testing frameworks (pytest)
* Git version control proficiency
**Preferred Qualifications**
* Experience in the media/entertainment industry
* Knowledge of video formats, codecs, and media processing concepts
* Experience with Docker and containerized workloads (AWS Batch, ECS)
* Familiarity with Pydantic for data validation
* Experience with monitoring/observability tools (CloudWatch, AWS Lambda Powertools)
* Knowledge of Serverless Framework
 Tech Stack
* Languages: Python 3\.11
* AWS Services: Lambda, Step Functions, CDK, S3, SQS, DynamoDB, EventBridge, MediaConvert, Batch, ECR
* Tools: Docker, Git, pytest, Black, Pylint, Pyright
* Frameworks: Pydantic, AWS Lambda Powertools, boto3
 Nice to Have
* Experience with Hybrik or similar media transcoding platforms
****Skills****
**Mandatory Skills :** 
 Python, AWS Lambda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$ 115,000\.00 to 120,000\.00 per year</t>
        </is>
      </c>
    </row>
    <row r="101">
      <c r="A101" t="inlineStr">
        <is>
          <t>li-4367197974</t>
        </is>
      </c>
      <c r="B101" t="inlineStr">
        <is>
          <t>Software Developer in Test (SDET) - II</t>
        </is>
      </c>
      <c r="C101" t="inlineStr">
        <is>
          <t>Syms Strategic Group, LLC (SSG)</t>
        </is>
      </c>
      <c r="D101" t="inlineStr">
        <is>
          <t>linkedin</t>
        </is>
      </c>
      <c r="E101" t="inlineStr"/>
      <c r="F101" t="inlineStr"/>
      <c r="G101" t="inlineStr">
        <is>
          <t>Overland Park, KS</t>
        </is>
      </c>
      <c r="H101" t="inlineStr"/>
      <c r="I101"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7xv6k6B0Rz</t>
        </is>
      </c>
    </row>
    <row r="102">
      <c r="A102" t="inlineStr">
        <is>
          <t>li-4367325031</t>
        </is>
      </c>
      <c r="B102" t="inlineStr">
        <is>
          <t>Software Developer in Test (SDET) - II</t>
        </is>
      </c>
      <c r="C102" t="inlineStr">
        <is>
          <t>Syms Strategic Group, LLC (SSG)</t>
        </is>
      </c>
      <c r="D102" t="inlineStr">
        <is>
          <t>linkedin</t>
        </is>
      </c>
      <c r="E102" t="inlineStr"/>
      <c r="F102" t="inlineStr"/>
      <c r="G102" t="inlineStr">
        <is>
          <t>Jacksonville, FL</t>
        </is>
      </c>
      <c r="H102" t="inlineStr"/>
      <c r="I102"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l30U4AFkHL</t>
        </is>
      </c>
    </row>
    <row r="103">
      <c r="A103" t="inlineStr">
        <is>
          <t>li-4367319831</t>
        </is>
      </c>
      <c r="B103" t="inlineStr">
        <is>
          <t>Software Developer in Test (SDET) - II</t>
        </is>
      </c>
      <c r="C103" t="inlineStr">
        <is>
          <t>Syms Strategic Group, LLC (SSG)</t>
        </is>
      </c>
      <c r="D103" t="inlineStr">
        <is>
          <t>linkedin</t>
        </is>
      </c>
      <c r="E103" t="inlineStr"/>
      <c r="F103" t="inlineStr"/>
      <c r="G103" t="inlineStr">
        <is>
          <t>Detroit, MI</t>
        </is>
      </c>
      <c r="H103" t="inlineStr"/>
      <c r="I103"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9oibrb1yPb</t>
        </is>
      </c>
    </row>
    <row r="104">
      <c r="A104" t="inlineStr">
        <is>
          <t>li-4367324884</t>
        </is>
      </c>
      <c r="B104" t="inlineStr">
        <is>
          <t>Senior Software Engineer, Frontend - Identity</t>
        </is>
      </c>
      <c r="C104" t="inlineStr">
        <is>
          <t>Coinbase</t>
        </is>
      </c>
      <c r="D104" t="inlineStr">
        <is>
          <t>linkedin</t>
        </is>
      </c>
      <c r="E104" t="inlineStr"/>
      <c r="F104" t="inlineStr"/>
      <c r="G104" t="inlineStr">
        <is>
          <t>San Francisco, CA</t>
        </is>
      </c>
      <c r="H104" t="inlineStr"/>
      <c r="I10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team manages everything related to a user's identity at Coinbase. This includes login, signup, OAuth, account security, and multi\-factor authentication. The Horizontal Frontend team within the Identity org is responsible for building and maintaining the frontend surfaces that power these critical user interactions. The team works closely with backend pods to deliver seamless, scalable, and reliable user experiences.
 The team is also focused on migrating main frontend views to React Native, enabling a unified codebase across platforms. Additionally, the team is working on initiatives like multi\-user and multi\-organization support, ensuring Coinbase products can scale to meet the needs of businesses and organizations. The challenging part is building world\-class frontend experiences while maintaining low latencies and high reliability, all while collaborating with multiple cross\-functional teams (XFN) at scale.
**What You'll Be Doing:** 
* Build and enhance frontend experiences for login, signup, OAuth, account security, and multi\-user/multi\-organization support.
* Contribute to the migration of main frontend views to React Native, ensuring a unified and efficient codebase across platforms.
* Design and implement scalable, maintainable, and high\-performance user interfaces using modern frontend technologies like React and TypeScript.
* Collaborate with backend engineers, designers, product managers, and senior leadership to turn product and technical visions into tangible roadmaps.
* Maintain low\-latency, highly reliable frontend surfaces to deliver a world\-class user experience.
* Write high\-quality, well\-tested code to meet the needs of Coinbase’s growing user base.
**What We Look For in You:** 
* You have at least 5\+ years of experience in frontend software engineering.
* You’ve designed, built, scaled, and maintained production\-grade frontend systems.
* You have expertise in modern frontend frameworks like React and TypeScript.
* You write high\-quality, well\-tested code to meet the needs of your customers.
* You’re passionate about building an open financial system that brings the world together.
**Nice to Haves:** 
* Experience with React Native or migrating web views to mobile platforms.
* You have gone through a rapid growth phase in your company (from startup to mid\-size).
* Familiarity with authentication, identity, or security domains.
* Experience optimizing frontend performance for low\-latency, high\-reliability systems.
* Crypto\-forward experience, including familiarity with on\-chain activity such as interacting with Ethereum addresses, using ENS, and engaging with dApps or blockchain\-based services.
 Job \#: P74160
 Pay Transparency Notice:  Depending on your work location, the target annual salary for this position can range from $
 \[Zone 3 Pay]
 to $
 \[Zone 1 Pay]
 \+ target bonus \+ target equity \+ benefits (including medical, dental, vision and 401(k)).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05">
      <c r="A105" t="inlineStr">
        <is>
          <t>li-4367320592</t>
        </is>
      </c>
      <c r="B105" t="inlineStr">
        <is>
          <t>Lead I&amp;C (Instrumentation &amp; Controls) Embedded Software Engineer</t>
        </is>
      </c>
      <c r="C105" t="inlineStr">
        <is>
          <t>GE Vernova</t>
        </is>
      </c>
      <c r="D105" t="inlineStr">
        <is>
          <t>linkedin</t>
        </is>
      </c>
      <c r="E105" t="inlineStr"/>
      <c r="F105" t="inlineStr"/>
      <c r="G105" t="inlineStr">
        <is>
          <t>Wilmington, NC</t>
        </is>
      </c>
      <c r="H105" t="inlineStr"/>
      <c r="I105" t="inlineStr">
        <is>
          <t>**Job Description Summary**
 The I\&amp;C (Instrumentation \&amp; Controls) Embedded Software Engineer works within the I\&amp;C Engineering team of the GE Hitachi (GEH) Engineering organization. The I\&amp;C team is responsible for designing and implementing I\&amp;C embedded software in the C Language for I\&amp;C systems for Nuclear Power Plants. The I\&amp;C software team has strong interfaces with electronic hardware design and plant system operations. This role requires technical problem solving, strong software skills and effective communication/collaboration with other teams within the GEH business functions.
**Job Description**
**Essential Responsibilities**
**Responsibilities**
 The I\&amp;C Embedded Software Engineer is responsible for the delivery of high\-quality engineering software. Work scope typically includes the following essential responsibilities:
* Develop creative solutions and reduce complexity to create accurate and effective solutions for complex engineering problems.
* Typical software activities will include preparing design specifications, developing software in C Language, performing module testing, and integration testing of the design. Performing Code Reviews and verifications of Design Specifications and Reports.
* Engage customers to define scope, review results, and discuss technical risks.
* Work with the technical leader to establish an effective work plan, including time estimates, schedule estimates, requirements and work processes.
* Apply engineering fundamentals and 1st order engineering principles to establish and/or confirm expected performance.
* Provide clear and complete analysis documentation in accordance with GE engineering procedures.
* Manage time effectively to provide quality deliverables within the expected project timeline. Communicate effectively to leadership the status of work activities.
* Effectively manage multiple priorities.
**Basic Qualifications**
* Bachelor's Degree in electrical, computer or software engineering from an accredited college or university.
* Minimum of 5 years of experience in embedded software development, including a deep working knowledge of C Programming language and software development tools (GitLab version control, IDE’s, Debuggers, etc.).
* Minimum of 5 years of experience with C Coding conventions, unit testing and integration testing of software.
**Eligibility Requirements**
* The preferred work location for this role is at the GEH Headquarters in Wilmington, NC; but highly qualified (US based) remote candidates will be considered within 200 miles of Wilmington, NC.
* Does require the ability to come onsite as needed for testing operations.
* This role requires access to U.S. export\-controlled information. If applicable, final offers will be contingent on ability to obtain authorization for access to U.S. export\-controlled information from the U.S. Government.
**Desired Qualifications**
* Solves technical challenges through application of common design patterns and identifying appropriate patterns for use in problem solving.
* Effective use of data structures and algorithms.
* Experience understanding C Coding standards that meets and delivers desired functionality using technology selected for the project. Familiarity of MISRA\-C is desirable.
* Leadership experience inside and/or outside the classroom
* Excellent written and verbal communications skills and ability to articulate clearly.
* Contributes to creative solutions and challenges status quo.
* Proactively learns new tools and identifies opportunities for improvement and promotes their adoption.
*This role requires access to U.S. export\-controlled information. If applicable, final offers will be contingent on ability to obtain authorization for access to U.S. export\-controlled information from the U.S. Government.*
******Additional Information******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 This is a remote position
 For candidates applying to a U.S. based position, the pay range for this position is between $98,400\.00 and $164,000\.00\.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January 29,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06">
      <c r="A106" t="inlineStr">
        <is>
          <t>li-4367198943</t>
        </is>
      </c>
      <c r="B106" t="inlineStr">
        <is>
          <t>Software Developer in Test (SDET) - II</t>
        </is>
      </c>
      <c r="C106" t="inlineStr">
        <is>
          <t>Syms Strategic Group, LLC (SSG)</t>
        </is>
      </c>
      <c r="D106" t="inlineStr">
        <is>
          <t>linkedin</t>
        </is>
      </c>
      <c r="E106" t="inlineStr"/>
      <c r="F106" t="inlineStr"/>
      <c r="G106" t="inlineStr">
        <is>
          <t>Manhattan, KS</t>
        </is>
      </c>
      <c r="H106" t="inlineStr"/>
      <c r="I106"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6RPvC8PqxK</t>
        </is>
      </c>
    </row>
    <row r="107">
      <c r="A107" t="inlineStr">
        <is>
          <t>li-4367320317</t>
        </is>
      </c>
      <c r="B107" t="inlineStr">
        <is>
          <t>Software Developer in Test (SDET) - II</t>
        </is>
      </c>
      <c r="C107" t="inlineStr">
        <is>
          <t>Syms Strategic Group, LLC (SSG)</t>
        </is>
      </c>
      <c r="D107" t="inlineStr">
        <is>
          <t>linkedin</t>
        </is>
      </c>
      <c r="E107" t="inlineStr"/>
      <c r="F107" t="inlineStr"/>
      <c r="G107" t="inlineStr">
        <is>
          <t>Cedar Rapids, IA</t>
        </is>
      </c>
      <c r="H107" t="inlineStr"/>
      <c r="I107"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
 aa7AnbfpHW</t>
        </is>
      </c>
    </row>
    <row r="108">
      <c r="A108" t="inlineStr">
        <is>
          <t>li-4337444103</t>
        </is>
      </c>
      <c r="B108" t="inlineStr">
        <is>
          <t>Security Software Engineer, ML Detection Engineering</t>
        </is>
      </c>
      <c r="C108" t="inlineStr">
        <is>
          <t>Netflix</t>
        </is>
      </c>
      <c r="D108" t="inlineStr">
        <is>
          <t>linkedin</t>
        </is>
      </c>
      <c r="E108" t="inlineStr"/>
      <c r="F108" t="inlineStr"/>
      <c r="G108" t="inlineStr"/>
      <c r="H108" t="inlineStr"/>
      <c r="I10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Team**
 The Detection Engineering Team is responsible for analyzing high\-risk attack paths that could have substantial impact on Netflix and creating focused detections to reduce risk to the business. This is facilitated by partnerships with stakeholder teams, stakeholder domain expertise, and individual contributor creativity. DetEng is part of a larger Detection and Response team which includes Attacker Emulation, Security Incident Response and Threat Intelligence, and Enterprise Governance and Risk.
**The Role**
 We are looking for an experienced candidate to help mature and expand our existing detection frameworks, platforms, and portfolio through the use of machine learning capabilities. The focus of our team is to create and continually improve detections that run on our own platforms to minimize risk to Netflix by proactively surfacing malicious or anomalous behavior to identify attacker presence or activity. We are a tight\-knit team that provides value by creating compensating detective controls in order to shorten the time to discovery. Using a risk\-based prioritization mindset, we focus our efforts to generate the largest impact and benefits for Netflix.
**Desired Background**
* You have at least 5 years of experience implementing anomaly detection methods at scale, ideally using ML, with a detection\-as\-code approach.
* You are passionate about using your software engineering skills in pursuit of reducing risk and improving the security space.
* You have experience working in a continuous integration and continuous delivery, cloud\-based environment.
* You are familiar with working in an AWS environment. Experience with creating and tuning AWS detections is nice to have.
* You are adept at working with Python in a big data environment and are skilled at using SQL to query data.
* Experience with Java and/or Jupyter Notebooks is a plus.
* You are familiar with computer and information security concepts.
* You are comfortable working on ambitious projects with a very small, tight\-knit team.
* You operate effectively across teams and disciplines in highly ambiguous and rapidly changing environments.
* You have excellent written and verbal communications skills.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$400,000\.00 \- $680,000\.00\.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9">
      <c r="A109" t="inlineStr">
        <is>
          <t>li-4367033018</t>
        </is>
      </c>
      <c r="B109" t="inlineStr">
        <is>
          <t>Senior Full Stack Engineer</t>
        </is>
      </c>
      <c r="C109" t="inlineStr">
        <is>
          <t>Tata Consultancy Services</t>
        </is>
      </c>
      <c r="D109" t="inlineStr">
        <is>
          <t>linkedin</t>
        </is>
      </c>
      <c r="E109" t="inlineStr"/>
      <c r="F109" t="inlineStr"/>
      <c r="G109" t="inlineStr">
        <is>
          <t>Bellevue, WA</t>
        </is>
      </c>
      <c r="H109" t="inlineStr"/>
      <c r="I109" t="inlineStr">
        <is>
          <t>**Job Description**
**Must Have Technical/Functional Skills** 
 :
 C\#; Microsoft Azure ; Web API; PL/SQL
**Roles \&amp; Responsibilities**
 Fluent communication and written skills in English
 Bachelor’s degree in computer science or equivalent educational experience
 10\+ years of experience creating distributed systems in C\#
 Very strong C\# coding, problem solving and architecture skills
**Skill Required**
 Must have : C\#, .Net, Microsoft Azure, React JS.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$64,000\-$98,000 a year</t>
        </is>
      </c>
    </row>
    <row r="110">
      <c r="A110" t="inlineStr">
        <is>
          <t>li-4344712844</t>
        </is>
      </c>
      <c r="B110" t="inlineStr">
        <is>
          <t>Embedded Software Engineer - Viasat Government</t>
        </is>
      </c>
      <c r="C110" t="inlineStr">
        <is>
          <t>Viasat</t>
        </is>
      </c>
      <c r="D110" t="inlineStr">
        <is>
          <t>linkedin</t>
        </is>
      </c>
      <c r="E110" t="inlineStr"/>
      <c r="F110" t="inlineStr"/>
      <c r="G110" t="inlineStr">
        <is>
          <t>Marlborough, MA</t>
        </is>
      </c>
      <c r="H110" t="inlineStr"/>
      <c r="I110"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Secure Network Systems (SNS) \- Viasat Government, experienced in C/C\+\+ and interested in learning the Rust programming language.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This role is for an experienced software engineer capable of working on or leading well\-defined projects with little instruction while demonstrating expertise in most core software development competencies.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Works autonomously with little instruction to solve well\-defined problems.
* Provide guidance and/or mentor junior level staff
* This is an onsite role.
**What You'll Need**
* Bachelor's Degree or higher in Computer Science, Computer Engineering or related field
* 2\-5 years of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US citizenship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11">
      <c r="A111" t="inlineStr">
        <is>
          <t>li-4367330972</t>
        </is>
      </c>
      <c r="B111" t="inlineStr">
        <is>
          <t>Senior Software Engineer, Frontend</t>
        </is>
      </c>
      <c r="C111" t="inlineStr">
        <is>
          <t>ResortPass</t>
        </is>
      </c>
      <c r="D111" t="inlineStr">
        <is>
          <t>linkedin</t>
        </is>
      </c>
      <c r="E111" t="inlineStr"/>
      <c r="F111" t="inlineStr"/>
      <c r="G111" t="inlineStr"/>
      <c r="H111" t="inlineStr"/>
      <c r="I111" t="inlineStr">
        <is>
          <t>**About the company:** 
 ResortPass is redefining what it means to be a hotel guest. We’re building a new category in hospitality: day access to luxury hotel experiences from breathtaking pools and private beaches to deluxe spas and wellness recharges so people can escape without an overnight stay.
 Our marketplace now connects guests with 2,300\+ partner hotels and resorts, including Ritz\-Carlton, Four Seasons, Marriott Hilton, and more. We’ve helped millions of people enjoy premium hospitality close to home, making rest more mindful, togetherness more meaningful, and escape more accessible. The result: unforgettable experiences for guests and new revenue streams for partners.
 Backed by some of the best consumer and growth investors, including CRV, Declaration, Brian Kelly (The Points Guy), WME, FJ Labs, and more, ResortPass is scaling a product people love and creating an entirely new way to experience hospitality.
**Why ResortPass (Why now)** 
 We’ve demonstrated product\-market fit at scale, we’re the category leader, growing fast, and on the brink of profitability. Yet the team is still small enough that an engineer can have outsized influence and broad exposure across the business.
 For context on scale: 5M\+ customers served, 250K\+ monthly users and growing, 800K app installs last year, and hundreds of millions of dollars generated for our hotel partners.
**About the role** 
 We’re hiring a Senior Frontend Engineer to be a technical anchor for our Marketplace web rewrite program. You’ll lead the rebuild of our highest\-traffic journeys and help set the frontend patterns and standards the team will reuse across the site for years.
 This is a Senior role with Staff\-leaning scope. We’re intentionally building levels gradually, and we expect this hire to grow into Staff as they expand cross\-team influence and ownership.
 This role will be in person at our energetic NYC headquarters..
 The base salary range is
 **$170,000–$210,000** 
 , plus equity, commensurate with experience.
 *(Adjust to your actual band.)* 
**What you’ll do** 
* Own major initiatives end\-to\-end across our highest\-traffic surfaces, starting with Search Results (SRP) and Details (DLP), with clear goals around Core Web Vitals, SEO, and conversion.
* Lead technical design for large changes (RFCs/design docs), drive alignment with Product/Design, and make pragmatic tradeoffs that stick.
* Define and implement reusable patterns in a Next.js App Router codebase (routing/data fetching, caching strategy, component architecture, error handling, analytics instrumentation).
* Raise the quality bar through standards, reviews, and mentorship, helping a junior\-leaning team level up quickly.
* Improve developer velocity by shaping tooling and practices (testing strategy with Playwright, observability with Datadog, CI hygiene).
* Partner with backend engineers on API contracts to improve frontend performance and iteration speed.
**Tech stack** 
* **Frontend:** 
 Next.js (App Router), React, TypeScript, Tailwind, shadcn/ui
* **Testing:** 
 Playwright
* **Observability:** 
 Datadog
* **Backend context:** 
 Ruby on Rails and Node.js on AWS, with Postgres and MongoDB
**Your experience** 
* We encourage candidates to apply even if they don’t have 100% of the below qualifications. We believe in a holistic approach when evaluating talent for our team and post new roles often, so even if this role isn’t quite right, we want to meet you!7\+ years building production web applications (or equivalent senior\-level experience).
* Deep React expertise and strong command of modern frontend architecture, especially in Next.js\-style SSR/SPA hybrids.
* Proven experience leading rewrites or major migrations of high\-traffic surfaces with measurable results (Core Web Vitals, SEO, conversion, reliability).
* Strong technical judgment and ability to lead ambiguous projects from scoping through rollout and measurement.
* High engineering bar: strong testing discipline, observability mindset, and maintainable code.
* Ability to mentor and raise the bar for a team through clear communication and technical leadership.
 We encourage you to apply even if you don’t match every qualification.
**Growth path** 
 We expect this hire to grow into Staff by expanding scope from owning SRP/DLP to setting org\-wide frontend standards, influencing adjacent teams, and leading additional high\-impact surfaces as the rewrite program scales.
**Benefits** 
* Health, Dental \&amp; Vision — We're deeply invested in the health and well\-being of our team and are proud to contribute to the monthly premiums of these insurance plans.
* Stock Option Plan — We offer employees the opportunity to become part\-owners in our mission. Let’s redefine what it means to be a guest, together.
* 401k plan — Save for your future with a 410k plan offering.
* Unlimited Paid Time Off (PTO) — Enjoy life away from work to be inspired and fully recharge with unlimited paid time off.Paid parental leave
* Annual ResortPass credit — Our mission is to bring delight and relaxation to people around the world; including our employees! Access private beaches, deluxe saunas, awesome pools, and much more with your annual credit.</t>
        </is>
      </c>
    </row>
    <row r="112">
      <c r="A112" t="inlineStr">
        <is>
          <t>li-4367025517</t>
        </is>
      </c>
      <c r="B112" t="inlineStr">
        <is>
          <t>Net+ Fullstack Engineer</t>
        </is>
      </c>
      <c r="C112" t="inlineStr">
        <is>
          <t>Tata Consultancy Services</t>
        </is>
      </c>
      <c r="D112" t="inlineStr">
        <is>
          <t>linkedin</t>
        </is>
      </c>
      <c r="E112" t="inlineStr"/>
      <c r="F112" t="inlineStr"/>
      <c r="G112" t="inlineStr">
        <is>
          <t>Bellevue, WA</t>
        </is>
      </c>
      <c r="H112" t="inlineStr"/>
      <c r="I112" t="inlineStr">
        <is>
          <t>**Job Description**
**Must Have Technical/Functional Skills**
 C\# 5\.0; AI; Azure AI Founddry; Azure AI Agents
**Roles \&amp; Responsibilities**
 8\+ years of experience creating distributed systems in C\#
 Very strong C\# coding, problem solving and architecture skills
 Strong understanding of fundamental web technologies (HTML, advanced JS, MVC, Ajax concepts)
 Experience with jQuery, Angular, ReactJs, Redux or similar frameworks
 Experience in SharePoint
 3\+ years of experience building on top of Azure Services (Azure Function, Service Fabric, Logical App, Service Bus, Azure KeyVault, Authentication, Traffic Manager, Load balancer, App Insights, etc)
 3\+ years of experience with MS SQL Server, Entity Framework, LINQ, SQL design and optimization
 Experience shipping production cloud services E2E: requirements, design, architecture, development, validation, telemetry, rollout, feedback loop
 Self\-motivated, customer\-focused, independent
 AI Agentic and Azure AI Foundry skill is must.
 Creation of agents and plugging into various channels
 Plus, but not required, experience in Cosmos, Map\-Reduce, Azure Synapse, Azure Databricks, Event Grid, etc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$64,000\-$104,000 a year</t>
        </is>
      </c>
    </row>
    <row r="113">
      <c r="A113" t="inlineStr">
        <is>
          <t>li-4366895941</t>
        </is>
      </c>
      <c r="B113" t="inlineStr">
        <is>
          <t>Software Developer</t>
        </is>
      </c>
      <c r="C113" t="inlineStr">
        <is>
          <t>Jobs via Dice</t>
        </is>
      </c>
      <c r="D113" t="inlineStr">
        <is>
          <t>linkedin</t>
        </is>
      </c>
      <c r="E113" t="inlineStr"/>
      <c r="F113" t="inlineStr"/>
      <c r="G113" t="inlineStr">
        <is>
          <t>Atlanta, GA</t>
        </is>
      </c>
      <c r="H113" t="inlineStr"/>
      <c r="I113" t="inlineStr">
        <is>
          <t>Dice is the leading career destination for tech experts at every stage of their careers. Our client, DataSync Inc., is seeking the following. Apply via Dice today!
**Job Summary**
 The Software Developer collaborates with business and technical teams to design, develop, test, deploy, and support high\-quality software solutions. This role supports the full software development life cycle, contributes to application modernization and system integration efforts, and provides technical leadership on projects while ensuring solutions meet quality, security, and performance standards.
**Key Responsibilities**
* Design, develop, integrate, test, deploy, and support enterprise applications and services.
* Translate business and technical requirements into scalable software solutions.
* Provide technical leadership and contribute to project planning, estimation, and delivery activities.
* Enhance and modernize existing applications to improve performance and maintainability.
* Develop and consume RESTful APIs and support data integration using standard formats.
* Support system upgrades, migrations, patches, and production releases.
* Troubleshoot complex issues and provide advanced application support.
* Ensure adherence to development standards, security guidelines, and best practices.
* Collaborate effectively with cross\-functional teams and mentor team members as needed.
**Required Skills \&amp; Qualifications**
* Minimum 5 years of experience in programming and systems analysis.
* Minimum 2 years of experience leading projects or acting as a technical/team lead.
* Minimum 3 years of hands\-on project experience using Angular (11\+).
* Minimum 3 years of experience with Spring Boot and Java (8\+).
* Minimum 3 years of experience with JavaScript and TypeScript.
* Minimum 3 years of experience with responsive and adaptive UI/UX development, including HTML5, CSS, Bootstrap, or similar technologies.
* Minimum 3 years of experience working with relational databases such as Oracle or PostgreSQL.
* Minimum 3 years of experience developing and consuming RESTful web services/APIs, including tools such as Postman, Swagger, JMeter, or similar.
* Minimum 3 years of experience working with data serialization formats such as JSON, YAML, and XML.
**Preferred Qualifications**
* Minimum 2 years of experience with React.
* Minimum 2 years of experience with J2EE/Jakarta EE technologies.</t>
        </is>
      </c>
    </row>
    <row r="114">
      <c r="A114" t="inlineStr">
        <is>
          <t>li-4367009542</t>
        </is>
      </c>
      <c r="B114" t="inlineStr">
        <is>
          <t>Lead Software Engineer - Payments Technology</t>
        </is>
      </c>
      <c r="C114" t="inlineStr">
        <is>
          <t>hackajob</t>
        </is>
      </c>
      <c r="D114" t="inlineStr">
        <is>
          <t>linkedin</t>
        </is>
      </c>
      <c r="E114" t="inlineStr"/>
      <c r="F114" t="inlineStr"/>
      <c r="G114" t="inlineStr">
        <is>
          <t>Chicago, IL</t>
        </is>
      </c>
      <c r="H114" t="inlineStr"/>
      <c r="I114"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 Chase within the Commercial \&amp; Investment Bank's Payments Technology group, you will play a crucial role as part of an agile team dedicated to enhancing, building, and delivering trusted, market\-leading technology products with a focus on security, stability, and scalability.
**Job Responsibilities**
* Executes creative software solutions, design, development, and technical troubleshooting with ability to think beyond routine or conventional approaches to build solutions or break down technical problems
* Work on improving the cloud services and automating tasks for it
* Improve database engineering framework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Expert in cloud engineering and automation
* Expert in database engineering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Prior people management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5">
      <c r="A115" t="inlineStr">
        <is>
          <t>li-4367199256</t>
        </is>
      </c>
      <c r="B115" t="inlineStr">
        <is>
          <t>Specialist, Software Engineer</t>
        </is>
      </c>
      <c r="C115" t="inlineStr">
        <is>
          <t>L3Harris Technologies</t>
        </is>
      </c>
      <c r="D115" t="inlineStr">
        <is>
          <t>linkedin</t>
        </is>
      </c>
      <c r="E115" t="inlineStr"/>
      <c r="F115" t="inlineStr"/>
      <c r="G115" t="inlineStr">
        <is>
          <t>Waco, TX</t>
        </is>
      </c>
      <c r="H115" t="inlineStr"/>
      <c r="I1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
**Job Code:** 
 33398
**Job Location:** 
 Waco, TX
**Schedule:** 
 9/80
**Job Description:**
 L3Harris is seeking a dedicated and skilled Mid Level Engineer to join our innovative technology team. The successful candidate will play a crucial role in developing and enhancing software solutions that contribute to the strategic objectives of our organization. This position involves working collaboratively within a dynamic environment to design, develop, and maintain software applications that are critical to our operations and customer satisfaction.
**Essential Functions:**
* Collaborate with cross\-functional teams to integrate new features and functionality.
* Troubleshoot and resolve issues in existing software applications, enhancing user experience and system performance.
* Participate in Agile development processes, including sprint planning, stand\-ups, retrospectives, and demos.
* Maintain up\-to\-date knowledge of technology standards, industry trends, and emerging technologies.
* Clearance if desired, ability to travel, working extended hours
**Qualifications:**
* Bachelor’s Degree and minimum 5 years of prior relevant experience or a Graduate Degree with a minimum of 2 years of relevant experience
* Must be able to obtain and keep a DoD security clearance
**Preferred Additional Skills:**
* Knowledge of Windows and UNIX based platforms (examples CENTOS/ROCKY/RHEL 8\)
* Proficient at JavaFX/Java, Kotlin, C\#, C\+\+ or another programming language
* Knowledge of software control mechanisms (examples BitBucket, Git)
* Knowledge of task/problem tracking systems (example JIRA)
* Proven experience in Android Studio, Magic Leap 2 AR Glasses, and Unity development environment.
* Understanding of containerization and orchestration technologies (examples Docker, Kubernetes).
* Knowledge with test\-driven development (TDD) and automated testing frameworks.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16">
      <c r="A116" t="inlineStr">
        <is>
          <t>li-4356627606</t>
        </is>
      </c>
      <c r="B116" t="inlineStr">
        <is>
          <t>Staff Software Engineer</t>
        </is>
      </c>
      <c r="C116" t="inlineStr">
        <is>
          <t>Kin Insurance</t>
        </is>
      </c>
      <c r="D116" t="inlineStr">
        <is>
          <t>linkedin</t>
        </is>
      </c>
      <c r="E116" t="inlineStr"/>
      <c r="F116" t="inlineStr"/>
      <c r="G116" t="inlineStr">
        <is>
          <t>Ontario, CA</t>
        </is>
      </c>
      <c r="H116" t="inlineStr"/>
      <c r="I116"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Staff Engineer at Kin, you'll develop the products and features that make Kin operate. We're a Ruby on Rails environment with Typescript front\-end and PostgreSQL database, and we apply Agile methodologies to our product and software development processes. In your role, you will have the opportunity to work on more complex engineering problems while collaborating with peers in Dev, Product, Design and other cross\-functional teams. As your team's technical lead, you'll to mentor team members, and lead projects.
**A Day In The Life Could Include**
* Writing clean, maintainable, and efficient code in Ruby on Rails and Typescript
* Setting the standards for the Engineering team by example
* Leading pair programming sessions and providing mentorship to team members
* Driving and fostering advanced design or architectural tasks
* Developing technical roadmaps
* Participating in daily stands and weekly retros
* Working with Design, Product Management, and Customer Support partners to design and implement scalable solutions
* Providing subject matter expertise and support
**I’ve got the skills… but do I have the necessary ones?**
* 6\+ years of professional software engineering experience
* 4\+ years experience coding with Ruby on Rails and Typescript/Javascript
* Strong understanding of SQL and RDBMS, with exposure to NoSQL
* Experience in designing and implementing scalable, API\-first systems
* Experience with event\-driven architectures
* Experience in big data engineering on AWS and/or DataBricks is a plus
* Ability to articulate value of technical investments
* Ability to operate with little\-to\-no technical guidance
* Experience mentoring engineers
* Comfortable in a startup environment – we’re fast\-paced, self\-motivated, and determined to change the industry
* A fast learner, ready to bring previous knowledge to this position and continue developing along the way
* Location in Central or Eastern US time zones (CDT \&amp; EDT) strongly preferred
* At this time, we are unable to sponsor employment visas
**Oh, and don’t worry, we’ve got you covered!**
*This role is eligible for our comprehensive benefits program, which includes standard coverage and additional supplemental benefits.*
***This role is available and may represent a new position. Applications for this role are accepted on an ongoing basis***
***We use AI\-enabled tools to sort applications based on job\-related criteria and help with noting\-taking during the interview process. A human always decides who moves forward.***
*For Sales Agents and Customer Service Agents: These roles sit in any of the following 30 states: AL, AZ, CO, FL, ID, IL, IN, KS, KY, MA, MD, ME, MI, MO, MT, NC, NE, NM, NV, NY, OH, OK, PA, SC, TN, TX, UT, VT, VA, WA, and WI.*
*For remote technical positions located in Canada, we are only able to hire individuals who reside in Ontario. Applicants must be able to live and work full\-time in Ontario to be considered.*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Kin welcomes and encourages applications from people with disabilities. Accommodations are available on request for candidates taking part in all aspects of the selection process. If you require accommodation, please contact us by sending an email to careers@kin.com</t>
        </is>
      </c>
    </row>
    <row r="117">
      <c r="A117" t="inlineStr">
        <is>
          <t>li-4367311263</t>
        </is>
      </c>
      <c r="B117" t="inlineStr">
        <is>
          <t>Senior Angular Software Engineer</t>
        </is>
      </c>
      <c r="C117" t="inlineStr">
        <is>
          <t>Western Governors University</t>
        </is>
      </c>
      <c r="D117" t="inlineStr">
        <is>
          <t>linkedin</t>
        </is>
      </c>
      <c r="E117" t="inlineStr"/>
      <c r="F117" t="inlineStr"/>
      <c r="G117" t="inlineStr"/>
      <c r="H117" t="inlineStr"/>
      <c r="I117"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**About the role**
 The Senior Software Engineer is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maintains complete documentation. They support team members and ensures established goals and deadlines are met. They keep management informed of status and significant problems.
**Job Responsibilities**
* Acts as an expert in assigned areas of software engineering. Mentors other more junior engineers to be more effective in their role.
* Maintains accountability for quality of services in their assigned area and success of assigned projects for on\-time, on\-budget, and on\-scope delivery.
* Contributes as a lead or consultant for at least one team. May be a ‘go\-to’ person in a particular sub\-discipline or application area.
* Contributes formally and informally to effectiveness of the team through formal and informal mentoring and direction during team meetings and problem solving.
* Communicates effectively and regularly with other disciplines to identify and resolve problems and contribute to organization success.
* Leads teams or cross\-functional groups in identifying and transferring knowledge through formal and informal means (formal presentations, internal white\-papers, etc).
* Acts as a planning consultant for team or portfolio when identifying technical risks and dependencies. Identifies potential problems, as well as potential solutions, far in advance and mentors other engineers in risk management.
* Speaks authoritatively and accurately with respect to questions related to their area of ownership or the platform as a whole.
* Contributes directly, and leads others, in rapid identification of system problems minimizing time to restoration of services.
* Assists engineering management in identifying opportunities for improvement within the team, including training, technical feedback, emerging problems, etc.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Guides more junior engineers on how to plan and execute on requirements delivery.
**KSAs**
* Understanding of the processes associated with software development, including Planning, Measurement, Coding, Testing, Reuse, Tools, Abstraction, Algorithms and Complexity, Security, and basic system understanding.
* Ability to employ the tools and techniques related to an engineering discipline, such as database management, user interface development, inter\-process communications, etc.
* Ability to create designs that can be realized in code that achieve functional and non\-functional requirements for an application or at the system level. \-Appropriately uses design patterns, system decomposition, security, and fault tolerance.
* A demonstrated capability in one or more design methodologies, such as \-\-\-\-\-\-\-\-\-\-\-Object\-oriented design, Function\-oriented design, data centered design and the notations appropriate for each.
* Ability to understand differences, strengths and weaknesses of various \-\-\-\-\-\-\-\-\-\-\-\-Software Development Life Cycle models, and practical considerations of options
* Understands implications of Software as a Service in the creation of software systems. Thinks of and designs for scale, reliability, and cost in a public cloud environment. Uses data and metrics to analyze Key Performance Indicators.
* Ability to explain the basic value of a system and subsystems to users and how the various subsystems inter\-operate to provide features.
* Able to act as a partner with Operations in solving problems at a system level. \-\-Knows what the system can and cannot do.
* Ability to demonstrate a sense of urgency when looking for solutions to problems
* Understands the general higher education landscape, particularly with on\-line higher education, including competitive landscape, opportunities, and feature gaps.
* Ability to identify innovative ideas or technologies that represent opportunities to advance the capabilities of the university education platform, our efficiencies in improving our platform, or both.
* Can leverage change management processes to drive adoption.
* Ability to make the team stronger and more cohesive
* Strong communication skills with the ability to engage others at the right level at the right time.
* Communicates effectively in group settings by knowing audience, listening effectively, and being responsive.
* Presents solutions not just problems and effectively manages expectations.
* Ability to identify, mitigate, or avoid risks and works closely with leads or managers to make sure that such risks and dependencies are understood, accounted, and planned for through an appropriate strategy.
**Minimum Qualifications**
* Bachelor's Degree in Computer Science, Information Technology, or related field
* 6\+ years of experience in software development; pioneering new approaches and technologies in engineering
* Expert\-level experience with Angular (v12\+) including advanced knowledge of RxJS, NgRx or other state management solutions, and modular application design.
* Proven experience implementing monorepo architectures and module federation (e.g., Nx, Bazel, or similar) for large\-scale front\-end applications
* Strong track record of building and maintaining large\-scale front\-end architectures, including performance and scalability considerations.
* Skilled in modern TypeScript, HTML5, CSS3/SCSS, and front\-end testing frameworks (Jest, Cypress, Playwright etc.)
* Experience in front\-end infrastructue and CICD process
* Experience in web\-based applications and web services using Java (Spring Boot), REST, Angular, and other web technologies, including experience interfacing with databases, and integrating third party products with existing infrastructure.
* Demonstrated ability to coach and mentor engineers and standardize engineering practices, especially on the front end.
* Understanding event\-driven architecture, change data capture and system integrations.
**Preferred Qualifications**
* Master's Degree or PhD in Computer Science, Information Technology, or related field
* Experience with IntellliJ/VS Code, JIRA, Git
* Experience with Agile/Scrum Project Development
* Experience with Java or a similar Object\-oriented language
* Experience with Confluent Kafka, Apache Camel, and Qlik Replicate
* Experience with Application Integration with legacy systems
* Experience with Cloud\-Native Development, and/or Porting/Refactoring of On\-Site to Cloud (preferably AWS)
* Experience with J2EE, Java EE, JavaScript, and SQL
* Experience with Salesforce
* Experience with Terraform
* Experience with Kubernetes
* Technical Certifications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18">
      <c r="A118" t="inlineStr">
        <is>
          <t>li-4367344342</t>
        </is>
      </c>
      <c r="B118" t="inlineStr">
        <is>
          <t>Staff Software Engineer - Java/AWS (Contract)</t>
        </is>
      </c>
      <c r="C118" t="inlineStr">
        <is>
          <t>Early Warning®</t>
        </is>
      </c>
      <c r="D118" t="inlineStr">
        <is>
          <t>linkedin</t>
        </is>
      </c>
      <c r="E118" t="inlineStr"/>
      <c r="F118" t="inlineStr"/>
      <c r="G118" t="inlineStr">
        <is>
          <t>Scottsdale, AZ</t>
        </is>
      </c>
      <c r="H118" t="inlineStr"/>
      <c r="I118"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This position is an important role in the development, test, and deployment of complex solutions.
**Essential Functions**
* Build technical strategy for broad or complex requirements with insightful and forward\-looking approaches that go beyond the direct team and solve large open\-ended problems.
* Participate in the strategic development of methods, techniques, and evaluation criteria for projects and programs.
* Drive all aspects of technical architecture, design, prototyping and implementation in support of both product needs as well as overall technology strategy.
* Provide leadership and technical expertise in support of building a technical plan and backlog of stories, and then follow through on execution of design and build process through to production delivery.
* Guide a broad functional area and lead efforts through the functional team members along with the team’s overall planning.
* Represent engineering in cross\-functional team sessions and able to present sound and thoughtful arguments to persuade others. Adapts to the situation and can draw from a range of strategies to influence people in a way that results in agreement or behavior change.
* Collaborate and partner with product managers, designers, and other engineering groups to conceptualize and build new features and create product descriptions.
* Actively own features or systems and define their long\-term health, while also improving the health of surrounding systems.
* Assist support and operations teams in identifying and quickly resolving production issues.
* Develop and implement tests for ensuring the quality, performance, and scalability of our application.
* Actively seek out ways to improve engineering standards, tooling, and processes.
* Supporting the company’s commitment to risk management and protecting the integrity and confidentiality of systems and data.
**For Cloud Focus Only**
* Lead infrastructure\-as\-code projects, designing APIs and building tools to be used by engineering teams for reliable and repeatable cloud deployments
* Implement abstractions to simplify the complexities of cloud providers (AWS), open\-source technologies (Kubernetes), and internal EWS infrastructure
* Obsess about the usability of the systems you build, allowing engineers to have an intuitive and predictable experience working with infrastructure at scale
* Troubleshooting complex infrastructure problems, often spanning multiple layers of the stack and requires working with multiple teams
* Experience designing cloud infrastructure for robustness, security, and observability
* Expertise in infrastructure\-as\-code tools such as Terraform, Ansible, and continuous deployment pipelines
* Expertise in AWS foundations including compute, networking, storage, observability and security. Experience in automating AWS services using Terraform and Ansible. Experience in highly scalable distributed datacenter or cloud computer systems (AWS, Azure, VM)
* Strong knowledge of AWS services (EC2, IAM, ELB, Route53, S3, Lambda, Cloud Formation, DynamoDB)
* Experience architecting Kubernetes based systems
* Container orchestration \- Kubernetes, TKGi, EKS, ECS
* Proficient with using and debugging networks, DNS, HTTP, TLS, load\-balancing, build systems, Linux, and Docker
* Experience in building CI/CD pipelines
* Experience building and scaling Workflow pipelines
* Experience in data center operations, monitoring, alerting and notifications
**Minimum Qualifications**
* Education and/or experience typically obtained through a Bachelor’s degree in computer science or related technical field.
* Ten or more years of relevant related experience
* Seven or more years of experience in the development of distributed systems, SaaS, cloud solutions, micro services.
* Hands\-on Docker experience.
* Two or more years of experience in the development of front\-end solutions. Hands\-on familiarity with modern frameworks (Angular/React)
* Six or more years of work experience with Java/Spring. Proficiency in Maven/Gradle.
* Demonstrated experience in delivering business\-critical systems to the market.
* Ability to influence and work in a collaborative team environment.
* Experience designing/developing scalable systems.
* Experience with event\-driven architecture and messaging frameworks (Pub/Sub, Kafka, RabbitMQ, etc).
* Working experience with cloud infrastructure (Google Cloud Platform, AWS, Azure, etc).
* Knowledge of mature engineering practices (CI/CD, testing, secure coding, etc).
* Knowledge of Software Development Lifecycle (SDLC) best practices, software development methodologies (Agile, Scrum, LEAN etc) and DevOps practices.
* Background and drug screen.
**Preferred Qualifications**
* MS or PHD
* JavaScript and scripting frameworks experience (JQuery, AngularJS)
* Monitoring and Alerting systems experience (AppDynamics)
* Computer language experience (C\#, Ruby, Python, and PHP)
* Knowledge of ACH/EFT
* Knowledge of real time payment networks (RTP, FedNow)
* FinTech experience
* Kubernetes experience
* AWS, Azure (and/or other cloud\-based) certification(s) strongly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above job description is not intended to be an all\-inclusive list of duties and standards of the position.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119">
      <c r="A119" t="inlineStr">
        <is>
          <t>li-4367305160</t>
        </is>
      </c>
      <c r="B119" t="inlineStr">
        <is>
          <t>Senior Software Engineer, Back End (Java, SpringBoot, Microservices, OCP/AWS REST Databases: SQL, Postgres)</t>
        </is>
      </c>
      <c r="C119" t="inlineStr">
        <is>
          <t>Capital One</t>
        </is>
      </c>
      <c r="D119" t="inlineStr">
        <is>
          <t>linkedin</t>
        </is>
      </c>
      <c r="E119" t="inlineStr"/>
      <c r="F119" t="inlineStr"/>
      <c r="G119" t="inlineStr">
        <is>
          <t>Deerfield, IL</t>
        </is>
      </c>
      <c r="H119" t="inlineStr"/>
      <c r="I119" t="inlineStr">
        <is>
          <t>Senior Software Engineer, Back End (Java, SpringBoot, Microservices, OCP/AWS REST Databases: SQL, Postgres)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This is a Senior Software Engineer role within the Global Payment Network's Digital Payments Platform team. The Platform team applications are pivotal to Digital Payments. The role involves creating technical designs, both for incoming business initiatives and for technically lead initiatives whose goal is to improve the Architectural characteristics of our systems. The Global Payment Network is partway through a modernization journey, migrating business functionality from On\-Prem to be AWS deployed on OpenShift. The team will also be migrating from Discover AWS accounts deployment to Capital One AWS accounts and standards at some point in the future as well.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0">
      <c r="A120" t="inlineStr">
        <is>
          <t>li-4331012635</t>
        </is>
      </c>
      <c r="B120" t="inlineStr">
        <is>
          <t>Forward Deployed Software Engineer-Palantir Foundry-Director</t>
        </is>
      </c>
      <c r="C120" t="inlineStr">
        <is>
          <t>PwC</t>
        </is>
      </c>
      <c r="D120" t="inlineStr">
        <is>
          <t>linkedin</t>
        </is>
      </c>
      <c r="E120" t="inlineStr"/>
      <c r="F120" t="inlineStr"/>
      <c r="G120" t="inlineStr">
        <is>
          <t>St Louis, MO</t>
        </is>
      </c>
      <c r="H120" t="inlineStr"/>
      <c r="I12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li-4330944114</t>
        </is>
      </c>
      <c r="B121" t="inlineStr">
        <is>
          <t>Forward Deployed Software Engineer-Palantir Foundry-Director</t>
        </is>
      </c>
      <c r="C121" t="inlineStr">
        <is>
          <t>PwC</t>
        </is>
      </c>
      <c r="D121" t="inlineStr">
        <is>
          <t>linkedin</t>
        </is>
      </c>
      <c r="E121" t="inlineStr"/>
      <c r="F121" t="inlineStr"/>
      <c r="G121" t="inlineStr">
        <is>
          <t>Des Moines, IA</t>
        </is>
      </c>
      <c r="H121" t="inlineStr"/>
      <c r="I12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2">
      <c r="A122" t="inlineStr">
        <is>
          <t>li-4330935182</t>
        </is>
      </c>
      <c r="B122" t="inlineStr">
        <is>
          <t>Forward Deployed Software Engineer-Palantir Foundry-Director</t>
        </is>
      </c>
      <c r="C122" t="inlineStr">
        <is>
          <t>PwC</t>
        </is>
      </c>
      <c r="D122" t="inlineStr">
        <is>
          <t>linkedin</t>
        </is>
      </c>
      <c r="E122" t="inlineStr"/>
      <c r="F122" t="inlineStr"/>
      <c r="G122" t="inlineStr">
        <is>
          <t>San Antonio, TX</t>
        </is>
      </c>
      <c r="H122" t="inlineStr"/>
      <c r="I12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li-4330944116</t>
        </is>
      </c>
      <c r="B123" t="inlineStr">
        <is>
          <t>Forward Deployed Software Engineer-Palantir Foundry-Director</t>
        </is>
      </c>
      <c r="C123" t="inlineStr">
        <is>
          <t>PwC</t>
        </is>
      </c>
      <c r="D123" t="inlineStr">
        <is>
          <t>linkedin</t>
        </is>
      </c>
      <c r="E123" t="inlineStr"/>
      <c r="F123" t="inlineStr"/>
      <c r="G123" t="inlineStr">
        <is>
          <t>Birmingham, AL</t>
        </is>
      </c>
      <c r="H123" t="inlineStr"/>
      <c r="I12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4">
      <c r="A124" t="inlineStr">
        <is>
          <t>li-4330925317</t>
        </is>
      </c>
      <c r="B124" t="inlineStr">
        <is>
          <t>Forward Deployed Software Engineer-Palantir Foundry-Director</t>
        </is>
      </c>
      <c r="C124" t="inlineStr">
        <is>
          <t>PwC</t>
        </is>
      </c>
      <c r="D124" t="inlineStr">
        <is>
          <t>linkedin</t>
        </is>
      </c>
      <c r="E124" t="inlineStr"/>
      <c r="F124" t="inlineStr"/>
      <c r="G124" t="inlineStr">
        <is>
          <t>Las Vegas, NV</t>
        </is>
      </c>
      <c r="H124" t="inlineStr"/>
      <c r="I12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5">
      <c r="A125" t="inlineStr">
        <is>
          <t>li-4330954003</t>
        </is>
      </c>
      <c r="B125" t="inlineStr">
        <is>
          <t>Forward Deployed Software Engineer-Palantir Foundry-Director</t>
        </is>
      </c>
      <c r="C125" t="inlineStr">
        <is>
          <t>PwC</t>
        </is>
      </c>
      <c r="D125" t="inlineStr">
        <is>
          <t>linkedin</t>
        </is>
      </c>
      <c r="E125" t="inlineStr"/>
      <c r="F125" t="inlineStr"/>
      <c r="G125" t="inlineStr">
        <is>
          <t>Cincinnati, OH</t>
        </is>
      </c>
      <c r="H125" t="inlineStr"/>
      <c r="I12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6">
      <c r="A126" t="inlineStr">
        <is>
          <t>li-4331022554</t>
        </is>
      </c>
      <c r="B126" t="inlineStr">
        <is>
          <t>Forward Deployed Software Engineer-Palantir Foundry-Director</t>
        </is>
      </c>
      <c r="C126" t="inlineStr">
        <is>
          <t>PwC</t>
        </is>
      </c>
      <c r="D126" t="inlineStr">
        <is>
          <t>linkedin</t>
        </is>
      </c>
      <c r="E126" t="inlineStr"/>
      <c r="F126" t="inlineStr"/>
      <c r="G126" t="inlineStr">
        <is>
          <t>Philadelphia, PA</t>
        </is>
      </c>
      <c r="H126" t="inlineStr"/>
      <c r="I12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7">
      <c r="A127" t="inlineStr">
        <is>
          <t>li-4330916732</t>
        </is>
      </c>
      <c r="B127" t="inlineStr">
        <is>
          <t>Forward Deployed Software Engineer-Palantir Foundry-Director</t>
        </is>
      </c>
      <c r="C127" t="inlineStr">
        <is>
          <t>PwC</t>
        </is>
      </c>
      <c r="D127" t="inlineStr">
        <is>
          <t>linkedin</t>
        </is>
      </c>
      <c r="E127" t="inlineStr"/>
      <c r="F127" t="inlineStr"/>
      <c r="G127" t="inlineStr">
        <is>
          <t>Salt Lake City, UT</t>
        </is>
      </c>
      <c r="H127" t="inlineStr"/>
      <c r="I12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8">
      <c r="A128" t="inlineStr">
        <is>
          <t>li-4331072424</t>
        </is>
      </c>
      <c r="B128" t="inlineStr">
        <is>
          <t>Forward Deployed Software Engineer-Palantir Foundry-Director</t>
        </is>
      </c>
      <c r="C128" t="inlineStr">
        <is>
          <t>PwC</t>
        </is>
      </c>
      <c r="D128" t="inlineStr">
        <is>
          <t>linkedin</t>
        </is>
      </c>
      <c r="E128" t="inlineStr"/>
      <c r="F128" t="inlineStr"/>
      <c r="G128" t="inlineStr">
        <is>
          <t>Pittsburgh, PA</t>
        </is>
      </c>
      <c r="H128" t="inlineStr"/>
      <c r="I12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9">
      <c r="A129" t="inlineStr">
        <is>
          <t>li-4367377533</t>
        </is>
      </c>
      <c r="B129" t="inlineStr">
        <is>
          <t>Software Engineer II</t>
        </is>
      </c>
      <c r="C129" t="inlineStr">
        <is>
          <t>Truist</t>
        </is>
      </c>
      <c r="D129" t="inlineStr">
        <is>
          <t>linkedin</t>
        </is>
      </c>
      <c r="E129">
        <f>HYPERLINK("https://www.linkedin.com/jobs/view/4367377533", "https://www.linkedin.com/jobs/view/4367377533")</f>
        <v/>
      </c>
      <c r="F129" t="inlineStr"/>
      <c r="G129" t="inlineStr">
        <is>
          <t>Raleigh, NC</t>
        </is>
      </c>
      <c r="H129" t="inlineStr"/>
      <c r="I12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0">
      <c r="A130" t="inlineStr">
        <is>
          <t>li-4359384146</t>
        </is>
      </c>
      <c r="B130" t="inlineStr">
        <is>
          <t>Intermediate Backend Engineer (Go), Verify: Runner Core</t>
        </is>
      </c>
      <c r="C130" t="inlineStr">
        <is>
          <t>GitLab</t>
        </is>
      </c>
      <c r="D130" t="inlineStr">
        <is>
          <t>linkedin</t>
        </is>
      </c>
      <c r="E130">
        <f>HYPERLINK("https://www.linkedin.com/jobs/view/4359384146", "https://www.linkedin.com/jobs/view/4359384146")</f>
        <v/>
      </c>
      <c r="F130" t="inlineStr"/>
      <c r="G130" t="inlineStr">
        <is>
          <t>Georgia, United States</t>
        </is>
      </c>
      <c r="H130" t="inlineStr"/>
      <c r="I130"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an Intermediate Backend Engineer on our Verify: Runner Core group within the Verify: Runner organization, you'll help build and evolve GitLab Runner, the interface between GitLab and our customers' CI infrastructure. Whether jobs run on Kubernetes clusters, cloud VMs, or on\-premises hardware, GitLab Runner makes it happen. Each week, Runners process millions of jobs for GitLab.com, and our container images are downloaded hundreds of millions of times.
 You'll collaborate on technical initiatives and contribute to design and implementation, taking on work that matches your experience while growing your impact over time. You'll learn from how customers use our CI/CD capabilities and use that insight to help the team solve real\-world scaling and reliability challenges. This input can come from bug reports, customer escalations, or feedback on executor behavior and performance. GitLab Runner users often have demanding CI/CD requirements, and many rely on the infrastructure you help build as a mission\-critical part of their software delivery workflows.
 Here's a glimpse of some of the things we're working on and where we're headed:
* Job Routing: Transforming GitLab Runner's job scheduling from HTTP polling to intelligent, server\-mediated routing that enables runner prioritization, admission control, and distributed autoscaling coordination.
+ We've already kicked this off with Admission Control, and you could contribute to its iteration.
* Externalizing CI: Transforming GitLab CI from static YAML configuration to dynamic, programmable pipelines where jobs can create other jobs at runtime.
* Job Volume Mounts: Enabling CI jobs to mount GitLab repositories and artifacts as filesystem volumes, providing instant, lightweight access to multi\-repository content without full git clones.
 What you'll do
* Design and develop features and improvements for GitLab Runner that are secure, well\-tested, and high\-performance, with a focus on strong architecture in Go services, appropriate for an intermediate\-level engineer.
* Partner with the Product Manager and other Senior Engineers to assess the technical feasibility and scope of Runner\-related feature requests, contributing your perspective and asking clarifying questions.
* Contribute to architectural decisions that modernize Runner's technology stack, favoring solutions that address root causes over fixes that treat symptoms.
* Take end\-to\-end ownership of your features from design through implementation, code review, deployment, monitoring, and iterative refinement.
* Collaborate closely with other engineers on the team and within the Runner Organization through code reviews, pairing, and knowledge sharing, both learning from others and helping raise the overall technical bar.
* Work with cross\-functional partners, including Support and Product, to help diagnose, troubleshoot, and resolve customer issues related to GitLab Runner and CI Functions, and feed those learnings back into the product.
* Engage with GitLab Runner's vibrant open\-source community by triaging bug reports, reviewing community\-contributed merge requests, and helping contributors succeed.
* Participate in team rotations including bug triage, community contribution reviews, and support escalation response.
 What you'll bring
* Proficiency in developing backend services in Go and applying Go best practices in production, whether gained through professional work, open\-source contributions, or other hands\-on experience.
* Ability to design and build scalable, distributed, and resilient systems that can grow with increasing demand, ideally with exposure to high\-throughput CI pipelines, job orchestration, or similar infrastructure.
* Hands\-on skills with containerization and orchestration technologies such as Docker and Kubernetes, including deploying and operating services that run CI workloads across diverse environments.
* Ability to analyze, profile, and optimize performance in distributed systems using appropriate tools and observability data, especially for latency\-sensitive and resource\-intensive CI execution paths.
* Familiarity with cloud\-native infrastructure (for example, a major cloud provider or infrastructure\-as\-code tools) and concepts related to site reliability and operating SaaS platforms that run large\-scale CI.
* Comfort with asynchronous communication and proactive written updates, essential for collaborating effectively across a globally distributed team.
* Strong collaboration skills, including working closely with other engineers, contributing to shared technical practices, participating in code reviews, and communicating clearly with cross\-functional partners like Product and Support.
**About The Team**
 The Verify: Runner Core team at GitLab sits within the Verify: Runner organization and is responsible for GitLab Runner. We focus on Runner's core architecture, executor implementations, scalability, and reliability. The team operates across multiple time zones, so async communication is core to how we work.
 We work closely with the CI Functions Platform team, within the Runner organization. The two teams collaborate regularly and share roadmap initiatives. This close partnership means you'll have opportunities to contribute to work that affects both teams.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131">
      <c r="A131" t="inlineStr">
        <is>
          <t>li-4367028660</t>
        </is>
      </c>
      <c r="B131" t="inlineStr">
        <is>
          <t>Senior Software Engineer</t>
        </is>
      </c>
      <c r="C131" t="inlineStr">
        <is>
          <t>MobilityWare</t>
        </is>
      </c>
      <c r="D131" t="inlineStr">
        <is>
          <t>linkedin</t>
        </is>
      </c>
      <c r="E131">
        <f>HYPERLINK("https://www.linkedin.com/jobs/view/4367028660", "https://www.linkedin.com/jobs/view/4367028660")</f>
        <v/>
      </c>
      <c r="F131" t="inlineStr"/>
      <c r="G131" t="inlineStr">
        <is>
          <t>Lehi, UT</t>
        </is>
      </c>
      <c r="H131" t="inlineStr"/>
      <c r="I131" t="inlineStr">
        <is>
          <t>**Are you looking for something special?** 
 We are. We need a senior engineer to lead the engineering efforts for our Utah team.
 This is a rare opportunity. An impactful position at a profitable, stable,
 **self\-funded studio with tens of millions of players, and one of the best no\-crunch cultures in our industry** 
 .
 You? You’ve been there, coded that. Years in the trenches architecting systems, shipping products, and writing mountains of code. Iterating, pivoting, and implementing solutions that blew players away. And while you still love writing code, you’re no longer just an individual contributor.
**You’re also growing as a leader.** 
 You listen. Understand the needs of the team. Use your influence—rooted in trust—to guide architecture, quality, and feature development. Collaborative and organized, you focus on the objectives of the team. You empower the other engineers, partner with the product owner, and ensure our execution is excellent.
**This role requires both technical excellence and leadership.** 
 You’ll thrive in a dynamic, fast\-paced environment with an ever\-growing portfolio of 30\+ games, including some of the most played mobile games in the world!
 Help us bring joy to others, one game at a time.
**Responsibilities:**
* **Lead the technical execution** 
 for Purple team in Lehi, Utah
* Be a
 **hands\-on, seasoned contributor** 
 in Unity C\#
* **Partner with stakeholders** 
 across teams and departments
* Scope, track, and
 **guide the team’s progress**
* **Champion quality** 
 , especially with shared code
* Oversee tools, utilities, and pipelines for production, design, and art
* **Embrace using AI** 
 to achieve “more, better, faster”
* Relate to our motto: “
 **Slow Down to Speed Up** 
 ”
**Qualifications for Position:**
* **B.S. in a relevant field** 
 (or equivalent studio experience)
* **Expertise in Unity C\#** 
 (or comparable engine/language)
* **8\+ years of professional game dev** 
 (with shipped titles)
* **Team\-oriented** 
 (you listen, support, and collaborate)
* **Pragmatic judgment** 
 (balancing speed, reliability, and maintainability)
* **A growth mindset** 
 that embraces continuous learning
* **Passion for evergreen games** 
 that reach tens of millions
* Bonus: People management experience
**A Little Bit About Us:**
 Most studios would be grateful to have even one game in Apple Arcade’s top twenty. We have four, making us one of the top mobile studios in the world. With our headquarters in the heart of Orange County and a growing studio in Utah, we’re dedicated to our mission of bringing joy to others one game at a time. Ever since our flagship title Solitaire hit the Apple App Store on the day it opened in 2008, MobilityWare has been entertaining gamers around the world. With a product portfolio that includes beloved hits such as FreeCell, Spider, Spades, Hearts, Mahjong, Solitaire Match\-3, Yatzy, Puzzle Cats, and Bubble Shooter Pop, our games have been downloaded over 600 MILLION times.
 MobilityWare was recently named one of Built in LA’s Best Places to Work for the fifth year in a row and we’ve been recognized as one of the Best Places to Work in Orange County five times by the Orange County Business Journal and OC Register. While we’re proud to be the company behind some of mobile gaming’s most popular titles, our most important achievement is creating a work environment that encourages the professional growth and engagement of all our team members.
**Do we have your attention yet? Here are just some of the perks of working with us:**
* We offer medical (100% paid option), dental (100% paid), vision (100% paid), unlimited PTO/Vacation, life insurance (100% paid), and a 401K with competitive contribution.
* Annual, all\-inclusive company trip for you and a guest. Previous destinations include
 Hawaii, a Mexican Riviera Cruise, Las Vegas and Los Cabos!
* In the office we offer things like free lunch, free snacks, and free drinks.
* Casual workplace that includes a relaxed dress code, plus a newly remodeled office in the heart of Irvine.
* Annual Game Jam to show off your creative chops!
 In compliance with local law, we are disclosing compensation for this role. The range listed is just one component of MobilityWare’ s total compensation package for employees, which may include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The annual base salary pay range for this role is $140,000\-$900,000\.</t>
        </is>
      </c>
    </row>
    <row r="132">
      <c r="A132" t="inlineStr">
        <is>
          <t>li-4367371288</t>
        </is>
      </c>
      <c r="B132" t="inlineStr">
        <is>
          <t>Software Developer/Data Engineer - Entry Level</t>
        </is>
      </c>
      <c r="C132" t="inlineStr">
        <is>
          <t>Lensa</t>
        </is>
      </c>
      <c r="D132" t="inlineStr">
        <is>
          <t>linkedin</t>
        </is>
      </c>
      <c r="E132">
        <f>HYPERLINK("https://www.linkedin.com/jobs/view/4367371288", "https://www.linkedin.com/jobs/view/4367371288")</f>
        <v/>
      </c>
      <c r="F132" t="inlineStr"/>
      <c r="G132" t="inlineStr">
        <is>
          <t>Nashville, TN</t>
        </is>
      </c>
      <c r="H132" t="inlineStr"/>
      <c r="I1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33">
      <c r="A133" t="inlineStr">
        <is>
          <t>li-4367377249</t>
        </is>
      </c>
      <c r="B133" t="inlineStr">
        <is>
          <t>Software Developer/Data Engineer - Entry Level</t>
        </is>
      </c>
      <c r="C133" t="inlineStr">
        <is>
          <t>Lensa</t>
        </is>
      </c>
      <c r="D133" t="inlineStr">
        <is>
          <t>linkedin</t>
        </is>
      </c>
      <c r="E133">
        <f>HYPERLINK("https://www.linkedin.com/jobs/view/4367377249", "https://www.linkedin.com/jobs/view/4367377249")</f>
        <v/>
      </c>
      <c r="F133">
        <f>HYPERLINK("https://lensa.com/cgw/4f2469d2f73b46e6801afbc729cdd582tjo1?jpsi=directemployers&amp;publisher_preference=easier_apply&amp;utm_campaign=Computer%20Occupations&amp;utm_medium=slot&amp;utm_source=linkedin&amp;utm_term=jse&amp;urlHash=FmFE", "https://lensa.com/cgw/4f2469d2f73b46e6801afbc729cdd582tjo1?jpsi=directemployers&amp;publisher_preference=easier_apply&amp;utm_campaign=Computer%20Occupations&amp;utm_medium=slot&amp;utm_source=linkedin&amp;utm_term=jse&amp;urlHash=FmFE")</f>
        <v/>
      </c>
      <c r="G133" t="inlineStr">
        <is>
          <t>Atlanta, GA</t>
        </is>
      </c>
      <c r="H133" t="inlineStr"/>
      <c r="I1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34">
      <c r="A134" t="inlineStr">
        <is>
          <t>li-4367041832</t>
        </is>
      </c>
      <c r="B134" t="inlineStr">
        <is>
          <t>Backend Product Software Engineer</t>
        </is>
      </c>
      <c r="C134" t="inlineStr">
        <is>
          <t>Dropbox</t>
        </is>
      </c>
      <c r="D134" t="inlineStr">
        <is>
          <t>linkedin</t>
        </is>
      </c>
      <c r="E134">
        <f>HYPERLINK("https://www.linkedin.com/jobs/view/4367041832", "https://www.linkedin.com/jobs/view/4367041832")</f>
        <v/>
      </c>
      <c r="F134" t="inlineStr"/>
      <c r="G134" t="inlineStr"/>
      <c r="H134" t="inlineStr"/>
      <c r="I134"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Backend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AI\-enabled products by providing a comprehensive technology stack that facilitates rapid prototyping and reliable deployment of AI\-augmented functionality.
 Our Engineering Career Framework is viewable by anyone outside the company and describes what’s expected for our engineers at each of our career levels. Check out our blog post on this topic and more here.
**Responsibilities**
* Designing and building scalable software to reach millions of daily users.
* Collaborating closely with product managers, designers, and analysts to understand user needs and develop products that meet those needs.
* Developing and executing short and long\-term roadmaps, balancing business impact, user experience, and technical quality.
* Actively contributing to our team and company culture through mentorship, participation in interviews, and involvement in new initiatives.
* Supporting fellow engineers through feedback, code reviews, and improvement of internal tools and processes.
* Ensure continuous service operation by participating in the team's on\-call rotation, including outside core collaboration hours on a periodic basis.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2\+ years of experience in software engineering or related industry roles.
* BS degree in Computer Science or related technical field involving coding (e.g., physics or mathematics), or equivalent technical experience.
* Demonstrated success in developing and deploying large\-scale web applications with a user\-focused approach.
* Proficiency in building user\-facing software and supporting web/desktop systems and libraries.
* Ability to handle full\-stack projects and deliver minimum viable products efficiently.
* Willingness to participate in on\-call rotations if required by the team.
**Preferred Qualifications**
* Contributions to open source projects or technical communities.
* Fullstack Development.
* Technologies: JavaScript, HTML/CSS, React, Angular, Node.js, Python, MySQL, PostgreSQL, MongoDB.
****Compensation****
 At Dropbox, we strive to be a great place for all Dropboxers to grow and be recognized for that growth. This job posting reflects broad requirements, and represents two potential levels of role. Through our assessment process, we will identify your level that ties to compensation based on your experience and technical expertise along with the scope of the role.
 If you are assessed at the IC2 level, below are the current Salary/OTE ranges (Subject to change):
* US Zone 1: $168,300 \- $198,000 \- $227,700\.
* US Zone 2: $151,500 \- $178,200 \- $204,900\.
* US Zone 3: $134,600 \- $158,400 \- $182,200\.
 If you are assessed at the IC3 level, below are the current Salary/OTE ranges (Subject to change):
* US Zone 1: $204,000 \- $216,000 \- $276,000
* US Zone 2: $183,600 \- $216,000 \- $248,400\.
* US Zone 3: $163,200 \- $192,000 \- $220,800\.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35">
      <c r="A135" t="inlineStr">
        <is>
          <t>li-4331062436</t>
        </is>
      </c>
      <c r="B135" t="inlineStr">
        <is>
          <t>Forward Deployed Software Engineer-Palantir Foundry-Director</t>
        </is>
      </c>
      <c r="C135" t="inlineStr">
        <is>
          <t>PwC</t>
        </is>
      </c>
      <c r="D135" t="inlineStr">
        <is>
          <t>linkedin</t>
        </is>
      </c>
      <c r="E135">
        <f>HYPERLINK("https://www.linkedin.com/jobs/view/4331062436", "https://www.linkedin.com/jobs/view/4331062436")</f>
        <v/>
      </c>
      <c r="F135" t="inlineStr"/>
      <c r="G135" t="inlineStr">
        <is>
          <t>Kansas City, MO</t>
        </is>
      </c>
      <c r="H135" t="inlineStr"/>
      <c r="I13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6">
      <c r="A136" t="inlineStr">
        <is>
          <t>li-4330954007</t>
        </is>
      </c>
      <c r="B136" t="inlineStr">
        <is>
          <t>Forward Deployed Software Engineer-Palantir Foundry-Director</t>
        </is>
      </c>
      <c r="C136" t="inlineStr">
        <is>
          <t>PwC</t>
        </is>
      </c>
      <c r="D136" t="inlineStr">
        <is>
          <t>linkedin</t>
        </is>
      </c>
      <c r="E136">
        <f>HYPERLINK("https://www.linkedin.com/jobs/view/4330954007", "https://www.linkedin.com/jobs/view/4330954007")</f>
        <v/>
      </c>
      <c r="F136" t="inlineStr"/>
      <c r="G136" t="inlineStr">
        <is>
          <t>Louisville, KY</t>
        </is>
      </c>
      <c r="H136" t="inlineStr"/>
      <c r="I13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7">
      <c r="A137" t="inlineStr">
        <is>
          <t>li-4331092046</t>
        </is>
      </c>
      <c r="B137" t="inlineStr">
        <is>
          <t>Forward Deployed Software Engineer-Palantir Foundry-Director</t>
        </is>
      </c>
      <c r="C137" t="inlineStr">
        <is>
          <t>PwC</t>
        </is>
      </c>
      <c r="D137" t="inlineStr">
        <is>
          <t>linkedin</t>
        </is>
      </c>
      <c r="E137">
        <f>HYPERLINK("https://www.linkedin.com/jobs/view/4331092046", "https://www.linkedin.com/jobs/view/4331092046")</f>
        <v/>
      </c>
      <c r="F137" t="inlineStr"/>
      <c r="G137" t="inlineStr">
        <is>
          <t>Toledo, OH</t>
        </is>
      </c>
      <c r="H137" t="inlineStr"/>
      <c r="I13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8">
      <c r="A138" t="inlineStr">
        <is>
          <t>li-4330944116</t>
        </is>
      </c>
      <c r="B138" t="inlineStr">
        <is>
          <t>Forward Deployed Software Engineer-Palantir Foundry-Director</t>
        </is>
      </c>
      <c r="C138" t="inlineStr">
        <is>
          <t>PwC</t>
        </is>
      </c>
      <c r="D138" t="inlineStr">
        <is>
          <t>linkedin</t>
        </is>
      </c>
      <c r="E138">
        <f>HYPERLINK("https://www.linkedin.com/jobs/view/4330944116", "https://www.linkedin.com/jobs/view/4330944116")</f>
        <v/>
      </c>
      <c r="F138">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138" t="inlineStr">
        <is>
          <t>Birmingham, AL</t>
        </is>
      </c>
      <c r="H138" t="inlineStr"/>
      <c r="I13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9">
      <c r="A139" t="inlineStr">
        <is>
          <t>li-4331012640</t>
        </is>
      </c>
      <c r="B139" t="inlineStr">
        <is>
          <t>Forward Deployed Software Engineer-Palantir Foundry-Director</t>
        </is>
      </c>
      <c r="C139" t="inlineStr">
        <is>
          <t>PwC</t>
        </is>
      </c>
      <c r="D139" t="inlineStr">
        <is>
          <t>linkedin</t>
        </is>
      </c>
      <c r="E139">
        <f>HYPERLINK("https://www.linkedin.com/jobs/view/4331012640", "https://www.linkedin.com/jobs/view/4331012640")</f>
        <v/>
      </c>
      <c r="F139" t="inlineStr"/>
      <c r="G139" t="inlineStr">
        <is>
          <t>Little Rock, AR</t>
        </is>
      </c>
      <c r="H139" t="inlineStr"/>
      <c r="I13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0">
      <c r="A140" t="inlineStr">
        <is>
          <t>li-4330925317</t>
        </is>
      </c>
      <c r="B140" t="inlineStr">
        <is>
          <t>Forward Deployed Software Engineer-Palantir Foundry-Director</t>
        </is>
      </c>
      <c r="C140" t="inlineStr">
        <is>
          <t>PwC</t>
        </is>
      </c>
      <c r="D140" t="inlineStr">
        <is>
          <t>linkedin</t>
        </is>
      </c>
      <c r="E140">
        <f>HYPERLINK("https://www.linkedin.com/jobs/view/4330925317", "https://www.linkedin.com/jobs/view/4330925317")</f>
        <v/>
      </c>
      <c r="F140">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140" t="inlineStr">
        <is>
          <t>Las Vegas, NV</t>
        </is>
      </c>
      <c r="H140" t="inlineStr"/>
      <c r="I14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1">
      <c r="A141" t="inlineStr">
        <is>
          <t>li-4330899882</t>
        </is>
      </c>
      <c r="B141" t="inlineStr">
        <is>
          <t>Forward Deployed Software Engineer-Palantir Foundry-Director</t>
        </is>
      </c>
      <c r="C141" t="inlineStr">
        <is>
          <t>PwC</t>
        </is>
      </c>
      <c r="D141" t="inlineStr">
        <is>
          <t>linkedin</t>
        </is>
      </c>
      <c r="E141">
        <f>HYPERLINK("https://www.linkedin.com/jobs/view/4330899882", "https://www.linkedin.com/jobs/view/4330899882")</f>
        <v/>
      </c>
      <c r="F141" t="inlineStr"/>
      <c r="G141" t="inlineStr">
        <is>
          <t>New Orleans, LA</t>
        </is>
      </c>
      <c r="H141" t="inlineStr"/>
      <c r="I14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2">
      <c r="A142" t="inlineStr">
        <is>
          <t>li-4367373697</t>
        </is>
      </c>
      <c r="B142" t="inlineStr">
        <is>
          <t>AI-First Software Engineer (Entry Level)</t>
        </is>
      </c>
      <c r="C142" t="inlineStr">
        <is>
          <t>Nymbus</t>
        </is>
      </c>
      <c r="D142" t="inlineStr">
        <is>
          <t>linkedin</t>
        </is>
      </c>
      <c r="E142">
        <f>HYPERLINK("https://www.linkedin.com/jobs/view/4367373697", "https://www.linkedin.com/jobs/view/4367373697")</f>
        <v/>
      </c>
      <c r="F142" t="inlineStr"/>
      <c r="G142" t="inlineStr">
        <is>
          <t>Atlanta, GA</t>
        </is>
      </c>
      <c r="H142" t="inlineStr"/>
      <c r="I142" t="inlineStr">
        <is>
          <t>Nymbus (https://nymbus.com/) isn't just a leader in fintech; we're a community of innovators passionate about reimagining banking. Our award\-winning modern core platform and cloud\-based technology serve as the backbone for financial institutions eager to modernize and excel.
 Here, you won't just be part of a tech revolution. You'll be at the helm, driving change. You'll fit right in if you're a creative thinker who's eager to reduce technical debt and increase agility for banks and credit unions. Our culture thrives on collaboration, integrity, and a client\-first approach.
 We operate with an AI\-first mindset across all aspects of our business, continuously improving our efficiency and increasing the value we deliver to clients. We're looking for individuals who are intensely curious about emerging technologies and passionate about innovation.
 Your journey with us won't simply advance your career; it will offer the chance to help shape an industry alongside like\-minded professionals. We're excited to consider you a key player in this transformative chapter. Thank you for considering a role with Nymbus.
**WORK ENVIRONMENT:**
 We are primarily a remote\-first company, but you may need to travel a few times per year to visit client sites or attend meetings at designated locations with your team members. Working hours align with the Eastern Time Zone, so candidates located in the Eastern or Central time zones are preferred.
*Priority will be given to Atlanta based candidates* 
 .
**POSITION SUMMARY:**
**Experience Level** 
 : New College Graduate / Early Career (0–2 years)
**Team** 
 : Product Engineering
**Why This Role Exists**
 We believe the next generation of great engineers will be AI\-native, not AI\-adjacent. This role is designed for a new or recent college graduate who already treats AI as a core development tool—not a novelty.
 You'll work alongside senior engineers to ship real features, improve production systems, and experiment aggressively with AI\-driven development workflows. This is not a "ticket\-taker" role. We're looking for someone who takes ownership, moves fast, and cares deeply about an efficient design, code quality and impact.
**What You'll Do**
* Build and ship production features across backend, frontend, and AI\-enabled workflows
* Use AI tools (Claude, AWS Kiro, Copilot, etc.) as force multipliers—not crutches
* Write clean, readable, testable code that can scale with the business
* Collaborate with product management and design teams to turn ambiguous problems into working solutions
* Prototype quickly, validate assumptions, and iterate based on real feedback
* Improve developer productivity through automation, tooling, and experimentation
* Learn our systems deeply and continuously raise the quality bar
**WHAT WE ARE LOOKING FOR:**
**Core Traits (Must Have)**
* **High agency** 
 : You don't wait to be told what to do—you figure out what should be done
* **Problem solver** 
 : You enjoy unclear problems more than clearly defined ones
* **Experimenter mindset** 
 : You try things, measure results, and adjust
* **Quality\-driven** 
 : You care about correctness, readability, and long\-term maintainability
* **Scale\-oriented thinking** 
 : Performance and stability are incorporated from the beginning
* **Personal Ownership** 
 : You take pride in your work and ensure success end\-to\-end
**Technical Foundation**
* Strong fundamentals in computer science (data structures, algorithms, systems thinking)
* Experience building applications in at least one modern language (e.g., Python, TypeScript, Java, Go)
* Familiarity with APIs, databases, and basic cloud concepts
* Comfortable using Git and collaborating in a team codebase
**AI\-First Bonus Points**
* Hands\-on experience with Claude, AWS Kiro, or similar AI developer tools
* Curiosity about LLMs, prompt design, agent workflows, or AI\-assisted architectures
* Experience using AI for:
+ Code generation and refactoring
+ Test creation
+ Debugging and reasoning through complex logic
**WHAT SUCCESS LOOKS LIKE:**
**(First 1–6 Months)**
* You learn our service delivery lifecycle and about our existing products
* Proficient in our standard development tools and AI Services for development
* Successfully completed multiple POCs and investigations in innovation projects
* Experience troubleshooting issues using AI services
* You're growing faster than a traditional entry\-level engineer
**(First 6–12 Months)**
* You're shipping meaningful features independently
* You proactively improve code, tooling, or workflows without being asked
* You use AI intelligently knowing when to trust it and when to override it
* Conducting code reviews for other developers
* Sharing lessons learned and tips \&amp; tricks for AI assisted development
**INTERVIEW PROCESS:**
* Candidates will typically progress through up to three interviews, each lasting 30 to 60 minutes, with various members of our team. Typical interview sessions include HR discussion, hiring manager, and a technical interview.
* The technical interview will require a demonstration of development using your preferred IDE. It will focus on how you've incorporated AI into your development activities, including the services you've used, the features you like and dislike, and how AI has supported your debugging, feature design, code review, and code generation.
**SALARY \&amp; BENEFITS:**
* $75,000 \- $85,000 Annual Salary
* Annual Cash Bonus and Equity Options commensurate with the role level and experience
* 100% Remote
* 401(k) plan
* Insurance \- Health, Dental and Vision
* Flexible Paid Time Off
 Ready to join? We invite you to watch this video and learn who we are and how we build and innovates together!
 Let's Go!</t>
        </is>
      </c>
    </row>
    <row r="143">
      <c r="A143" t="inlineStr">
        <is>
          <t>li-4367382546</t>
        </is>
      </c>
      <c r="B143" t="inlineStr">
        <is>
          <t>Software Engineer, New Grad</t>
        </is>
      </c>
      <c r="C143" t="inlineStr">
        <is>
          <t>8VC</t>
        </is>
      </c>
      <c r="D143" t="inlineStr">
        <is>
          <t>linkedin</t>
        </is>
      </c>
      <c r="E143">
        <f>HYPERLINK("https://www.linkedin.com/jobs/view/4367382546", "https://www.linkedin.com/jobs/view/4367382546")</f>
        <v/>
      </c>
      <c r="F143" t="inlineStr"/>
      <c r="G143" t="inlineStr">
        <is>
          <t>San Francisco, CA</t>
        </is>
      </c>
      <c r="H143" t="inlineStr"/>
      <c r="I143" t="inlineStr">
        <is>
          <t>**New Grad, Software Engineer**
**Location:** 
 San Francisco
**Company:** 
 Thorin
**Stage:** 
 Seed \| Incubated at 8VC
**About Thorin**
 Thorin is an Applied AI company born out of 8VC’s Build program, focused on redefining how work gets done inside modern organizations.
 We build proactive, long\-horizon AI agents that continuously observe work across Slack, email, meetings, and documents—and take action so nothing falls through the cracks.
 Unlike traditional AI tools that wait to be prompted, Thorin creates a real\-time digital twin of how a business actually operates. This enables automation, coordination, and insight over months and years—not just single tasks.
 Backed by 8VC and built with product vision from Joe Lonsdale, Thorin is building foundational infrastructure for agentic, AI\-powered productivity. Thorin follows 8VC incubations such as Affinity, Addepar, and Saronic.
**About The Role**
 We’re hiring a
 **New Grad Software Engineer** 
 to help build and scale Thorin’s core product. This role is designed for strong generalists early in their careers who want to work across the stack, learn quickly, and ship real features used by real customers.
 You’ll work closely with senior engineers and the founding team to build user\-facing functionality, backend systems, and AI\-powered workflows. This is a hands\-on role with meaningful ownership, mentorship, and exposure to product and customers from day one.
 What You’ll Do
* Build and ship product features used by customers, from idea to production
* Work across the stack, including the core AI system
* Collaborate closely with designers, product, and founders to iterate quickly
* Learn how to build and scale software in a zero\-to\-one startup environment
 What We’re Looking For
* New grad (or recent graduate) in Computer Science, Engineering, or a related field
* Strong programming fundamentals and comfort working in at least one modern language
* Interest in full\-stack development (frontend \+ backend)
* Product\-minded: you care about usability, quality, and real\-world impact
* Comfortable learning quickly, taking feedback, and working in ambiguity
* Excited about startups, ownership, and building from scratch
 Nice to Have (Not Required)
* Familiarity with building and evaluating AI\-powered applications
* Exposure to backend systems, APIs, or cloud infrastructure
* Internships, side projects, or research related to software or AI
 Team \&amp; Why Thorin
* Work directly with a small, highly driven founding team
* Direct exposure to customers, product decisions, and company strategy
* Learn from and collaborate with Joe Lonsdale, who remains deeply involved in product and hiring
* High\-ownership environment with real responsibility early in your career
* Backed by one of the strongest early\-stage venture platforms in the industry</t>
        </is>
      </c>
    </row>
    <row r="144">
      <c r="A144" t="inlineStr">
        <is>
          <t>li-4367370663</t>
        </is>
      </c>
      <c r="B144" t="inlineStr">
        <is>
          <t>Software Engineer, Full Stack</t>
        </is>
      </c>
      <c r="C144" t="inlineStr">
        <is>
          <t>Introzy</t>
        </is>
      </c>
      <c r="D144" t="inlineStr">
        <is>
          <t>linkedin</t>
        </is>
      </c>
      <c r="E144">
        <f>HYPERLINK("https://www.linkedin.com/jobs/view/4367370663", "https://www.linkedin.com/jobs/view/4367370663")</f>
        <v/>
      </c>
      <c r="F144" t="inlineStr"/>
      <c r="G144" t="inlineStr">
        <is>
          <t>Illinois, United States</t>
        </is>
      </c>
      <c r="H144" t="inlineStr"/>
      <c r="I144" t="inlineStr">
        <is>
          <t>**Location:** 
 Remote (Boston, Chicago, Tampa preferred; must overlap with US Eastern/Central time zones)
**Company:** 
 Sanguine (building Introzy as our core product)
**Type:** 
 Full\-time
**About Us**
 Sanguine is the parent company behind
 **Introzy** 
 , our core product — a multi\-app platform (including Funlz and Profylz) designed to unify networking, workflow, and productivity. We’re an early\-stage company moving fast to deliver value, with a lean engineering team, clear priorities, and a culture that embraces
 **AI as a core development partner** 
 .
 We’re standardizing on a simple,
 **vanilla, AI\-friendly stack** 
 : React, Node.js with Express, PostgreSQL, AWS, and GitHub Actions for CI/CD. Our goal is to build reliable, scalable systems that are easy to extend and maintain while shipping quickly.
**About Sanguine Technology Solutions**
 Sanguine Technology Solutions is the technology engine of the Sanguine portfolio, 2024 Inc. 5000 \#94\. Its mission is to build category\-defining software that addresses high\-friction, high\-value problems for small and mid\-sized businesses. From partner operations (Introzy) and intelligent surveys (Funlz) to AI\-powered automation and custom SaaS, STS delivers tools that help businesses grow faster, with more clarity and less chaos.
**The Role**
 We’re looking for a
 **Full Stack Software Engineer** 
 who can design, build, and ship across the stack. You’ll help architect new systems, stabilize existing ones, and establish best practices that let us move quickly without breaking trust with users. You won’t just be writing code — you’ll be actively shaping the way we build, deploy, and maintain software.
 We’re not just looking for someone to check tickets — we want someone who enjoys spinning up new features from scratch, simplifying complexity, and bringing order to fast\-moving product cycles. You’ll be expected to
 **lean heavily on AI tools (Claude Code, Devin, etc.)** 
 to accelerate development, reduce repetitive work, and prototype solutions faster than a traditional team could.
 This is a role with a high degree of ownership and visibility: you’ll work directly with leadership, influence technical decisions from day one, and see your work hit production on a weekly cadence.
**Our Engineering Culture**
* Quality first: We focus on building stable, reliable systems — speed matters, but not at the cost of trust.
* Bias to action: We move quickly and prefer small, shippable increments over big\-bang releases.
* AI as a teammate: Engineers experiment with AI tools daily — to code, test, and even generate docs — and share what works.
* Simplicity over cleverness: We aim for solutions that are easy to understand, extend, and debug.
* Collaboration: Engineers work hand\-in\-hand with product and customer success; no silos.
* Transparency: We value clear communication — prioritize, execute, communicate, repeat.
**What You’ll Do**
* Build full\-stack features in React, Node.js/Express, PostgreSQL.
* Help unify multiple apps into one consistent architecture.
* Set up and refine CI/CD pipelines with GitHub Actions.
* Use AI tools for coding, testing, and prototyping as part of daily workflow.
* Collaborate closely with product, customer success, and leadership to prioritize and ship features.
* Maintain a balance of speed and stability.
**What We’re Looking For**
* Solid experience with JavaScript/TypeScript, React, Node.js/Express.
* Familiarity with PostgreSQL, AWS (Beanstalk/ECS), Auth0, GitHub Actions.
* Comfort working in fast\-paced, ambiguous, early\-stage environments.
* Curiosity and excitement about leveraging AI to build software faster and smarter.
* Pragmatic, team\-oriented mindset: willing to dive in wherever needed.
**Who You Are**
 You love building fast, keeping things simple, and experimenting with new tools — especially AI — to give yourself and your team an edge. You thrive in small, high\-ownership environments and enjoy being part of a team that values execution, clarity, and iteration over endless planning.
**Why Join Us**
* Impact from day one: small team, meaningful ownership.
* Work directly with the CTO and CEO to shape the product and platform.
* Help define the future of AI\-assisted engineering.
* Early\-stage pace with weekly or bi\-weekly releases — fast iteration, visible progress.
* Chance to build foundational systems that will scale with the company.</t>
        </is>
      </c>
    </row>
    <row r="145">
      <c r="A145" t="inlineStr">
        <is>
          <t>li-4367384557</t>
        </is>
      </c>
      <c r="B145" t="inlineStr">
        <is>
          <t>Software Engineer, Product</t>
        </is>
      </c>
      <c r="C145" t="inlineStr">
        <is>
          <t>Meter</t>
        </is>
      </c>
      <c r="D145" t="inlineStr">
        <is>
          <t>linkedin</t>
        </is>
      </c>
      <c r="E145">
        <f>HYPERLINK("https://www.linkedin.com/jobs/view/4367384557", "https://www.linkedin.com/jobs/view/4367384557")</f>
        <v/>
      </c>
      <c r="F145" t="inlineStr"/>
      <c r="G145" t="inlineStr">
        <is>
          <t>New York, NY</t>
        </is>
      </c>
      <c r="H145" t="inlineStr"/>
      <c r="I145" t="inlineStr">
        <is>
          <t>Our dashboard is the preeminent way our customers and partners interact with our products. It’s where complex networks become simple, where infrastructure decisions become clear, and where businesses gain confidence in their connectivity. As a product engineer at Meter, you’ll shape how companies visualize and interact with the networks that keep them running, transforming dense technical systems into intuitive, elegant, and performant experiences.
**The impact you’ll drive**
* Create data visualizations that go beyond charts. You’ll give businesses real\-time insight into device health, connectivity and performance.
* Ensure every interaction feels instantaneous by improving render, load, and scroll performance
* Adapt our dashboard to shine on any screen
* Build reusable visualization components and design patterns that empower the entire team to move faster.
**What Your Craft Looks Like**
 You will work in TypeScript, React, Vercel, and GraphQL to deliver fast, resilient, and beautiful experiences across varied use cases. That means getting the fundamentals right: well\-tested code, intuitive interfaces, and ensuring swift performance at scale. You’ll evolve Meter’s in\-house Design System, expand reusable components, and collaborate closely with Design and Engineering peers to accelerate product delivery.
**What Makes You a Fit**
* You bring both deep technical craft and hold a high bar for quality and polish
* You operate with autonomy, communicate with clarity, and find energy in helping others move faster
* You care about building elegant systems that scale and unlock better customer outcomes
* You’re motivated by the opportunity to shape the foundation of a fast\-growing company, where even small improvements create outsized impact.
**Why Meter?**
 The internet runs the world. Every purchase you make, video call you join, 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**Compensation**
* The estimated salary range for this role is $163,000 \- $220,000\.
* Additionally, this role is eligible to participate in Meter's equity plan.
 By applying to this job you acknowledge that you've read and understood Meter's Job Applicant Privacy Notice.</t>
        </is>
      </c>
    </row>
    <row r="146">
      <c r="A146" t="inlineStr">
        <is>
          <t>li-4367387549</t>
        </is>
      </c>
      <c r="B146" t="inlineStr">
        <is>
          <t>Software Engineer, Product</t>
        </is>
      </c>
      <c r="C146" t="inlineStr">
        <is>
          <t>Meter</t>
        </is>
      </c>
      <c r="D146" t="inlineStr">
        <is>
          <t>linkedin</t>
        </is>
      </c>
      <c r="E146">
        <f>HYPERLINK("https://www.linkedin.com/jobs/view/4367387549", "https://www.linkedin.com/jobs/view/4367387549")</f>
        <v/>
      </c>
      <c r="F146" t="inlineStr"/>
      <c r="G146" t="inlineStr">
        <is>
          <t>New York, NY</t>
        </is>
      </c>
      <c r="H146" t="inlineStr"/>
      <c r="I146" t="inlineStr">
        <is>
          <t>Our dashboard is the preeminent way our customers and partners interact with our products. It’s where complex networks become simple, where infrastructure decisions become clear, and where businesses gain confidence in their connectivity. As a product engineer at Meter, you’ll shape how companies visualize and interact with the networks that keep them running, transforming dense technical systems into intuitive, elegant, and performant experiences.
**The impact you’ll drive**
* Create data visualizations that go beyond charts. You’ll give businesses real\-time insight into device health, connectivity and performance.
* Ensure every interaction feels instantaneous by improving render, load, and scroll performance
* Adapt our dashboard to shine on any screen
* Build reusable visualization components and design patterns that empower the entire team to move faster.
**What Your Craft Looks Like**
 You will work in TypeScript, React, Vercel, and GraphQL to deliver fast, resilient, and beautiful experiences across varied use cases. That means getting the fundamentals right: well\-tested code, intuitive interfaces, and ensuring swift performance at scale. You’ll evolve Meter’s in\-house Design System, expand reusable components, and collaborate closely with Design and Engineering peers to accelerate product delivery.
**What Makes You a Fit**
* You bring both deep technical craft and hold a high bar for quality and polish
* You operate with autonomy, communicate with clarity, and find energy in helping others move faster
* You care about building elegant systems that scale and unlock better customer outcomes
* You’re motivated by the opportunity to shape the foundation of a fast\-growing company, where even small improvements create outsized impact.
**Why Meter?**
 The internet runs the world. Every purchase you make, video call you join, it's all packets flowing through networks. But those networks haven’t changed for decades. They’re brittle, complex, and surprisingly hard to set up in an enterprise space.
 We started Meter to build better networks. We had to build everything from the ground\-up: designing and building our own enterprise hardware, intuitive software, and streamlined operations to deliver great outcomes for our customers. Today, we build and deploy these networks at scale. Ambitious companies and enduring institutions like Bridgewater, Lyft, Reddit, rely on Meter to keep their thousands of employees and locations online and productive.
**Compensation**
* The estimated salary range for this role is $163,000 \- $220,000\.
* Additionally, this role is eligible to participate in Meter's equity plan.
 By applying to this job you acknowledge that you've read and understood Meter's Job Applicant Privacy Notice.</t>
        </is>
      </c>
    </row>
    <row r="147">
      <c r="A147" t="inlineStr">
        <is>
          <t>li-4367012695</t>
        </is>
      </c>
      <c r="B147" t="inlineStr">
        <is>
          <t>Full Stack Software Engineer</t>
        </is>
      </c>
      <c r="C147" t="inlineStr">
        <is>
          <t>Apple</t>
        </is>
      </c>
      <c r="D147" t="inlineStr">
        <is>
          <t>linkedin</t>
        </is>
      </c>
      <c r="E147">
        <f>HYPERLINK("https://www.linkedin.com/jobs/view/4367012695", "https://www.linkedin.com/jobs/view/4367012695")</f>
        <v/>
      </c>
      <c r="F147" t="inlineStr"/>
      <c r="G147" t="inlineStr">
        <is>
          <t>Cupertino, CA</t>
        </is>
      </c>
      <c r="H147" t="inlineStr"/>
      <c r="I147" t="inlineStr">
        <is>
          <t>**Summary**
 The System Health and Intelligent Platform team in Core OS is looking for a Full Stack Software Development Engineer to lead the architecture and development of essential quality and workflow tooling at scale. The team enables all Core OS engineers to deliver high quality software through best in class engineering experiences, efficient workflow, data driven insights, and a culture of continuous improvement.
**Description**
 You are passionate about software engineering and web services development. You are effective at implementing the right solution for a given problem and you are keeping the user experience in mind. You are an advocate for continuous improvement culture and DevOps concepts in software engineering. You have extensive experience architecting solutions for scalability and testability. You are excited when leading engineering discussions and demonstrating your achievements.
 You’ll work on an internal system that helps thousands of engineers build and test code for operating systems that ship on all Apple devices worldwide
**Responsibilities**
* Build software tools, libraries and Frameworks in Python or Swift to enable test development and execution of tests in automated fashion. Build framework to automate tools for use by software developers, continuous integration systems, log collection, error extraction from reports of test coverage on Apple products.
* Collaborate with development team as well as quality team to identify, build and deploy tools, infrastructure based on the need. Solutions range from python automated tools to cloud service to support complex workflow automation.
* Design automation and solutions to verify complex OS features.
**Minimum Qualifications**
* Proficient in Python/Swift or similar language with some development experience in Unix, Linux, macOS, or iOS
* Data\-oriented mindset
* AI is part of your essential development toolkit
* Bachelor's degree in Computer Science or related courses or 3 years of equivalent work experience.
**Preferred Qualifications**
* Proven professional experience in full stack software development with tech like Postgres or other SQL databases
* Experience with designing and implementing REST and GraphQL APIs
* Product engineering and customer\-centric approach to problems
* Familiarity with Kubernetes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8">
      <c r="A148" t="inlineStr">
        <is>
          <t>li-4367047876</t>
        </is>
      </c>
      <c r="B148" t="inlineStr">
        <is>
          <t>Full Stack Engineer, Payments</t>
        </is>
      </c>
      <c r="C148" t="inlineStr">
        <is>
          <t>Whop</t>
        </is>
      </c>
      <c r="D148" t="inlineStr">
        <is>
          <t>linkedin</t>
        </is>
      </c>
      <c r="E148">
        <f>HYPERLINK("https://www.linkedin.com/jobs/view/4367047876", "https://www.linkedin.com/jobs/view/4367047876")</f>
        <v/>
      </c>
      <c r="F148" t="inlineStr"/>
      <c r="G148" t="inlineStr"/>
      <c r="H148" t="inlineStr"/>
      <c r="I148" t="inlineStr">
        <is>
          <t>**About Whop**
 Our mission is to deliver everyone a sustainable income. We've paid out over $2B to online business owners and we're growing fast. Our engineering team is small, but we are running some of the most critical payment rails on the internet. We ship fast and own what we build.
**About The Role**
 You'll build systems where the stakes are real. Our checkout handles billions in transactions. Businesses depend on us to get paid. That means capturing payments, verifying identity, managing balances, and transferring money needs to be fast and secure. Users trust us with their income and we take that seriously.
**What You'll Do**
* Improve conversion on our checkout page that handles billions in global transaction volume
* Create embeddable SDK payments components to power the next generation of marketplaces
* Add more payment methods and providers to optimize auth rates and global payments reach
* Write world\-class developer docs and interactive playgrounds for developers using our SDKs and components
* Build clean interfaces and APIs for easy KYC, balance management, and withdraws
* Experiment with ways to make payments easier and more accessible
**You'll thrive here if you**
* Have a designer's eye. You notice when spacing is off, when animations feel janky, when flows could be simpler
* Understand that payments UI is a trust exercise
* Have built SDK components that lived inside other people's products
* Comfortable with financial systems and know how money moves
* Ship fast without sacrificing quality
**Why now**
 The checkout experience that has processed $2B needs to handle 100x the volume, while converting even better.
 You'll own surfaces millions of people interact with. Buyers completing purchases, creators checking balances, developers integrating our components. The craft you bring directly impacts whether Whop becomes the default way the internet does business.
 If you've been looking for a high\-stakes role where your taste in UI and systems thinking has real business impact, this is it.
**Benefits Overview**
 ✅ Minimum cash comp of $250,000K \+ a competitive equity package
 ❤️ Unlimited PTO, with full health, vision, dental coverage
 💪 Free access to Equinox
 🏠 $9k annual rent stipend if you live near the office
 🏢 State of the art in\-person office with stocked pantry in the historic Domino Sugar Factory
 🍕 Lunch \&amp; dinner paid for Monday thru Friday
 💻 Ramp card to get you the latest Macbook Pro \&amp; tech accessories</t>
        </is>
      </c>
    </row>
    <row r="149">
      <c r="A149" t="inlineStr">
        <is>
          <t>li-4367387388</t>
        </is>
      </c>
      <c r="B149" t="inlineStr">
        <is>
          <t>Senior Software Engineer</t>
        </is>
      </c>
      <c r="C149" t="inlineStr">
        <is>
          <t>NextPatient</t>
        </is>
      </c>
      <c r="D149" t="inlineStr">
        <is>
          <t>linkedin</t>
        </is>
      </c>
      <c r="E149">
        <f>HYPERLINK("https://www.linkedin.com/jobs/view/4367387388", "https://www.linkedin.com/jobs/view/4367387388")</f>
        <v/>
      </c>
      <c r="F149" t="inlineStr"/>
      <c r="G149" t="inlineStr"/>
      <c r="H149" t="inlineStr"/>
      <c r="I149" t="inlineStr">
        <is>
          <t>**About Nextpatient Product**
 Phone calls, faxing, long waits in a crowded waiting room \-\- going to the doctor can feel like a trip to the DMV. We improve the patient experience by giving doctors a single platform that provides online scheduling, patient intake, text\-to\-pay, smart appointment reminders and two\-way texting. Practices using NextPatient can see more patients, provide a better patient experience, and reduce their front office work.
**WHO IS NEXTPATIENT?**
 Patients demand a modern, consumer experience when interacting with their doctor. Booking an appointment online is a key deciding factor when a patient picks a new doctor. When medical practices offer online scheduling and other digital communications, new patients are won and existing patients remain happy. Virtually every medical practice has staffing issues which creates a very high call volume. Despite this, most medical practice still use the phone as a primary means of patient appointment scheduling and communications. This puts an undue burden on the operations team and creates a frustrating patient experience. NextPatient solves this.
 NextPatient is a SaaS company that serves specialty medical practices like Dermatology, Plastic Surgery, MedSpa, Ophthalmology and others. Key services include online scheduling, appointment reminders, post\-visit surveys, digital check\-in and payments. Our technology is differentiated with best\-in\-class API integrations into Practice Management systems. This allows for real\-time and bi\-directional data transfer between patients and the practice. Our team drives results for clients in three main value buckets: patient friendly digital experience (booking/texting) and, for the practice, less phone calls and more new patient ‘conversions’ from their website. This cross section of value propositions creates great selling conditions. Our company is bootstrapped and profitable. For this reason, we have a high degree of business stability and employee retention.
**SENIOR SOFTWARE ENGINEER \| JOB DESCRIPTION**
* Develops software solutions by studying information needs, conferring with users, studying systems flow, data usage, and work processes; investigating problem areas; and following the software development lifecycle.
* Determines operational feasibility by evaluating analysis, problem definition, requirements, solution development, and proposed solutions.
* Documents and demonstrates solutions by developing documentation, code comments, and clear code.
* Prepares and installs solutions by determining and designing system specifications, standards, and programming.
* Protects operations by keeping information confidential.
* Provides information by collecting, analyzing, and summarizing development and service issues.
* Accomplishes engineering and organization mission by completing related results as needed.
* Supports and develops software engineers by providing advice, coaching, and educational opportunities.
**STRONG CANDIDATES WILL HAVE**
* B.A. or B.S. in computer science, information technology, or related discipline
* 3\+ years of software development experience in Python \+ Postgres \+ Javascript
* Exceptional time management skills
* Strong ability to solve problems and troubleshoot
* Excellent listening and discovery skills
* Results\-oriented
* Get it done attitude
* Values the positive business impact of personal contributions
* Does not require oversight or management to get to goal
* Sense of urgency, promptness, and integrity
* SaaS experience \- preferred
* Healthcare experience – preferred
**Candidate Requirements**
 If you choose to apply, please mention what about our business intrigues you and specifically how you could help us grow and deliver value to clients.</t>
        </is>
      </c>
    </row>
    <row r="150">
      <c r="A150" t="inlineStr">
        <is>
          <t>li-4367368178</t>
        </is>
      </c>
      <c r="B150" t="inlineStr">
        <is>
          <t>Associate Software Engineer</t>
        </is>
      </c>
      <c r="C150" t="inlineStr">
        <is>
          <t>Tubi</t>
        </is>
      </c>
      <c r="D150" t="inlineStr">
        <is>
          <t>linkedin</t>
        </is>
      </c>
      <c r="E150">
        <f>HYPERLINK("https://www.linkedin.com/jobs/view/4367368178", "https://www.linkedin.com/jobs/view/4367368178")</f>
        <v/>
      </c>
      <c r="F150" t="inlineStr"/>
      <c r="G150" t="inlineStr"/>
      <c r="H150" t="inlineStr"/>
      <c r="I150" t="inlineStr">
        <is>
          <t>**About the Role:**
 The Tubi Builder’s Program is designed for early\-career professionals in Product, Engineering, Machine Learning, Design and Data Science who are passionate about building products that impact millions of users. The Software Engineering Track is designed for early\-career engineers who want to build real products and systems, not just learn in isolation. Over the course of the program, Software Engineers will rotate through multiple teams spanning backend services and client\-facing development.
 You will work on production systems used by millions of viewers, contributing to both client experiences and the backend platforms that power them. Rather than a purely academic rotation, this role emphasizes hands\-on ownership, shipping code, and learning by building. You’ll gain exposure to distributed systems, APIs, client applications, and modern development tooling.
 This program is ideal for candidates who are curious, adaptable, and excited to work across multiple software engineering domains while developing expertise in cutting\-edge technology.
**What You'll Do:**
* Design, build, and maintain production\-quality software across different teams.
* Contribute to scalable services, APIs, and data pipelines that power Tubi’s core experience
* Apply computer science fundamentals—including data structures, algorithms, and system design—to real\-world problems
* Debug, test, and improve system performance, reliability, and observability
* Collaborate closely with engineers, product managers, and designers to ship features end\-to\-end
* Learn and apply best practices in distributed systems, microservices, cloud\-native development, and AI tools
* Participate in code reviews, design discussions, and engineering\-wide initiatives
**Qualifications**
**Minimum Requirements:**
* Bachelor’s or Master’s degree in Computer Science or a related field
* Strong programming skills in at least one general\-purpose language (e.g., JavaScript, Rust, Python, Java, C\+\+, Go, Scala)
* Solid understanding of data structures, algorithms, and software fundamentals
* Passion for building systems that work in production, not just prototypes
* Ability to learn quickly, take feedback, and collaborate in a team environment
* Clear communication skills and a pragmatic approach to problem\-solving
**Preferred Qualifications** 
 :
* Work experience: Up to three years of combined professional experience, including internships
* Experience in software engineering areas (e.g., internship, research assistant, or work experience)
* Familiarity with service meshes, gRPC/Protocol Buffers, RESTful API design, Kubernetes, and observability solutions
* Experience building side projects, contributing to open source, or developing practical tools
* Familiarity with functional programming (e.g. Elixir, Erlang, Haskell) and AI\-assisted programming tools
**Program Eligibility Requirements:**
* GPA Requirement: Minimum 3\.0 GPA
* Application Deadline: February 15, 2026
* Program Timeline: Minimum 18 month commitment, starting Aug 2026, after which successful participants will transition into non\-rotational full\-time roles
* Work Schedule: Full\-time, hybrid in San Francisco with office day requirements
* Work Authorization: Must have U.S. work authorization; we are unable to sponsor visas for this program
* Committed and available to work for the entire 18 month length of the program
**About the Program:**
 Our Tubi Builder’s Program is structured to accelerate the careers of future engineering leaders by providing them with hands\-on experience across multiple product domains. Through structured rotations, mentorship, and executive exposure, Builders gain strategic experience, preparing them for a full\-time software engineering role.
 By the end of the program, you will:
* Ship code that directly impacts millions of users
* Learn how large\-scale streaming systems operate in the real world
* Gain experience across different engineering teams, not just a single narrow area
* Develop strong engineering judgment through ownership and mentorship
* Build a foundation for long\-term growth as a well\-rounded, production\-focused software engineer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$122,000—$127,000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151">
      <c r="A151" t="inlineStr">
        <is>
          <t>li-4359364349</t>
        </is>
      </c>
      <c r="B151" t="inlineStr">
        <is>
          <t>Software Engineer I - Open Distribution (New Grad)</t>
        </is>
      </c>
      <c r="C151" t="inlineStr">
        <is>
          <t>StubHub</t>
        </is>
      </c>
      <c r="D151" t="inlineStr">
        <is>
          <t>linkedin</t>
        </is>
      </c>
      <c r="E151">
        <f>HYPERLINK("https://www.linkedin.com/jobs/view/4359364349", "https://www.linkedin.com/jobs/view/4359364349")</f>
        <v/>
      </c>
      <c r="F151" t="inlineStr"/>
      <c r="G151" t="inlineStr">
        <is>
          <t>Los Angeles, CA</t>
        </is>
      </c>
      <c r="H151" t="inlineStr"/>
      <c r="I15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Open Distribution is a brand\-new area within StubHub’s product and tech organization, where we are building the future of partner inventory synchronization. As an
 **SDE\- I** 
 on the Open Distribution team, you will contribute to the development and evolution of 0\-to\-1 systems that power millions of ticket transactions. You’ll leverage AI\-driven tooling, agents, and automation to accelerate and simplify integrations, enabling our platform to scale rapidly using LLMs and tools such as OpenAI and Claude models
 This role is designed for
 **early\-career engineers** 
 and
 **new graduates** 
 who want hands\-on production experience, strong mentorship, and exposure to modern engineering practices,
 **including AI\-assisted development and GenAI tools such as Claude** 
 , in a collaborative team environment. You’ll work closely with Staff Engineers, Senior Engineers, and SDE II peers, contributing meaningful code while growing your technical skills.
*Location: Hybrid (3 days in office/2 days remote) – Century City, CA*
**What You'll Do**
*AI Tooling and Infrastructure:*
* Use AI\-assisted development tools (including Claude and other GenAI technologies) to support debugging, learning, documentation, and developer productivity
*New Feature Development*
* Implement features, enhancements, and bug fixes in backend services that support partner inventory ingestion, synchronization, and marketplace publishing
* Learn and apply distributed systems concepts, including event\-driven architectures, APIs, and data processing pipelines
* Participate in code reviews, design discussions, pairing sessions, and team collaboration
* Contribute to improving partner\-facing APIs, error handling, and internal tooling
* Learn how to diagnose production issues using logging, monitoring, and observability tools
**Why You’ll Love This Team**
* Gain hands\-on experience using GenAI tools like Claude as part of real\-world engineering workflows
* Contribute to high\-impact systems used by millions of customers and partners
* Take ownership of production code early in your career, with guidance and support
* Grow on a team that values collaboration, curiosity, feedback, and continuous learning
**What You've Done**
* Recent graduate or software engineer with up to \~2 years of experience (including internships, co\-ops, or substantial academic projects)
* Strong understanding of computer science fundamentals, including data structures and algorithms
* Familiarity with at least one backend programming language like Java, Python, or Golang
* Basic experience building or consuming APIs and experience working with LLM frameworks and AI Platforms such as Anthropic or ChatGPT either in school or on side projects
* Bachelor’s degree in Computer Science, Data Science, Engineering, or a related technical field, or equivalent hands\-on experience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$120,000—$150,000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52">
      <c r="A152" t="inlineStr">
        <is>
          <t>li-4367355268</t>
        </is>
      </c>
      <c r="B152" t="inlineStr">
        <is>
          <t>Senior Software Engineer, Flow</t>
        </is>
      </c>
      <c r="C152" t="inlineStr">
        <is>
          <t>Harmonic</t>
        </is>
      </c>
      <c r="D152" t="inlineStr">
        <is>
          <t>linkedin</t>
        </is>
      </c>
      <c r="E152">
        <f>HYPERLINK("https://www.linkedin.com/jobs/view/4367355268", "https://www.linkedin.com/jobs/view/4367355268")</f>
        <v/>
      </c>
      <c r="F152">
        <f>HYPERLINK("https://grnh.se/42fee93f5us&amp;urlHash=4V7v", "https://grnh.se/42fee93f5us&amp;urlHash=4V7v")</f>
        <v/>
      </c>
      <c r="G152" t="inlineStr">
        <is>
          <t>New York, NY</t>
        </is>
      </c>
      <c r="H152" t="inlineStr"/>
      <c r="I152" t="inlineStr">
        <is>
          <t>**About us**
 Harmonic is the startup discovery engine.
 It pains us to see great startup opportunities consistently go undiscovered. So, we dedicated ourselves to mapping out the startup landscape and building the tools that ensure the most promising founders get found and funded.
 The world's largest and most prolific venture capital firms (as well as the up\-and\-comers you haven't heard of yet) rely on us to find and invest in the next Google, AirBnB, Uber, Stripe, and Anduril. We play a crucial part in ensuring hundreds of billions of dollars get routed efficiently and that the innovations the world would most benefit from materialize.
 We're growing revenue at a rate of 100%\+ annually and already power thousands of investors' workflow. Backed by $30M from investors like Craft, Floodgate, and Sozo Ventures, we want to power the entire investment workflow from discovery to term sheet. If you resonate with our values and want to fundamentally evolve how venture capital markets work, come join us.
**About Flow**
 Flow is Harmonic's next generation AI\-native workflow tool; the central operating hub for venture capital, collapsing multiple traditional software categories into one platform for sourcing, researching and triaging investment opportunities.
 Flow turns Harmonic into a system of record and context \- enabling customers to sync their internal network and business data and combine it with Harmonic's knowledge graph of tens of millions of companies and hundreds of millions of people, each enriched with 400\+ dimensions. This enables context\-aware, actionable workflows and insights (agentic and otherwise) \- at scale.
 While Flow has strong initial traction from users, it is still in its early days \- you will be key in releasing and marketing the product widely, and scaling up the user base.
 To learn more about the team:
* Explore Working with Sang and Working with Miguel
* Check out your teammates Apoorva Gupta, Ali Hashemi, Samrat Luintel and Kenny Xu
* Explore the Team Page. We're a mix of ex\-founders and seasoned engineers from top engineering institutions like Google, LinkedIn, Microsoft and Meta.
**The role**
**In this role, you will:** 
* Lead end to end feature development, building towards a AI\-native, "above the line" deal flow tracking experience. For example:
+ Natural\-language\-defined notifications to enable users to receive rich alerts about the companies in their scope based on hyper\-customized criteria
+ A seamless, one\-click migration experience to enable customers to port data they want mapped onto their Harmonic instance from their internal tools/systems
+ Ambient agents that research, produce prep materials, and triage opportunities for users based on their calendar and email engagements
* Prototype and productionize novel AI\-first design patterns that require solving problems across the stack. This ranges from building complex personalized workflows predicated on large, constantly\-updating customer and user specific data to building online and background agents.
* Hear and learn from venture investors at the industry's top firms to understand their pain\-points and design solutions to address them
* "Get Shit Done"; you get your dopamine from seeing your users thrive with what you've built
**We're specifically looking for top 1% engineers who have:**
* 5\+ years of full\-stack software engineering experience, with flexibility for exceptional candidates. This role is 70/30 back\-end leaning.
* A record of shipping high\-quality product. We're excited to hear about the major releases you've driven over the past several years.
* Experience quickly turning ambiguity into clarity \- building scalable, performant, and observable frontend and backend systems from first principles while balancing technical, product, and organizational tradeoffs.
* An interest in venture capital and the startup ecosystem.
**Pay:**
 $180k\-$220k Salary \+ Equity depending on the level
 Our stack
 The Process
 Here's our interview process:
* Recruiter Screening: 20 mins
* Technical Screening (Debugging): 45 mins
* Technical Screening (System Design): 45 mins
* Technical Screening (Coding): 2 hrs \&amp; behavioral interview with Head of Eng: 30 min
* Chat with our CEO: 30 min
* References
**Benefits**
* 🩺 Top of the line health, dental and vision insurance, with 100% premium covered
* 📈 401k matching
* 🍜 Free lunch in office
* 🍣 Monthly team dinner (we have a lot of foodies) for each office
* 🚂 Commuter benefits</t>
        </is>
      </c>
    </row>
    <row r="153">
      <c r="A153" t="inlineStr">
        <is>
          <t>li-4315983180</t>
        </is>
      </c>
      <c r="B153" t="inlineStr">
        <is>
          <t>Backend Software Engineer</t>
        </is>
      </c>
      <c r="C153" t="inlineStr">
        <is>
          <t>Outset</t>
        </is>
      </c>
      <c r="D153" t="inlineStr">
        <is>
          <t>linkedin</t>
        </is>
      </c>
      <c r="E153">
        <f>HYPERLINK("https://www.linkedin.com/jobs/view/4315983180", "https://www.linkedin.com/jobs/view/4315983180")</f>
        <v/>
      </c>
      <c r="F153">
        <f>HYPERLINK("https://jobs.ashbyhq.com/outset/55d672a5-823b-4ad3-9e06-5c7f8aff529a/application?utm_source=kA5YYoPP2m&amp;urlHash=bgP7", "https://jobs.ashbyhq.com/outset/55d672a5-823b-4ad3-9e06-5c7f8aff529a/application?utm_source=kA5YYoPP2m&amp;urlHash=bgP7")</f>
        <v/>
      </c>
      <c r="G153" t="inlineStr">
        <is>
          <t>San Francisco, CA</t>
        </is>
      </c>
      <c r="H153" t="inlineStr"/>
      <c r="I153"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$150K \- $230K</t>
        </is>
      </c>
    </row>
    <row r="154">
      <c r="A154" t="inlineStr">
        <is>
          <t>li-4367366146</t>
        </is>
      </c>
      <c r="B154" t="inlineStr">
        <is>
          <t>Senior Software Engineer</t>
        </is>
      </c>
      <c r="C154" t="inlineStr">
        <is>
          <t>KPI Solutions</t>
        </is>
      </c>
      <c r="D154" t="inlineStr">
        <is>
          <t>linkedin</t>
        </is>
      </c>
      <c r="E154">
        <f>HYPERLINK("https://www.linkedin.com/jobs/view/4367366146", "https://www.linkedin.com/jobs/view/4367366146")</f>
        <v/>
      </c>
      <c r="F154" t="inlineStr"/>
      <c r="G154" t="inlineStr">
        <is>
          <t>Cincinnati, OH</t>
        </is>
      </c>
      <c r="H154" t="inlineStr"/>
      <c r="I154" t="inlineStr">
        <is>
          <t>Software Developer (Level II\-III) — GTP / HT
 We are seeking a strong mid\-to\-senior level Software Developer to support delivery on the GTP / HT program. This role is critical to stabilizing execution on a highly visible, schedule\-driven initiative. The ideal candidate can contribute immediately, operate independently, and thrive in a complex, high\-stakes environment.
**Key Responsibilities**
* Deliver high\-quality software across the Opto platform and supporting legacy systems
* Leverage, extend, and contribute to the shared Framework in connector and platform development
* Own features and technical problem areas end\-to\-end, from design through implementation and stabilization
* Proactively identify, communicate, and escalate delivery risks and blockers
* Collaborate closely with architects, product owners, and adjacent engineering teams
* Improve engineering standards, reuse, and patterns to reduce delivery friction and long\-term complexity
**Preferred Attributes**
* Experience operating in delivery\-constrained or high\-pressure environments
* Comfort stepping into informal leadership or lead\-adjacent responsibilities when needed
* Willingness to evangelize shared frameworks and contribute to platform\-level improvements
* Personal artwork or creative output in personal development pursuits (e.g., open\-source projects, technical writing, tools, visualizations, or other demonstrable creative work)
**Leveling Expectation**
 This role is not entry\-level. The expectation is a Level II\-III developer who can contribute immediately, help restore delivery momentum, and operate with minimal oversight.
**Requirements**
* Bachelor's degree in computer science, Software Engineering, or a related field, with 5\-7 years of professional software development experience; or a provable equivalent level of professional experience for candidates without a formal degree
* Strong proficiency in Java and Spring Boot, with experience building and maintaining backend services
* Experience working in distributed systems, including performance, reliability, and failure\-mode considerations
* Ability to context switch effectively between modern platforms and legacy systems
* Demonstrated ownership mindset with the ability to operate autonomously in ambiguous environments
* Strong written and verbal communication skills, with a focus on clarity and proactive risk visibility
**Benefits**
* Medical Insurance
* Dental Insurance
* Vision Insurance
* Health Care Concierge Service
* 401(k) Retirement Plan (Pre\-tax \&amp; Roth)
* Company paid Basic Life Insurance, Short\-Term Disability \&amp; Long\-Term Disability
* Voluntary Life \&amp; AD\&amp;D Insurance
* Voluntary Accident, Critical Illness \&amp; Hospital Indemnity Insurance
* Pet Insurance
* Milk Stork Program
* Wellness Program with gift card redemption and wellness challenges
* Paid Time Off (Vacation, Sick \&amp; 10 Holidays)
* Training \&amp; Development
*KPI Solutions provides equal employment opportunity to all individuals regardless of their race, color, creed, religion, gender, age, sexual orientation, national origin, disability, veteran status, or any other characteristic protected by states, federal, or local law.*</t>
        </is>
      </c>
    </row>
    <row r="155">
      <c r="A155" t="inlineStr">
        <is>
          <t>li-4344091028</t>
        </is>
      </c>
      <c r="B155" t="inlineStr">
        <is>
          <t>Software Engineer II</t>
        </is>
      </c>
      <c r="C155" t="inlineStr">
        <is>
          <t>Ripple</t>
        </is>
      </c>
      <c r="D155" t="inlineStr">
        <is>
          <t>linkedin</t>
        </is>
      </c>
      <c r="E155">
        <f>HYPERLINK("https://www.linkedin.com/jobs/view/4344091028", "https://www.linkedin.com/jobs/view/4344091028")</f>
        <v/>
      </c>
      <c r="F155" t="inlineStr"/>
      <c r="G155" t="inlineStr">
        <is>
          <t>San Francisco, CA</t>
        </is>
      </c>
      <c r="H155" t="inlineStr"/>
      <c r="I15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In this role, As a Software Engineer II, you will be one of the core engineers within Ripple’s central Data Engineering. This team implements the data ingestion and transformation for analytics, machine learning and powering various business functions at Ripple. You are curious about the bottlenecks and failure modes of a system and look for opportunities to continually improve cost/performance characteristics. You are hands\-on in driving key technical decisions, ensuring the right tradeoffs are made to deliver high\-quality results and deliver high, measurable customer value. You work well across functions and teams, including data science, product, application engineering, compliance, finance and others. Your passion for good engineering is complemented by strong instincts to deliver value.
**What you’ll do:** 
* Highly efficient in shipping solutions to both large and small projects.
* Can handle ambiguity in requirements and can define and propose solutions for them.
* Writes, presents, and gets agreement on the design document for a project highlighting the architecture, timelines and alternatives considered.
* Owns the development and rollout for a small to mid\-sized projects.
* Writes clean tech specs and identifies risks before starting major projects.
* Recognizes trade\-offs and identifies impact/risks between alternative solutions.
* Improves code structure and architecture in data pipelines of testability and maintainability.
* Plays an active role in breaking down initiatives that span multiple sprints and tasks.
* Leads feature development with 1\-2 collaborators.
 What you'll bring:
 * Proficient( 3 \- 6yrs) in at least one primary programming language (e.g. Python, Scala) and comfortable working with SQL
* Experienced in at least one Data Warehouse or data lake platforms such as Databricks
* Ability to write sophisticated code and comfortable with picking up new technologies independently.
* Enjoy helping teams push the boundaries of analytical insights, creating new product features using data, and powering machine\-learning models.
* Familiar with developing distributed systems with experience in scalable data pipelines
* Familiar with data technologies like Spark or Flink and comfortable in engineering data pipelines using these technologies on financial datasets.
* Experience with RESTful APIs and server\-side APIs integration
* Highly or conceptually familiar with AWS cloud resources (S3, Lambda, API Gateway, Kinesis, Athena, etc.,)
* Experience in orchestrating CI/CD pipelines using GitLab, Helm, and Terraform.
* Appreciate the importance of excellent documentation and data debugging skills.
* Excel at taking vague requirements and crystallizing them into scalable data solutions
* Excited about operating independently, demonstrating perfection, and learning new technologies and framework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$140,000 USD \- $174,999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56">
      <c r="A156" t="inlineStr">
        <is>
          <t>li-4367377611</t>
        </is>
      </c>
      <c r="B156" t="inlineStr">
        <is>
          <t>Full-Stack Software Developer</t>
        </is>
      </c>
      <c r="C156" t="inlineStr">
        <is>
          <t>Inersia AE. Consultant, PT</t>
        </is>
      </c>
      <c r="D156" t="inlineStr">
        <is>
          <t>linkedin</t>
        </is>
      </c>
      <c r="E156">
        <f>HYPERLINK("https://www.linkedin.com/jobs/view/4367377611", "https://www.linkedin.com/jobs/view/4367377611")</f>
        <v/>
      </c>
      <c r="F156" t="inlineStr"/>
      <c r="G156" t="inlineStr"/>
      <c r="H156" t="inlineStr"/>
      <c r="I156" t="inlineStr">
        <is>
          <t>**Senior Full\-Stack Software Developer**
 🔥 Since our Series A last year, we've become one of the fastest\-growing startups to hit Series\-B metrics, and now we're hiring for a Senior Full\-Stack Software Developer to join our team to work on building the foundations of our products and vision.
 We're looking for talented and motivated developers with 4\+ years of experience. Our developers own products from end\-to\-end. If you're interested in building elegant software with far\-reaching effects in our modern healthcare landscape, join us!
 What You'll Do
* Design initial feature specifications.
* Build robust backend APIs.
* Write intuitive frontend code.
* Oversee ongoing improvements for launched products.
* Drive projects from concept to completion in an environment of autonomy and creativity.
* Shape not just our product, but our culture: who you work with, and how we all work together.
* Make foundational technical decisions critical to the company's success.
* Work incredibly closely with co\-founders, investors, and customers to deeply understand problems and build the best product.
 Our current stack includes:
 **React, React Native, Typescript, and Firebase.**
 How We Work
* We're a hybrid team with members across Canada and the US.
* Our main tools of collaboration are Slack, Notion, Figma, Google Meets, and email.
* We foster an environment where you can learn the inner workings of a growing startup.
* You'll contribute during investor meetings and demonstrate your features to potential customers.
* We genuinely expect you to take advantage of this learning opportunity of a lifetime, even to potentially start your own venture in the future.
**About You**
 We're looking for a
 **product\-minded developer** 
 who:
* Actively engages with the 'why' behind what they're building.
* Has a thirst for using technologies to leapfrog human problems.
* Has a strong track record of bringing products to life.
* Has experience in a backend framework (like Node).
* Is proficient with the staples of full\-stack web development: HTML, JavaScript, and CSS.
* Understands the balance between moving fast and building for the long haul in an early\-stage startup.
* Can minimize scope, prioritize ruthlessly, and implement rigorously.
* Takes ownership and sees things through to completion.
* Can take a stand yet commit even when they disagree.
* Doesn't need heavy direction and enjoys the 'grey' areas.
* Likes open\-ended problems and thrives in the face of uncertainty – the elements of a startup environment.
 Our Interview Process
 Our interview process is designed to be thorough and respectful of your time:
* Take\-Home Assignment: A practical exercise to assess your coding skills.
* Technical Interview: A deeper dive into your technical expertise and problem\-solving.
* Team Interview: An opportunity to meet potential teammates and discuss collaboration.
 Ready to make a significant impact at a fast\-growing health\-tech startup?
 **Apply now to join our team!**
 Compensation Range: $140K \- $200K</t>
        </is>
      </c>
    </row>
    <row r="157">
      <c r="A157" t="inlineStr">
        <is>
          <t>li-4367385361</t>
        </is>
      </c>
      <c r="B157" t="inlineStr">
        <is>
          <t>Senior Software Engineer (Full Stack)</t>
        </is>
      </c>
      <c r="C157" t="inlineStr">
        <is>
          <t>ZenBusiness</t>
        </is>
      </c>
      <c r="D157" t="inlineStr">
        <is>
          <t>linkedin</t>
        </is>
      </c>
      <c r="E157">
        <f>HYPERLINK("https://www.linkedin.com/jobs/view/4367385361", "https://www.linkedin.com/jobs/view/4367385361")</f>
        <v/>
      </c>
      <c r="F157">
        <f>HYPERLINK("https://job-boards.greenhouse.io/zenbusiness/jobs/5037879007&amp;urlHash=A9C9", "https://job-boards.greenhouse.io/zenbusiness/jobs/5037879007&amp;urlHash=A9C9")</f>
        <v/>
      </c>
      <c r="G157" t="inlineStr"/>
      <c r="H157" t="inlineStr"/>
      <c r="I157" t="inlineStr">
        <is>
          <t>**Who We Are**
 We started our company to help others launch and run their own businesses, at any stage. The way we help is by keeping it simple and supporting entrepreneurs one step at a time. Put simply: our mission is to enable anyone to start, run, and grow their business while avoiding the common pitfalls that derail hopeful entrepreneurs. No more having to wade through forms, taxes, or ongoing state compliance.
 We are a remote company based in Austin, Texas. We have team members from Florida to Oregon and all points in\-between. Take pride in your work knowing that it shapes how people all across the country reach their goal of starting, running, and growing their business.
 If the idea of helping people and working with a genuinely caring, supportive team excites you, then you’ve come to the right place.
**The Role**
 We’re seeking a Senior Full Stack Engineer to join our Products team. You’ll get experience in building, expanding and maintaining a diverse product suite including compliance, licensing, finance, and websites that drive into company goals.
 This is an opportunity to work with a fast paced detailed oriented team of engineers. The team uses an AI first strategy to scale our products and systems with a focus on React, Node, Python and supporting technologies. We strive to ensure our systems are scalable, reliable, and customer\-focused.
 This team reports to a Senior Engineering Manager and is fully remote.
**Responsibilities**
* Design, develop, test, and maintain scalable, high\-quality software solutions in an agile, AI\-first environment, delivering value through iterative and data\-driven development.
* Build and maintain full\-stack applications using React on the frontend and Node.js on the backend, with Python used where appropriate.
* Collaborate closely with product managers, designers, and other engineers to translate business and user needs into well\-designed technical solutions.
* Apply and advocate for coding standards, best practices, and architectural guidelines, ensuring code is clean, maintainable, well\-tested, and secure.
* Utilize and integrate supporting technologies such as Google Cloud Platform (GCP), Snowflake, and Confluence to enable scalable infrastructure, data\-driven insights, and effective documentation.
* Perform code reviews with a strong attention to detail, providing thoughtful feedback that improves quality and supports team learning.
* Actively participate in agile ceremonies, contributing ideas to improve team processes, delivery, and technical direction.
* Demonstrate initiative and ownership by identifying opportunities for improvement, proposing new tools, patterns, or approaches, and helping drive them to adoption.
* Stay current with evolving technologies—especially in AI\-enabled development\- and show a willingness to learn, experiment, and share knowledge with the team.
* Mentor and support other engineers, helping raise the overall technical bar and foster a collaborative, inclusive team culture.
**Qualifications**
* 6\+ years of professional software engineering experience, with a strong focus on full\-stack development.
* Proven expertise in building modern web applications using React (including hooks, state management, and component\-driven design).
* Backend development experience with Node.js, including building scalable services and APIs.
* Hands\-on experience designing and implementing RESTful APIs and GraphQL schemas and resolvers.
* Strong proficiency in JavaScript and modern ES standards.
* Experience with CI/CD pipelines, automated testing, and deployment best practices.
* Familiarity with cloud\-based platforms, preferably Google Cloud Platform (GCP).
* Experience with data platforms or analytics tools such as Snowflake is a plus.
* Strong grasp of software design principles, coding standards, and scalable architecture.
* Experience working in agile development environments
* High attention to detail and a commitment to delivering high\-quality, maintainable, and well\-tested code.
* Demonstrated ability to learn and adopt new technologies quickly, including AI\-enabled tools and workflows.
* Strong collaboration and communication skills, with the ability to work effectively across cross\-functional teams.
* A proactive, self\-directed mindset with a track record of suggesting new ideas, improving processes, and contributing to technical direction.
* Experience mentoring other engineers or a willingness to support team growth.
**Bonus Qualifications**
* Experience with Python
* Ability to take ownership of features and projects from design through production
**Remote Culture.** 
 A great company culture leads to happy employees, and happy employees lead to happy customers. We provide our employees with good salaries, benefits, equity, and interesting challenges that have a positive impact.
**Let’s stay connected!** 
 We believe in staying connected, and we have a weekly “All Hands” meeting every week. We also have a social committee that hosts frequent events. We’ve held a virtual talent show, costume competitions, monthly lunch and learn series, Hackathons and more!
**Benefits.** 
 The company offers various benefits to employees and their dependents, including medical, vision, dental, disability, and life insurance, as well as parental and military leave. Other benefits include an employee assistance program, 401k \+ match, annual bonus, pet insurance, and RSUs. Paid parking\* and 10 paid holidays are also provided.
**Diversity, Equity and Inclusion.** 
 We believe in diversity, equity \&amp; inclusion. At ZenBusiness, every voice counts no matter your race, ethnicity, gender, sexual orientation, age, location, or background. We celebrate the diversity of our teams, knowing that our products, services, and customers thrive best when we lean into and celebrate our differences.
 Please check out our careers' page to learn more about our culture, benefits, and open opportunities.
* applicable to in\-office employees</t>
        </is>
      </c>
    </row>
    <row r="158">
      <c r="A158" t="inlineStr">
        <is>
          <t>li-4367040819</t>
        </is>
      </c>
      <c r="B158" t="inlineStr">
        <is>
          <t>Software Engineer (Medical Device)</t>
        </is>
      </c>
      <c r="C158" t="inlineStr">
        <is>
          <t>Illuminant Surgical</t>
        </is>
      </c>
      <c r="D158" t="inlineStr">
        <is>
          <t>linkedin</t>
        </is>
      </c>
      <c r="E158">
        <f>HYPERLINK("https://www.linkedin.com/jobs/view/4367040819", "https://www.linkedin.com/jobs/view/4367040819")</f>
        <v/>
      </c>
      <c r="F158">
        <f>HYPERLINK("https://www.ycombinator.com/companies/illuminant-surgical/jobs/3APiz7G-software-engineer-medical-device?utm_source=syn_li&amp;urlHash=LXc4", "https://www.ycombinator.com/companies/illuminant-surgical/jobs/3APiz7G-software-engineer-medical-device?utm_source=syn_li&amp;urlHash=LXc4")</f>
        <v/>
      </c>
      <c r="G158" t="inlineStr">
        <is>
          <t>Los Angeles, CA</t>
        </is>
      </c>
      <c r="H158" t="inlineStr"/>
      <c r="I158" t="inlineStr">
        <is>
          <t>**⚠️ Please only apply if you are available for an in\-person role in Los Angeles. ⚠️**
 We are looking for a Software Engineer to help bring our surgical navigation system to market.
 This role presents the unique opportunity to use your skills in writing production\-ready software to make an incredible impact on clinical care.
 Your first year at Illuminant will involve working in a team of committed clinicians and engineers to bring the product from prototype to commercial use in the operating room. You will help identify the gaps in product readiness for regulatory approval, finalize features for commercial use, and build processes to allow us to deploy safe and effective software. You will work on topics across rendering, projection mapping, point cloud registration, medical image segmentation, and 3D sensing.
 Our ideal candidate is motivated to bring products from R\&amp;D into the hands of users, and has deep experience in working with production\-ready code in regulated environments, preferably in medical devices. They can build software with regulatory standards and documentation in mind. They will have a strong interest in high performance computer graphics, augmented reality, computer vision, and computational modeling, especially in the context of medical software. They will be fluent in C\+\+, C\# and Python. They will have some experience in developing desktop applications for Windows and developing high quality user interfaces. They value and can institute modern, high\-quality code development practices. They are energized by the accelerated growth, deep autonomy, and trajectory\-setting impact that comes with joining as an early engineer.
**📝 What You Will Do**
* Transform a polished prototype into a market\-ready product.
* Design, implement, test, debug, optimize, and deploy high quality software
* Architect, implement, and refine high quality software development processes which touch on documentation, tests, releases, and more
* Make design tradeoffs and translate product features into engineering specifications and projects.
* Collaborate with and support other teammates in part selection, system integration, and system debug efforts.
* Propose and lead future software development efforts.
* Maintain comprehensive architecture and design documentation.
* Communicate technical ideas in written and oral media, such as peer\-reviewed papers, company blogs, and invited talks.
**🏅 Your Qualifications**
* Committed to learning and using new skills to get the job done.
* Excellent fluency in (and intricate knowledge of) C\+\+, C\#, Python.
* Excellent foundation in modern software development processes, such as version control.
* Deep experience with deploying production quality code for safety\-critical or real\-time systems.
* Deep experience with medical and clinical applications.
* Deep experience with FDA guidance related to medical device software, such as those dealing with SOUP and cybersecurity
* Experience with user interface design.
* Experience with quality systems.
* Experience with software security.
* Comfortable with Windows desktop application development.
* Comfortable with optimizing algorithms for latency, throughput, and hardware constraints.
* Familiarity with dynamic projection mapping a plus.
* Familiarity with computer graphics and computer vision a plus.
* Familiarity with modern 3D graphics engines, such as Unity a plus.
* Familiarity with 3D imaging modalities (stereo, structured light, time of flight) and working with 3D data a plus.
* Preferred MS in Computer Science, Electrical Engineering, or related discipline.
* Preferred 3\+ years of industry experience.</t>
        </is>
      </c>
    </row>
    <row r="159">
      <c r="A159" t="inlineStr">
        <is>
          <t>li-4356448233</t>
        </is>
      </c>
      <c r="B159" t="inlineStr">
        <is>
          <t>Software Engineer (Back End)</t>
        </is>
      </c>
      <c r="C159" t="inlineStr">
        <is>
          <t>Datasite</t>
        </is>
      </c>
      <c r="D159" t="inlineStr">
        <is>
          <t>linkedin</t>
        </is>
      </c>
      <c r="E159">
        <f>HYPERLINK("https://www.linkedin.com/jobs/view/4356448233", "https://www.linkedin.com/jobs/view/4356448233")</f>
        <v/>
      </c>
      <c r="F159">
        <f>HYPERLINK("https://datasite.wd1.myworkdayjobs.com/datasite/job/USA\u002d\u002d-NY\u002d\u002d-New-York-City/Software-Engineer\u002d\u002dBack-End-_R35888-1?source=LinkedIn&amp;urlHash=UEJ5", "https://datasite.wd1.myworkdayjobs.com/datasite/job/USA\u002d\u002d-NY\u002d\u002d-New-York-City/Software-Engineer\u002d\u002dBack-End-_R35888-1?source=LinkedIn&amp;urlHash=UEJ5")</f>
        <v/>
      </c>
      <c r="G159" t="inlineStr">
        <is>
          <t>New York, NY</t>
        </is>
      </c>
      <c r="H159" t="inlineStr"/>
      <c r="I159"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As a
 **Backend** 
**Software Engineer** 
 , you build on your foundational skills by independently delivering moderately complex features and shaping how we work as a team. You take ownership of your work, collaborate closely with teammates and stakeholders, and begin to influence design and architecture decisions within your domain. Alongside growing your own technical depth, you actively mentor peers and contribute to our shared product and team objectives.
**How We Work Together**
**Strategic Technical Leadership**
* Contributions to technical designs reflect informed decisions that align with team architecture and best practices.
* Trade\-offs are thoughtfully evaluated, with suggestions made to improve code structure, tooling, or processes.
* Code is written to be high\-quality, maintainable, and mindful of performance, scalability, and resilience.
**Cross\-Team Collaboration \&amp; Influence**
* Product, design, and QA partners are engaged early to clarify requirements, propose solutions, and ensure smooth delivery.
* Technical concepts are communicated clearly, whether the audience is technical or not.
* Dependencies and integration points across teams and services are identified and addressed proactively.
**Problem Solving \&amp; Overcoming Obstacles**
* Moderately complex problems are scoped and delivered independently, with attention to edge cases and constraints.
* Debugging strategies, telemetry, and data are applied to diagnose and resolve both production and development issues.
* Opportunities to improve system stability, performance, and maintainability are surfaced and acted on.
**Mentorship \&amp; Growth**
* Code review feedback is constructive, actionable, and aimed at helping others grow.
* New and junior engineers are supported through onboarding and informal mentoring.
* Expertise in team technologies is deepened, with insights and learnings shared openly.
**Ownership \&amp; Accountability**
* Features and services are owned end\-to\-end, from planning through production support.
* Risks, blockers, and delays are communicated early and clearly to keep progress on track.
* Commitments are followed through reliably, driving team goals forward with professionalism.
**Qualifications**
* Backend engineer with a preference toward Java/Kotlin
* Experience in designing, building, and maintaining large\-scale systems, focusing on clean, scalable, and performant code.
* Established in modern programming paradigms and languages, with openness to new ones.
* Understanding of testing practices like unit, integration, end\-to\-end, and high code quality standards.
* Exposure to current dev tools: version control, CI/CD, IaC, containers, cloud architectures. Open to adopt best\-fit solutions.
* Interested in industry trends, evaluating new tech, and driving sustainable adoptions aligned with business goals.
* Openness to incorporating AI into the dev workflow
* Bonus for Python exposure
* Bonus for Full Stack capabilities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$100,600\.00 \- $169,800\.00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160">
      <c r="A160" t="inlineStr">
        <is>
          <t>li-4367369693</t>
        </is>
      </c>
      <c r="B160" t="inlineStr">
        <is>
          <t>Senior Software Engineer I (Course Authoring &amp; Learning)</t>
        </is>
      </c>
      <c r="C160" t="inlineStr">
        <is>
          <t>Corporation PSI Intl Inc</t>
        </is>
      </c>
      <c r="D160" t="inlineStr">
        <is>
          <t>linkedin</t>
        </is>
      </c>
      <c r="E160">
        <f>HYPERLINK("https://www.linkedin.com/jobs/view/4367369693", "https://www.linkedin.com/jobs/view/4367369693")</f>
        <v/>
      </c>
      <c r="F160" t="inlineStr"/>
      <c r="G160" t="inlineStr"/>
      <c r="H160" t="inlineStr"/>
      <c r="I160" t="inlineStr">
        <is>
          <t>Articulate is looking for a Senior Software Engineer to join our amazing Rise Course Authoring and Learning team!
 This team builds the experiences that authors use to create learning and that learners engage with around the world. In this role, you’ll own frontend\-heavy problem spaces, shaping flexible, high\-quality capabilities with a strong focus on usability, performance, and accessibility. You’ll evolve foundational workflows and interaction patterns, working closely with partner teams and underlying services to ensure powerful features scale reliably while remaining intuitive and delightful to use.
**What you'll do:**
* Build and Evolve Features: Design and build new features and enhance existing ones with an eye for quality, iterating quickly to bring value to customers
* Shape Solutions Collaboratively: Work closely with engineers, designers, and product leaders to define direction, navigate tradeoffs, and deliver thoughtful solutions
* Influence Architecture: Participate in defining application architecture, particularly in frontend systems and patterns
* Mentor and Guide: Provide technical leadership through code reviews, design discussions, and mentorship of less experienced engineers
* Own Reliability: Participate in on\-call rotation and help improve how the team responds to and learns from incidents
**What you should have:**
* Strong proficiency with frontend technologies (React, JavaScript/TypeScript, SCSS) and building polished user experiences (typically gained over 5\+ years as a software engineer)
* Working proficiency with backend technologies (Node.js, Postgres, Docker) and comfort collaborating across service boundaries
* A proven track record of implementing, shipping and maintaining production software
* Ability to write clear, testable, and maintainable JavaScript
* Demonstrated commitment to accessibility and inclusive design
* Little need for direct oversight and comfort owning ambiguous problem spaces
* Strong communication skills and an ability to clearly explain technical topics to engineers and non\-engineers alike
* Strong familiarity with Git and GitHub\-based development workflows
**Nice to haves:**
* Infrastructure as code (Terraform) and AWS services (S3, CloudFront, etc) \- experience operating and evolving team\-owned deployment infrastructure
* Event\-driven architectures
* Integrating independently deployed frontend modules into a cohesive application
* Building real\-time collaborative editing features and conflict resolution
* Using AI tools to improve developer workflows or product capabilities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$137,700 to $182,426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161">
      <c r="A161" t="inlineStr">
        <is>
          <t>li-4367324907</t>
        </is>
      </c>
      <c r="B161" t="inlineStr">
        <is>
          <t>Software Engineer - Sports Technology</t>
        </is>
      </c>
      <c r="C161" t="inlineStr">
        <is>
          <t>JLB</t>
        </is>
      </c>
      <c r="D161" t="inlineStr">
        <is>
          <t>linkedin</t>
        </is>
      </c>
      <c r="E161">
        <f>HYPERLINK("https://www.linkedin.com/jobs/view/4367324907", "https://www.linkedin.com/jobs/view/4367324907")</f>
        <v/>
      </c>
      <c r="F161" t="inlineStr"/>
      <c r="G161" t="inlineStr">
        <is>
          <t>New York, United States</t>
        </is>
      </c>
      <c r="H161" t="inlineStr"/>
      <c r="I161" t="inlineStr">
        <is>
          <t>**JLB is working with multiple fast\-growing sports technology companies** 
 that are building products used by teams, leagues, venues, and sports organisations across the U.S. We’re looking for talented Software Engineers to join high\-impact engineering teams based in New York.
 These roles offer the chance to work at the intersection of
 **technology and sport** 
 , helping modernise how the industry operates — from participation and performance to fan engagement and operations.
 You’ll be hands\-on across the stack, collaborating closely with product teams and founders, and contributing directly to features that ship quickly and scale with the business.
**What you’ll be doing:** 
* Building and maintaining production\-grade software used by real customers
* Working closely with product and design to deliver new features
* Writing clean, scalable, and well\-tested code
* Helping improve performance, reliability, and platform scalability
**What we’re looking for:** 
* Commercial experience as a Software Engineer
* Strong foundations in modern programming languages and frameworks
* Comfortable working in growth\-stage, fast\-moving environments
* Product\-focused mindset and strong problem\-solving skills
* Interest in sports or sports technology is a plus, not a requirement
**What’s on offer:** 
* Competitive salary and equity (role dependent)
* Opportunities to work closely with founders and leadership teams
* High ownership and real influence on product direction
* Collaborative teams based in New York
* The chance to build technology that has a genuine impact on sport
 If you’re a Software Engineer interested in opportunities across the sports technology space, we’d love to hear from you.</t>
        </is>
      </c>
    </row>
    <row r="162">
      <c r="A162" t="inlineStr">
        <is>
          <t>li-4367353606</t>
        </is>
      </c>
      <c r="B162" t="inlineStr">
        <is>
          <t>Senior Software Engineer - Backend / AI</t>
        </is>
      </c>
      <c r="C162" t="inlineStr">
        <is>
          <t>Uber</t>
        </is>
      </c>
      <c r="D162" t="inlineStr">
        <is>
          <t>linkedin</t>
        </is>
      </c>
      <c r="E162">
        <f>HYPERLINK("https://www.linkedin.com/jobs/view/4367353606", "https://www.linkedin.com/jobs/view/4367353606")</f>
        <v/>
      </c>
      <c r="F162">
        <f>HYPERLINK("https://tnl2.jometer.com/v2/job?jz=5wqzsff5f692d937d532507fff6b24a9ac23fKMALBBQAAADQ&amp;iis=Job%20Board%20-%20Recruitment%20Marketing&amp;iisn=LinkedIn&amp;urlHash=ZyW6", "https://tnl2.jometer.com/v2/job?jz=5wqzsff5f692d937d532507fff6b24a9ac23fKMALBBQAAADQ&amp;iis=Job%20Board%20-%20Recruitment%20Marketing&amp;iisn=LinkedIn&amp;urlHash=ZyW6")</f>
        <v/>
      </c>
      <c r="G162" t="inlineStr">
        <is>
          <t>Sunnyvale, CA</t>
        </is>
      </c>
      <c r="H162" t="inlineStr"/>
      <c r="I162" t="inlineStr">
        <is>
          <t>**About The Role**
 The Conversational Assistants team brings together Uber's products, state of the art cognitive technologies and Uber's engineering infrastructure to deliver automated conversational assistants a.k.a chatbots to provide enhanced customer experience.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**What You'll Do**
 We are seeking a strong and passionate software engineer with experience in building chatbots. You will be responsible for creating scalable, reliable, manageable chatbots that deliver on conversational requirements at Uber by bringing together LLM prompts and Assistant building platforms at Uber. You will be owning customer facing chatbots that impact the support experience of millions of customers. You will also be leading the NLP based chatbot to GenAI based chatbot migrations as well as augmenting the existing GenAI chatbots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t>
        </is>
      </c>
    </row>
    <row r="163">
      <c r="A163" t="inlineStr">
        <is>
          <t>li-4367375657</t>
        </is>
      </c>
      <c r="B163" t="inlineStr">
        <is>
          <t>Full Stack Software Engineer - Agentic AI Startup</t>
        </is>
      </c>
      <c r="C163" t="inlineStr">
        <is>
          <t>NinjaTech AI</t>
        </is>
      </c>
      <c r="D163" t="inlineStr">
        <is>
          <t>linkedin</t>
        </is>
      </c>
      <c r="E163">
        <f>HYPERLINK("https://www.linkedin.com/jobs/view/4367375657", "https://www.linkedin.com/jobs/view/4367375657")</f>
        <v/>
      </c>
      <c r="F163" t="inlineStr"/>
      <c r="G163" t="inlineStr">
        <is>
          <t>Mountain View, CA</t>
        </is>
      </c>
      <c r="H163" t="inlineStr"/>
      <c r="I163" t="inlineStr">
        <is>
          <t>Join NinjaTech AI as a
 **Full Stack Software Engineer** 
 to build the future of autonomous AI agents: technology that doesn't just assist, but actually executes complex tasks end\-to\-end.
 You will learn and use the latest tech to innovate, build and scale intelligent Apps and automations (B2B and B2C), powered by SuperNinja \- our advanced agentic AI platform with full OS capabilities. For this role we will prioritize candidates who have strong experience in Frontend development (in React, Next.js).
**Why this opportunity is exciting:**
* First FE\-Leaning Engineer at HQ: you will work side\-by\-side with expert\-level Full stack engineers
* Founding Team Impact: Work directly with founding engineering team (mostly ex\-AWS) and ex\-Google Product/UX leaders
* Cutting\-Edge AI: Build infrastructure, OS and UI for autonomous AI agents that can actually do things end to end (intelligent Apps and automations)
* High Velocity, High Impact: Ship features that millions of users will interact with (B2C and B2B)
* Technical Ownership: Own significant parts of the product architecture and make decisions that will scale with the company!
**About the Company:**
 NinjaTech AI is a generative AI startup with headquarters in Silicon Valley and a subsidiary in Sydney. NinjaTech AI is backed by Alexa Fund and Samsung Ventures and we are on track to raise Series A funding in 2026\.
**About the Role:**
 The
 **Full Stack Engineer** 
 is a full\-time position, based at our HQ office in Los Altos, California (
 **5 days on\-site** 
 ; great office space, free daily meals). Our team works in a fast\-paced and collaborative environment. We get a lot done when we ideate together and iterate quickly.
 As a Software Development Engineer, you'll design and build user\-facing features as well as back\-end infrastructure that make our autonomous AI agents accessible, fast and powerful. You will report to the VP of Engineering and will collaborate on a daily basis with the founder/CEO and the VP of Product.
**What you will build:**
 As a key member of our engineering team, the
 **Software Engineer** 
 will be responsible for translating our vision and customer needs into functional and appealing interactive applications, ensuring a great user experience.
* Develop and implement serving architecture for our distributed systems with focus on scalability, observability, and efficiency
* Design and build components for internal SDKs for services and integrate them in collaboration with other developers
* Write robust and well\-documented code, ensuring quality through automated testing and continuous integration and deployment
* Work effectively in a fast\-paced, dynamic team environment, contributing to multiple projects
* Conduct code reviews and provide constructive feedback to other members of the team
* Develop and maintain documentation for the platform, including API documentation, technical guides, and technical specifications
* Explore new tools and technologies that can improve development efficiency and product quality
**Required Experience:**
* 3\+ years of experience in software development, with a focus on building scalable and reliable web applications.
* Expert\-level experience in React.
* Proficiency in Next.js and Python.
* Experience with AWS Cloud.
* Strong expertise in various API protocols, including RESTful API and WebSockets.
* Familiarity with database technologies such as Firebase, Supabase, DynamoDB, NoSQL, PostgreSQL, or MySQL.
* Hands\-on experience in building microservices for service\-oriented architecture (SoA) on top of AWS services, leveraging various components (e.g., SQS, Lambda, SNS, ECS, etc.).
* In\-depth understanding of the entire web development process (design, development and deployment).
* Familiarity with RESTful APIs and integration of backend services.
* Knowledge of version control systems (e.g., Git) and experience working with collaborative development tools.
* Ability to perform well in a fast\-paced environment where deadlines are tight and priorities can change rapidly.
* Strong problem\-solving skills and ability to work in a team environment.
**Preferred Qualifications:**
* Bachelor's or Master's degree in Computer Science or Engineering
* Experience with Large language models (LLMs) and AI agent frameworks, as well as machine learning model deployment and serving
* Knowledge of real\-time systems and WebSocket/streaming protocols
* Experience with infrastructure as code (CDK, Terraform, CloudFormation)
* Experience in a high\-growth startup environment
* Experience with observability tools (Grafana, DataDog)
**Benefits:**
* Excellent Health insurance plans
* 401(k)
* Generous Paid Time Off (Vacation, Sick \&amp; Holidays)
* Paid meals and snacks
* Equity grants (we are still pre\-Series A so it's a great time to join the founding team!)
 Compensation Range: $175K \- $210K</t>
        </is>
      </c>
    </row>
    <row r="164">
      <c r="A164" t="inlineStr">
        <is>
          <t>li-4367334926</t>
        </is>
      </c>
      <c r="B164" t="inlineStr">
        <is>
          <t>Full Stack Engineer</t>
        </is>
      </c>
      <c r="C164" t="inlineStr">
        <is>
          <t>Eight Sleep</t>
        </is>
      </c>
      <c r="D164" t="inlineStr">
        <is>
          <t>linkedin</t>
        </is>
      </c>
      <c r="E164">
        <f>HYPERLINK("https://www.linkedin.com/jobs/view/4367334926", "https://www.linkedin.com/jobs/view/4367334926")</f>
        <v/>
      </c>
      <c r="F164">
        <f>HYPERLINK("https://jobs.ashbyhq.com/eightsleep/05a32566-9806-44e4-81d4-e61434554f30?src=LinkedIn&amp;urlHash=kD0e", "https://jobs.ashbyhq.com/eightsleep/05a32566-9806-44e4-81d4-e61434554f30?src=LinkedIn&amp;urlHash=kD0e")</f>
        <v/>
      </c>
      <c r="G164" t="inlineStr">
        <is>
          <t>New York, NY</t>
        </is>
      </c>
      <c r="H164" t="inlineStr"/>
      <c r="I164"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We’re a team that puts in the extra effort, not because it’s required, but because we care about the impact of our work. We’re here to build fast, push limits, and deliver without compromise. If you thrive under pressure and want to do the most meaningful work of your career, you’ll feel right at home. If you’re looking for something easier – this isn’t it.
**The Role**
 We're looking for a talented Full Stack Engineer to join our team, with responsibilities spanning all parts of our web stack, including our consumer website, payments and ecommerce infrastructure, and online member experience. If you are a mission\-oriented engineer who is excited working across a diverse set of challenges to ship game\-changing health and fitness experiences, this is the right opportunity for you.
**What You'll Build**
* Build and own full stack consumer experiences, from pixel\-perfect interfaces to robust, scalable backend infrastructure
* Run experiments and iterate towards a best\-in\-class ecommerce storefront that accelerates growth and serves as a compelling first touchpoint for our future members.
* Collaborate with product managers, designers, and engineers across the organization to bring our game\-changing member experience to the web
* Shape the future of our growing software team by laying the groundwork for new product areas
**What You'll Need To Succeed**
* 6\+ years of experience shipping high\-quality consumer web apps using React
* Expertise in Javascript, TypeScript and Node.js
* End\-to\-end knowledge of modern web app architecture (including relational databases, API design, cloud infrastructure, and security) as well as best development practices
* Familiarity with manipulating and processing complex data
* BA/BS in Computer Science, or equivalent experience
 And...
* You’re excited about the health and fitness technology space and the opportunity to measurably improve lives
* You have the desire to make an outsized impact as part of a rapidly growing, dynamic team
* You are willing to roll up your sleeves and use whatever language or framework will best help you get the job done
* You love thinking about things from the customer’s perspective and trying to understand what motivates and drives decision making
* You have side projects outside of work that you’re excited to tell us about
**Preferred Experience**
* Familiarity with Next.js, Three.js, GSAP
* Experience working at a consumer products company focusing on health and wellness.
* Knowledge of design programs (Figma, Sketch, Photoshop).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Pay grows rapidly as you accumulate experience with Eight Sleep and translate it into concrete impact.
**Your Own Pod \- And Other Great Benefits**
 Every Eight Sleep employee receives the very product that defines our mission: a Pod of their own. If you join us you’ll get your own Pod, along with other benefits. Learn more at eightsleep.com/careers
 At Eight Sleep we continually celebrate the diverse community different individuals cultivate. As an equal opportunity employer, we stay true to our values by ensuring everyone feels they can flourish and grow. We are committed to equal employment opportunities regardless of race, color, ancestry, religion, sex, national origin, sexual orientation, age, citizenship, marital status, disability, gender identity or Veteran status.</t>
        </is>
      </c>
    </row>
    <row r="165">
      <c r="A165" t="inlineStr">
        <is>
          <t>li-4367353241</t>
        </is>
      </c>
      <c r="B165" t="inlineStr">
        <is>
          <t>Software Engineer (Java)</t>
        </is>
      </c>
      <c r="C165" t="inlineStr">
        <is>
          <t>Nuix Discover</t>
        </is>
      </c>
      <c r="D165" t="inlineStr">
        <is>
          <t>linkedin</t>
        </is>
      </c>
      <c r="E165">
        <f>HYPERLINK("https://www.linkedin.com/jobs/view/4367353241", "https://www.linkedin.com/jobs/view/4367353241")</f>
        <v/>
      </c>
      <c r="F165" t="inlineStr"/>
      <c r="G165" t="inlineStr">
        <is>
          <t>Pittsburgh, PA</t>
        </is>
      </c>
      <c r="H165" t="inlineStr"/>
      <c r="I165" t="inlineStr">
        <is>
          <t>We're on a mission to be a Force For Good, through our People, Products and Purpose at Nuix. Nuix is one of the greatest comeback Technology success stories in Australia, and we're making massive waves each day. Nuix is, and will be, a pioneer in the Australian Technology space, and we're carrying the torch on what "good" looks like.
 This extends to our People. We're fiercely passionate, love working at pace, thrive in ambiguity, live, and breathe outside of the box, and above all are good humans. Our impact extends outside of our 9\-5, and our place in society isn't always defined by corporate metrics.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
****Role Overview:****
 Join our team as a Software Engineer focussed on developing our AI based data enrichment capability. The Software Engineer at Nuix works closely with Engineering Managers, Engineers, Architects, and the Product team to deliver high\-quality Nuix Products that serve both the company and its customers. You will work closely with cross\-functional teams to define, design and ship products \&amp; services. The successful applicant be curious and hungry to learn. You’ll have experience in backend Java development, particularly Spring Boot. You’ll be comfortable writing tests and working with automation tools like Jenkins. If you also have exposure, experience of a desire to learn react/typscript, python or shipping to a SaaS platform, we’d like to speak with you.
 Enrich is part of Nuix Neo’s platform offered across SaaS and locally deployed variants. You will be responsible for ensuring that all software is fit for purpose, scalable, and aligns with best practices in software architecture, design, coding standards, automation, and security.
**Location:**
 This position will be based in our Pittsburgh office. The candidate is required to attend the office a minimum of 3 days per week but may voluntarily elect to work either remotely or from the Pittsburgh office for the remaining days of the week.
 Department Technology Employment Type Permanent \- Full Time Location Pittsburgh (USA) Workplace type Hybrid
 Key Responsibilities
* Be an active contributor to all team activities throughout the entire agile software life cycle
* Work closely with product owners during discovery step to set up the goals and metrics for successful launch of the feature or component
* Contribute to and/or lead design of the features and components we build
* Work on customer requests, helping the team and stakeholders to prioritise the improvements and additions to our product.
* Demonstrates a strong desire for continuous learning and growth
 Skills, Knowledge and Expertise
* Minimum 2 years of experience in Java \&amp; Spring Boot application engineering.
* Experience and/or a desire to learn other languages and tools, we use a variety of languages across automation, front\-end and backend including react, typescript, python.
* Any experience or level of understanding of modern cloud\-based solutions, ideally on AWS stack.
* Understanding of container applications on Kubernetes using Helm would be highly desirable.
* Any experience of machine learning would be highly desirable but not essential.
* Ability to estimate development and testing effort.
* Software development experience with the capability to provide high quality technical solutions to problems.
 https://www.nuix.com/
 As we expand our global team and extend our skills and expertise, we are unified as one Nuix team guided by our shared values.
 Nuix is an equal opportunity employer including for Veterans and People with Disabilities. Don’t let imposter syndrome hold you back! We welcome all applications and are a flexible employer.
 We strive to make any required adjustments where possible to make the process fair and equitable for everyone. If you need any accommodations throughout the interview process, please note this in your job application.
**Nuix Vision**
 Finding Truth in a Digital World.
**Nuix Mission Statement**
 Nuix creates innovative software that empowers organizations to simply and quickly find the truth from any data in a digital world. We are a passionate and talented team, delighting our customers with software that transforms data into actionable intelligence.
**Nuix Values**
* TAKE OWNERSHIP
* RESILIENT
* UNAFRAID
* TEAM NUIX
* HERO OUR CUSTOMERS
 We believe in these principles and seek to weave them into the fabric of our daily work at Nuix. In doing so, we co\-create a dynamic and purposeful company culture that we can be proud of and want to belong to.
**About Nuix**
**See the bigger picture, faster.**
 We are a leading provider of investigative analytics and intelligence software, that empowers our customers to be a force for good by finding truth in the digital world. We help customers collect, process and review massive amounts of structured and unstructured data, making it searchable and actionable at scale and speed, and with forensic accuracy. Our users rely on Nuix software to assist with challenges as diverse as criminal investigations, data privacy, eDiscovery, regulatory compliance and insider threats.
**Powered by AI.**
 Our solutions are powered by our patented data processing engine and enhanced with AI such as Natural Language Processing. Our AI capabilities super\-charge our software to identify patterns and correlations that no human could find, so that our customers get to the most relevant or risky data faster, saving on time, cost, reputation damage and even lives.
*Love the role, but not the right fit for you? Know someone that might be awesome for this role?*
*We're always looking for talented people who want to make a real impact. If you refer someone and we successfully hire them, you'll receive a $1,000 gift card.
 Send referrals to* 
*recruitment@nuix.com* 
*or message us on LinkedIn. T's \&amp; C's* 
 apply.
*To all recruitment agencies: Nuix does not accept agency CV's unless we have an existing agreement. Please do not forward CV's to us, or our Nuix employees directly. Nuix is not responsible for any fees related to unsolicited resumes, or where there is not an agreement in place.*
 Apply Now
 Our Hiring Process
**Stage 1:**
 Technical Team Interview
**Stage 1:**
 Technical Team Interview
 Nothing above that's a fit? Register your interest below for upcoming opportunities and we'll be in touch if there's a match.
 Register Your Interest</t>
        </is>
      </c>
    </row>
    <row r="166">
      <c r="A166" t="inlineStr">
        <is>
          <t>li-4367369316</t>
        </is>
      </c>
      <c r="B166" t="inlineStr">
        <is>
          <t>Software Engineer I</t>
        </is>
      </c>
      <c r="C166" t="inlineStr">
        <is>
          <t>Lensa</t>
        </is>
      </c>
      <c r="D166" t="inlineStr">
        <is>
          <t>linkedin</t>
        </is>
      </c>
      <c r="E166">
        <f>HYPERLINK("https://www.linkedin.com/jobs/view/4367369316", "https://www.linkedin.com/jobs/view/4367369316")</f>
        <v/>
      </c>
      <c r="F166">
        <f>HYPERLINK("https://lensa.com/cgw/712c4516719c4bbea19316bad58219dbtjo1?jpsi=directemployers&amp;publisher_preference=easier_apply&amp;utm_campaign=Computer%20Occupations&amp;utm_medium=slot&amp;utm_source=linkedin&amp;utm_term=jse&amp;urlHash=G2cS", "https://lensa.com/cgw/712c4516719c4bbea19316bad58219dbtjo1?jpsi=directemployers&amp;publisher_preference=easier_apply&amp;utm_campaign=Computer%20Occupations&amp;utm_medium=slot&amp;utm_source=linkedin&amp;utm_term=jse&amp;urlHash=G2cS")</f>
        <v/>
      </c>
      <c r="G166" t="inlineStr">
        <is>
          <t>Seattle, WA</t>
        </is>
      </c>
      <c r="H166" t="inlineStr"/>
      <c r="I1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67">
      <c r="A167" t="inlineStr">
        <is>
          <t>li-4367365177</t>
        </is>
      </c>
      <c r="B167" t="inlineStr">
        <is>
          <t>Software Engineer</t>
        </is>
      </c>
      <c r="C167" t="inlineStr">
        <is>
          <t>Awetomaton Ltd</t>
        </is>
      </c>
      <c r="D167" t="inlineStr">
        <is>
          <t>linkedin</t>
        </is>
      </c>
      <c r="E167">
        <f>HYPERLINK("https://www.linkedin.com/jobs/view/4367365177", "https://www.linkedin.com/jobs/view/4367365177")</f>
        <v/>
      </c>
      <c r="F167" t="inlineStr"/>
      <c r="G167" t="inlineStr">
        <is>
          <t>Beavercreek, OH</t>
        </is>
      </c>
      <c r="H167" t="inlineStr"/>
      <c r="I167" t="inlineStr">
        <is>
          <t>Awetomaton is seeking a Software Engineer to support existing customers at Wright\-Patterson Air Force Base in Dayton, Ohio. In this role you will work with a team of 10\-15 managing and sustaining an enterprise analysis platform to derive insights from raw sensor data. The ideal candidate will possess a BS degree or higher in engineering or related field. This position will largely be performed from WPAFB and require a security clearance. Sponsorship is available, but Active Top Secret is
 *highly preferred.*
**Criteria for success**
* Communicate effectively in both written and verbal form with peers \&amp; decision makers
* Demonstrate initiative when faced with limited guidance or ambiguous requirements
* Familiarity with platform management concepts including containerization and Kubernetes
**Required Experience and Skills**
* Bachelor of Science in Computer Science, Engineering, or Software focused Engineering discipline
* Mastery of software configuration management using Git
* Proficient in a modern programming language (Python, JavaScript, etc.)
**Desired Education and Experience**
* Expertise developing modular, reusable software via strong Object\-Oriented Software development practices
* Experience with Container Technology (Docker / podman / etc.)
* Experience following GitFlow and GitOps workflows using team repository (GitHub / Gitlab / etc.)
* Ability to apply agentic tooling to accelerate development velocity
**About Awetomaton**
 We build software that enables humans to make informed decisions from raw intel data, with a specialization in satellite collection. We are a Dayton\-based defense startup that believes there is a critical skill \&amp; culture gap \- one we are filling with high\-output, mission focused engineering talent. Results matter to our customers. We've never lost a customer because we deliver what they need. Awetomaton is where you do work that matters with a passionate team in an environment that inspires your creativity.
**Benefits**
 We provide industry leading benefits that balance your health \&amp; wellbeing today, as well as lay a solid financial future into retirement. Highlights of our benefit plan include:
* Flexible time off totaling 36 days / year. No approvals required.
* 100% 401k company match up to IRS annual limits. This is a benefit of up to $23,500 for 2025\.
* Health plan through Blue Cross Blue Shield with Health Savings Account (HSA). We pay 95% of employee premiums including family plans.
* Employee favorite: Tech and Wellness reimbursement of $3000 / year. Treat yourself with the newest gadgets or athletic gear. No approvals required.
* Annual profit sharing as 401k contribution. No set percent and dependent on annual company performance. Benefit is above and beyond 401k match.
* Windows or MacBook laptop and well\-equipped office spaces for optimal productivity in office and on\-the\-go.</t>
        </is>
      </c>
    </row>
    <row r="168">
      <c r="A168" t="inlineStr">
        <is>
          <t>li-4367354066</t>
        </is>
      </c>
      <c r="B168" t="inlineStr">
        <is>
          <t>Sr. Staff Software Engineer, Trust &amp; Safety</t>
        </is>
      </c>
      <c r="C168" t="inlineStr">
        <is>
          <t>LinkedIn</t>
        </is>
      </c>
      <c r="D168" t="inlineStr">
        <is>
          <t>linkedin</t>
        </is>
      </c>
      <c r="E168">
        <f>HYPERLINK("https://www.linkedin.com/jobs/view/4367354066", "https://www.linkedin.com/jobs/view/4367354066")</f>
        <v/>
      </c>
      <c r="F168" t="inlineStr"/>
      <c r="G168" t="inlineStr">
        <is>
          <t>Mountain View, CA</t>
        </is>
      </c>
      <c r="H168" t="inlineStr"/>
      <c r="I16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Trust Foundations we build the infrastructure to ensure the safety of job seekers, businesses, and our members across the world’s largest professional network. We focus on leveraging AI to detect and prevent harm before it happens, and to provide our members with the best experience possible across a range of experiences. As a tech leader working with the Data Foundations team you will lead the design and implementation of robust data systems and ML modeling features that power LinkedIn Trust’s AI\-driven transformation. This role will ensure that Trust features are reliably accessible, stable, secure, and contextually usable by LLMs and AI agents tasked with investigations, moderation, enforcement, and governance
 If you're passionate about using engineering to foster trust and safety across a global platform, join our team and help shape the future of trust engineering at LinkedIn!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drive the development of tooling and data aggregation to support LinkedIn Trusts AI efforts, including scalable data systems for real\-time detection and enforcement, investigation and moderation agents, and next generation large language model fine\-tuning
* You will work with Trust Foundation leads to develop long\-term roadmaps and plans for infrastructure modernization.
* You will be a role model and professional coach for more junior engineers with a strong bias for action and focus on craftsmanship.
* You lead the scaling of distributed systems, make architectural trade\-offs applying synchronous and asynchronous design patterns, review code, and drive operational excellence.
* You will build for continuous deployment and robust operations, utilizing unit and integration tests and real\-time observability to ensure quality.
**Qualifications**
**Basic Qualifications:**
* BA/BS Degree in Computer Science or related technical discipline, or equivalent practical experience
* 5\+ years of industry experience in software design, development, and algorithm related solutions.
* 5\+ years programming experience in languages such as Python, Java, Javascript, C/C\+\+, C\#, Objective\-C, Ruby, etc
* 2\+ years of experience in an architect or technical leadership position
**Preferred Qualifications:**
* 10\+ years’ experience in software design, development, and algorithm related solutions with at least 5 years of experience in a technical leadership position
* 5\+ years experience with large\-scale distributed systems and client\-server architectures
* 10\+ years programming experience in an object\-oriented programming language such as Java, C/C\+\+
* Experience with large\-scale distributed systems and client\-server architectures
* Experience leading by influence, formulating and driving technical strategies across various organizations
* Experience leading a large organization
**Suggested Skills:**
* Technical Leadership
* Architectural Mastery
* Code Review and Quality Assurance
* Cross\-organizational collaboration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 $297,000\.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9">
      <c r="A169" t="inlineStr">
        <is>
          <t>li-4367383849</t>
        </is>
      </c>
      <c r="B169" t="inlineStr">
        <is>
          <t>Software Developer (Database)</t>
        </is>
      </c>
      <c r="C169" t="inlineStr">
        <is>
          <t>SkyWater Search Partners</t>
        </is>
      </c>
      <c r="D169" t="inlineStr">
        <is>
          <t>linkedin</t>
        </is>
      </c>
      <c r="E169">
        <f>HYPERLINK("https://www.linkedin.com/jobs/view/4367383849", "https://www.linkedin.com/jobs/view/4367383849")</f>
        <v/>
      </c>
      <c r="F169" t="inlineStr"/>
      <c r="G169" t="inlineStr">
        <is>
          <t>Minneapolis, MN</t>
        </is>
      </c>
      <c r="H169" t="inlineStr"/>
      <c r="I169" t="inlineStr">
        <is>
          <t>* Job Tag:
* Posted: January 29,2026
* Salary: $110,000
 SkyWater is partnering with a
 **leading enterprise SaaS innovator** 
 supporting hundreds of global clients—including dozens of Fortune 500 organizations. This firm is investing heavily in its data platform and is seeking a skilled
 **Database Developer** 
 to play a critical role in its next phase of growth.
**The Opportunity**
 You’ll help transition a mature SQL environment into a modern
 **Cloud\-based data warehouse** 
 , translating and optimizing significant legacy code while introducing AI\-enabled development practices. This is a hands\-on role with meaningful ownership and visibility.
**Key Requirements**
* Advanced T\-SQL, SQL Server, and stored procedures
* Experience with large\-scale SQL\-to\-cloud migrations
* ETL/ELT development (SSIS or equivalent)
* Strong grounding in data warehousing principles
* Exposure to CI/CD, Git\-based workflows, and BI tools a plus
**Why This Role Stands Out**
* Hybrid flexibility (4 days remote)
* Direct impact on a greenfield environment
* Forward\-thinking culture embracing AI and automation
* Competitive compensation and strong team stability
**Desired Skills And Experience**
* 4 year technical degree
* Proven success with legacy migration to modern systems
* Hands\-on experience with SQL, Cloud tooling
* Must be local to Minnesota
* Cannot require sponsorship</t>
        </is>
      </c>
    </row>
    <row r="170">
      <c r="A170" t="inlineStr">
        <is>
          <t>li-4367015598</t>
        </is>
      </c>
      <c r="B170" t="inlineStr">
        <is>
          <t>Software Engineer, AI &amp; Workflows (Fintech)</t>
        </is>
      </c>
      <c r="C170" t="inlineStr">
        <is>
          <t>Oscar Faye</t>
        </is>
      </c>
      <c r="D170" t="inlineStr">
        <is>
          <t>linkedin</t>
        </is>
      </c>
      <c r="E170">
        <f>HYPERLINK("https://www.linkedin.com/jobs/view/4367015598", "https://www.linkedin.com/jobs/view/4367015598")</f>
        <v/>
      </c>
      <c r="F170" t="inlineStr"/>
      <c r="G170" t="inlineStr">
        <is>
          <t>New York, United States</t>
        </is>
      </c>
      <c r="H170" t="inlineStr"/>
      <c r="I170" t="inlineStr">
        <is>
          <t>**The Role** 
 The derivatives market handles trillions of dollars daily, yet much of its underlying technology remains outdated. Our client, an ambitious fintech startup, is modernizing this landscape by building high\-performance infrastructure designed for the next generation of financial services.
 As an AI\-focused Software Engineer, you will build generative AI workflows to increase efficiency across the derivatives landscape. You will own the evaluation and context engineering infrastructure, ensuring high\-quality, reliable, and explainable model outputs.
**Key Responsibilities:** 
* Design retrieval, grounding, and validation pipelines for complex financial data.
* Build tools for knowledge extraction from trade documents and term sheets.
* Integrate AI reasoning into workflows for settlement, valuation, and risk management.
* Work closely with financial engineers to enhance data consistency across trade lifecycles.
**Tech Stack** 
* **Backend:** 
 Python (Primary), Java, Serverless compute.
* **AI:** 
 Latest foundation models, AI\-native architecture.
* **Data/Cloud:** 
 NoSQL (MongoDB/DynamoDB), AWS/GCP, IAC (CDK/Terraform).
* **Frontend:** 
 TypeScript / React.
* **DevOps:** 
 Fully automated SDLC (GitHub, Logfire, Vercel) for rapid intraday deployment.
**What You’ll Bring** 
* **Education:** 
 Bachelor’s degree in Computer Science, Mathematics, Financial Engineering, or a related field.
* **Coding:** 
 Strong proficiency in Python (Java knowledge is a plus).
* **AI Expertise:** 
 Proficiency in prompt engineering and structured output generation (JSON, Pydantic schemas).
* **Infrastructure:** 
 Experience with cloud providers and deployment tools (Terraform/CDK).
* **Systems Design:** 
 A strong understanding of both traditional and AI\-specific SDLC and software design principles.
* **Presence:** 
 Ability to work in\-person at our NYC office.
**Bonus Points** 
* Experience with RAG pipelines
 **,** 
 vector databases, or fine\-tuning LLMs (OpenAI, Anthropic, Gemini).
* Experience building AI agents for financial data tasks.
* Understanding of derivative data models and trade representations.
* Familiarity with frameworks like LangChain, PydanticAI, or LlamaIndex.
**What's in it for you** 
 An opportunity to work with a founding team composed of seasoned quants and engineers from top\-tier financial institutions who have a proven track record of launching market\-leading products. They are now focused on developing a sophisticated, AI\-native platform capable of managing the world's most complex financial transactions. This is a chance to join a lean, elite team and build the core systems that will define how these markets operate for years to come.
**Compensation** 
 Up to $250K total comp \+ equity
**Important Note** 
 Our client will not consider candidates who require visa sponsorship at this time.</t>
        </is>
      </c>
    </row>
    <row r="171">
      <c r="A171" t="inlineStr">
        <is>
          <t>li-4318371289</t>
        </is>
      </c>
      <c r="B171" t="inlineStr">
        <is>
          <t>Senior Software Engineer</t>
        </is>
      </c>
      <c r="C171" t="inlineStr">
        <is>
          <t>Ripple</t>
        </is>
      </c>
      <c r="D171" t="inlineStr">
        <is>
          <t>linkedin</t>
        </is>
      </c>
      <c r="E171">
        <f>HYPERLINK("https://www.linkedin.com/jobs/view/4318371289", "https://www.linkedin.com/jobs/view/4318371289")</f>
        <v/>
      </c>
      <c r="F171" t="inlineStr"/>
      <c r="G171" t="inlineStr">
        <is>
          <t>San Francisco, CA</t>
        </is>
      </c>
      <c r="H171" t="inlineStr"/>
      <c r="I17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a senior engineer to help us maintain this high technical bar, while building innovative solutions to ensure the XRPL can power the growing needs of the global digital economy. RippleX Engineering is redefining quality for the XRPL ecosystem by building an autonomous, data\-driven QA layer that validates rippled and Clio end to end. The focus is on functional testing, ensuring every change to the XRPL stack is correct, predictable, and reliable across the network.
 **This role is more than testing; it's about building the reliability backbone of XRPL.** 
**What You Will Do** 
* Develop and deploy test frameworks that validate XRPL core behaviors, ledger flows, RPCs, and amendment logic.
* Develop self\-serve testing capabilities that allow developers to trigger full functional test suites through CI/CD pipelines without QA intervention.
* Integrate QA workflows using tools such as
 **PyTest** 
 , JUnit, and TestContainers to make testing modular, reproducible, and environment\-agnostic.
* Expand property\-based and fuzz testing (
 **Hypothesis** 
 , Antithesis, or libFuzzer) to uncover protocol\-level inconsistencies and logic edge cases.
* Automate test result visualization and analytics using
 **Grafana** 
 , Allure, and ReportPortal for transparent reporting and traceability.
* Implement auto\-ticketing pipelines for failed or flaky tests with logs and traces linked to GitHub or Jira issues.
* Collaborate with engineers across RippleX and XRPL Foundation to extend open\-source test visibility and reproducibility.
* Drive the shift from manual validation to an always\-on, autonomous testing ecosystem for XRPL.
**What You Will Bring** 
* 5\+ years of software engineering experience, with at least 3 years focused on test automation, QA infrastructure, or validation frameworks.
* Strong programming skills in Python, Java, or Go, with experience building and maintaining test frameworks or CI/CD integrations and Docker/shell scripting experience.
* Hands\-on experience with QA tools such as PyTest, JUnit, TestNG, Hypothesis, Antithesis, TestContainers, Allure, and ReportPortal.
* Proficiency in functional testing, closed system validation, property\-based testing, and fuzzing methodologies.
* Practical experience with CI/CD systems (GitHub Actions, Jenkins, or GitLab CI) and observability stacks (Grafana, Loki, ElasticSearch).
* Understanding of distributed systems, networking, or blockchain protocols—XRPL or similar ecosystems a plus.
* Ability to automate data setup, environment provisioning, and reporting pipelines.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$160,000 USD \- $200,000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72">
      <c r="A172" t="inlineStr">
        <is>
          <t>li-4367178242</t>
        </is>
      </c>
      <c r="B172" t="inlineStr">
        <is>
          <t>Backend Software Engineer</t>
        </is>
      </c>
      <c r="C172" t="inlineStr">
        <is>
          <t>MLabs</t>
        </is>
      </c>
      <c r="D172" t="inlineStr">
        <is>
          <t>linkedin</t>
        </is>
      </c>
      <c r="E172">
        <f>HYPERLINK("https://www.linkedin.com/jobs/view/4367178242", "https://www.linkedin.com/jobs/view/4367178242")</f>
        <v/>
      </c>
      <c r="F172">
        <f>HYPERLINK("https://www.wiraa.com/job-description/usFA5B963E344428C2AB966297AB42ABED?source=Linkedin&amp;urlHash=GDns", "https://www.wiraa.com/job-description/usFA5B963E344428C2AB966297AB42ABED?source=Linkedin&amp;urlHash=GDns")</f>
        <v/>
      </c>
      <c r="G172" t="inlineStr"/>
      <c r="H172" t="inlineStr"/>
      <c r="I172" t="inlineStr">
        <is>
          <t>**About The Company**
 MLabs Ltd is a pioneering technology firm operating at the forefront of the cryptocurrency and blockchain industry. Backed by venture capital, the company is experiencing rapid growth and is dedicated to developing innovative solutions that transform the landscape of digital trading and asset management. With a focus on cutting\-edge autonomous trading infrastructure, MLabs Ltd strives to deliver high\-performance, reliable, and scalable systems that cater to the demands of modern crypto markets. The company's culture emphasizes innovation, ownership, and excellence, fostering an environment where talented professionals can make a significant impact in shaping the future of decentralized finance and trading technologies.
**About The Role**
 We are seeking a highly skilled Staff / Principal Backend Engineer to join our dynamic team remotely, with a strong preference for candidates based in Austin, TX, as well as exceptional candidates in Europe. This senior role involves ownership of critical backend systems that power high\-throughput, real\-time crypto trading operations under extreme market conditions. The successful candidate will be responsible for designing and building low\-latency trading infrastructure, developing wallet and execution systems, and integrating AI\-driven layers to enhance trading outcomes. You will work at the intersection of crypto, trading infrastructure, and applied AI, contributing to frontier\-level backend engineering projects. This role demands a deep understanding of distributed systems, crypto wallets, tokens, trading APIs, and high\-performance backend development, with an emphasis on correctness, resilience, and speed. You will collaborate closely with cross\-functional teams, including product, AI, and operations, to deliver robust solutions that meet the company's strategic goals.
**Qualifications**
* Hands\-on experience with crypto wallets, tokens, and trading systems
* Deep production experience with Golang, Node.js, and TypeScript
* Strong understanding of distributed systems, performance, and reliability
* Experience working with trading APIs, execution flows, and transaction lifecycles
* Proven ability to lead end\-to\-end development of complex backend systems
* Experience in high\-throughput, low\-latency backend service development
* Active utilization of AI tools in development and iteration processes
* Experience with monitoring, incident response, and operational excellence in production environments
* Crypto\-native experience, including building or operating crypto trading platforms or wallets
* Exceptional problem\-solving skills and ability to make high\-impact technical decisions
* Strong communication skills and ability to work collaboratively in a remote setting
**Responsibilities**
* Own and develop business\-critical backend systems that enable high\-performance crypto trading
* Design and implement low\-latency, high\-throughput trading infrastructure
* Develop wallet management and execution systems capable of operating under extreme market volatility
* Integrate AI\-driven intelligence layers to optimize trading outcomes and system performance
* Ensure system correctness, resilience, and speed through rigorous testing and deployment practices
* Leverage AI tools to enhance development, architecture, and operational processes
* Collaborate with cross\-functional teams to define technical requirements and implement solutions
* Monitor and maintain production systems, ensuring high availability and reliability
* Lead technical decision\-making and mentor junior engineers as needed
* Stay updated with industry trends and incorporate best practices in system design and security
**Benefits**
* Initial stock grant of approximately 1% of the company, currently valued at around $230,000
* Opportunity for regular salary increases and bonuses based on revenue and usage targets
* Participation in Senpi’s token launch planned for 2026, with pro\-rata token upside
* Flexible remote work arrangements with a preference for candidates in the US, especially Austin, TX, and Europe
* Collaborative and innovative work environment focused on cutting\-edge technology
* Professional development opportunities and exposure to frontier\-level crypto and AI projects
* Access to a high\-growth, venture\-backed organization with a mission to redefine crypto trading infrastructure
 Equal Opportunity
 MLabs Ltd is committed to fostering a diverse and inclusive workplace. We provide equal employment opportunities to all candidates regardless of race, gender, age, disability, sexual orientation, religion, or background. We ensure our hiring process is accessible and accommodate reasonable adjustments for candidates with disabilities. Our goal is to create an environment where everyone can thrive and contribute to our innovative mission. We value diversity and are dedicated to building a team that reflects the communities we serve.</t>
        </is>
      </c>
    </row>
    <row r="173">
      <c r="A173" t="inlineStr">
        <is>
          <t>li-4356608160</t>
        </is>
      </c>
      <c r="B173" t="inlineStr">
        <is>
          <t>Software Engineer II - Application Development</t>
        </is>
      </c>
      <c r="C173" t="inlineStr">
        <is>
          <t>Frost</t>
        </is>
      </c>
      <c r="D173" t="inlineStr">
        <is>
          <t>linkedin</t>
        </is>
      </c>
      <c r="E173">
        <f>HYPERLINK("https://www.linkedin.com/jobs/view/4356608160", "https://www.linkedin.com/jobs/view/4356608160")</f>
        <v/>
      </c>
      <c r="F173">
        <f>HYPERLINK("https://careers.frostbank.com/us/en/job/FRBAUSR260172EXTERNALENUS/Software-Engineer-II-Application-Development?utm_source=linkedin&amp;utm_medium=phenom-feeds&amp;urlHash=f_R1", "https://careers.frostbank.com/us/en/job/FRBAUSR260172EXTERNALENUS/Software-Engineer-II-Application-Development?utm_source=linkedin&amp;utm_medium=phenom-feeds&amp;urlHash=f_R1")</f>
        <v/>
      </c>
      <c r="G173" t="inlineStr">
        <is>
          <t>San Antonio, TX</t>
        </is>
      </c>
      <c r="H173" t="inlineStr"/>
      <c r="I173" t="inlineStr">
        <is>
          <t>**Job Description**
***It’s about creating solutions that help people.***
 Do others often ask you for technology advice and assistance? Are you always looking for innovative ways to help people? Do you like having the autonomy to build new solutions from the ground up? If so, being a Software Engineer at Frost could be the job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**Software Engineer II – Application Development** 
 at Frost,
 *you* 
 are our code guru, not only configuring the systems but understanding the why’s behind them. Our software engineers believe in collaboration, ingenuity, and truly want to drive design and change in the IT realm. In this role, you will be responsible for designing, configuring, testing, implementing, supporting, and documenting solutions for assigned applications across the organization. You welcome a challenge and want to provide next level experiences to every individual that uses our systems.
**What You’ll Do**
* Design, develop, test and deploy Java\-based microservices to meet business needs and ensure high performance and scalability
* Work closely with product managers, architects, and other engineering teams to define system requirements and deliver high\-quality solutions
* Write clean, maintainable, and efficient code while ensuring application performance, scalability, and security
* Contribute to the continuous improvement of our development processes, frameworks, and tools through active participation in code reviews, pair programming, and mentoring
* Troubleshoot and resolve production issues, ensuring minimal downtime and impact on users
* Collaborate with project teams and other Software Engineers to provide technical support
* Support assigned IT systems/applications by troubleshooting and resolving defects
* Always take action using Integrity, Caring, and Excellence to achieve all\-win outcomes
**What You’ll Need**
* Bachelor’s degree in Computer Science, Engineering, in a related field, or equivalent experience
* Demonstrated ability to independently identify program issues and develop the appropriate solution, typically requiring at least 2 years of experience
* Proficiency in Java and experience with popular frameworks such as Spring Boot, Spring Batch, or similar tools
* Experience with relational databases e.g., SQL Server, Oracle, DB2 or similar, and understanding of database design and optimization
* Familiarity with RESTful API design, integration, and testing, including tools like Postman or Swagger
**Additional Preferred Skills**
* Strong understanding of commonly\-used concepts, practices, and procedures associated with programming
* Familiarity with CI/CD pipelines and automation tools (Jenkins, GitLab CI, etc.).
* Knowledge of monitoring and logging frameworks
* Ability to work in a fast\-paced, collaborative environment, contributing to both development and operational excellence.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row>
    <row r="174">
      <c r="A174" t="inlineStr">
        <is>
          <t>li-4367179216</t>
        </is>
      </c>
      <c r="B174" t="inlineStr">
        <is>
          <t>Full Stack Engineer, AI/ML</t>
        </is>
      </c>
      <c r="C174" t="inlineStr">
        <is>
          <t>General Motors</t>
        </is>
      </c>
      <c r="D174" t="inlineStr">
        <is>
          <t>linkedin</t>
        </is>
      </c>
      <c r="E174">
        <f>HYPERLINK("https://www.linkedin.com/jobs/view/4367179216", "https://www.linkedin.com/jobs/view/4367179216")</f>
        <v/>
      </c>
      <c r="F174" t="inlineStr"/>
      <c r="G174" t="inlineStr"/>
      <c r="H174" t="inlineStr"/>
      <c r="I174" t="inlineStr">
        <is>
          <t>**About The Company**
 General Motors (GM) is a global leader in automotive manufacturing and innovation, committed to shaping the future of mobility through advanced technologies in electric and autonomous vehicles. With a rich history of engineering excellence and a forward\-looking vision, GM strives to create safer, cleaner, and more efficient transportation solutions. The company emphasizes sustainability, technological innovation, and customer\-centric design, aiming to lead the industry in zero\-emission and zero\-accident mobility. GM’s dedication to diversity, inclusion, and community engagement reflects its core values and commitment to making a positive impact worldwide.
**About The Role**
 We are seeking a highly skilled Staff AI/ML Full\-Stack Engineer to join our AV Pipelines \&amp; Lineage team at GM. In this role, you will be responsible for designing, developing, and maintaining comprehensive software products that support the end\-to\-end AI lifecycle. Your focus will be on building scalable, reliable, and secure systems that enable ML engineers and researchers to perform experimentation, model development, evaluation, and operational visibility across diverse environments. This is a hands\-on, individual contributor position emphasizing technical depth, innovative system design, and impactful product development. You will lead complex projects, collaborate with cross\-functional teams, and mentor junior engineers, contributing to GM’s cutting\-edge AI infrastructure initiatives.
**Qualifications**
* 5\+ years of professional experience in software engineering, including full\-stack development
* Proven experience building and operating production\-grade web applications
* At least 3 years of experience leading large\-scale technical initiatives
* Proficiency in cloud technologies such as GCP, Azure, or AWS
* Strong skills in Python, C\+\+, Golang, or similar programming languages
* Experience working with relational and NoSQL databases
* Solid understanding of scalable system architecture and distributed computing
* Bachelor’s, Master’s, or Ph.D. in Computer Science, Electrical Engineering, Mathematics, Physics, or related fields, or equivalent practical experience
**Responsibilities**
* Design, develop, and maintain user\-facing web applications and internal tools for AV engineering teams
* Build scalable backend services and APIs to support frontend functionalities
* Develop modern, responsive user interfaces using frameworks such as React or Angular
* Leverage cloud platforms (GCP/Azure) to design and implement distributed data processing solutions
* Own technical projects from conception through deployment, including making key architectural decisions
* Participate in team planning, code reviews, and design discussions to ensure high\-quality deliverables
* Collaborate effectively across multiple teams to align project goals and resolve conflicts
* Mentor junior engineers and interns, fostering a culture of technical growth and knowledge sharing
* Stay updated with emerging technologies and incorporate best practices into development processes
**Benefits**
* Comprehensive health insurance including medical, dental, and vision coverage
* Retirement savings plans with company matching contributions
* Paid vacation, holidays, and paid time off
* Tuition reimbursement and professional development programs
* Employee assistance programs and wellness initiatives
* GM vehicle discounts and other employee perks
* Flexible work arrangements, including remote and hybrid options
* Relocation support where applicable
 Equal Opportunity
 General Motors is an equal opportunity employer committed to fostering an inclusive environment where all employees and applicants are treated with respect and dignity. We do not discriminate based on race, color, religion, sex, national origin, age, disability, sexual orientation, gender identity, veteran status, or any other protected characteristic. We encourage candidates from diverse backgrounds to apply and join our team in driving meaningful change toward a safer, cleaner, and more equitable future.</t>
        </is>
      </c>
    </row>
    <row r="175">
      <c r="A175" t="inlineStr">
        <is>
          <t>li-4365082833</t>
        </is>
      </c>
      <c r="B175" t="inlineStr">
        <is>
          <t>Software Developer L4</t>
        </is>
      </c>
      <c r="C175" t="inlineStr">
        <is>
          <t>Ncontracts</t>
        </is>
      </c>
      <c r="D175" t="inlineStr">
        <is>
          <t>linkedin</t>
        </is>
      </c>
      <c r="E175">
        <f>HYPERLINK("https://www.linkedin.com/jobs/view/4365082833", "https://www.linkedin.com/jobs/view/4365082833")</f>
        <v/>
      </c>
      <c r="F175" t="inlineStr"/>
      <c r="G175" t="inlineStr">
        <is>
          <t>Brentwood, TN</t>
        </is>
      </c>
      <c r="H175" t="inlineStr"/>
      <c r="I175" t="inlineStr">
        <is>
          <t>**Software Developer L4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**About The Role**
 We’re currently looking for a few Senior Developers to join the team and help us build and integrate our products.
**As an engineering organization we’ve come to share several common beliefs:**
* We believe that its possible to build applications in a sustainable and repeatable way.
* We believe that user story mapping, design sprints, and close collaboration with product folks are the best way to determine what needs to be worked on.
* We believe that Kanban keeps our development efforts flowing forward and helps proactively identifying bottlenecks.
* We believe finishing is better than starting.
* We believe that small teams working on well\-defined projects for a set amount of time ensures that we build the most valuable things first and allows for a predictable date of completion.
* We don’t believe in estimating individual stories. Ever.
**A Senior Developer at Ncontracts is expected to exhibit the following behaviors:**
* Leadership by example: A Senior developer is expected to use best practices for development, exhibit excellent communication both inside and outside of the organization, and manage interpersonal relationships appropriately.
* Intentional mentorship: Ncontracts is dedicated to teaching and growing talent and expects all developers to help those less experienced.
* Honesty: Whether reviewing another developer’s code, participating in retrospectives, or working with your team on what direction to take a project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Senior resources to have significant knowledge from experience to bring to bear.
* Deep Curiosity: You’ll be expected to research new and exciting technologies, perfect the use of existing technologies, and discover new libraries and tools that can affect change across the organization.
* Motivation: You’re a natural self\-starter, and you enjoy solving problems. You are capable of jumping in with minimal instruction and figuring out what should be done.
**It’s expected you’ll have the following:**
* Expertise in one or more of the following languages and their common frameworks: C\#, JavaScript, Python
* Experience in cloud platforms like Azure or AWS
* Understanding of API Security and OAuth
* Strong knowledge of SQL and Relational Databases
* Experience writing unit tests
* Knowledge of instrumentation techniques
* Experience building and working with CI/CD pipelines
* Experience giving and receiving code reviews, both live and written.
**It’s helpful for you to have at least some of the following:**
* Experience working in horizontally scaling systems
* Experience in or familiarity with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$140,000 to $160,000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76">
      <c r="A176" t="inlineStr">
        <is>
          <t>li-4367384126</t>
        </is>
      </c>
      <c r="B176" t="inlineStr">
        <is>
          <t>Software Engineer, Product Backend (2-8 YOE)</t>
        </is>
      </c>
      <c r="C176" t="inlineStr">
        <is>
          <t>Lensa</t>
        </is>
      </c>
      <c r="D176" t="inlineStr">
        <is>
          <t>linkedin</t>
        </is>
      </c>
      <c r="E176">
        <f>HYPERLINK("https://www.linkedin.com/jobs/view/4367384126", "https://www.linkedin.com/jobs/view/4367384126")</f>
        <v/>
      </c>
      <c r="F176">
        <f>HYPERLINK("https://lensa.com/cgw/ee78a0a77872455dbe24cdf4a7cd9684tjo1?jpsi=directemployers&amp;publisher_preference=easier_apply&amp;utm_campaign=Computer%20Occupations&amp;utm_medium=slot&amp;utm_source=linkedin&amp;utm_term=jse&amp;urlHash=_rfb", "https://lensa.com/cgw/ee78a0a77872455dbe24cdf4a7cd9684tjo1?jpsi=directemployers&amp;publisher_preference=easier_apply&amp;utm_campaign=Computer%20Occupations&amp;utm_medium=slot&amp;utm_source=linkedin&amp;utm_term=jse&amp;urlHash=_rfb")</f>
        <v/>
      </c>
      <c r="G176" t="inlineStr">
        <is>
          <t>New York, NY</t>
        </is>
      </c>
      <c r="H176" t="inlineStr"/>
      <c r="I1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Airtable. Clicking "Apply Now" or "Read more" on Lensa redirects you to the job board/employer site. Any information collected there is subject to their terms and privacy notice.
 Airtable is the no\-code app platform that empowers people closest to the work to accelerate their most critical business processes. More than 500,000 organizations, including 80% of the Fortune 100, rely on Airtable to transform how work gets done.
 Airtable’s mission is to bring the power of computing and software development to everyone. We are developing a powerful and extensible toolkit that our customers can leverage to solve a variety of different problems and workflows. We’ve seen our most sophisticated customers use the product to run global processes across thousands of employees, coordinate precision manufacturing pipelines, and consolidate previously siloed mission\-critical data into a single source of truth. The complexity of these use cases requires us to be extremely thoughtful about how we design and implement new functionality in the product and make sure it’s both easy to use and comprehend for our customers and maintainable for us.
 As a Full\-Stack, Backend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 The Scaled Experiences Team (Full\-Stack/BE) focuses holistically on the customer problem of using Airtable at scale. Operating at very high scale requires changes to many different product surfaces, which makes this pod somewhat unique: we focus on the business problem across the whole of the Airtable product. The business impact of this pod is aimed at unblocking high\-scale Airtable implementations that are in pipeline, and preventing churn by improving the user experience of Airtable at scale.
* The Admin \&amp; Governance Team (Full\-Stack/BE) ensures Airtable is secure, compliant, and enterprise\-ready. It owns key admin capabilities like the Admin Panel, SSO, and audit systems, as well as foundational features like User Groups. This team's mission is to accelerate organizational value for the largest customers with enterprise\-first governance and controls.
* The Solutions Platform Team (Full\-Stack/BE) enhances our platform to enable builders to standardize and accelerate builds of large\-scale solutions. Our goal is to allow sophisticated apps and workflows be built, customized, and deployed quickly at enterprise scale.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with a primary focus on backend development.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 years of industry experience with modern full\-stack web development, with particular emphasis on backend feature development.
* You are fluent in one or more backend technologies, and are interested in programming in JavaScript and React.
* You are excited by a product\-oriented backend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New York City, or work remotely in Seattle.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(https://drive.google.com/file/d/1jAj2by1bto5g8Xqn9hWNAwPOMGNd\_fM6/view?usp\=sharing) .
 VEVRAA\-Federal Contractor
 If you have a medical condition, disability, or religious belief/practice which inhibits your ability to participate in any part of the application or interview process, please complete our Accommodations Request Form (https://airtable.com/shrq13fCV8h1sx2t8\)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(https://airtable.com/careers/life\-at\-airtable) .
 For work locations in the San Francisco Bay Area, Seattle, New York City, and Los Angeles, the base salary range for this role is:
 $170,000 — $277,600 USD
 Please see our Privacy Notice for details regarding Airtable’s collection and use of personal information relating to the application and recruitment process by clicking here (https://www.airtable.com/company/personnel\-privacy\-notice) .
 \&amp;\#128274;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 (https://consumer.ftc.gov/consumer\-alerts/2022/05/want\-work\-home\-spot\-scams\-first) .
 If you have questions about this posting, please contact support@lensa.com</t>
        </is>
      </c>
    </row>
    <row r="177">
      <c r="A177" t="inlineStr">
        <is>
          <t>li-4367311672</t>
        </is>
      </c>
      <c r="B177" t="inlineStr">
        <is>
          <t>Associate Software Engineer</t>
        </is>
      </c>
      <c r="C177" t="inlineStr">
        <is>
          <t>Resmed</t>
        </is>
      </c>
      <c r="D177" t="inlineStr">
        <is>
          <t>linkedin</t>
        </is>
      </c>
      <c r="E177">
        <f>HYPERLINK("https://www.linkedin.com/jobs/view/4367311672", "https://www.linkedin.com/jobs/view/4367311672")</f>
        <v/>
      </c>
      <c r="F177" t="inlineStr"/>
      <c r="G177" t="inlineStr">
        <is>
          <t>San Diego, CA</t>
        </is>
      </c>
      <c r="H177" t="inlineStr"/>
      <c r="I177" t="inlineStr">
        <is>
          <t>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
 As an Associate Software Engineer, you must be a motivated individual seeking an opportunity to work on large scale / high volume cloud native applications alongside highly skilled, experienced engineers.
**Responsibilities and Accountabilities:**
* Exhibit an eagerness to learn and grow as an engineer
* Build best\-in\-class, cloud\-native web and mobile applications that are reliable, scalable and secure
* Collaborate with other engineers in the team and receive guidance as necessary
* Adhere to the processes and standards being followed by the team and the organization
* Participate in proof\-of\-concept work and spikes
* Participate in design and documentation
* Work on new products, new features on existing products, enhancements to existing features, bug fixes and maintenance changes as per the need of the hour
**Qualifications and Experience:**
* Located within San Diego, California (or surrounding areas)
* BS/MS in Computer Science or equivalent experience
* 1\+ years of professional software development experience
* A solid understanding of Data Structures and Algorithms
* A good understanding of code design patterns
* A basic knowledge of system design and architecture patterns
* Good problem solving and analytical skills
**What you can expect:**
* A supportive environment that focuses on people development and best practices.
* Opportunity to design, influence and be innovative
* Work with global teams and share new ideas
* Be supported both inside and outside of the work environment.
* The opportunity to build something meaningful and see a direct impact on people’s lives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$89,000 \- $111,000 \- $133,000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78">
      <c r="A178" t="inlineStr">
        <is>
          <t>li-4356507691</t>
        </is>
      </c>
      <c r="B178" t="inlineStr">
        <is>
          <t>Software Developer 3</t>
        </is>
      </c>
      <c r="C178" t="inlineStr">
        <is>
          <t>Oracle</t>
        </is>
      </c>
      <c r="D178" t="inlineStr">
        <is>
          <t>linkedin</t>
        </is>
      </c>
      <c r="E178">
        <f>HYPERLINK("https://www.linkedin.com/jobs/view/4356507691", "https://www.linkedin.com/jobs/view/4356507691")</f>
        <v/>
      </c>
      <c r="F178">
        <f>HYPERLINK("https://eeho.fa.us2.oraclecloud.com/hcmUI/CandidateExperience/en/job/313201/?utm_medium=jobboard&amp;utm_source=LinkedIn&amp;urlHash=b9_3", "https://eeho.fa.us2.oraclecloud.com/hcmUI/CandidateExperience/en/job/313201/?utm_medium=jobboard&amp;utm_source=LinkedIn&amp;urlHash=b9_3")</f>
        <v/>
      </c>
      <c r="G178" t="inlineStr"/>
      <c r="H178" t="inlineStr"/>
      <c r="I178" t="inlineStr">
        <is>
          <t>**Job Description**
 As a Senior Software Development Engineer, you will own the software design and development of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After completing onboarding and learning existing systems, you would be expected to provide technical leadership to other software developers.
**Responsibilities**
 Qualifications:
* 4\+ years of software engineering experience.
* BS or MS degree in Computer Science or equivalent experience.
* Proficient in Java, C, C\+\+, C\# or similar OO languages.
* Strong knowledge of data structures, algorithms, operating systems, and distributed systems fundamentals.
* Strong troubleshooting and performance tuning skills.
* Experience with REST API and service\-oriented development
 Preferred Qualifications:
* Hands\-on experience developing services on a public cloud platform (AWS, Azure, GCP, OCI).
* Experience delivering and operating large\-scale, highly available distributed systems.
* Proficiency with scripting languages such as Python, Perl, etc.
* Experience building multi\-tenant, virtualized infrastructure is a strong plus.
* Strong understanding of databases, NoSQL systems, storage, and distributed persistence technologies is a plus.
* Working familiarity with networking protocols (TCP/IP, HTTP) and standard network architectures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9">
      <c r="A179" t="inlineStr">
        <is>
          <t>li-4367021696</t>
        </is>
      </c>
      <c r="B179" t="inlineStr">
        <is>
          <t>Full Stack Engineer</t>
        </is>
      </c>
      <c r="C179" t="inlineStr">
        <is>
          <t>Bayside Solutions</t>
        </is>
      </c>
      <c r="D179" t="inlineStr">
        <is>
          <t>linkedin</t>
        </is>
      </c>
      <c r="E179">
        <f>HYPERLINK("https://www.linkedin.com/jobs/view/4367021696", "https://www.linkedin.com/jobs/view/4367021696")</f>
        <v/>
      </c>
      <c r="F179" t="inlineStr"/>
      <c r="G179" t="inlineStr"/>
      <c r="H179" t="inlineStr"/>
      <c r="I179" t="inlineStr">
        <is>
          <t>About the Company
 Company builds and maintains healthcare technology solutions used by over
 **5,000 skilled nursing facilities** 
 across the Northeastern United States. The platform supports
 **electronic medical/health records (EMR/EHR)** 
 for geriatric and long\-term care patients, enabling better clinical decision\-making, operational efficiency, and patient outcomes.
 Role Overview
 We are seeking a
 **Mid to Senior\-level SQL Developer / Full Stack Engineer** 
 to help design, build, and maintain scalable healthcare systems that manage and analyze patient data. You will work across backend services, databases, and frontend applications to support clinical decision support systems, analytics dashboards, and EHR functionality.
 This role involves close collaboration with engineers, product managers, business analysts, and executive stakeholders in a fast\-paced, agile environment.
 Key Responsibilities
* Design, develop, and maintain
 **PostgreSQL and YugabyteDB** 
 schemas following
 **3rd Normal Form (3NF)** 
 principles
* Write, optimize, and maintain complex
 **SQL queries** 
 and database\-driven APIs
* Contribute to backend development using
 **Python** 
 and
 **TypeScript** 
 (Next.js)
* Support frontend features using
 **React** 
 (Svelte exposure is a plus)
* Build and maintain systems that manage
 **electronic health/medical records (EHR/EMR)**
* Develop analytics and decision\-support tools that present patient data to clinicians (e.g., catheter tracking, care management dashboards)
* Support inference and AI\-assisted features that identify patient risks (e.g., diabetes indicators)
* Work within an
 **AWS EC2** 
 environment and cloud\-based infrastructure
* Participate in daily stand\-ups, sprint planning, high\-value sprints, and all\-hands meetings
* Collaborate with business analysts to scope system changes and enhancements
* Communicate technical solutions and trade\-offs with
 **C\-level stakeholders**
 Must\-Have Qualifications
* 5–7 years of professional experience in software development
* Strong proficiency in
 **Python** 
 and
 **TypeScript**
* Solid experience with
 **PostgreSQL** 
 and relational database design
* Deep understanding of
 **3rd Normal Form (3NF)** 
 and data normalization
* Experience building
 **full\-stack applications** 
 (frontend \+ backend)
* Familiarity with
 **React** 
 and modern frontend frameworks
* Experience writing and optimizing complex SQL queries
* Hands\-on experience in cloud environments (
 **AWS EC2** 
 )
* Ability to work independently while collaborating closely with a small team
 Nice\-to\-Have Qualifications
* Experience building or maintaining an
 **EHR or EMR system**
* Familiarity with
 **YugabyteDB**
* Experience with
 **Metabase** 
 or other BI/analytics tools
* Prior exposure to healthcare, medical managed care, or clinical systems
* Experience designing systems to handle messy or duplicate datasets
* Knowledge of AI\-assisted inference or decision\-support systems</t>
        </is>
      </c>
    </row>
    <row r="180">
      <c r="A180" t="inlineStr">
        <is>
          <t>li-4326761646</t>
        </is>
      </c>
      <c r="B180" t="inlineStr">
        <is>
          <t>Software Engineer, Client Solutions</t>
        </is>
      </c>
      <c r="C180" t="inlineStr">
        <is>
          <t>AKASA</t>
        </is>
      </c>
      <c r="D180" t="inlineStr">
        <is>
          <t>linkedin</t>
        </is>
      </c>
      <c r="E180">
        <f>HYPERLINK("https://www.linkedin.com/jobs/view/4326761646", "https://www.linkedin.com/jobs/view/4326761646")</f>
        <v/>
      </c>
      <c r="F180" t="inlineStr"/>
      <c r="G180" t="inlineStr">
        <is>
          <t>New York, NY</t>
        </is>
      </c>
      <c r="H180" t="inlineStr"/>
      <c r="I180"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**Client Solutions Software Engineer** 
 , you’ll deliver client deployments that empower healthcare revenue cycle teams to work faster, more accurately, and with greater insight. You will work on the lifecycle and deployment of the ML models that power our products.
 You’ll work closely with client engagement, product, and R\&amp;D teams to ensure smooth deployments, ongoing production stability and expansion of our deployment platform.
**What You'll Do**
* Execute implementation tasks for new deployments — from requirements analysis to configuration, testing, rollout, and support of production health.
* Work with client engagement teams to guide customers through technical onboarding, integration setup, troubleshooting, and data acquisition
* Contribute feedback and insights that shape product and platform improvements
* Work closely with R\&amp;D engineering teams to build robust scalable client solutions
**Skills \&amp; Qualifications**
* Bachelor's degree in Computer Science, Engineering, or similar
* 3\+ years of professional Python experience
* Comfortable working with SQL, relational databases, APIs, and ETL pipelines
* Strong communication and interpersonal skills with meticulous attention to detail
**Nice to haves**
* Familiarity with FastAPI, SQLAlchemy, Postgres.
* Proficiency in Docker, Kubernetes, AWS.
* CI/CD experience with GitHub Actions.
* Experience with healthcare data exchange (FHIR, HL7, EDI)
* Frontend experience (React)
**What We Offer**
* Unlimited paid time off (PTO)
* Expansive coverage for health, dental, and vision
* Employer contribution to Health Savings Accounts (HSA)
* Generous parental leave policy
* Full employee coverage for life insurance
* Company\-paid holidays
* 401(K) plan
**Compensation**
* Based on market data and other factors, the salary range for this position is $120,000\-$150,000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181">
      <c r="A181" t="inlineStr">
        <is>
          <t>li-4352132583</t>
        </is>
      </c>
      <c r="B181" t="inlineStr">
        <is>
          <t>Software Engineer</t>
        </is>
      </c>
      <c r="C181" t="inlineStr">
        <is>
          <t>Alta Equipment Group</t>
        </is>
      </c>
      <c r="D181" t="inlineStr">
        <is>
          <t>linkedin</t>
        </is>
      </c>
      <c r="E181">
        <f>HYPERLINK("https://www.linkedin.com/jobs/view/4352132583", "https://www.linkedin.com/jobs/view/4352132583")</f>
        <v/>
      </c>
      <c r="F181">
        <f>HYPERLINK("https://jobs.dayforcehcm.com/en-US/altg/CANDIDATEPORTAL/jobs/13830&amp;urlHash=fAph", "https://jobs.dayforcehcm.com/en-US/altg/CANDIDATEPORTAL/jobs/13830&amp;urlHash=fAph")</f>
        <v/>
      </c>
      <c r="G181" t="inlineStr">
        <is>
          <t>Richmond, VA</t>
        </is>
      </c>
      <c r="H181" t="inlineStr"/>
      <c r="I181" t="inlineStr">
        <is>
          <t>Come work for the largest equipment dealer in North America! Are you a hardworking individual that thrives in a fast\-paced environment and looking to take your career to the next level? If so, then come join our award winning team!
 We provide our employees with the following tools and resources to be successful:
* Training
* Outstanding benefits package (Medical, Dental and Vision insurance, plus much more!)
* 401(k) with match
* Competitive wages
* Company laptop
* Paid time off
* 10 paid holidays
* Hybrid role in Midlothian, VA office
 At PeakLogix, we are revolutionizing the material handling industry by offering cutting\-edge solutions that streamline warehouse order fulfillment and enhance productivity. As a trailblazer in our market segment, we are dedicated to providing unparalleled service to our esteemed clientele. We are currently seeking a skilled and highly motivated Software Engineer to join our product development team and help us drive innovation to new heights.
 Are you a passionate, talented software engineer looking to make a tangible impact in a fast\-paced, collaborative environment? If so, let's start the journey together.
**Key Responsibilities**
 As a Software Engineer, you will:
* Collaborate with our team of software engineers to gain in\-depth knowledge of our product and how our customers use it to gain efficiency in warehouses, distribution centers, and manufacturing facilities.
* Design, develop, and maintain high\-quality, efficient code that adheres to industry best practices and conforms to agile requirements.
* Test, deploy, troubleshoot, and refine software applications to ensure optimal functionality, reliability, quality and user satisfaction.
**Qualifications**
* BS in Software Engineering, Computer Science or a related field.
* Basic understanding of C\# and .NET
* Familiarity with Angular or another modern JavaScript framework
* Knowledge of HTML, CSS, and JavaScript/TypeScript
* Understanding of object\-oriented programming (OOP) concepts
* Experience with version control software.
* Basic knowledge of common software design patterns
* Up to 20% travel
* Strong written and verbal communication skills.
* Strong interpersonal skills, demonstrating the ability to work independently and manage time effectively.
 If you have a passion for excellence and are ready to make a difference within our organization, we’re ready for you.
**About Alta**
 Culture is Job \#1\. Alta Equipment Group prides itself in living by our Guiding Principles: Invest in the Best, Passion for Excellence, Customers for Life, Mutual Respect and One Team. More than an equipment company, Alta is an innovator of solutions, delivering diverse products and unrivaled support centered on building lasting customer relationships.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Group,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Group,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altg.jobs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recruiting@altg.com immediately!</t>
        </is>
      </c>
    </row>
    <row r="182">
      <c r="A182" t="inlineStr">
        <is>
          <t>li-4367042282</t>
        </is>
      </c>
      <c r="B182" t="inlineStr">
        <is>
          <t>Senior Full Stack Engineer</t>
        </is>
      </c>
      <c r="C182" t="inlineStr">
        <is>
          <t>GEICO</t>
        </is>
      </c>
      <c r="D182" t="inlineStr">
        <is>
          <t>linkedin</t>
        </is>
      </c>
      <c r="E182">
        <f>HYPERLINK("https://www.linkedin.com/jobs/view/4367042282", "https://www.linkedin.com/jobs/view/4367042282")</f>
        <v/>
      </c>
      <c r="F182" t="inlineStr"/>
      <c r="G182" t="inlineStr">
        <is>
          <t>New York, NY</t>
        </is>
      </c>
      <c r="H182" t="inlineStr"/>
      <c r="I1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3">
      <c r="A183" t="inlineStr">
        <is>
          <t>li-4367369486</t>
        </is>
      </c>
      <c r="B183" t="inlineStr">
        <is>
          <t>Senior Software Engineer</t>
        </is>
      </c>
      <c r="C183" t="inlineStr">
        <is>
          <t>Evolve</t>
        </is>
      </c>
      <c r="D183" t="inlineStr">
        <is>
          <t>linkedin</t>
        </is>
      </c>
      <c r="E183">
        <f>HYPERLINK("https://www.linkedin.com/jobs/view/4367369486", "https://www.linkedin.com/jobs/view/4367369486")</f>
        <v/>
      </c>
      <c r="F183" t="inlineStr"/>
      <c r="G183" t="inlineStr"/>
      <c r="H183" t="inlineStr"/>
      <c r="I183" t="inlineStr">
        <is>
          <t>At Evolve, we’re on a mission to make vacation rental easy for everyone. Our high\-performing, customer\-obsessed team runs on curiosity, communication, and accountability—working together to create exceptional experiences for our owners and guests. Whether solving big challenges, delivering outstanding results, or celebrating wins, we approach every day with purpose and passion. If you’re ready to join a mission\-driven company where every teammate has the opportunity to thrive, Evolve might just be the place for you.
**Why this role**
 We’re looking for a creative and highly motivated Senior Software Engineer, Backend to join our backend team to help us build, innovate, and maintain our integrations with our distribution partners. In this role you will help plan and execute special projects while supporting ongoing cross\-functional operations. Whether a bug fix or an awesome feature, you will own your work and deliver the most effective and scalable solutions. You will work closely with our Product Team and other cross\-functional development teams to design and implement world class solutions.
 The ideal candidate for this role is technically savvy, analytical, and process\-oriented. You must anticipate and embrace the challenge of solving critical business problems in a fast\-paced environment. We’re looking for someone who is a self\-starter, willing to perform a variety of responsibilities and experienced working with cross\-functional teams. This role is a technical leader that drives operational excellence on the team, enables teammates, and enhances the team holistically. This is a fantastic opportunity to get involved in the hospitality industry and have an immediate and meaningful impact.
**What You’ll Do**
* Build and maintain our APIs and integrations with upstream and downstream consumers in mind
* Collaborate with and across Agile teams to design, develop, test, implement, and support technical solutions in backend development tools and technologies
* Lead ecosystem\-level design reviews, perform architecture reviews, and write technical documentation in collaboration with peers
* Drive improvements to system reliability, observability, monitoring, and testability
* Work directly with an Engineering Manager and Product Manager(s) to clearly understand the problem being solved
* Collaborate with stakeholders from internal operations teams as well as external integration partners
* Effectively debug high complexity multi\-system problems and come up with good\-better\-best solutions
* Execute on engineering and release priorities successfully through strong leadership and communication
* Drive code reviews and collaborate with other team members on coding standards and best practices, third\-party integrations, and other backend development processes
* Guide and mentor less experienced developers on best practices and operational excellence
**What Makes You a Great Fit**
* 5\+ years of backend development experience building applications in Go, NodeJS, and integrations with 3rd Party tools, APIs, and other services
* Experience with designing and documenting architecture decisions
* Experience with AWS services such as Kubernetes, Lambdas, Eventbridge, RDS, DynamoDB
* Experience with IaC e.g. Terraform, and have collaborated with DevOps to maintain and optimize CI/CD pipelines
* Solid software engineering fundamentals and committed to mentoring less experienced engineers
* Independent and proactive at finding and fixing issues
* Excellent giver and receiver of constructive code review feedback
* Experience with Agile development process
* You have a knack for finding solutions to problems \- and using a full arsenal of debugging tools
* You have built your own custom tools to help you automate tasks
* Experience with Git version control and repository management in Gitlab
**Location**
 All Evolve team members must live in one of our approved locations by their first day. We can hire from anywhere in the U.S. except D.C. and Hawaii. Some positions may also have restrictions based on compensation in the following states: California, Maryland, New York, Pennsylvania, Rhode Island, and Washington. If you live in Colorado, you can work remotely anywhere in the state, at our downtown Denver office, or a hybrid of both! If you're planning to move soon, please let us know, and we'll be happy to review your application again.
 California Applicant Privacy Policy \| Evolve
**How We Reward Evolvers**
 We’re intentional about offering benefits that empower every Evolver to thrive both professionally and personally because they’re more than perks—they’re investments in our customer\-obsessed, high\-performing team.
 We believe in treating others as they want to be treated, providing benefits that deliver real value, and challenging the status quo to meet the diverse needs of our team. Whether it’s helping you take care of your health, plan for the future, or celebrate life’s milestones, our offerings are designed to support you every step of the way.
* Financial Wellness: Industry\-competitive pay, equity in the company, and a 401(k) with a 4% immediate vesting match.
* Family Support: 16\-18 weeks of paid parental leave for birthing parents and 10 weeks for non\-birthing parents, plus infertility coverage.
* Health \&amp; Wellness: Comprehensive medical, dental, and vision plans (100% employer\-paid for individual enrollment), 10 free mental health visits, and pet insurance.
* Time to Recharge: Generous PTO, RTO (for full\-time exempt employees), sick leave, holidays, and a personal holiday to celebrate what matters most to you.
* Travel Perks: Annual Evolve travel credit after one year and discounts on stays at all Evolve properties.
* Growth Opportunities: World\-class onboarding programs, learning, and development resources to help you grow your impact.
* Connection: Employee Resource Groups celebrating our diverse communities at Evolve.
**How We Work Together**
 With our core values as our guide, every Evolver helps shape the company we want to work for and the people we want to be. We’ve cultivated a culture of collaboration, care, and responsibility that we can all be proud of, and we’re excited to see what you’ll bring as your authentic self.
 Still curious about who we are and what we do? Read more about our business and our culture at evolve.com.
**EEO**
 At Evolve, we are committed to diversity and inclusion. As an equal opportunity employer, all qualified candidates will be considered for employment without regard to race, color, creed, religion, age, sex or gender (including pregnancy, childbirth, lactation and related medical conditions), gender identity or gender expression, sexual orientation, marital status, national origin, ancestry, citizenship status, military service or veteran status, physical or mental disability, or any other legally protected characteristic. Evolve participates in e\-Verify for all positions.
 If you have a disability or special need that requires accommodation at any point in the hiring process, please let your recruiter know.</t>
        </is>
      </c>
    </row>
    <row r="184">
      <c r="A184" t="inlineStr">
        <is>
          <t>li-4367033452</t>
        </is>
      </c>
      <c r="B184" t="inlineStr">
        <is>
          <t>Senior Full Stack Engineer</t>
        </is>
      </c>
      <c r="C184" t="inlineStr">
        <is>
          <t>GEICO</t>
        </is>
      </c>
      <c r="D184" t="inlineStr">
        <is>
          <t>linkedin</t>
        </is>
      </c>
      <c r="E184">
        <f>HYPERLINK("https://www.linkedin.com/jobs/view/4367033452", "https://www.linkedin.com/jobs/view/4367033452")</f>
        <v/>
      </c>
      <c r="F184">
        <f>HYPERLINK("https://click.appcast.io/t/2g7mD239hQUZCrfnPoupJjyJBvyqShGrp-2aQMwfI6A=?source=LinkedIn&amp;urlHash=V5E0", "https://click.appcast.io/t/2g7mD239hQUZCrfnPoupJjyJBvyqShGrp-2aQMwfI6A=?source=LinkedIn&amp;urlHash=V5E0")</f>
        <v/>
      </c>
      <c r="G184" t="inlineStr">
        <is>
          <t>Palo Alto, CA</t>
        </is>
      </c>
      <c r="H184" t="inlineStr"/>
      <c r="I18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5">
      <c r="A185" t="inlineStr">
        <is>
          <t>li-4367031504</t>
        </is>
      </c>
      <c r="B185" t="inlineStr">
        <is>
          <t>Software Engineer, Google Ads, Front End, Customer Voice</t>
        </is>
      </c>
      <c r="C185" t="inlineStr">
        <is>
          <t>Google</t>
        </is>
      </c>
      <c r="D185" t="inlineStr">
        <is>
          <t>linkedin</t>
        </is>
      </c>
      <c r="E185">
        <f>HYPERLINK("https://www.linkedin.com/jobs/view/4367031504", "https://www.linkedin.com/jobs/view/4367031504")</f>
        <v/>
      </c>
      <c r="F185" t="inlineStr"/>
      <c r="G185" t="inlineStr">
        <is>
          <t>Mountain View, CA</t>
        </is>
      </c>
      <c r="H185" t="inlineStr"/>
      <c r="I185" t="inlineStr">
        <is>
          <t>**Minimum qualifications:**
* Bachelor’s degree or equivalent practical experience.
* 2 years of experience with software development in Angular programming language, or 1 year of experience with an advanced degree.
* 2 years of experience with front\-end and user interface development.
**Preferred qualifications:**
* Master's degree or PhD in Computer Science or related technical fields.
* 3 years of experience with frontend development. Proficiency in web technologies, including HTML, CSS, and JavaScript/TypeScript. Experience with single\-page application frameworks, with strong preference for AngularDart.
* 2 years of experience with data structures or algorithms.
* 2 years of experience with typescript and dart.
* Experience with RESTful APIs and frontend/backend integration. Experience with AI/ML concepts, particularly Large Language Models like Gemini.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Customer Voice is dedicated to transforming how Google gathers and acts on customer feedback, using AI to create a real\-time, scalable "customer pulse" from data sources like sales meeting transcripts and support interactions. This involves developing an interactive dashboard to surface key themes and metrics, and building an agentic chatbot experience that allows users to perform freeform exploration, deep research, and root cause analysis on customer feedback. These insights directly influence product development, marketing positioning, and sales strategies across the Google Business Organization (GBO) Ads.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develop, test, deploy, maintain, and improve frontend software using AngularDart. Build responsive and engaging user interfaces for dashboards, agentic chat systems and AI driven dynamic surfaces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li-4367358016</t>
        </is>
      </c>
      <c r="B186" t="inlineStr">
        <is>
          <t>Software Engineer: Multiple Levels</t>
        </is>
      </c>
      <c r="C186" t="inlineStr">
        <is>
          <t>Torch Technologies, Inc.</t>
        </is>
      </c>
      <c r="D186" t="inlineStr">
        <is>
          <t>linkedin</t>
        </is>
      </c>
      <c r="E186">
        <f>HYPERLINK("https://www.linkedin.com/jobs/view/4367358016", "https://www.linkedin.com/jobs/view/4367358016")</f>
        <v/>
      </c>
      <c r="F186" t="inlineStr"/>
      <c r="G186" t="inlineStr">
        <is>
          <t>Redstone Arsenal, AL</t>
        </is>
      </c>
      <c r="H186" t="inlineStr"/>
      <c r="I186"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multiple Software Independent Verification \&amp; Validation Engineers to support the evaluation, verification, and validation of software used in DoD missile systems, radar systems, and other mission\- and safety\-critical platforms. This role focuses on software integrity, airworthiness, analytical rigor, and lifecycle assurance to ensure software compliance with technical, safety, quality, and program requirements. Engineers at all levels will collaborate with systems, software, safety, and quality teams to assess software engineering processes, products, and automation across the system lifecycle. Level of responsibility and technical leadership will align with experience and grade.
**Key Responsibilities (All Levels)**
* Perform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**Level\-Specific Expectations**
**Software Engineer I**
* Entry\-level or early\-career position.
* Supports IV\&amp;V tasks under supervision.
* Assists with artifact reviews, test analysis, and documentation.
* Learns DoD processes, missile and radar system concepts, and applicable standards.
**Software Engineer II**
* Performs IV\&amp;V tasks with moderate supervision.
* Independently conducts software analysis and reviews.
* Contributes to risk assessments and technical findings.
* Participates in peer reviews and program technical discussions.
**Software Engineer III**
* Performs IV\&amp;V activities independently on complex systems.
* Leads analysis efforts for software subsystems or functions.
* Interfaces directly with program stakeholders and customers.
* Mentors’ junior engineers and supports process improvement.
**Software Engineer IV**
* Senior\-level technical authority in software IV\&amp;V and assurance.
* Leads IV\&amp;V strategy, planning, and execution across programs.
* Provides expert guidance on airworthiness, software integrity, and risk.
* Supports major reviews, audits, and customer engagements.
* Drives continuous improvement and technical best practices.
**Required Qualifications (All Levels)**
* US Citizenship.
* Bachelor’s Degree in Engineering, Computer Science, or related technical field.
* 0\-8 years applicable software design engineering experience.
* Experience or academic background in software engineering, software analysis, IV\&amp;V, or software assurance.
* Understanding of software development, lifecycles and verification methodologies.
* Ability to analyze complex technical information and clearly document results.
* Active DoD security clearance or ability to obtain one.
**Preferred Qualifications**
* Experience with DoD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program and engineering teams.
* Occasional travel may be required in support of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187">
      <c r="A187" t="inlineStr">
        <is>
          <t>li-4367383370</t>
        </is>
      </c>
      <c r="B187" t="inlineStr">
        <is>
          <t>Senior Full Stack Engineer ( Python and Node. js/ TypeScript)</t>
        </is>
      </c>
      <c r="C187" t="inlineStr">
        <is>
          <t>Grid Dynamics</t>
        </is>
      </c>
      <c r="D187" t="inlineStr">
        <is>
          <t>linkedin</t>
        </is>
      </c>
      <c r="E187">
        <f>HYPERLINK("https://www.linkedin.com/jobs/view/4367383370", "https://www.linkedin.com/jobs/view/4367383370")</f>
        <v/>
      </c>
      <c r="F187" t="inlineStr"/>
      <c r="G187" t="inlineStr">
        <is>
          <t>Sunnyvale, CA</t>
        </is>
      </c>
      <c r="H187" t="inlineStr"/>
      <c r="I187"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188">
      <c r="A188" t="inlineStr">
        <is>
          <t>li-4367040200</t>
        </is>
      </c>
      <c r="B188" t="inlineStr">
        <is>
          <t>Software Engineer III, Engineering Productivity, Google Cloud Business Platforms</t>
        </is>
      </c>
      <c r="C188" t="inlineStr">
        <is>
          <t>Google</t>
        </is>
      </c>
      <c r="D188" t="inlineStr">
        <is>
          <t>linkedin</t>
        </is>
      </c>
      <c r="E188">
        <f>HYPERLINK("https://www.linkedin.com/jobs/view/4367040200", "https://www.linkedin.com/jobs/view/4367040200")</f>
        <v/>
      </c>
      <c r="F188" t="inlineStr"/>
      <c r="G188" t="inlineStr">
        <is>
          <t>Sunnyvale, CA</t>
        </is>
      </c>
      <c r="H188" t="inlineStr"/>
      <c r="I188" t="inlineStr">
        <is>
          <t>**Minimum qualifications:**
* Bachelor’s degree or equivalent practical experience.
* 2 years of experience programming in C\+\+, Python, Java or Go, or 1 year of experience with an advanced degree in an industry setting.
* 2 years of experience building developer tools that improve developer velocity, code quality and code health (e.g., compilers, automated releases, code design and testing, test automation frameworks).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li-4367372287</t>
        </is>
      </c>
      <c r="B189" t="inlineStr">
        <is>
          <t>Entry Level Software Developer</t>
        </is>
      </c>
      <c r="C189" t="inlineStr">
        <is>
          <t>Lensa</t>
        </is>
      </c>
      <c r="D189" t="inlineStr">
        <is>
          <t>linkedin</t>
        </is>
      </c>
      <c r="E189">
        <f>HYPERLINK("https://www.linkedin.com/jobs/view/4367372287", "https://www.linkedin.com/jobs/view/4367372287")</f>
        <v/>
      </c>
      <c r="F189" t="inlineStr"/>
      <c r="G189" t="inlineStr">
        <is>
          <t>Dallas, TX</t>
        </is>
      </c>
      <c r="H189" t="inlineStr"/>
      <c r="I1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190">
      <c r="A190" t="inlineStr">
        <is>
          <t>li-4351981648</t>
        </is>
      </c>
      <c r="B190" t="inlineStr">
        <is>
          <t>Senior Full Stack Engineer</t>
        </is>
      </c>
      <c r="C190" t="inlineStr">
        <is>
          <t>Ohalo</t>
        </is>
      </c>
      <c r="D190" t="inlineStr">
        <is>
          <t>linkedin</t>
        </is>
      </c>
      <c r="E190">
        <f>HYPERLINK("https://www.linkedin.com/jobs/view/4351981648", "https://www.linkedin.com/jobs/view/4351981648")</f>
        <v/>
      </c>
      <c r="F190" t="inlineStr"/>
      <c r="G190" t="inlineStr">
        <is>
          <t>South San Francisco, CA</t>
        </is>
      </c>
      <c r="H190" t="inlineStr"/>
      <c r="I190" t="inlineStr">
        <is>
          <t>**Position Title:** 
 Senior Fullstack Engineer
**Location:** 
 San Francisco, CA
**Time Type:** 
 Full Time
**The Opportunity:**
 Ohalo is seeking an experienced
 **Senior** 
**Fullstack Engineer** 
 to build and evolve internal platforms that power our breeding, automation, and machine\-learning workflows. This role spans backend services, data systems, web applications, and mobile tools, enabling scientists, engineers, and operators to interact with complex systems in reliable, intuitive ways.
 You'll focus on internal tooling, system integration, and platform reliability—building the connective tissue between robotics, ML pipelines, and human workflows.
**Responsibilities:**
* Design, build, and own internal platforms and infrastructure used by science, ML, and automation teams.
* Develop and maintain backend services and APIs using Python (FastAPI) that support web, mobile, and ML\-driven workflows.
* Build and maintain fullstack internal applications, including:
* Web frontends (e.g., React)
* Mobile applications using React Native for operational and field workflows
* Design and operate cloud infrastructure on GCP, including networking, compute, storage, and IAM.
* Manage infrastructure\-as\-code (e.g., Terraform, Pulumi) and deployment pipelines.
* Build and evolve scalable data platforms using BigQuery, Python, and Spark.
* Implement and maintain service\-oriented and event\-driven architectures using Pub/Sub, Kafka, and related tooling.
* Partner with ML engineers to support model deployment, orchestration, and production integration.
* Establish and maintain observability, reliability, and security across services and infrastructure (logging, metrics, alerting).
* Improve developer experience through better abstractions, tooling, CI/CD, and documentation.
* Proactively identify and address scalability, performance, and operational risks across the platform.
**Requirements:**
* Bachelor's degree in a technical field (Computer Science, Engineering, or similar).
* 5\+ years of experience as a Fullstack, Platform, Backend, or Infrastructure\-oriented Engineer.
* Strong backend experience with Python and frameworks such as FastAPI.
* Hands\-on experience operating cloud infrastructure on GCP (preferred) or AWS.
* Experience with infrastructure\-as\-code, CI/CD pipelines, and production deployments.
* Experience designing and operating service\-oriented and event\-driven systems.
* Familiarity with messaging and streaming platforms (Pub/Sub, Kafka).
* Strong systems thinking, with the ability to reason across product, platform, data, and infrastructure layers.
* Comfortable working independently in a cross\-functional, distributed environment.
* Clear communicator who can collaborate effectively with science, ML, and automation teams.
**Nice to haves:**
* Proficiency with frontend development (e.g., React) and mobile development using React Native.
* Experience with Agentic workflows.
*The anticipated pay range for this role is $150,000 \- $190,000 per year for our San Francisco, CA location, though salary will be based on a variety of factors including, but not limited to, experience, skills, education, and location.*
**About Ohalo:**
 Ohalo™ aims to accelerate evolution to unlock nature's potential. Founded in 2019, Ohalo develops novel breeding systems and improved plant varieties that help farmers grow more food with fewer natural resources, increasing the yield, resiliency, and genetic diversity of crops to sustainably feed our population. Ohalo's breakthrough technology, Boosted Breeding™, will usher in a new era of improved productivity to radically transform global agriculture. For more information, visit www.ohalo.com.
*Notes: If you previously applied for a job at Ohalo Genetics, we encourage you to restate your interest in the position by submitting your application.*
*No visa sponsorship is available for this position at this time.*
*No recruiters, please.*</t>
        </is>
      </c>
    </row>
    <row r="191">
      <c r="A191" t="inlineStr">
        <is>
          <t>li-4367172632</t>
        </is>
      </c>
      <c r="B191" t="inlineStr">
        <is>
          <t>Software Engineer (Js, Python)</t>
        </is>
      </c>
      <c r="C191" t="inlineStr">
        <is>
          <t>ClassDojo</t>
        </is>
      </c>
      <c r="D191" t="inlineStr">
        <is>
          <t>linkedin</t>
        </is>
      </c>
      <c r="E191">
        <f>HYPERLINK("https://www.linkedin.com/jobs/view/4367172632", "https://www.linkedin.com/jobs/view/4367172632")</f>
        <v/>
      </c>
      <c r="F191">
        <f>HYPERLINK("https://www.wiraa.com/job-description/us7D0D1EFBAAB57F9F25EA21D2E53D1540?source=Linkedin&amp;urlHash=tyef", "https://www.wiraa.com/job-description/us7D0D1EFBAAB57F9F25EA21D2E53D1540?source=Linkedin&amp;urlHash=tyef")</f>
        <v/>
      </c>
      <c r="G191" t="inlineStr"/>
      <c r="H191" t="inlineStr"/>
      <c r="I191" t="inlineStr">
        <is>
          <t>**About The Company**
 ClassDojo is dedicated to transforming education by providing every child on Earth with an engaging and meaningful learning experience. Founded with the vision of fostering a love for learning, the company has developed a powerful communication platform that connects K\-12 teachers, students, and families worldwide. Its flagship app is the leading communication tool used in over 95% of US schools, reaching more than 45 million children across 180 countries. Despite its impressive scale, ClassDojo maintains a lean team of approximately 200 talented professionals, emphasizing talent density and innovation. The company prides itself on building a dynamic, entrepreneurial environment where the most talented individuals from diverse backgrounds, including experience at top\-tier internet and technology companies, come together to pioneer the future of education.
**About The Role**
 We are seeking an experienced Infrastructure/Platform Engineer to join our team. In this role, you will be instrumental in enhancing and maintaining the core infrastructure that supports our platform. Your expertise will ensure the stability, scalability, and performance of our systems, directly impacting millions of students, teachers, and families globally. You will collaborate closely with software engineers, participate in technical design discussions, and contribute to the continuous improvement of our development and deployment pipelines. Your work will help foster a culture of technical excellence, collaboration, and innovation, enabling ClassDojo to deliver a reliable and efficient platform that supports our mission of providing quality education to children everywhere.
**Qualifications**
* 10\+ years of professional software engineering experience.
* 5\+ years of experience in infrastructure, platform engineering, SRE, or related roles.
* Proven impact in previous organizations through technical contributions and leadership.
* Strong background in cloud platform management, automation, and DevOps practices.
* Experience with test automation, CI/CD pipelines, and modern software delivery methodologies.
* Excellent communication skills and ability to work effectively in a collaborative environment.
* Ownership mindset with a focus on responsibility and accountability.
* Experience working in a fast\-paced, dynamic environment.
* Ability to work within Americas time zones and support a distributed team.
* Passion for education and making a meaningful impact on millions of children’s lives.
**Responsibilities**
* Improve and maintain the platform’s infrastructure, ensuring high availability and scalability.
* Write, debug, and optimize code across languages such as Python, JavaScript, TypeScript, or Go.
* Collaborate with software engineers through pair programming, code reviews, and design sessions.
* Identify opportunities to enhance shared systems, tooling, and best practices.
* Support and improve build and deployment pipelines to streamline delivery processes.
* Participate in technical design and architecture discussions, providing expertise and perspective.
* Contribute to the development of engineering best practices, processes, and team culture.
* Assist teammates and other teams in overcoming technical challenges through hands\-on work and guidance.
* Break down complex work into manageable increments for continuous improvement.
* Mentor and support the growth of other engineers, fostering a culture of learning and development.
* Systematically enhance product quality and engineering processes.
* Promote collaboration, psychological safety, and a positive team environment.
**Benefits**
* Competitive salary aligned with experience and location, ranging from $146,000 to $250,000 USD.
* Remote work flexibility with support for distributed teams.
* Opportunity to work on impactful projects that reach millions of children worldwide.
* Collaborative and innovative work environment with talented peers.
* Professional development opportunities and continuous learning.
* Comprehensive health and wellness benefits.
* Inclusive and diverse workplace committed to equal employment opportunities.
 Equal Opportunity
 ClassDojo is an equal opportunity employer. We celebrate diversity and are committed to creating an inclusive environment for all employees regardless of race, color, religion, sex, national origin, sexual orientation, age, citizenship, marital status, disability, gender identity, or veteran status. We will consider qualified applicants with arrest and conviction records in accordance with the San Francisco Fair Chance Ordinance.</t>
        </is>
      </c>
    </row>
    <row r="192">
      <c r="A192" t="inlineStr">
        <is>
          <t>li-4367353032</t>
        </is>
      </c>
      <c r="B192" t="inlineStr">
        <is>
          <t>Senior Software Engineer - Web Management</t>
        </is>
      </c>
      <c r="C192" t="inlineStr">
        <is>
          <t>United Therapeutics Corporation</t>
        </is>
      </c>
      <c r="D192" t="inlineStr">
        <is>
          <t>linkedin</t>
        </is>
      </c>
      <c r="E192">
        <f>HYPERLINK("https://www.linkedin.com/jobs/view/4367353032", "https://www.linkedin.com/jobs/view/4367353032")</f>
        <v/>
      </c>
      <c r="F192">
        <f>HYPERLINK("https://wd5.myworkdaysite.com/recruiting/vhr_unither/External/job/RTP-NC/Senior-Software-Engineer\u002d\u002d-Web-Management_R04613/apply?source=LinkedIn&amp;urlHash=IFrc", "https://wd5.myworkdaysite.com/recruiting/vhr_unither/External/job/RTP-NC/Senior-Software-Engineer\u002d\u002d-Web-Management_R04613/apply?source=LinkedIn&amp;urlHash=IFrc")</f>
        <v/>
      </c>
      <c r="G192" t="inlineStr"/>
      <c r="H192" t="inlineStr"/>
      <c r="I192" t="inlineStr">
        <is>
          <t>California, US residents click here.
**The job details are as follows:**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 seeks to travel down the corridors of indifference to develop treatments for rare, deadly diseases. We were founded in 1996 by a family seeking a cure for their daughter’s pulmonary arterial hypertension (
 **PAH** 
 ). Today, we have six FDA\-approved therapies that treat PAH, pulmonary hypertension associated with interstitial lung disease (
 **PH\-ILD** 
 ) and neuroblastoma, a rare pediatric cancer. Our near\-term pipeline seeks to develop additional therapies for PAH and pulmonary fibrosis (
 **PF** 
 ).
 The cure for end\-stage life\-threatening diseases like PAH, PH\-ILD, PF, and many others is an organ transplant, but only a small percentage of donated organs are available to address the vast need. For this reason, we are working to create manufactured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This role is responsible for designing, building, and maintaining enterprise web platforms for United Therapeutics Corporation (UTC) as a Senior Software Engineer. The position plays a critical role in shaping and upholding platform architecture, technical standards, and long\-term strategy to deliver scalable, secure, and highly available web solutions.
 This role requires strong hands\-on engineering expertise across modern web technologies, cloud platforms, and API driven architecture, including static and dynamic web solutions. This position also plays a key role in the ongoing upkeep and maintenance of United Therapeutics' web properties, ensuring platforms remain current, compliant, and operationally sound.
* Design, develop, and maintain scalable web platforms and applications using modern frameworks and technologies including 11ty, Node.js, C\# Blazor, .NET, and RESTful APIs
* Collaborate with business stakeholders, product owners, and cross\-functional teams to gather, refine, and translate business requirements into technical solutions
* Architect and implement custom software solutions and system integrations to support enterprise and business\-critical workflows
* Establish reusable design patterns, components, and shared services to ensure consistency, maintainability, and scalability across multiple websites and platforms
* Develop and maintain cloud\-based solutions in Microsoft Azure, including application hosting, storage, security, and monitoring
* Build and maintain CI/CD pipelines to support automated builds, testing, and deployments across development, staging, and production environments
* Implement unit tests, integration tests, and automated quality checks to ensure code reliability, performance, and security
* Design and develop front\-end user interfaces that are performant, accessible, and aligned with UX/UI best practices
* Build proof\-of\-concept applications and technical prototypes to evaluate new technologies, frameworks, and architectural approaches
* Optimize website performance, scalability, and search engine visibility to improve web traffic and user engagement
* Monitor, analyze, and report on web traffic and application usage using analytics and monitoring tools, providing actionable insights to stakeholders
* Identify opportunities for automation and process improvement to increase development efficiency and platform reliability
* Ensure all solutions adhere to security, compliance, and governance requirements appropriate for an enterprise and regulated environment
* Perform all other duties as required
**Minimum Requirements**
* Bachelor’s or Master’s Degree in computer science, information systems, or related field or
* 5\+ years of experience in software engineering with a Bachelor’s Degree or
* 3\+ years of experience in software engineering with a Master's Degree
* 2\+ years of experience with object oriented software development (preferably in .NET)
* 3\+ years of experience with web stack technologies (MVC, HTML CSS, asp.net)
* 3\+ years of experience with web APIs and server\-oriented architecture
* 2\+ years of experience in software development methodologies ( Agile, scrum, shape\-up)
* 1\+ years of experience developing in Node JS or variants (React, express, etc.) particularly for use of static generators
* 1\+ years of experience with dashboards, including understanding the visualization of data and its underlying structure and relationship
* 1\+ years of experience with SQL or similar relational databases, including querying and star schemas
* Develop Enterprise software in modern frameworks and architecture
* Experience in Azure Devops Pipelines for code integration and automation of infrastructure
* Ability to analyze data and system to derive business knowledge and insight
* Demonstrated experience developing in a modern cloud environment with PaaS, IaaS, and SaaS solutions
* Ability to produce and understand IEEE software engineering documents, such as requirements and specification documents
* Documentation skills with the ability to make UML diagrams to document and brainstorming programming architecture
* Ability to solve complex technical problems and debug enterprise software.
* Excellent written and verbal communication skills to effectively convey technical concepts to non technical parties in and out of the department
* Ability to prioritize and manage work to critical project timelines in a fast\-paced environment
**Preferred Qualifications**
* Experience with DataBricks or other Data Pipeline technologies
* Front end design work with Figma or similar tools
* Web tools like Google Analytics, Pixel, GTM, PIxel
 At United Therapeutics, our mission and vision are one. We use our enthusiasm, creativity, and persistence to innovate for the unmet medical needs of our patients and to benefit our other stakeholders. We are bold and unconventional. We have fun, we do good.
 Eligible employees may participate in the Company’s comprehensive benefits suite of programs, including medical / dental / vision / prescription coverage, employee wellness resources, savings plans (401k and ESPP), paid time off \&amp; paid parental leave benefits, disability benefits, and more. For additional information on Company benefits, please visit https://www.unither.com/careers/benefits\-and\-amenities
 United Therapeutics Corporation is an Equal Opportunity Employer, including veterans and individuals with disabilities.</t>
        </is>
      </c>
    </row>
    <row r="193">
      <c r="A193" t="inlineStr">
        <is>
          <t>li-4367183240</t>
        </is>
      </c>
      <c r="B193" t="inlineStr">
        <is>
          <t>Software Engineer II</t>
        </is>
      </c>
      <c r="C193" t="inlineStr">
        <is>
          <t>First Citizens Bank</t>
        </is>
      </c>
      <c r="D193" t="inlineStr">
        <is>
          <t>linkedin</t>
        </is>
      </c>
      <c r="E193">
        <f>HYPERLINK("https://www.linkedin.com/jobs/view/4367183240", "https://www.linkedin.com/jobs/view/4367183240")</f>
        <v/>
      </c>
      <c r="F193" t="inlineStr"/>
      <c r="G193" t="inlineStr"/>
      <c r="H193" t="inlineStr"/>
      <c r="I193" t="inlineStr">
        <is>
          <t>**About The Company**
 First Citizens Bank is a leading financial institution committed to delivering exceptional banking services to its clients across the United States. Renowned for its stability, innovation, and customer\-centric approach, the bank offers a comprehensive range of financial products and solutions tailored to meet the diverse needs of individuals, businesses, and corporate clients. With a strong emphasis on technology\-driven solutions, First Citizens Bank continuously invests in modernizing its digital infrastructure to enhance customer experience and operational efficiency. The organization values integrity, collaboration, and professional growth, fostering an inclusive environment where employees can thrive and contribute meaningfully to the company's success.
**About The Role**
 We are seeking a talented Software Engineer II to join our dynamic team remotely across various markets in the United States. In this role, you will be instrumental in developing and maintaining scalable, high\-quality software solutions that underpin our financial operations and improve our customer experience. You will work within an agile environment, collaborating closely with cross\-functional teams including product managers, analysts, developers, and testers to design, implement, and optimize software components. Your responsibilities will encompass all aspects of the software development lifecycle, from research and design through to testing and support. This position offers an exciting opportunity to contribute to innovative projects in a regulated financial setting, utilizing your technical expertise to drive continuous improvement and operational excellence.
**Qualifications**
* Bachelor’s Degree in Computer Science, Software Engineering, or related field with a minimum of 2 years of experience in application software programming OR High School Diploma/GED with at least 6 years of relevant experience
* Strong experience with JEE and enterprise technologies including JMS, JDBC, Web development, Transactions, WS\-\*, JVM, JSP, Servlets, EJB, JNDI, JMX, JTA, Spring, JUnit, Hibernate
* Proven experience developing SpringBoot microservices
* Hands\-on experience with containerized applications using Kubernetes orchestration
* Preferred experience in public API development and API Gateway platforms such as APIGEE
* Deep understanding of JavaScript, including ES6\+ features, Loopback, closures, and asynchronous programming
* Experience building user interfaces with React.js and familiarity with state management libraries like Redux or MobX
* Knowledge of React component lifecycle and best practices
* Experience with testing frameworks such as Jest or Mocha
* Ability to interact with REST APIs, handle data fetching, and manipulate data effectively
* Proficiency with GitLab for version control, and familiarity with Jira, Confluence, and Oracle Database systems
* Understanding of UI/UX design principles
* Experience working in Agile development environments
* Prior experience with regulated financial organizations is a plus
**Responsibilities**
* Design, develop, and maintain user interface components and web applications utilizing React.js
* Write clean, efficient, well\-documented, and maintainable code following industry best practices
* Participate actively in all phases of the Agile development lifecycle, including sprint planning, daily stand\-ups, and retrospectives
* Collaborate with cross\-functional teams to define requirements and implement technical solutions
* Apply knowledge of SDLC tools and processes to enhance automation and improve development efficiency
* Analyze technical issues, debug, and troubleshoot code to ensure high\-quality software delivery
* Optimize application performance through strategic improvements and best practices
* Conduct unit testing, integration testing, and contribute to automated testing frameworks
* Participate in code reviews to uphold code quality standards and facilitate knowledge sharing
* Create and maintain comprehensive documentation for the codebase and system functionalities
* Mentor junior engineers, fostering technical growth and knowledge transfer within the team
**Benefits**
* Competitive base salary ranging from $98,000 to $125,000, commensurate with experience and location
* Comprehensive health, dental, and vision insurance plans
* Retirement savings options including 401(k) with company match
* Paid time off and holidays to support work\-life balance
* Professional development opportunities and continuous learning support
* Flexible work arrangements to promote remote working and flexibility
* Employee assistance programs and wellness resources
* Discount programs and other employee perks
 Equal Opportunity
 First Citizens Bank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in accordance with applicable laws.</t>
        </is>
      </c>
    </row>
    <row r="194">
      <c r="A194" t="inlineStr">
        <is>
          <t>li-4367371665</t>
        </is>
      </c>
      <c r="B194" t="inlineStr">
        <is>
          <t>Software Engineer</t>
        </is>
      </c>
      <c r="C194" t="inlineStr">
        <is>
          <t>Bastian Solutions</t>
        </is>
      </c>
      <c r="D194" t="inlineStr">
        <is>
          <t>linkedin</t>
        </is>
      </c>
      <c r="E194">
        <f>HYPERLINK("https://www.linkedin.com/jobs/view/4367371665", "https://www.linkedin.com/jobs/view/4367371665")</f>
        <v/>
      </c>
      <c r="F194" t="inlineStr"/>
      <c r="G194" t="inlineStr">
        <is>
          <t>Noblesville, IN</t>
        </is>
      </c>
      <c r="H194" t="inlineStr"/>
      <c r="I194" t="inlineStr">
        <is>
          <t>The Software Engineer will work together with Software Team Lead to coordinate and oversee design and development of future engineered products (new versions of Exacta, various automation and device integration with Exacta, Dynamics AX and other ERP system integration into Exacta, new functionality within Exacta – vision systems, voice\-controlled Exacta, embedded software, etc.) Work together with Software Team Lead to ensure that the best architecture is implemented for the Exacta product. Will need to engage and solve the Critical issues and tasks that the software development group is challenged with. Be prepared to be vocal and influential with the direction that the project team pursues for the future our software suite. Mentor new developers and create an atmosphere that encourages growth and respect.
**Job Functions:**
* Assist Software Team Lead to make sure all developers in the Programming Department are successful, and can produce fast, error\-free code.
* Receives detailed functional specification, software design documents and flow diagrams to illustrate the sequence of steps that the programs must follow and to describe input, output, and logical operations involved.
* Analyzes workflow logic of design documents, and resolves problems raised by theoretical and practical approach to the project design.
* Assist Software Architects with documentation for new Exacta modules
* Communicates closely with other project team members or the end user as necessary to resolve questions of the system functionality, data input, output requirements, and various internal checks and controls.
* Develop, debug, and unit test applications in accordance with established standards.
* Package and support deployment of releases.
* Maintain MS Certification as a Professional Developer. Encourage developers to become MCTSs and MCSDs.
* Maintain Bastian Software Coding Standards Document.
* Initiate and lead code review meetings strictly adhering to the Bastian Software coding standards
* Encourage and facilitate the use of unit testing algorithms and standards
* Completes successfully unit level testing prior to passing the programs on to QA
* Active participate during all PDSC meetings and activities.
* Ability to Execute R\&amp;D Projects
* Assist Team Lead on providing estimates to sales department
* Actively participate including presentations in monthly developer meetings
* Continuing education including but not limited to security training
* Ability to design and develop larger or lesser defined projects from start to finish
* Ability to perform all essential functions above with minimal supervision and less rework
**Travel Requirements:**
* 20% overnight travel (Travel expenses paid by Bastian Solutions)
**Preferred Skills and Required Qualifications :**
* Must be eligible to work in the USA long term without sponsorship.
* Bachelors degree in Computer Science; Bachelors degree in Computer Engineering Computer Science (CECS) is preferred
* 6\+ years of experience working in a professional setting as a Developer (C\# preferred)
* 6\+ years of work experience with C\#, .NET framework
* Ability to support or rewrite legacy Microsoft technologies such as ASP.NET, REST, and MVC v1 thru 4
* Experience in HTML5, CSS3, JavaScript, Ajax, JSON, XML, XHTML, security \&amp; performance issues with browsers
* Proficiency with C\+\+, COM, Mocking Frameworks and Debugging tools
* Knowledge of source control with TFS/Git including setting up solutions, publishing, CI, branching/merging
* Experience with database development including relational database design and ORM technologies
* Knowledge and application of object\-oriented design principles
* A deep understanding of development patterns and prior experience with implementation
* Deep understanding of coding techniques which contribute to the reliability, maintainability, readability, simplicity, performance, and testability of software
* A good understanding of IT environments including networking, server technologies, databases, security and performance
* Experience and proficiency in the day\-to\-day practicalities of Software Development methodologies such as Scrum, Waterfall and Kanban
* Software development qualifications such as Microsoft Certified Professional Developer
***To learn more about us, click the following link***
 \- https://www.youtube.com/watch?v\=\_wJsktTkF50
**About Bastian Solutions:**
 Bastian Solutions, a Toyota Automated Logistics company, is an independent material handling and robotics system integrator providing automated solutions for distribution, manufacturing, and order fulfillment centers around the world. Our team specializes in consulting, system design, project management, maintenance, and installation, while sourcing the best equipment and automation technology. We take great pride in providing exceptional service and flexibility to our customers.
 In addition to exciting work at a growing company, we offer the following benefits:
* Health, Dental, and Vision Insurance
* 401(k) Retirement Plan with a company match
* Vacation/Holiday Pay
* Tuition Reimbursement
* Volunteer Work
* Professional Associations, Conferences and Subscriptions
* Company Meetings \&amp; Events
 Bastian Solutions does not work outside recruiting agencies. No solicitation phone calls please.</t>
        </is>
      </c>
    </row>
    <row r="195">
      <c r="A195" t="inlineStr">
        <is>
          <t>li-4331061342</t>
        </is>
      </c>
      <c r="B195" t="inlineStr">
        <is>
          <t>Software Engineer 3</t>
        </is>
      </c>
      <c r="C195" t="inlineStr">
        <is>
          <t>Lam Research</t>
        </is>
      </c>
      <c r="D195" t="inlineStr">
        <is>
          <t>linkedin</t>
        </is>
      </c>
      <c r="E195">
        <f>HYPERLINK("https://www.linkedin.com/jobs/view/4331061342", "https://www.linkedin.com/jobs/view/4331061342")</f>
        <v/>
      </c>
      <c r="F195" t="inlineStr"/>
      <c r="G195" t="inlineStr">
        <is>
          <t>Tualatin, OR</t>
        </is>
      </c>
      <c r="H195" t="inlineStr"/>
      <c r="I195"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Provide technical guidance and mentoring for more junior engineers.
* May visit customer site to provide support and have ability to travel (total is less than 10%).
**Minimum Qualifications**
**Who we’re looking for**
* Bachelor’s degree in Computer Engineering, Electronics, Mechanical Engineering with 5\+ years of experience; or Master’s degree with 3\+ years’ experience; or a PhD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Inter\-Integrated Circuit (I2C), Service Provider Interface (SPI), Universal Asynchronous Receiver\-Transmitter (UART).
**Preferred Qualifications**
* Prior semiconductor equipment experience.
* Experience in distributed embedded controls system desired.
* Software development skills in one or more general purpose programming languages: C\+\+, C\#.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t>
        </is>
      </c>
    </row>
    <row r="196">
      <c r="A196" t="inlineStr">
        <is>
          <t>li-4367381734</t>
        </is>
      </c>
      <c r="B196" t="inlineStr">
        <is>
          <t>Principal Software Engineer - Manufacturing &amp; Factory</t>
        </is>
      </c>
      <c r="C196" t="inlineStr">
        <is>
          <t>NVIDIA</t>
        </is>
      </c>
      <c r="D196" t="inlineStr">
        <is>
          <t>linkedin</t>
        </is>
      </c>
      <c r="E196">
        <f>HYPERLINK("https://www.linkedin.com/jobs/view/4367381734", "https://www.linkedin.com/jobs/view/4367381734")</f>
        <v/>
      </c>
      <c r="F196">
        <f>HYPERLINK("https://nvidia.wd5.myworkdayjobs.com/NVIDIAExternalCareerSite/job/US-CA-Santa-Clara/Principal-Software-Engineer\u002d\u002d-Manufacturing\u002d\u002d-Factory_JR2012294?source=jobboardlinkedin&amp;urlHash=bGP1", "https://nvidia.wd5.myworkdayjobs.com/NVIDIAExternalCareerSite/job/US-CA-Santa-Clara/Principal-Software-Engineer\u002d\u002d-Manufacturing\u002d\u002d-Factory_JR2012294?source=jobboardlinkedin&amp;urlHash=bGP1")</f>
        <v/>
      </c>
      <c r="G196" t="inlineStr"/>
      <c r="H196" t="inlineStr"/>
      <c r="I19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NVIDIA has a rapidly expanding ecosystem of data center platform \&amp; node designs. From single node HGX/DGX systems all the way up to large multi\-node NVLink domain rack architectures. These designs have become core to NVIDIA's rapidly growing enterprise and cloud provider businesses. Each bringing together the full power of NVIDIA GPUs, NVIDIA NVLink, NVIDIA InfiniBand networking, NVIDIA Grace CPUs, and a fully optimized NVIDIA AI and HPC software stack. We’re searching for a highly motivated, technical leader to design, drive, and operationalize rack\-scale factory and deployment flows for next\-generation data center products. The ideal candidate will combine deep systems expertise, decisive technical leadership, and a passion for building reliable, debuggable, and scalable manufacturing and deployment solutions.
**What You’ll Be Doing**
* Lead and drive rack\-scale/L11 flows for factory and initial data center deployment.
* Design and implement end\-to\-end factory workflows, including firmware flashing sequences, security provisioning, and deployment of software mitigations.
* Collaborate with data center architects, ODMs, and OEMs to define factory and data center requirements that ensure efficient and reliable production ramp.
* Champion reliability, debuggability and optimization in firmware, diagnostic and deployment tool design.
* Drive pre\-silicon readiness for factory \&amp; manufacturing workflows for rack\-scale products. Using NVIDIA's industry leading simulation \&amp; emulation technology.
* Mentor architects and engineering teams to grow them into future leaders.
* Make key technical decisions even when faced with ambiguity
**What We Need To See**
* BS or MS degree in Computer Engineering, Computer Science, or related degree or equivalent experience.
* 15\+ years in the area of System architecture and design
* Deep experience in designing architecture for scalable and performant server systems, particularly at the SW/HW interface.
* Strong understanding of networking technology \&amp; protocols (e.g. Ethernet, Infiniband)
* Previous experience working with complex system software for accelerators such as GPUs, DPUs, or FPGAs
* Expertise in out\-of\-band and in\-band management architectures.
* Knowledge of system management protocols such as Redfish and IPMI.
* Demonstrable experience in implementing left shift strategy to de\-risk program execution. Excellent written and verbal communication skills.
**Ways To Stand Out From The Crowd**
* Knowledge of large\-scale cloud and cluster level deployment and management systems.
* Demonstrated track record of leading data center products across the entire lifecycle, spanning inception, pre\-silicon development, post\-silicon bring\-up, manufacturing, and deployment.
 We are widely considered to be one of the technology world’s most desirable employers, and as a result have some of the most forward\-thinking and hardworking people in the world working for us. So if you're clever, creative, and driven, we'd love to have you join the team.
 Your base salary will be determined based on your location, experience, and the pay of employees in similar positions. The base salary range is 272,000 USD \- 431,250 USD.
 You will also be eligible for equity and benefits .
 Applications for this job will be accepted at least until February 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JR2012294</t>
        </is>
      </c>
    </row>
    <row r="197">
      <c r="A197" t="inlineStr">
        <is>
          <t>li-4344691426</t>
        </is>
      </c>
      <c r="B197" t="inlineStr">
        <is>
          <t>Full Stack Software Engineer</t>
        </is>
      </c>
      <c r="C197" t="inlineStr">
        <is>
          <t>iSoftStone</t>
        </is>
      </c>
      <c r="D197" t="inlineStr">
        <is>
          <t>linkedin</t>
        </is>
      </c>
      <c r="E197">
        <f>HYPERLINK("https://www.linkedin.com/jobs/view/4344691426", "https://www.linkedin.com/jobs/view/4344691426")</f>
        <v/>
      </c>
      <c r="F197" t="inlineStr"/>
      <c r="G197" t="inlineStr">
        <is>
          <t>Everett, WA</t>
        </is>
      </c>
      <c r="H197" t="inlineStr"/>
      <c r="I197" t="inlineStr">
        <is>
          <t>iSoftStone , Inc. is seeking a Full Stack Software Developer to join our Team in Everett, WA!
 Onsite Opportunity
 Summary:
 We are looking for a Full Stack Software Engineer who is eager to learn, build, and grow in a fast\-paced IoT environment. This role is ideal for a developer with early\-career experience who wants exposure to a wide range of technologies—from backend services and cloud systems to hardware\-integrated applications and device messaging.
 You’ll work closely with senior engineers across Seattle and international teams, contributing to production systems while gaining hands\-on experience in cloud engineering, distributed systems, and IoT platform development.
 Responsibilities :
* Build and maintain full\-stack features for applications supporting IoT devices and connected systems.
* Develop backend APIs and services that integrate with sensors, hardware, and device messaging pipelines.
* Contribute to web interfaces and dashboards used for device monitoring, configuration, or operations.
* Collaborate with senior engineers to troubleshoot issues in distributed systems and support ongoing improvements.
* Work across hybrid environments (cloud \+ on\-prem systems) running on Linux.
* Participate in code reviews, testing, and CI/CD processes.
* Help document systems, write automated tests, and support reliable deployments.
* Work in an Agile environment and contribute to new ideas, prototypes, and platform en hancements.
 Qualifications :
* Bachelor’s degree in Computer Science or equivalent hands\-on coding experience.
* 2– 4 years of software development experience (full stack or backend focused).
* Proficiency with at least one programming language such as JavaScript/TypeScript (Node.js), Go, Ruby, or C\+\+.
* Experience building or contributing to APIs or backend services.
* Basic understanding of databases (SQL/NoSQL).
* Comfort working in Linux environments.
* Experience with Git and modern development workflows.
* Strong desire to learn new technologies and work across multiple layers of the stack.
 Preferred Qualifications:
* Exposure to IoT, edge computing, or device\-connected systems.
* Familiarity with MQTT or message\-based communication patterns.
* Experience with Docker/Kubernetes or containerized applications.
* Exposure to hardware, embedded systems, or device integration.
* Experience building dashboards or operational tools.
 Primary Location Pay Range: $90,000 \- $105,000
 Benefits:
 Temp salaried employee benefits, if scheduled to work at least 30 hours per week: medical, dental, vision, 401k, holidays.
 Regular full\-time hourly and salaried employee benefits (if scheduled to work at least 30 hours per week): medical, dental, vision, 401k, long term disability, life insurance, holidays, PTO, floating holidays.
 iSoftStone is a global IT service and consulting company that creates value and drives success through technology solutions, service excellence, and digital innovation. We specialize in web and application development, software testing and support, data and content management, digital experience, accessibility, and data for machine learning and AI. With 20 delivery centers and more than 90,000 employees worldwide, iSoftStone is proud to serve some of the world’s most well\-known businesses, including 90\+ Fortune Global 500 companies.
 Visit us at https://www.isoftstoneinc.com .
 iSoftStone is committed to the practice of equal opportunity for all its employees and applicants in employment, and does not discriminate on the basis of race or ethnicity, color, age, national origin, religion, creed, marital status, sex, pregnancy, gender, gender identity, sexual orientation, status as an honorably discharged veteran or disabled veteran or military status, political affiliation or belief, citizenship/status as a lawfully admitted immigrant authorized to work in the United States, or presence of any physical, sensory, or mental disability. In addition, reasonable accommodation will be made for known physical or mental limitations for all otherwise qualified persons with disabilities.</t>
        </is>
      </c>
    </row>
    <row r="198">
      <c r="A198" t="inlineStr">
        <is>
          <t>li-4359363219</t>
        </is>
      </c>
      <c r="B198" t="inlineStr">
        <is>
          <t>Senior System Software Engineer - Performance</t>
        </is>
      </c>
      <c r="C198" t="inlineStr">
        <is>
          <t>NVIDIA</t>
        </is>
      </c>
      <c r="D198" t="inlineStr">
        <is>
          <t>linkedin</t>
        </is>
      </c>
      <c r="E198">
        <f>HYPERLINK("https://www.linkedin.com/jobs/view/4359363219", "https://www.linkedin.com/jobs/view/4359363219")</f>
        <v/>
      </c>
      <c r="F198">
        <f>HYPERLINK("https://nvidia.wd5.myworkdayjobs.com/NVIDIAExternalCareerSite/job/US-CA-Santa-Clara/Senior-System-Software-Engineer\u002d\u002d-Performance_JR2001796?source=jobboardlinkedin&amp;urlHash=UqzZ", "https://nvidia.wd5.myworkdayjobs.com/NVIDIAExternalCareerSite/job/US-CA-Santa-Clara/Senior-System-Software-Engineer\u002d\u002d-Performance_JR2001796?source=jobboardlinkedin&amp;urlHash=UqzZ")</f>
        <v/>
      </c>
      <c r="G198" t="inlineStr">
        <is>
          <t>Santa Clara, CA</t>
        </is>
      </c>
      <c r="H198" t="inlineStr"/>
      <c r="I198"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tightly coupled CPU, GPU and DPU technology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searching for a highly motivated, technical engineer to join the Tegra system\-on\-chip (SoC) software organization. You will work on key aspects of our ARM SW ecosystem and system software architecture. With a targeted charter to enable best\-in\-class datacenter\-scale performance and efficiency for our next generation of datacenter products, including CPUs and CPU\+GPU Superchips.
**What You Will Be Doing**
* Design, develop, test, and optimize software for our next\-generation SoCs. In both pre\-silicon and post\-silicon phases of execution.
* Review architectural performance bottlenecks for various system wide work loads. Identify HW/SW policies to drive performance and performance/watt leadership.
* Using strong communication skills, build and drive architecture, analysis documents and communications to internal and/or external audiences about our technology.
* Competitive analysis comparing uArchitecture \&amp; workload performance metrics on NVIDIA's ARM SoCs against emerging processors from other silicon vendors.
* Influence and drive full\-stack adoption of performance optimizations and best practices across NVIDIA SW products \&amp; OSS SDKs
**What We Need To See**
* BS or MS degree in Computer Engineering, Computer Science, or related degree (or equivalent experience).
* 6\+ years of relevant computer architecture or SW development experience.
* Proven leadership skills and strong ownership on past projects.
* Hands on technical experience and demonstrated excellence in an environment with complex software and hardware designs.
* Strong understanding of multicore hardware, operating systems design, concurrency, virtual memory, caching, interrupts, device drivers and real\-time programming.
* Strong stills in performance analysis, data analysis and performance optimization.
**Ways To Stand Out From The Crowd**
* Deep expertise in ARM architecture and SW ecosystem.
* Proficient in analyzing, debugging and tuning performance of complex system software stacks.
* Experience with CPU server system workloads and performance analysis.
* Familiarity with CUDA programming and/or GPUs.
* Experience with HPC or large\-scale computing environments.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JR2001796</t>
        </is>
      </c>
    </row>
    <row r="199">
      <c r="A199" t="inlineStr">
        <is>
          <t>li-4367341743</t>
        </is>
      </c>
      <c r="B199" t="inlineStr">
        <is>
          <t>Full Stack Software Developer (AHT) - R10221040-2</t>
        </is>
      </c>
      <c r="C199" t="inlineStr">
        <is>
          <t>Northrop Grumman</t>
        </is>
      </c>
      <c r="D199" t="inlineStr">
        <is>
          <t>linkedin</t>
        </is>
      </c>
      <c r="E199">
        <f>HYPERLINK("https://www.linkedin.com/jobs/view/4367341743", "https://www.linkedin.com/jobs/view/4367341743")</f>
        <v/>
      </c>
      <c r="F199" t="inlineStr"/>
      <c r="G199" t="inlineStr">
        <is>
          <t>Newport News, VA</t>
        </is>
      </c>
      <c r="H199" t="inlineStr"/>
      <c r="I199"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is looking for a
 **Software Engineer** 
 based out of either
 **Hollywood (MD), Manhattan Beach (CA), or Newport News (VA)** 
 . Our Team works on state\-of\-the\-art Mission Planning systems. This is a role in a large program that will support the full software product lifecycle in an Agile Scrum framework: requirement definition, estimation, implementation, unit testing, integration testing, SW/HW integration, test documentation, supporting test events, and customer support. The ideal candidate will be a cross\-functional team player, willing to take on challenges, that collaborates with internal and external teams and that is driven to provide solutions to internal and external customers.
**Responsibilities Include**
* Designs, develops, documents, tests and debugs applications software and systems that contain logical and mathematical solutions while ensuring software standards are met
* Maintain and improve the software CI/CD pipelines to enable fast, bug free delivery of critical business software to production
* Set up and deploy Development, Test, and Build environments
* Create and update Windows installers
* Install, test, and verify software products
* Provide support for the software build and installation
* Work within a Cross\-Functional scrum to develop high\-priority mission planning features.
* Understand third\-party software and hardware peripherals to support implementation of software interfaces and support integration
* Develop software test products such as Verification Cross Reference Matrices to tie software requirements to software tests, Software Test Plans, Software Test Procedures, and Software Test Reports.
* Define and develop test approaches for new software and system capabilities.
* Compile data and define changes required in testing procedures or new testing requirements.
* Perform frequent Smoke Testing and frequent Acceptance Testing on SW builds.
* Resolve technical issues within a scrum, across scrums, and with the support of other functional roles.
* Support authoring and development of contract deliverable documentation that support deliverable software products and test events
 All work must be performed on\-site at one of the three available locations
**Basic Qualifications**
* Bachelor's degree in STEM with a minimum of 2 years of relevant experience OR 0 years of experience with a Master's degree in STEM; OR 6 additional years of relevant experience in lieu of a degree
* Current DoD Secret Clearance (adjudicated within the last 5 years), with ability to obtain a Top Secret clearance and Special Access Program (SAP) clearances
* Knowledge of C\# / other object\-oriented programming languages (Java, C\+\+, ..)
* Experience using Microsoft Windows Technologies (e.g., .NET Framework, WinForms, ..)
* Proficient in one or more scripting language: PowerShell, Batch, Python
* Understanding of Version control systems (Git)
* Familiarity with debugging – code level and window service/process level
* Experience with Sonarqube or other static code analysis framework
**Preferred (Nice To Have) Qualifications**
* Joint Mission Planning System development experience
* Service hosting and inter\-process communication experience
* Experience managing Microservices
* Understanding of CI/CD pipelines
 Primary Level Salary Range: $83,400\.00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00">
      <c r="A200" t="inlineStr">
        <is>
          <t>li-4367357834</t>
        </is>
      </c>
      <c r="B200" t="inlineStr">
        <is>
          <t>Software Engineer</t>
        </is>
      </c>
      <c r="C200" t="inlineStr">
        <is>
          <t>Northwestern University</t>
        </is>
      </c>
      <c r="D200" t="inlineStr">
        <is>
          <t>linkedin</t>
        </is>
      </c>
      <c r="E200">
        <f>HYPERLINK("https://www.linkedin.com/jobs/view/4367357834", "https://www.linkedin.com/jobs/view/4367357834")</f>
        <v/>
      </c>
      <c r="F200">
        <f>HYPERLINK("https://careers.northwestern.edu/psc/hrnu_er/EMPLOYEE/HRMS/c/HRS_HRAM_FL.HRS_CG_SEARCH_FL.GBL?Page=HRS_APP_JBPST_FL&amp;Action=U&amp;FOCUS=Applicant&amp;SiteId=1&amp;JobOpeningId=53141&amp;PostingSeq=1&amp;utm_source=linkedin&amp;utm_medium=jobboard&amp;urlHash=8eVL", "https://careers.northwestern.edu/psc/hrnu_er/EMPLOYEE/HRMS/c/HRS_HRAM_FL.HRS_CG_SEARCH_FL.GBL?Page=HRS_APP_JBPST_FL&amp;Action=U&amp;FOCUS=Applicant&amp;SiteId=1&amp;JobOpeningId=53141&amp;PostingSeq=1&amp;utm_source=linkedin&amp;utm_medium=jobboard&amp;urlHash=8eVL")</f>
        <v/>
      </c>
      <c r="G200" t="inlineStr">
        <is>
          <t>Chicago, IL</t>
        </is>
      </c>
      <c r="H200" t="inlineStr"/>
      <c r="I200" t="inlineStr">
        <is>
          <t>**Department:** 
 MED\-Medical Social Sciences
**Salary/Grade:** 
 ITS/79
 Target hiring range for this position will be between $80,297 \- $100,370 per year. Offered salary will be determined by the applicant’s education, experience, knowledge, skills and abilities, as well as internal equity and alignment with market data.
**Job Summary**
 Develops, codes, tests, and debugs new software or enhancements to existing software.Typically works with senior staff but may coordinate smaller or less complex projects independently.Designs and implements basic technical solutions ensuring that business needs and requirements are met.Performs basic system integration tasks. Provides estimation for assigned tasks.
**Program Description**
 The Center for Computational and Social Sciences in Health (COMPASS) within the Institute of Artificial Intelligence in Medicine (I.AIM) is a research center that seeks to foster connection between data science, social science and population health to increase the capacity for cutting\-edge research that uses social and behavioral science and computational methodology to understand and enable the health of populations (https://www.feinberg.northwestern.edu/sites/compass/). COMPASS is directed by Dr. Birkett and Dr. Janulis (Associate Director) and builds upon their decade of scientific work leading the Complex Systems and Health Disparities (CONNECT) Research Program within Northwestern’s Impact Institute that was focused on elucidating the complex mechanisms driving the health disparities of stigmatized populations, in particular gender and sexual minorities. COMPASS extends this work through three interrelated priorities: building transdisciplinary collaborations; training the next generation of population health scholars; and conducting cutting\-edge research on the social and structural drivers of population health. The Center houses several NIH\-funded studies that seek to further understanding on how contextual and multilevel factors influence health outcomes through the use of complex modeling – including network analysis and simulation \- as well as by building tools to improve the collection and measurement of complex data for social and behavioral health research.
**Project Description**
 Network Canvas (www.networkcanvas.com; https://github.com/complexdatacollective) is an NIH\-supported open\-source suite of tools for the collection and management of complex social network data with wide\-ranging applications in social, behavioral and other health research. Our team is currently extending these existing tools to develop Network Canvas Studio – a cloud\-based, browser\-accessible platform that will increase the utility and reach of these tools and facilitate improved social network measurement for HIV, drug use and other research investigating the social and structural drivers of infectious disease. This work involves transitioning our existing apps to the Studio platform, developing extensive new features to support remote self\-administration, collaborative protocol design and editing, longitudinal data capture functionality, role\-based access controls, survey scheduling and sampling tools, and an open API for integration and analysis — all informed by community feedback and accessibility principles.
**Specific Responsibilities**
 Strategic Planning
* Participates in the development of new goals and strategies based on interactions with primary user.
* Develops plans for software deployment on heterogeneous systems.
* Collaborates with user to develop workflow and best practices.
* Partners with user in designing features for technology.
 Administration
* Responds to customer inquiries via phone, online, in\-person, etc.
* Creates and maintains code documentation.
* Grants system access to new user.
* Evaluates feature/upgrade/change requests and recommends action.
* Participates in interview process for new hires.
* Identifies database and software performance issues, and makes adjustments.
 Development
* Develops and maintains software infrastructure, via patches, bundles, releases and maintenance packs.
* Codes software applications adhering to designs supporting internal business requirements or external user.
* Completes tier 3 troubleshooting.
* Designs databases and data structures.
* Prioritizes tasks within project.
* Meets with business analyst/stakeholder to determine requirements.
***Miscellaneous***
 Performs other duties as assigned.
**Minimum Qualifications: (Education, experience, and any other certifications or clearances)**
* Successful completion of a full 4\-year course of study in an accredited college or university leading to a bachelor's or higher degree in a major such as computer science, information technology, or related; OR appropriate combination of education and experience.
* 2 years relevant experience required.
* Adobe Creative Cloud Suite
* Amazon Web Services (AWS)
* Apache
* Code Repositories (Git, Subversion)
* NoSQL (MongoDB, CouchDB)
* Puppet/Chef/Ansible
* SQL/MySQL/Postgres
* CSS
* HTML 5
* JavaScript
* Node.js
* Python
* React
* critical thinking
* Debugging
* judgment
* problem solving
* Troubleshooting
* agile environment
* Code documentation
* collaboration and teamwork
* iterative \&amp; incremental development
* organizational skills
* planning
* workflow development \&amp; documentation
**Minimum Competencies: (Skills, knowledge, and abilities.)**
* Effective time management skills.
* Strong communication skills, including the ability to translate technical information to nontechnical audiences and vis versa.
* Attention to detail.
* Ability to manage work tasks independently.
**Preferred Qualifications: (Education and experience)**
* Experience working with and interest in the LGBTQ\+ population.
* Experience working in and knowledge of public health.
**Preferred Competencies: (Skills, knowledge, and abilities)**
* Functional programming and technical knowledge, particularly in JavaScript with an emphasis on knowledge in React.
* Knowledge of git workflows and collaborative coding techniques.
* Familiarity with modern web technologies.
**Benefits**
*At Northwestern, we are proud to provide meaningful, competitive, high\-quality health care plans, retirement benefits, tuition discounts and more! Visit us at* 
*https://www.northwestern.edu/hr/benefits/index.html* 
*to learn more.*
**Work\-Life And Wellness**
*Northwestern offers comprehensive programs and services to help you and your family navigate life’s challenges and opportunities, and adopt and maintain healthy lifestyles.*
*We support flexible work arrangements where possible and programs to help you locate and pay for quality, affordable childcare and senior/adult care. Visit us at* 
*https://www.northwestern.edu/hr/benefits/work\-life/index.html* 
*to learn more.*
**Professional Growth \&amp; Development**
*Northwestern supports employee career development in all circumstances whether your workspace is on campus or at home. If you’re interested in developing your professional potential or continuing your formal education, we offer a variety of tools and resources. Visit us at* 
*https://www.northwestern.edu/hr/learning/index.html* 
*to learn more* 
***.***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row>
    <row r="201">
      <c r="A201" t="inlineStr">
        <is>
          <t>li-4367321904</t>
        </is>
      </c>
      <c r="B201" t="inlineStr">
        <is>
          <t>Full Stack Software Developer (AHT) - R10221040</t>
        </is>
      </c>
      <c r="C201" t="inlineStr">
        <is>
          <t>Northrop Grumman</t>
        </is>
      </c>
      <c r="D201" t="inlineStr">
        <is>
          <t>linkedin</t>
        </is>
      </c>
      <c r="E201">
        <f>HYPERLINK("https://www.linkedin.com/jobs/view/4367321904", "https://www.linkedin.com/jobs/view/4367321904")</f>
        <v/>
      </c>
      <c r="F201" t="inlineStr"/>
      <c r="G201" t="inlineStr">
        <is>
          <t>Newport News, VA</t>
        </is>
      </c>
      <c r="H201" t="inlineStr"/>
      <c r="I201"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is looking for a
 **Software Engineer** 
 based out of either
 **Hollywood (MD), Manhattan Beach (CA), or Newport News (VA)** 
 . Our Team works on state\-of\-the\-art Mission Planning systems. This is a role in a large program that will support the full software product lifecycle in an Agile Scrum framework: requirement definition, estimation, implementation, unit testing, integration testing, SW/HW integration, test documentation, supporting test events, and customer support. The ideal candidate will be a cross\-functional team player, willing to take on challenges, that collaborates with internal and external teams and that is driven to provide solutions to internal and external customers.
**Responsibilities Include**
* Designs, develops, documents, tests and debugs applications software and systems that contain logical and mathematical solutions while ensuring software standards are met
* Maintain and improve the software CI/CD pipelines to enable fast, bug free delivery of critical business software to production
* Set up and deploy Development, Test, and Build environments
* Create and update Windows installers
* Install, test, and verify software products
* Provide support for the software build and installation
* Work within a Cross\-Functional scrum to develop high\-priority mission planning features.
* Understand third\-party software and hardware peripherals to support implementation of software interfaces and support integration
* Develop software test products such as Verification Cross Reference Matrices to tie software requirements to software tests, Software Test Plans, Software Test Procedures, and Software Test Reports.
* Define and develop test approaches for new software and system capabilities.
* Compile data and define changes required in testing procedures or new testing requirements.
* Perform frequent Smoke Testing and frequent Acceptance Testing on SW builds.
* Resolve technical issues within a scrum, across scrums, and with the support of other functional roles.
* Support authoring and development of contract deliverable documentation that support deliverable software products and test events
 All work must be performed on\-site at one of the three available locations
**Basic Qualifications**
* Bachelor's degree in STEM with a minimum of 2 years of relevant experience OR 0 years of experience with a Master's degree in STEM; OR 6 additional years of relevant experience in lieu of a degree
* Current DoD Secret Clearance (adjudicated within the last 5 years), with ability to obtain a Top Secret clearance and Special Access Program (SAP) clearances
* Knowledge of C\# / other object\-oriented programming languages (Java, C\+\+, ..)
* Experience using Microsoft Windows Technologies (e.g., .NET Framework, WinForms, ..)
* Proficient in one or more scripting language: PowerShell, Batch, Python
* Understanding of Version control systems (Git)
* Familiarity with debugging – code level and window service/process level
* Experience with Sonarqube or other static code analysis framework
**Preferred (Nice To Have) Qualifications**
* Joint Mission Planning System development experience
* Service hosting and inter\-process communication experience
* Experience managing Microservices
* Understanding of CI/CD pipelines
 Primary Level Salary Range: $83,400\.00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02">
      <c r="A202" t="inlineStr">
        <is>
          <t>li-4367009811</t>
        </is>
      </c>
      <c r="B202" t="inlineStr">
        <is>
          <t>Full Stack Engineer</t>
        </is>
      </c>
      <c r="C202" t="inlineStr">
        <is>
          <t>GeBBS Consulting</t>
        </is>
      </c>
      <c r="D202" t="inlineStr">
        <is>
          <t>linkedin</t>
        </is>
      </c>
      <c r="E202">
        <f>HYPERLINK("https://www.linkedin.com/jobs/view/4367009811", "https://www.linkedin.com/jobs/view/4367009811")</f>
        <v/>
      </c>
      <c r="F202" t="inlineStr"/>
      <c r="G202" t="inlineStr">
        <is>
          <t>Reston, VA</t>
        </is>
      </c>
      <c r="H202" t="inlineStr"/>
      <c r="I202" t="inlineStr">
        <is>
          <t>GeBBS Consulting is a healthcare technology professional services and consulting firm based in Towson, Maryland servicing clients throughout the US. We are celebrating our 28th year in business. We have two divisions: 1\) Hospital / Provider Practice 2\) Managed Care / Payer Practice – we work directly with health plans (very strong in the Blue Cross Blue Shield space). GeBBS Consulting has over two decades of experience supporting healthcare clients throughout the US.
 We are currently hiring a Full Stack Developer
 Summary: One of our Blue Cross Blue Shield clients is looking for an Full Stack Developer /SDET to support various cross\-functional teams in developing front\-end and backend test scripts. The initial project will be supporting the migration of applications to Java 21 and automating test scripts for various other applications.
 Location: 100% remote
 Required Skills:
* 8\+ years of combined experience in Java Spring development experience with development of test scripts (a previous SDET who has become a full stack developer, or the other way around can be considered)
* Experience with both Karate and Selenium scripting
* Experience with Jasmin and Karma JavaScript testing tools
* Experience with database technologies SQL, PostgreSQL, AWS cloud, etc.
 If you are interested in exploring this career opportunity with GeBBS Consulting, please reply with your current resume and the best time to contact you.
 Recruiting Fraud
 Over the past year, online recruitment scams have increased frequently, impacting both applicants and employers. To help protect yourself against potential scammers, please note the following recruitment practices employed by GeBBS Consulting.
* GeBBS Consulting uses a single domain name for all recruiting activities and all Authorized GeBBS Consulting Recruiters use the same domain name for all email correspondences. The official GeBBS Consulting domain is gebbsconsulting.com. If you receive emails or are directed to an email other than GeBBSconsulting.com, you are not responding to GeBBS Consulting.
* GeBBS Consulting screens applicants through a combination of over\-the\-phone, video and in\-person meetings.
* GeBBS Consulting will never ask a candidate for payment of any kind as part of the hiring or onboarding process.
-</t>
        </is>
      </c>
    </row>
    <row r="203">
      <c r="A203" t="inlineStr">
        <is>
          <t>li-4351993994</t>
        </is>
      </c>
      <c r="B203" t="inlineStr">
        <is>
          <t>Sr. Software Engineer</t>
        </is>
      </c>
      <c r="C203" t="inlineStr">
        <is>
          <t>Advantage Tech</t>
        </is>
      </c>
      <c r="D203" t="inlineStr">
        <is>
          <t>linkedin</t>
        </is>
      </c>
      <c r="E203">
        <f>HYPERLINK("https://www.linkedin.com/jobs/view/4351993994", "https://www.linkedin.com/jobs/view/4351993994")</f>
        <v/>
      </c>
      <c r="F203" t="inlineStr"/>
      <c r="G203" t="inlineStr">
        <is>
          <t>Kansas City, MO</t>
        </is>
      </c>
      <c r="H203" t="inlineStr"/>
      <c r="I203" t="inlineStr">
        <is>
          <t>Advantage Tech is searching for a Sr. Software Engineer to join their client's team based out of Kansas City, Mo.
 The Software Engineer plays a key role in designing, developing, and maintaining custom business applications and integrations that support the client’s operations. This role requires a blend of technical expertise, problem\-solving ability, and business understanding to deliver reliable, secure, and scalable software solutions.
 The ideal candidate is a proactive, detail\-oriented developer who thrives in a collaborative team environment, demonstrates a strong understanding of both back\-end and front\-end development, and is eager to learn and apply new technologies to drive business efficiency and innovation.
**Essential Duties And Responsibilities**
*This job description may not include all assigned duties and may be updated or modified by the Director of Information Technology based on the evolving needs of the business.*
* Report directly to the Director of Information Technology.
* Develop a strong understanding of business operations and use that knowledge to design and optimize in\-house applications and systems.
* Collaborate with users and stakeholders to define requirements, business processes, and technical specifications.
* Design, develop, test, debug, and maintain high\-quality, secure, and scalable web\-based applications using Microsoft \&amp; 3rd party technologies (C\#, .NET, Blazor, Telerik, SQL Server, Azure).
* Build, test, and deploy integrations with third\-party software, APIs, web services, and customer systems to ensure seamless data flow across platforms.
* Develop and maintain SQL databases, stored procedures, and queries to support business reporting and operational needs.
* Support, debug, and enhance existing applications to ensure reliability, performance, and maintainability.
* Collaborate with the Sr. Software Engineer to ensure adherence to department standards for architecture, code quality, and documentation.
* Contribute to user experience (UX/UI) consistency and participate in establishing and following UX standards for internal applications.
* Ensure compliance with security policies and best practices for data handling, encryption, and access management.
* Create and maintain detailed technical documentation and provide cross\-training to IT team members.
* Accurately record project time, tasks, and progress in approved project management and timekeeping systems.
* Provide end\-user support and training for new or enhanced applications as assigned.
* Participate in Agile development processes, including planning, stand\-ups, code reviews, and CI/CD.
* Continuously research and recommend new technologies, tools, and practices that improve development efficiency and solution quality.
**Requirements**
 To perform this job successfully, an individual must be able to complete each essential duty to industry best practice standards. The requirements below represent the knowledge, skills, and abilities required:
 Education \&amp; Experience
* Bachelor’s degree in Computer Science, Information Technology, Software Engineering, or a related field (or equivalent work experience).
* 7–10 years of professional experience in software development, systems integration, or IT application design and support.
* Proven experience developing enterprise applications using primarily Microsoft technologies (C\#, .NET Core, ASP.NET, SQL Server, Azure, Power Automate).
* Experience with modern web technologies (HTML5, CSS, JavaScript, jQuery, or frameworks such as Razor/Blazor, React, Angular, or Vue).
* Hands\-on experience with RESTful APIs, web services, and system integrations.
* Familiarity with Agile or iterative development methodologies and version control systems (e.g., Git, Azure DevOps, or similar).
 Technical Skills
* Strong proficiency in C\#, .NET Core, and ASP.NET MVC application development.
* Solid understanding of relational databases and SQL (T\-SQL, stored procedures, optimization).
* Experience with Azure services (App Services, Functions, Logic Apps, Azure SQL, etc.) or equivalent cloud platforms.
* Knowledge of front\-end development (HTML, CSS, JavaScript) and responsive UI design principles.
* Understanding of API design, integration, and data interchange formats (JSON, XML, REST, SOAP).
* Familiarity with software testing, debugging, and code review processes.
* Understanding of security best practices for application development, data handling, and identity management.
* Experience with CI/CD pipelines and automated deployment tools preferred.
**Soft Skills**
* Exceptional analytical and problem\-solving abilities.
* Strong communication skills with the ability to work effectively with users, technical peers, and leadership.
* High level of accountability, attention to detail, and commitment to delivering quality solutions.
* Team\-oriented mindset with the ability to collaborate, influence, and share knowledge across the IT organization.
* Adaptable to changing priorities and capable of managing multiple concurrent tasks.
* Passion for continual learning and self\-improvement in emerging technologies and development practices.
**Preferred Qualifications (Nice To Have)**
* Experience with Power BI and SQL Server Reporting Services (SSRS).
* Experience integrating with ERP, CRM, or other enterprise systems (e.g., Foundation, BambooHR, RAMP).
* Familiarity with DevOps practices and Infrastructure\-as\-Code (IaC) tools.
* Experience developing secure applications in compliance with corporate and regulatory standards.
* Understanding of UX/UI principles or experience collaborating with design teams.</t>
        </is>
      </c>
    </row>
    <row r="204">
      <c r="A204" t="inlineStr">
        <is>
          <t>li-4367345085</t>
        </is>
      </c>
      <c r="B204" t="inlineStr">
        <is>
          <t>Senior System Software Engineer</t>
        </is>
      </c>
      <c r="C204" t="inlineStr">
        <is>
          <t>AstroNetix</t>
        </is>
      </c>
      <c r="D204" t="inlineStr">
        <is>
          <t>linkedin</t>
        </is>
      </c>
      <c r="E204">
        <f>HYPERLINK("https://www.linkedin.com/jobs/view/4367345085", "https://www.linkedin.com/jobs/view/4367345085")</f>
        <v/>
      </c>
      <c r="F204" t="inlineStr"/>
      <c r="G204" t="inlineStr"/>
      <c r="H204" t="inlineStr"/>
      <c r="I204" t="inlineStr">
        <is>
          <t>**Company Description** 
 AstroNetix is a veteran\-owned company delivering mission\-focused solutions across national security, defense, and space domains. Our team brings deep operational and technical experience supporting complex, high\-stakes programs from early design through deployment and sustainment. We partner closely with U.S. defense and intelligence organizations to shape, integrate, and operate software\-intensive mission systems where reliability, correctness, and operational clarity are critical. Our work is grounded in real\-world mission experience and a disciplined approach to systems engineering, integration, and execution.
**Role Description** 
 AstroNetix is seeking an experienced
 **Senior Systems Engineer (Software\-Intensive Mission Systems)** 
 to support Command and Control Ground Element (CGE) development for space and missile defense missions. This role focuses on defining and integrating system behavior across software\-driven mission systems, working at the intersection of operations, systems engineering, and backend software.
 The successful candidate will help translate operational intent and CONOPS into clear system behavior, interfaces, and requirements. Responsibilities include developing and maintaining interface control documentation, defining system states and transitions, identifying edge cases and failure modes, and working closely with backend software engineers to ensure mission correctness and reliability under real\-world conditions. This role emphasizes system behavior, integration, and execution rather than UI or product development.
**Qualifications** 
 • Experience as a systems engineer on software\-intensive or mission\-critical systems  
 • Strong understanding of backend or distributed software architectures  
 • Experience defining system behavior, interfaces, data flows, and message\-based systems  
 • Ability to operate effectively in evolving architectures and ambiguous problem spaces  
 • Experience supporting space, missile defense, C2, or other mission systems environments is highly desirable  
 • Active TS/SCI clearance required  
 • U.S. citizenship required</t>
        </is>
      </c>
    </row>
    <row r="205">
      <c r="A205" t="inlineStr">
        <is>
          <t>li-4367025854</t>
        </is>
      </c>
      <c r="B205" t="inlineStr">
        <is>
          <t>Staff Software Engineer</t>
        </is>
      </c>
      <c r="C205" t="inlineStr">
        <is>
          <t>Realtor.com</t>
        </is>
      </c>
      <c r="D205" t="inlineStr">
        <is>
          <t>linkedin</t>
        </is>
      </c>
      <c r="E205">
        <f>HYPERLINK("https://www.linkedin.com/jobs/view/4367025854", "https://www.linkedin.com/jobs/view/4367025854")</f>
        <v/>
      </c>
      <c r="F205" t="inlineStr"/>
      <c r="G205" t="inlineStr">
        <is>
          <t>Austin, TX</t>
        </is>
      </c>
      <c r="H205" t="inlineStr"/>
      <c r="I205"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Are you passionate about building software solutions that solve real customer problems? Do you enjoy fast\-paced environments, modern programming languages, thoughtful design patterns, and scalable architectures? You’ll be right at home here.
 As a Staff Software Engineer on Client Experiences, you’ll help shape and build the systems behind Realtor.com®’s most impactful agent and consumer workflows. Your work will directly influence how real estate professionals manage listings, collaborate with their teams, and grow their businesses—while also powering intuitive, reliable experiences for buyers and sellers at critical moments in their journey.
 At Realtor.com®, Staff Engineers are trusted technical leaders who thrive in ambiguity. You think beyond individual features and services, understand the long\-term business impact of technology decisions, and influence teams across the organization to make sound trade\-offs between short\-term delivery and long\-
 term scalability, reliability, and maintainability. You’ll partner closely with Product Managers, Designers, and Engineering leaders to shape solutions early, guide architectural decisions across teams, and raise the bar for engineering excellence—while continuing to contribute high\-quality, impactful code.
 We believe in leveraging the best tools to solve problems faster. You will be expected to utilize AI coding assistants and LLMs proficiently to accelerate development velocity, generate boilerplate, and troubleshoot complex debugging scenarios. Beyond simple usage, this role requires the critical judgment to verify AI\-generated outputs for security, performance, and accuracy. You should be comfortable integrating AI tooling into your daily workflow to eliminate repetitive tasks, allowing you to focus on high\-impact architectural and strategic engineering challenges.
 What You’ll Do:
* Lead the design and development of scalable backend systems supporting critical client and agent experiences
* Influence architectural and technical decisions across multiple teams and systems
* Partner with Product Managers and Designers to shape solutions to complex, ambiguous problems from concept through execution
* Own system quality and production excellence, including performance profiling, incident response, and root cause analysis
* Design and implement secure, reliable, scalable, and well\-documented APIs using Apollo GraphQL
* Build reusable components and frameworks for data transformation, anomaly detection, and data quality improvements
* Identify opportunities to reduce complexity through reuse, standardization, and thoughtful system design
* Mentor engineers through code reviews, design discussions, and technical guidance
* Communicate technical ideas and system behavior clearly to internal stakeholders
* Operate effectively in an Agile/Scrum environment while remaining self\-directed and outcome\-focused
 What You’ll Bring:
* Bachelor’s degree in Computer Science or equivalent practical experience
* 8\+ years of professional software development experience
* 3\+ years of experience contributing to system architecture and design
* Experience building backend systems, or strong aptitude to learn our stack: Python, NestJS, GraphQL, TypeScript, React, and Next.js
* Experience with data platforms and pipelines (e.g., Snowflake, Airflow) and familiarity with AWS preferred
* Strong system design skills and experience making trade\-offs between competing architectural approaches
* A track record of delivering customer value iteratively, with a focus on quality and feedback
* Strong engineering fundamentals, including testing, code reviews, observability, and documentation
 How We Work:
 We balance creativity and innovation on a foundation of in\-person collaboration. For most roles, our employees work three or more days in our offices,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06">
      <c r="A206" t="inlineStr">
        <is>
          <t>li-4293081844</t>
        </is>
      </c>
      <c r="B206" t="inlineStr">
        <is>
          <t>System Software Engineer</t>
        </is>
      </c>
      <c r="C206" t="inlineStr">
        <is>
          <t>Broadcom</t>
        </is>
      </c>
      <c r="D206" t="inlineStr">
        <is>
          <t>linkedin</t>
        </is>
      </c>
      <c r="E206">
        <f>HYPERLINK("https://www.linkedin.com/jobs/view/4293081844", "https://www.linkedin.com/jobs/view/4293081844")</f>
        <v/>
      </c>
      <c r="F206">
        <f>HYPERLINK("https://broadcom.wd1.myworkdayjobs.com/External_Career/job/USA-CA-San-Jose-Innovation-Drive/System-Software-Engineer_R023643?source=LinkedIn&amp;urlHash=4eGw", "https://broadcom.wd1.myworkdayjobs.com/External_Career/job/USA-CA-San-Jose-Innovation-Drive/System-Software-Engineer_R023643?source=LinkedIn&amp;urlHash=4eGw")</f>
        <v/>
      </c>
      <c r="G206" t="inlineStr">
        <is>
          <t>San Jose, CA</t>
        </is>
      </c>
      <c r="H206" t="inlineStr"/>
      <c r="I206"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R023643</t>
        </is>
      </c>
    </row>
    <row r="207">
      <c r="A207" t="inlineStr">
        <is>
          <t>li-4359402141</t>
        </is>
      </c>
      <c r="B207" t="inlineStr">
        <is>
          <t>2.73 Software Engineer, Infrastructure</t>
        </is>
      </c>
      <c r="C207" t="inlineStr">
        <is>
          <t>FieldAI</t>
        </is>
      </c>
      <c r="D207" t="inlineStr">
        <is>
          <t>linkedin</t>
        </is>
      </c>
      <c r="E207">
        <f>HYPERLINK("https://www.linkedin.com/jobs/view/4359402141", "https://www.linkedin.com/jobs/view/4359402141")</f>
        <v/>
      </c>
      <c r="F207" t="inlineStr"/>
      <c r="G207" t="inlineStr">
        <is>
          <t>Irvine, CA</t>
        </is>
      </c>
      <c r="H207" t="inlineStr"/>
      <c r="I207"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We’re looking for a
**Software Engineer, Infrastructure
 to design, build, and operate the core backend systems that power FieldAI’s globally deployed robotics platform. In this role, you’ll focus on high\-performance backend services, real\-time data pipelines, and system reliability, enabling seamless communication between robots, sensors, and customer\-facing applications operating in complex, real\-world environments.
 This is a hands\-on role for engineers who enjoy working close to the metal, solving hard distributed systems problems, and supporting software that runs
**in the field, not just the cloud
 .
**What You’ll Do** 
* Design, build, and maintain backend services supporting real\-time robotics systems
* Develop scalable APIs for internal and external consumers
* Design and operate data stores for robotics telemetry, logs, and analyticsDefine clear schema contracts and build SDKs to simplify data access for internal and partner teams
* Support event\-driven and message\-based communication between robots, backend services, and UIs
* Work closely with robotics engineers to ensure backend systems meet operational, reliability, and performance requirementsImprove system observability, performance, and resilience in production environments
**What You Bring to the Table** 
* Typically
 **5–10\+ years** 
 of experience building and operating backend or infrastructure systems
* Strong backend programming experience with
 **TypeScript** 
 (Node.js) and/or
 **Python** 
 Solid understanding of
 **API and SDK design** 
 best practices
* Experience designing and operating databases such as
 **Postgres, MySQL, MongoDB** 
 , or similar systemsExperience building production systems with
 **containerization (Docker)** 
 and CI/CD pipelinesStrong system design skills, particularly for
 **high\-performance or real\-time workloads**
* Ability to collaborate effectively across robotics, product, and frontend teams
**What Will Set You Apart** 
* Experience working with
 **robotics frameworks** 
 such as
 **ROS**
* Background supporting
 **sensor data ingestion** 
 , telemetry pipelines, or hardware\-adjacent systems
* Experience with
 **event\-driven architectures** 
 and messaging systemsFamiliarity with cloud infrastructure (AWS or equivalent)Experience supporting field\-deployed or safety\-critical systems
 Our salary range is generous and we take into consideration an individual's background and experience in determining final salary; base pay offered may vary considerably depending on geographic location, job\-related knowledge, skills, and experience.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Mission Viejo (Irvine adjacent),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li-4367348276</t>
        </is>
      </c>
      <c r="B208" t="inlineStr">
        <is>
          <t>Software Engineer II - Backend (Microservices, Java &amp; Node.js) Austin, Tx.</t>
        </is>
      </c>
      <c r="C208" t="inlineStr">
        <is>
          <t>H-E-B</t>
        </is>
      </c>
      <c r="D208" t="inlineStr">
        <is>
          <t>linkedin</t>
        </is>
      </c>
      <c r="E208">
        <f>HYPERLINK("https://www.linkedin.com/jobs/view/4367348276", "https://www.linkedin.com/jobs/view/4367348276")</f>
        <v/>
      </c>
      <c r="F208" t="inlineStr"/>
      <c r="G208" t="inlineStr">
        <is>
          <t>Austin, TX</t>
        </is>
      </c>
      <c r="H208" t="inlineStr"/>
      <c r="I208" t="inlineStr">
        <is>
          <t>**Responsibilities**
 Since
 **H\-E\-B Digital Technology’s inception** 
 , we’ve been investing heavily in our customers’ digital experience, reinventing how they find inspiration from food, make food decisions, and ultimately get food into their homes. This is an exciting time to join H\-E\-B Digital—we’re using the best available technologies to deliver modern, engaging, reliable, and scalable experiences to meet the needs of our growing audience.
 As a
 **Software Engineer II** 
 , you’ll deliver complex code solutions. You’ll contribute to overall system design, architecture, security, scalability, reliability, application performance, and provide end\-to\-end support.
 Once you’re eligible, you’ll become an Owner in the company, so we’re looking for commitment, hard work, and focus on quality and Customer service. “Partner owned” means our most important resources—People— drive the innovation, growth, and success that make H\-E\-B The Greatest Omnichannel Retailing Company.
**Do You Have a**
**HEART FOR PEOPLE** 
 … willing to provide support to junior developers?
**HEAD FOR BUSINESS** 
 … skills to effectively deliver code solutions and features?
**PASSION FOR RESULTS** 
 … drive to produce quality results with little direct supervision?
**What is your background?**
 − A Computer Science degree or comparable formal training, certification, or work experience
 − 2\+ years of experience in software development and in specific area of assignment
 − Experience with common software engineering tools (e.g., Git, Jira, Confluence)
 − Strong knowledge of computer science fundamentals such as data structures, algorithms, and design patterns
 − Conversant in the technology stack of the system/services of the team.
 − Able to review others' code for the strength of engineering solutions, namely performance, sustainability, and iterative development potential.
 − Strong understanding of coding standards and design principles / patterns and Lean Startup or Agile development methodologies
 − For Backend Software Engineer, working knowledge of relevant technologies (e.g., Node, Java Springboot, Postgres Sql, GCP Services, Docker, Kubernetes)
 − Familiarity with analyzing memory and performance issues using profiling tools.
**What is the work?**
 − Works on defined technology projects / tasks with occasional guidance
 − Writes production\-ready code and tests that meet acceptance criteria, are easily testable, documented, easily understood by other developers, and account for edge cases, security, and errors.
 − Creating, configuring, and supporting build and deployment pipelines.
 − Capable of on\-call support, debugging, and troubleshooting moderately complex issues within team services. May seek guidance from more senior engineers for more complex issues.
 − Grows technical skills and experience, starting to lead small initiatives independently.
 − Able to collaborate across teams, learning how to influence within the team.
 − Able to navigate more complex work that may span multiple systems.
 − Able to partially diagnose problems that occur around the scope of work in which they operate.
 − Seeks out and defines work. Understands and acts according to task prioritization.
 − Identifies and communicates dependencies and blockers within the team. Escalates any blockers, or delays to their team daily.
 − Contributes to root cause analysis and gives input on how to remediate future issues.
 − Learns to implement effective system monitoring.
**Do you have what it takes to be an H\-E\-B Software Engineer II?**
 − High degree of personal accountability to self and team for continued growth
 − Ability to operate independently while owning your effect on the organization.
 − Resilient and optimistic when faced with the unexpected
* Can manage most ambiguity within scope of daily work and is willing to learn how to proactively disambiguate requirements.
 − Team player
* Actively learning the team’s domain by asking questions, sharing knowledge with their teammates, and contributing to their team's documentation. Collaborates well with team and partners outside the team (Product Management, Design, QA, etc.)
 − Committed to adding value by supporting the team, contributing your perspective, and committing to the right amount of work.
 − Growth Mindset \- Ability to fail\-forward, ask questions, apply coaching, and show a genuine desire to learn, grow, and teach. Serves as a model for more junior engineers and consistently demonstrates team, organization, and company values in daily work.
 − Self\-starter
* Proactive in seeking out help when unclear about priority and dependencies; take initiative to learn the team, the work, and the business.
 − Impact \- Understands area of work and shares knowledge with others. Generously shares opinions, feelings, constructive feedback, and gives credit where it is due.
 − Connect \- Learning to facilitate conversations to make sure all viewpoints are represented, and that bias is understood. Listens to opposing perspectives and works toward the best solution for all.
**Can you...**
 − Travel by car or plane with overnight stays
 − Work extended hours; sit for extended periods
 − Work rotating and on\-call schedules, as needed
 JDENGINEERING</t>
        </is>
      </c>
    </row>
    <row r="209">
      <c r="A209" t="inlineStr">
        <is>
          <t>li-4346606012</t>
        </is>
      </c>
      <c r="B209" t="inlineStr">
        <is>
          <t>Software Engineer, Clinical Data</t>
        </is>
      </c>
      <c r="C209" t="inlineStr">
        <is>
          <t>Xealth</t>
        </is>
      </c>
      <c r="D209" t="inlineStr">
        <is>
          <t>linkedin</t>
        </is>
      </c>
      <c r="E209">
        <f>HYPERLINK("https://www.linkedin.com/jobs/view/4346606012", "https://www.linkedin.com/jobs/view/4346606012")</f>
        <v/>
      </c>
      <c r="F209" t="inlineStr"/>
      <c r="G209" t="inlineStr">
        <is>
          <t>Madison, WI</t>
        </is>
      </c>
      <c r="H209" t="inlineStr"/>
      <c r="I209" t="inlineStr">
        <is>
          <t>**Our Mission \&amp; Culture**
 At Xealth, we're revolutionizing healthcare by leveraging data and automation to empower care providers (building on EHRs such as Epic and Cerner) to seamlessly prescribe, deliver, and monitor digital health for patients. We are a detail\-oriented team, committed to maintaining the highest standards while moving with agility and impact.
 We are a highly skilled, collaborative, and passionate group, applying our expertise to improve health outcomes for millions. We believe in shared ownership and are looking for a team player who is a self\-starter and self\-driven to pioneer the next generation of intelligent, automated cloud infrastructure.
 This role offers a unique opportunity to join a software development team to advance our capabilities with EHR integrations.
**What You'll Own And Deliver (Responsibilities)**
 As a core member of our software engineering team, you will design, build, and scale the services that power Xealth’s EHR integrations and clinical workflows. You’ll apply solid computer science fundamentals to solve complex problems in distributed systems, data modeling, and API design.
* Design and Develop Core Services: Build robust, maintainable backend services in TypeScript/Node.js and other modern technologies that power our EHR integrations and clinical workflow automation.
* EHR Integration Engineering: Architect and implement integration services leveraging HL7 v2, FHIR, and EHR\-specific APIs. Move beyond simple data exchange to design scalable abstraction layers and reusable modules.
* Distributed Systems and Cloud Architecture: Collaborate with DevOps engineers to deploy and operate microservices in AWS using containerization and orchestration tools (e.g., Kubernetes, ECS).
* Data Quality and Security: Implement rigorous validation, monitoring, and observability to ensure data accuracy, integrity, and HIPAA\-compliant security.
* Technical Leadership: Contribute to code reviews, system design discussions, and technical decisions that raise the engineering bar across the team.
* Automation and AI in Development: Use AI\-assisted coding tools like GitHub Copilot to streamline development, increase quality, and accelerate delivery.
* Cross\-Functional Collaboration: Partner with product managers and EHR specialists to translate clinical workflows into elegant, scalable software solutions.
**The Expertise You'll Bring (Requirements)**
 We’re looking for a software engineer with strong computer science fundamentals. Someone who’s comfortable reasoning about systems, data, and code structure at scale, and who’s excited to apply those skills in healthcare.
**Core Technical Competencies**
* Software Engineering Expertise: 3\+ years of professional experience building production software systems using NodeJS and Typescript.
* CS Fundamentals: Deep understanding of algorithms, data structures, object\-oriented design, concurrency, and distributed systems.
* API and Integration Development: Hands\-on experience designing and building RESTful or event\-driven APIs; exposure to the healthcare domain is a plus.
* Distributed Systems Experience: Experience designing and scaling microservices or cloud\-native applications using AWS, Kubernetes, or similar technologies.
* Troubleshooting and Debugging: Proficient in diagnosing complex issues across distributed services using logs, traces, and performance metrics.
* Collaboration and Agility: Comfortable working in an agile startup environment, balancing quality with rapid iteration.
**Highly Valued Experience (Nice To Have)**
* Prior experience in a healthcare startup or health data integration platform with knowledge of FHIR, HL7, patient identity management or clinical data modeling
* Experience implementing secure OAuth2\.0/SMART on FHIR authentication flows.
**About Xealth**
* Xealth created the leading digital health platform helping health systems deliver connected, personalized care at scale. Embedded in the EHR, it enables clinicians to prescribe, automate, and measure the impact of digital tools\-\-including apps, services, and wearable data\-\-within existing workflows. Now part of Samsung's connected care vision, Xealth enhances decision\-making, reduces friction, and supports enterprise\-wide digital health strategies. Trusted by more than 500 hospitals and 70\+ solution partners, Xealth provides a scalable foundation for delivering connected, personalized, and preventative care\-\-empowering health systems to drive outcomes, engagement, and operational efficiency while advancing digital transformation.
* Xealth has been named to the World's Best Digital Health Companies list by Newsweek, awarded gold in the Digital Health awards in 2024 and twice in 2023\. In 2023 Xealth was also listed as one of BuiltIn's Best Places to Work, and one of Fierce Healthcare's Fierce 15 of 2023\.
**Compensation And Benefits**
 Xealth offers a multi\-tiered approach when constructing a highly competitive compensation package. The compensation package would include a base salary, bonus, and a comprehensive suite of benefits. The base salary compensation range for this position is $155,000 \- $212,000, depending on geographic market.
 Paid parental leave.
 Comprehensive medical, dental, and vision policies. Xealth covers 100% of employee premiums. We also provide Employee Assistance Programs.
 Xealth provides your laptop and offers a home office stipend.
 Generous learning \&amp; development opportunities for you to grow your skills and career.
 401k Match: Xealth offers a dollar\-for\-dollar match up to 3%.
 Flexible time off \&amp; 10 standardized holidays.
 $500 yearly fitness stipend to spend on staying active.
*Xealth is committed to providing reasonable accommodations for qualified individuals with disabilities and disabled veterans in our job application procedures.*</t>
        </is>
      </c>
    </row>
    <row r="210">
      <c r="A210" t="inlineStr">
        <is>
          <t>li-4352338814</t>
        </is>
      </c>
      <c r="B210" t="inlineStr">
        <is>
          <t>Senior Full Stack Engineer</t>
        </is>
      </c>
      <c r="C210" t="inlineStr">
        <is>
          <t>Knox Systems, Inc.</t>
        </is>
      </c>
      <c r="D210" t="inlineStr">
        <is>
          <t>linkedin</t>
        </is>
      </c>
      <c r="E210">
        <f>HYPERLINK("https://www.linkedin.com/jobs/view/4352338814", "https://www.linkedin.com/jobs/view/4352338814")</f>
        <v/>
      </c>
      <c r="F210" t="inlineStr"/>
      <c r="G210" t="inlineStr">
        <is>
          <t>Charlotte, NC</t>
        </is>
      </c>
      <c r="H210" t="inlineStr"/>
      <c r="I210" t="inlineStr">
        <is>
          <t>Senior Full\-Stack Engineer (Frontend\-Leaning)
**Department:** 
 Engineering
**Reports To:** 
 Senior Engineering Manager / Director of Engineering
**Location:** 
 Hybrid: MA, NC, NY
**Classification:** 
 Full\-Time, Exempt
**Estimated Compensation** 
 : $145\-170k
**Hiring Requirement:** 
 Due to the nature of our work with federal government clients and compliance with applicable regulations, this position requires U.S. citizenship. Dual citizenship is not permitted for this role. Candidates must be able to provide documentation verifying sole U.S. citizenship status as part of the background check process.
 About Knox
 Knox runs the largest Federal managed cloud, building and operating secure cloud and AI environments that support the U.S. government’s most critical missions — from national security and public safety to essential public services. Our customers rely on Knox to deploy production systems that meet the highest standards for security, reliability, and compliance.Work at Knox is high\-impact and purpose\-driven. The problems we solve are high\-stakes, the expectations are high, and the results are visible. Speed, rigor, and trust matter here \- because the environments we secure cannot fail. Your contributions are visible, your expertise is relied upon, and the impact of your work is immediate and measurable. We operate at federal scale, securing some of the most sensitive government environments in the country \- because the systems we build must perform without fail.
**Focus:** 
 Own Frontend (Admin \+ App), Support Backend When Needed
 Overview
 You'll own KnoxAI's entire frontend experience across two Nuxt 3 applications: the
 **Admin** 
 interface (for Knox employees managing customer assessments) and the
 **App** 
 interface (for customers and federal agencies reviewing findings and compliance posture). Your work will transform complex compliance data into intuitive, actionable interfaces that guide users through the FedRAMP authorization process.
 This role is perfect for a frontend specialist who wants full ownership of the user experience while occasionally diving into backend work to unblock features or improve API design. You'll work closely with the backend engineer and engineering manager to deliver a cohesive, polished product.
 Responsibilities
 Frontend Ownership
* **Admin Application:** 
 Build and maintain administrative workflows for Knox employees:
* Customer/boundary management, team administration, user roles/permissions
* Agent configuration (AI models, knowledge bases, MCP tools)
* Compliance job orchestration, KSI evaluation dashboards
* Repository analysis results, findings management, POA\&amp;M tracking
* Settings, notifications, file management
* **App Application:** 
 Build and maintain customer\-facing interfaces:
* Compliance calendar (monthly reviews, CAB meetings, annual exercises)
* Real\-time findings, resources, POA\&amp;Ms with search/filter/export
* Risk posture dashboards, KSI status visualizations
* Chat interface for AI\-assisted compliance questions
* Demo mode (styled components matching \_fe design system)
* **Component Library:** 
 Build reusable shadcn\-based components following design system patterns from \_fe project (Next.js/React reference implementation)
* **State Management:** 
 Architect Pinia stores for complex state (users, teams, findings, compliance data, chat threads)
* **Forms \&amp; Validation:** 
 Implement VeeValidate \+ Zod schemas for all data entry with clear error messaging
* **Data Tables:** 
 Build TanStack Table implementations with filtering, sorting, pagination, bulk actions, and Excel export
 API Integration \&amp; Backend Support
* **TypeScript Client Generation:** 
 Maintain OpenAPI\-to\-TypeScript pipeline using @hey\-api/openapi\-ts; provide feedback to backend on API usability
* **Backend Collaboration:** 
 Propose API changes to improve frontend performance (e.g., aggregated endpoints, GraphQL consideration)
* **NestJS Contributions (20\-30%):** 
 Implement simple CRUD endpoints, add DTOs, extend controllers when unblocking frontend features
* **Authentication Flows:** 
 Maintain AWS ALB \+ Cognito integration, Okta SAML flows, JWT parsing and user context management
 UX \&amp; Performance
* **Responsive Design:** 
 Ensure all interfaces work seamlessly on desktop, tablet, and mobile
* **Performance Optimization:** 
 Lazy loading, code splitting, image optimization, debouncing, virtual scrolling for large lists
* **Accessibility:** 
 Follow WCAG 2\.1 AA standards (keyboard navigation, ARIA labels, color contrast)
* **Error Handling:** 
 Graceful error states, retry mechanisms, offline indicators, loading skeletons
* **Real\-Time Updates:** 
 WebSocket integration for live compliance job progress and chat streaming
 Testing \&amp; Documentation
* **Component Testing:** 
 Vitest tests for all critical components, composables, and stores (\&gt;80% coverage)
* **Integration Testing:** 
 Test user flows end\-to\-end with @nuxt/test\-utils
* **Visual Regression:** 
 Maintain screenshot tests for critical UI states
* **Documentation:** 
 Write clear component usage docs, maintain Storybook (if adopted), document complex state flows
 Required Qualifications
**Frontend Expertise** 
* **5\+ years frontend development** 
 with modern JavaScript frameworks (Vue 3, React, or Angular)
* **Vue 3 Composition API \+ Nuxt 3** 
 experience strongly preferred; must be comfortable with script setup, reactivity, and auto\-imports
* **TypeScript proficiency:** 
 Advanced types, generics, utility types, strict mode
* **CSS mastery:** 
 Tailwind CSS, responsive design, Flexbox/Grid, animations, dark mode
* **Component libraries:** 
 shadcn/ui, Radix UI, Headless UI, or similar design system implementations
* **State management:** 
 Pinia, Vuex, Redux, Zustand—experience with complex state architectures
* **Form libraries:** 
 VeeValidate, Formik, React Hook Form with schema validation (Zod, Yup)
**Backend Familiarity** 
* **Basic NestJS or Express knowledge:** 
 Comfortable adding controllers, DTOs, and simple CRUD logic
* **REST API understanding:** 
 HTTP methods, status codes, request/response patterns, pagination strategies
* **Database basics:** 
 SQL queries, Prisma schema comprehension, understanding of joins and indexes
* **Authentication patterns:** 
 JWT, OAuth2, SAML flows, session management
**Soft Skills \&amp; Mindset** 
* **User empathy:** 
 Passionate about UX; understands how design decisions impact user workflows
* **Ownership:** 
 Treats frontend as your domain—proactively identifies UI/UX issues and proposes solutions
* **Collaborative:** 
 Works closely with backend engineer to influence API design; provides thoughtful code review feedback
* **Pragmatic:** 
 Balances pixel\-perfect design with "ship it" mentality; knows when good enough is better than perfect
**Bonus/Preferred** 
* **Design system experience:** 
 Built or maintained component libraries, design tokens, theme systems
* **Compliance/GRC UI familiarity:** 
 Prior work in security, audit, or compliance software
* **Data visualization:** 
 Experience with charting libraries (D3, Chart.js, Recharts, Unovis)
* **Real\-time features:** 
 WebSockets, Server\-Sent Events, optimistic UI updates
* **Bun runtime** 
 familiarity or enthusiasm for modern JavaScript tooling
* **CI/CD:** 
 GitHub Actions, automated deployments, preview environments
* **Figma/design collaboration:** 
 Ability to translate designs into code with high fidelity
 If selected to move forward, you will be asked to provide:
* A short Loom video walking through a passion project, including what it does and a review of some of the code.
* Access to either a public or private repository so we can review their commits and overall code quality.
 Ideally, the project should be built on (or close to) the stack outlined in the job descriptions.
**Benefits \&amp; Perks** 
 Knox offers a competitive employee benefits package including Medical, Dental, Vision, Life \&amp;
 Disability, unlimited PEO, and an employee funded 401k plan. Please note, benefits are subject
 to change.
 We are an Equal Opportunity Employer. We celebrate diversity and are committed to creating an inclusive environment for all employees. Employment decisions are made without regard to race, color, religion, sex, sexual orientation, gender identity or expression, national origin, age, disability, veteran status, or any other legally protected status.</t>
        </is>
      </c>
    </row>
    <row r="211">
      <c r="A211" t="inlineStr">
        <is>
          <t>li-4367383937</t>
        </is>
      </c>
      <c r="B211" t="inlineStr">
        <is>
          <t>Software Engineer II,III,IV</t>
        </is>
      </c>
      <c r="C211" t="inlineStr">
        <is>
          <t>Excellus BCBS</t>
        </is>
      </c>
      <c r="D211" t="inlineStr">
        <is>
          <t>linkedin</t>
        </is>
      </c>
      <c r="E211">
        <f>HYPERLINK("https://www.linkedin.com/jobs/view/4367383937", "https://www.linkedin.com/jobs/view/4367383937")</f>
        <v/>
      </c>
      <c r="F211" t="inlineStr"/>
      <c r="G211" t="inlineStr">
        <is>
          <t>Binghamton, NY</t>
        </is>
      </c>
      <c r="H211" t="inlineStr"/>
      <c r="I211" t="inlineStr">
        <is>
          <t>**Summary**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position works closely with clients and cross\-functional departments to communicate project statuses and proposals.
**Essential Accountabilities**
 Level I
* Develops code, analyzes, researches, and resolves associated system issues.
* Participates in on\-call production support rotation.
* Supports, maintains, creates and follows all documented IT processes and standards, application documentation and design and code reviews.
* Collaborates and communicates with team members and associates throughout the business to understand requirements and identify application impacts.
* Creates individual work plans, specifications and programs with guidance utilizing development procedures and standards.
* Develops skillset in one tool and ability to utilize the approved source control.
* Establishes a basic understanding of the Software Development Life Cycle methodology and framework use by your team, post one year demonstration of basic understanding and application of this skill.
* Consistently demonstrates high standards of integrity by supporting the Lifetime Healthcare Companies’ mission and values, adhering to the Corporate Code of Conduct, and leading to the Lifetime Way values and beliefs.
* Maintains high regard for member privacy in accordance with the corporate privacy policies and procedures.
* Regular and reliable attendance is expected and required.
* Performs other functions as assigned by management.
 Level II (in addition to Level I Accountabilities)
* Participates in strategic discussion and decision\-making.
* Serves as a mentor in their area(s) of technical expertise.
* Provides input to creation and documentation of organizational standards.
* Continuous development including the skillset of a second programming language and one tool/platform.
* Develops and implements an intermediate understanding of the Software Development Life Cycle methodology and framework.
* Develops understanding in one supported enterprise technology, post one year demonstration of intermediate understanding and application.
 Level III (in addition to Level II Accountabilities)
* Proactively identifies process and technical deficiencies, troubleshooting and offering solutions to resolve.
* Identifies best practices and participates in creation of organizational standards.
* Progresses the Software Development Life Cycle methodology and framework forward by demonstrating advanced understanding and application.
* Provides intermediary understanding of one supported enterprise technology and developing an additional basic understanding of another enterprise technology. Post one year demonstration of intermediate understanding, and application of an additional technology.
 Level IV (in addition to Level III Accountabilities)
* Assists with software and system design and architecture within the assigned portfolio.
* Develops strategies to mitigate risk and translates those strategies into specific action plans.
* Acts as a subject matter expert in their area(s) of technical expertise. Identifies best practices and drives creation of Organizational Standards and processes.
* Progresses the Software Development Life Cycle methodology and framework forward by demonstrating advanced understanding and application.
* Provides understanding and expertise of two (2\) supported enterprise technologies and developing an additional basic understanding of another enterprise technology. Post one year demonstration of advanced understanding, and application of, additional technologies.
**Minimum Qualifications**
 NOTE: We include multiple levels of classification differentiated by demonstrated knowledge, skills, and the ability to manage increasingly independent and/or complex assignments, broader responsibility, additional decision making, and in some cases, becoming a resource to others. In addition to using this differentiated approach to place new hires, it also provides guideposts for employee development and promotional opportunities.
 All Levels
* Associate's degree in computer science, information technology or related field. In lieu of a degree, three (3\) years of experience required. Bachelor’s degree preferred.
* Basic knowledge of at least one (1\) programming language, such as C\#/. NET, Java, SQL, C\+\+, Python, Visual Basic or JavaScript.
* Basic understanding of one (1\) of the following tools/platforms such as: Informatica, CI/CD, Pega, Power BI, Cognos.
* Basic knowledge of at least one (1\) operating system, such as Unix\-Based or Windows.
* Basic database experience
* Basic understanding of software testing and quality.
* Demonstrated basic ability to effectively communicate and partner with team members and direct leadership to understand user stories and identify application and system impacts.
* Demonstrated advanced problem\-solving skills.
* Demonstrated basic ability to implement security architecture principles, and best practice standards that align to the Organization’s overall business and strategy.
* Basic technical knowledge of techniques, standards, and state\-of\-the\-art capabilities for authentication and authorization, applied cryptography, data masking, encryption, security vulnerabilities, and remediation.
* Basic understanding of OpenAPI Specification (OAS) and Open Web Application Security Project (OWASP) vulnerabilities and risks.
**Level II (in Addition To Level I Qualifications)**
* Intermediate knowledge of at least one (1\) programming language, such as C\#/.NET, Java, SQL, C\+\+, Python, Visual Basic or JavaScript.
* Intermediate Experience with one (1\) of the following tools/ platforms such as, Informatica, CI/CD, Pega, Power BI, Cognos.
* Intermediate knowledge of at least one (1\) operating system, such as Unix\-Based or Windows.
* Intermediate database experience
* Intermediate understanding of software testing and quality.
* Intermediate knowledge and familiarity with the Software Development Life Cycle development methodologies.
* Intermediate knowledge of source control processes and application.
* Intermediate technical knowledge of techniques, standards, and state\-of\-the\-art capabilities for authentication and authorization, applied cryptography, data masking, encryption, security vulnerabilities, and remediation.
* Intermediate understanding of OpenAPI Specification (OAS) and Open Web Application Security Project (OWASP) vulnerabilities and risks.
**Level III (in Addition To Level II Qualifications)**
* Advanced knowledge of at least one (1\) programming language, such as C\#/.NET, Java, SQL, C\+\+, Python, Visual Basic or JavaScript.
* Advanced knowledge and experience with one (1\) of the following tools/platforms, such as Informatica, CI/CD, Pega, Power BI, Cognos.
* Advanced knowledge of at least one (1\) operating system, such as Unix\-Based or Windows.
* Advanced database experience
* Advanced understanding of software testing and quality.
* Advanced experience with the Software Development Life Cycle methodology and framework.
* Advanced knowledge of source control processes and application.
* Advanced technical knowledge of techniques, standards, and state\-of\-the\-art capabilities for authentication and authorization, applied cryptography, data masking, encryption, security vulnerabilities, and remediation.
* Advanced understanding of OpenAPI Specification (OAS) and Open Web Application Security Project (OWASP) vulnerabilities and risks.
**Level IV (in Addition To Level III Qualifications)**
* Expert experience with one (1\) of the following tools/ platforms such as Informatica, CI/CD, Pega, Power BI, Cognos or the above programming languages.
* Expert knowledge of at least one (1\) operating system, such as Unix\-Based or Windows.
* Expert database experience and understanding of software quality.
* Expert technical knowledge of techniques, standards, and state\-of\-the\-art capabilities for authentication and authorization, applied cryptography, data masking, encryption, security vulnerabilities, and remediation.
* Expert understanding of OpenAPI Specification (OAS) and Open Web Application Security Project (OWASP) vulnerabilities and risks.
**Physical Requirements**
* Ability to work prolonged periods sitting and/or standing at a workstation and working on a computer.
* Ability to work while sitting and/or standing at a workstation viewing a computer and using a keyboard, mouse and/or phone for three (3\) or more hours at a time.
* Ability to travel across the Health Plan service region for meetings and/or trainings as needed.
* Ability to work in a home office for continuous periods of time for business continuity.
 In support of the Americans with Disabilities Act, this job description lists only those responsibilities and qualifications deemed essential to the position.
 Equal Opportunity Employer
**Compensation Range(s)**
 Level I: Grade E3: Minimum: $62,400 \- Maximum: $84,000
 Level II: Grade E5: Minimum: $71,880 \- Maximum: $129,384
 Level III: Grade E7: Minimum: $87,766 \- maximum: $157,978
 Level IV: Grade E8: Minimum: $98,297 \- Maximum: $176,935
 The salary range indicated in this posting represents the minimum and maximum of the salary range for this position. Actual salary will vary depending on factors including, but not limited to, budget available, prior experience, knowledge, skill and education as they relate to the position’s minimum qualifications, in addition to internal equity. The posted salary range reflects just one component of our total rewards package. Other components of the total rewards package may include participation in group health and/or dental insurance, retirement plan, wellness program, paid time away from work, and paid holidays.
 Please note: There may be opportunity for remote work within all jobs posted by the Excellus Talent Acquisition team. This decision is made on a case\-by\-case basis.
 All qualified applicants will receive consideration for employment without regard to race, color, religion, sex, sexual orientation, gender identity, national origin, disability, or status as a protected veteran.</t>
        </is>
      </c>
    </row>
    <row r="212">
      <c r="A212" t="inlineStr">
        <is>
          <t>li-4358724964</t>
        </is>
      </c>
      <c r="B212" t="inlineStr">
        <is>
          <t>Senior Software Engineer</t>
        </is>
      </c>
      <c r="C212" t="inlineStr">
        <is>
          <t>Microsoft</t>
        </is>
      </c>
      <c r="D212" t="inlineStr">
        <is>
          <t>linkedin</t>
        </is>
      </c>
      <c r="E212">
        <f>HYPERLINK("https://www.linkedin.com/jobs/view/4358724964", "https://www.linkedin.com/jobs/view/4358724964")</f>
        <v/>
      </c>
      <c r="F212">
        <f>HYPERLINK("https://apply.careers.microsoft.com/careers/job/1970393556643326?utm_source=linkedin&amp;domain=microsoft.com&amp;src=LinkedIn&amp;urlHash=JuSk", "https://apply.careers.microsoft.com/careers/job/1970393556643326?utm_source=linkedin&amp;domain=microsoft.com&amp;src=LinkedIn&amp;urlHash=JuSk")</f>
        <v/>
      </c>
      <c r="G212" t="inlineStr"/>
      <c r="H212" t="inlineStr"/>
      <c r="I212" t="inlineStr">
        <is>
          <t>**Overview**
 As a
 **Senior Software Engineer** 
 in BCX Labs, you will design, build, and deliver innovative software solutions that advance productivity and AI within Microsoft 365\. You will collaborate with engineers, researchers, and product teams to translate ideas into prototypes and production\-ready features, directly contributing to the advancement of one of the most widely used AI products in the world. This role offers opportunities to accelerate your career growth, deepen your technical expertise in AI\-driven applications. Flexible work options are available, including full or partial remote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stakeholders to determine user requirements for a set of scenarios.
* Lead identification of dependencies and the development of design documents for products, applications, services, or platforms.
* Lead by example and mentor others to produce extensible and maintainable code used across products.
* Leverage subject\-matter expertise to drive project plans, release plans, and work items across multiple groups.
* Hold accountability as a Designated Responsible Individual (DRI), mentoring engineers and monitoring systems for reliability and performance.
* Proactively seek new knowledge and adapt to new trends, technical solutions, and patterns to improve the availability, reliability, efficiency, and performance of products, sharing knowledge with other engineers.
* Contribute to the design and delivery of experimental AI features, prototypes, and developer tools in a fast\-paced, cross\-disciplinary environment.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 OR equivalent experience.
* Bachelor's Degree in Computer Science or related technical field AND 5\+ years technical engineering experience with coding in languages including, but not limited to, C, C\+\+, C\#, Java, JavaScript, or Python OR equivalent experience.
 \#MSAI \#M365Core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3">
      <c r="A213" t="inlineStr">
        <is>
          <t>li-4367378482</t>
        </is>
      </c>
      <c r="B213" t="inlineStr">
        <is>
          <t>Software Engineer III--Java</t>
        </is>
      </c>
      <c r="C213" t="inlineStr">
        <is>
          <t>Truist</t>
        </is>
      </c>
      <c r="D213" t="inlineStr">
        <is>
          <t>linkedin</t>
        </is>
      </c>
      <c r="E213">
        <f>HYPERLINK("https://www.linkedin.com/jobs/view/4367378482", "https://www.linkedin.com/jobs/view/4367378482")</f>
        <v/>
      </c>
      <c r="F213" t="inlineStr"/>
      <c r="G213" t="inlineStr">
        <is>
          <t>Charlotte, NC</t>
        </is>
      </c>
      <c r="H213" t="inlineStr"/>
      <c r="I21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Banking or financial services experience. Knowledge of one or more of the following: Solid foundation in data structures, algorithms, and software design with strong analytical and debugging skills
* Experience with build tools, such as Git, Maven, and Jenkins. Proven ability to write comprehensive unit and integration tests
* Proven experience in application development and migration using Java/JEE, Spring, and Spring Boot.
* Hands\-on expertise with AWS services and microservices\-based API development.
* Strong knowledge of Unix environments (Linux or AIX).
* Practical experience with messaging systems such as IBM MQ and Apache Kafka.
* Proficiency in SQL databases, including development, data loading, and performance optimization.
* Experience in deploying distributed applications.
* Familiarity with Agile methodologies.
* Excellent communication and interpersonal skills.
* Working knowledge of ServiceNow.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14">
      <c r="A214" t="inlineStr">
        <is>
          <t>li-4367360942</t>
        </is>
      </c>
      <c r="B214" t="inlineStr">
        <is>
          <t>Staff Software Engineer - Redbook</t>
        </is>
      </c>
      <c r="C214" t="inlineStr">
        <is>
          <t>Patterson Companies, Inc.</t>
        </is>
      </c>
      <c r="D214" t="inlineStr">
        <is>
          <t>linkedin</t>
        </is>
      </c>
      <c r="E214">
        <f>HYPERLINK("https://www.linkedin.com/jobs/view/4367360942", "https://www.linkedin.com/jobs/view/4367360942")</f>
        <v/>
      </c>
      <c r="F214">
        <f>HYPERLINK("https://jobs.pattersoncompanies.com/job/colorado/staff-software-engineer-redbook/881/88623208384&amp;urlHash=YeoP", "https://jobs.pattersoncompanies.com/job/colorado/staff-software-engineer-redbook/881/88623208384&amp;urlHash=YeoP")</f>
        <v/>
      </c>
      <c r="G214" t="inlineStr">
        <is>
          <t>Colorado, United States</t>
        </is>
      </c>
      <c r="H214" t="inlineStr"/>
      <c r="I214" t="inlineStr">
        <is>
          <t>Feedyards feed the world — but their operations still run on paper and spreadsheets. Redbook is bringing modern software to one of America’s most essential industries.
 Redbook is revolutionizing feedyard management with cutting\-edge software that streamlines operations, improves decision\-making, and drives profitability. Our platform helps feedyards modernize their workflows and connect every part of the operation — from feed trucks to financials.
 We’re a 7\-person company within the umbrella of Patterson Companies, a leader in the animal production and health industries.
 We’re growing quickly and looking for a
 **Staff Software Engineer** 
 to help us scale our operations and systems and enhance our product as we expand.
**About The Role**
 We're hiring a Staff engineer to help us build new features, interface with other systems, and help us scale as we onboard new customers. Upcoming projects include integration with futures market, tooling to streamline customer onboarding, integrations with hardware, and much more!
 Depending on your interests, there might also be room to work on product and engineering management.
 This is a fully remote position.
 Please include "moo" in your cover letter, or your application will be rejected.
 Sorry, we're receiving many low\-quality applications from people who don't read the job listing!
**What You'll Do**
* Write high\-quality code
* Have a high impact and own major parts of the product
* Collaborate with product, operations, and customer teams to turn complex workflows into elegant software
* Lead technical projects involving multiple engineers
* Investigate, troubleshoot, and resolve production issues
* Support product and customer support teams, and work with other technical teams
* Mentor other engineers
* Gain a deep understanding of complex cattle feeding workflows – from logistics to accounting
 You’ll join a small, senior engineering team led by our CTO (ex\-Stack Overflow). We're quality\-focused, aiming for excellence in a fun, friendly atmosphere. We keep meetings light, prioritize deep work, and empower engineers to drive projects from concept to deployment.
 Our tech stack includes Next.js (Typescript), PostgreSQL, GraphQL, React, Prisma, MUI. Our CI/CD uses GitHub Actions, jest, and Playwright. We deploy on Vercel’s serveless platform.
**What We're Seeking**
**Must have**
* 8\+ years as a software engineer
* Strong technical skills (any programming language)
* Proven ability to deliver meaningful product or business impact
* Experience leading multi\-engineer projects
* Autonomous and Proactive
* Software design and software architecture expertise
* Experience in troubleshooting issues in production
* Great written and oral communication skills, can communicate clearly across technical and non\-technical teams
* SQL experience
* Located in the USA
**Nice to have**
* Experience with frontend development (React, CSS)
* Experience with iOS / Swift development
* Mentoring skills
* Infrastructure skills
* Interest in agriculture and cattle feeding
**Benefits**
* A brand\-new MacBook Pro M4 Pro
* All the equipment you need to do your job: high\-quality desk, chair, monitor(s), etc.
* Great medical, dental, and vision insurance
* 4 weeks of paid time off
* 1 day of paid volunteer time off
* 401(k) with employer match
 The potential compensation range for this role is below. The final offer amount could exceed this range, based on various factors such as experience, location, and skills.
 $200,000 \- $250,000
 If you’re excited to be part of the future of ag tech —
 **apply now to join Redbook.**
 The potential compensation range for this role is below. The final offer amount would be based on various factors such as candidate location (geographical labor market), experience, and skills. $139,200\.00 \- $174,000\.00</t>
        </is>
      </c>
    </row>
    <row r="215">
      <c r="A215" t="inlineStr">
        <is>
          <t>li-4367366800</t>
        </is>
      </c>
      <c r="B215" t="inlineStr">
        <is>
          <t>Sr Software Engineer</t>
        </is>
      </c>
      <c r="C215" t="inlineStr">
        <is>
          <t>Labcorp</t>
        </is>
      </c>
      <c r="D215" t="inlineStr">
        <is>
          <t>linkedin</t>
        </is>
      </c>
      <c r="E215">
        <f>HYPERLINK("https://www.linkedin.com/jobs/view/4367366800", "https://www.linkedin.com/jobs/view/4367366800")</f>
        <v/>
      </c>
      <c r="F215" t="inlineStr"/>
      <c r="G215" t="inlineStr">
        <is>
          <t>Burlington, NC</t>
        </is>
      </c>
      <c r="H215" t="inlineStr"/>
      <c r="I215" t="inlineStr">
        <is>
          <t>LabCorp is actively searching for an experienced Senior Software Engineer who will leverage their technology skills to develop business solutions within the healthcare industry. You will be challenged with cutting\-edge technologies to provide a modern framework for container, cloud, and serverless Java/Linux\-based solutions. You will be engaged in a wide variety of work, including but not limited to web applications and web service development, platform development, automation, and coaching/mentoring of teams adopting the platforms. You will contribute technical thought leadership in our agile development teams and deal with complex business integrations, eliciting requirements, and implementing secure and high\-performance services consumed by various devices and applications across the organization. You will drive our software evolution and innovations ensuring that we meet our internal and external clients' software needs today and tomorrow.
 Applicants who live within 35 miles of either the Burlington, NC or Durham, NC location will follow a hybrid schedule. This schedule includes a minimum of three in\-office days per week at an assigned location, either Burlington or Durham, supporting both collaboration and flexibility.
**Responsibilities**
* Develop through modern Agile development methodologies intuitive, easy\-to\-use software in collaboration with the development team, project managers, business analysts, UX designers, quality assurance and users across the organization.
* Take ownership of assigned application development tasks.
* Design and code complex RESTful micro services for new applications and enhancing existing applications.
* Follow best practices for test\-driven development and QA automation integration.
* Push the envelope with innovative and creative thinking.
* Provide modern and performant solutions for large\-scale applications.
* Mentor and train developers to help solve technical challenges.
**Minimum Requirements**
* Bachelor’s degree in Computer Science or related discipline.
* 3\+ years JAVA development experience.
* Experience working on SPRING frameworks developing RESTful web services.
* Demonstrate the ability to learn new technologies, research new areas within computer science, and apply this research to ongoing initiatives.
* Have excellent troubleshooting, follow\-through, and problem\-solving skills.
* Show strong analytical, communication and team collaboration skills to actively participate in our Agile teams.
**Preferred Requirements**
* 3\+ years work experience and expert knowledge of primary AWS services (Lambda, ECS, IAM, VPC, EC2, ELB, RDS, Route53, S3, API gateway, SQS).
* Experience in working with various relational and NoSQL databases (e.g., Mongo DB, Hadoop, etc.) for large enterprise solutions.
* Experience developing container based and serverless applications.
* Experience with messaging services like SQS, Kafka, IBM MQ, or ActiveMQ.
* Ability to coach and mentor junior developers and champion cross team reuse of existing code in new environments.
* Current or previous Labcorp experience preferred.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216">
      <c r="A216" t="inlineStr">
        <is>
          <t>li-4367044171</t>
        </is>
      </c>
      <c r="B216" t="inlineStr">
        <is>
          <t>Software Engineer Manager, Android, Laptops and Tablets, Cellular</t>
        </is>
      </c>
      <c r="C216" t="inlineStr">
        <is>
          <t>Google</t>
        </is>
      </c>
      <c r="D216" t="inlineStr">
        <is>
          <t>linkedin</t>
        </is>
      </c>
      <c r="E216">
        <f>HYPERLINK("https://www.linkedin.com/jobs/view/4367044171", "https://www.linkedin.com/jobs/view/4367044171")</f>
        <v/>
      </c>
      <c r="F216">
        <f>HYPERLINK("https://careers.google.com/jobs/results/124744963370951366-software-engineer-manager/?src=Online/LinkedIn/linkedin_us&amp;utm_source=linkedin&amp;utm_medium=jobposting&amp;utm_campaign=contract&amp;urlHash=9ciz", "https://careers.google.com/jobs/results/124744963370951366-software-engineer-manager/?src=Online/LinkedIn/linkedin_us&amp;utm_source=linkedin&amp;utm_medium=jobposting&amp;utm_campaign=contract&amp;urlHash=9ciz")</f>
        <v/>
      </c>
      <c r="G216" t="inlineStr">
        <is>
          <t>San Jose, CA</t>
        </is>
      </c>
      <c r="H216" t="inlineStr"/>
      <c r="I216" t="inlineStr">
        <is>
          <t>**Minimum qualifications:**
* Bachelor's degree in Computer Science or Computer Engineering or related field or equivalent practical experience.
* 8 years of experience with software development in one or more programming languages of C/ C\+\+ or Rust.
* 3 years of experience with embedded operating systems.
* 3 years of experience in a technical leadership role overseeing projects, with 2 years of experience in a people management, supervision/team leadership role.
* Experience in cellular modems at the kernel system interface.
**Preferred qualifications:**
* Master's degree or PhD in Computer Science or a related technical field.
* 3 years of experience working in a complex, matrixed organization.
* Experience with bringing up USB\-C stacks, sensors, and other peripherals.
* Experience with Linux development environment and git/gerrit tools.
* Experience building consumer electronics and knowledge of manufacturing, supply chain, and customer support processes.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enable data only cellular modems for Android Laptops and Tablets.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sustainable efforts by prioritizing and staffing a team, growing their skills and efficacy to successfully manage growing organizational priorities.
* Apply broad and technical knowledge to uncover and resolve subtle, technical problems in firmware and wireless controllers, while conducting design and code reviews to ensure best practices.
* Align stakeholders across multiple groups with priorities, exhibiting leadership to resolve conflicts and achieve goals in the best interest of Google.
* Develop and execute plans for device bring\-up, debugging, and validation, while identifying and mitigating major risks for multiple teams working on the same product.
* Collaborate with product managers and global engineering teams to define features, proposing new technologies and process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7">
      <c r="A217" t="inlineStr">
        <is>
          <t>li-4367187217</t>
        </is>
      </c>
      <c r="B217" t="inlineStr">
        <is>
          <t>Software Engineer, Sr.</t>
        </is>
      </c>
      <c r="C217" t="inlineStr">
        <is>
          <t>Comcast</t>
        </is>
      </c>
      <c r="D217" t="inlineStr">
        <is>
          <t>linkedin</t>
        </is>
      </c>
      <c r="E217">
        <f>HYPERLINK("https://www.linkedin.com/jobs/view/4367187217", "https://www.linkedin.com/jobs/view/4367187217")</f>
        <v/>
      </c>
      <c r="F217" t="inlineStr"/>
      <c r="G217" t="inlineStr"/>
      <c r="H217" t="inlineStr"/>
      <c r="I217" t="inlineStr">
        <is>
          <t>**About The Company**
 Join Comcast, a Fortune 30 global leader in media and technology, renowned for its innovative contributions to connectivity, content creation, and digital experiences. Serving hundreds of millions of customers worldwide, Comcast is committed to delivering cutting\-edge products, platforms, and solutions that enhance the digital lives of consumers and businesses alike. As an award\-winning technology enterprise, Comcast fosters a culture of innovation, collaboration, and inclusivity, providing employees with opportunities to grow, contribute, and bring their authentic selves to work. Our dynamic environment encourages big ideas, recognizes talent, and invests in your professional development, ensuring you do your best work and make a meaningful impact in the industry.
**About The Role**
 We are seeking a highly skilled Senior Software Engineer to join our IDDL team, which is responsible for capturing, curating, and enriching metadata for Comcast Enterprise and its partners. This role involves developing and supporting microservices, CI/CD pipelines, and DevOps practices to maintain and enhance our cloud infrastructure. The ideal candidate will be a motivated, team\-oriented professional with a strong technical background, capable of mentoring junior engineers, conducting code reviews, and designing scalable solutions that adhere to best practices and architectural standards. You will work in a fast\-paced environment operating in two\-week sprints, participating in daily stand\-ups, and collaborating across teams to drive key initiatives that support the growth, sustainability, and health of Comcast data assets.
**Qualifications**
* Bachelor's Degree in Computer Science, Software Engineering, or a related field (or equivalent professional experience)
* 7\+ years of professional software engineering experience
* Extensive experience with Spring Boot, Restful APIs, SQL, AWS Cloud, CI/CD pipelines (preferably Concourse), Docker
* Proficiency in object\-oriented programming languages
* At least 3 years of shell scripting experience
* 5\+ years working with AWS services including IAM, EC2, Lambda, messaging systems, EKS
* Strong architectural skills to design and implement scalable, reliable solutions
* Excellent interpersonal skills and a passion for innovation
* Ability to mentor and guide junior team members
* Experience with technical documentation, testing, and quality assurance processes
**Responsibilities**
* Collaborate with project stakeholders to gather and analyze product and technical requirements, ensuring seamless integration and alignment with business goals
* Design, develop, and support microservices, APIs, and web applications, ensuring they meet scalability and performance standards
* Implement and maintain CI/CD pipelines to streamline deployment processes and improve operational efficiency
* Mentor junior engineers, providing technical guidance, conducting code reviews, and fostering a culture of continuous learning
* Lead efforts to refactor and improve existing codebases for better performance, maintainability, and scalability
* Research, evaluate, and incorporate new technologies and industry best practices to enhance team capabilities
* Document technical specifications, architecture designs, and operational procedures for internal and external stakeholders
* Work closely with QA teams to ensure applications meet quality standards and functional requirements
* Monitor system performance, troubleshoot issues, and implement solutions to optimize cloud infrastructure
* Participate in Agile ceremonies, including sprint planning, stand\-ups, and retrospectives
* Support software rollouts, updates, and maintenance activities to ensure minimal downtime and high availability
**Benefits**
* Competitive salary package within the range of $135,683\.35 \- $203,525\.03, commensurate with experience
* Comprehensive health, dental, and vision insurance plans
* Retirement savings options and financial planning resources
* Paid time off, holidays, and flexible work arrangements
* Professional development opportunities, including training and certifications
* Employee assistance programs and wellness initiatives
* Inclusive work environment that values diversity and supports work\-life balance
 Equal Opportunity
 Comcast is an equal opportunity employer. We celebrate diversity and are committed to creating an inclusive environment for all employees. We consider all qualified applicants without regard to race, color, religion, age, sex, sexual orientation, gender identity, national origin, disability, veteran status, genetic information, or any other protected class under applicable law. We believe in providing equal employment opportunities and fostering a workplace where everyone can thrive and contribute to our collective success.</t>
        </is>
      </c>
    </row>
    <row r="218">
      <c r="A218" t="inlineStr">
        <is>
          <t>li-4367060492</t>
        </is>
      </c>
      <c r="B218" t="inlineStr">
        <is>
          <t>Software Engineer In Test II</t>
        </is>
      </c>
      <c r="C218" t="inlineStr">
        <is>
          <t>Vyne</t>
        </is>
      </c>
      <c r="D218" t="inlineStr">
        <is>
          <t>linkedin</t>
        </is>
      </c>
      <c r="E218">
        <f>HYPERLINK("https://www.linkedin.com/jobs/view/4367060492", "https://www.linkedin.com/jobs/view/4367060492")</f>
        <v/>
      </c>
      <c r="F218" t="inlineStr"/>
      <c r="G218" t="inlineStr">
        <is>
          <t>Atlanta, GA</t>
        </is>
      </c>
      <c r="H218" t="inlineStr"/>
      <c r="I218" t="inlineStr">
        <is>
          <t>**Title of Position:** 
 Software Engineer in Test II
**Managerial Responsibilities:** 
 None
**Job Family:** 
 Engineering
**Discipline:** 
 Software Engineer in Test
**Classification:** 
 Exempt
**General Summary**
 Responsible for designing and implementing automated test cases for software modules, collaborating on testing priorities, executing tests, reporting defects, keeping current with testing technologies, and reviewing code.
**Duties \&amp; Responsibilities**
* Design and implement automated and manual test cases to ensure the quality of software products
* Collaborate with software engineers and other stakeholders to define and prioritize testing efforts
* Write clear and concise test plans and test cases
* Execute automated and manual tests and report on test results
* Reproduce and report software defects and work with software engineers to ensure their resolution
* Stay up\-to\-date with emerging testing technologies and methodologies
* Participate in code reviews and provide feedback to software engineers on testability and quality
* Maintain compliance with the knowledge requirements outlined on the department intranet site
* Other duties as assigned.
**Education, Knowledge And Skills**
* Minimum of 2\+ years of experience in a related position
* Advanced in one programming language(s) such as JavaScript, Java, C\#, etc.
* Intermediate level knowledge of software testing methodologies and techniques
* Intermediate level experience with automated testing tools and frameworks
* Advanced level problem\-solving skills
* Intermediate level ability to write clear and concise test plans and test cases
* Intermediate level communication and interpersonal skills
* high level of integrity and dependability with a strong sense of urgency and results\-orientation.
* Intermediate level ability to work effectively in a team environment.
* Applicable Bachelors Degree in Engineering, or equivalent experience
**Physical Demands**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color vision, peripheral vision, depth perception and ability to adjust focus.
**Work Environment**
 The work environment characteristics described are representative of those an employee may encounter while performing the essential functions of this job. Reasonable accommodations may be made to enable individuals with disabilities to perform the essential functions. The noise level in the work environment is usually moderate.
**Security Role / Responsibility**
* Protected Health Information (“PHI”): This position may have access to and be responsible for the security of PHI/PI on an incidental basis.
* Human Resource Information: This position may have access to and be responsible for the security of information including salary, insurance, reviews, resumes.
* Financial Admin: This position may have access to and be responsible for the security of financial administrative accounts and corporate accounts.
* Application Admin: This position may have access to and be responsible for securely administering user access to corporate applications.
 Vyne Dental provides equal employment opportunities (EEO) to all employees and applicants for employment without regard to race, color, religion, sex (including pregnancy, gender identity, and sexual orientation), national origin, age, disability, genetics, or veteran status. In addition to federal law requirements, Vyne Dental follows applicable state and local laws governing nondiscrimination in employment in every location in which the company has facilities.</t>
        </is>
      </c>
    </row>
    <row r="219">
      <c r="A219" t="inlineStr">
        <is>
          <t>li-4367379713</t>
        </is>
      </c>
      <c r="B219" t="inlineStr">
        <is>
          <t>Senior Software Engineer, Profiling Services</t>
        </is>
      </c>
      <c r="C219" t="inlineStr">
        <is>
          <t>NVIDIA</t>
        </is>
      </c>
      <c r="D219" t="inlineStr">
        <is>
          <t>linkedin</t>
        </is>
      </c>
      <c r="E219">
        <f>HYPERLINK("https://www.linkedin.com/jobs/view/4367379713", "https://www.linkedin.com/jobs/view/4367379713")</f>
        <v/>
      </c>
      <c r="F219" t="inlineStr"/>
      <c r="G219" t="inlineStr">
        <is>
          <t>Santa Clara, CA</t>
        </is>
      </c>
      <c r="H219" t="inlineStr"/>
      <c r="I219"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Help design and ship an Always‑On, low‑overheadGPU profilingservice that runs in production, scales across cluster environments, and delivers actionable insights for ML workloads. You will lead the architecture and hands‑on delivery acrosssystem software,drivers, andCUDAto make profiling continuously available and reliable.
**What You’ll Be Doing**
* Drive low‑overhead, high‑reliability implementations inC/C\+\+, including IPC/shared memory, lock‑free buffers, and bounded CPU/memory budgets with clear benchmarks.
* Lead end‑to‑end feature delivery spanning user‑mode components,driver/platformlayers, and performance counter/trace providers.
* Establish profiling models that integrate with existing ML/AI workflows (e.g., PyTorch/XLA) to turn low‑level signals into actionable insights.
**What We Need To See**
* BS or MS degree or equivalent experience in Computer Engineering, Computer Science, or related degree.
* 8\+ years of system\-level C/C\+\+ development, including concurrency, memory management, and performance engineering and experience in system software design, operating systems fundamentals, computer architectures, performance analysis, and delivering production\-quality software.
* Expertise withprofiling/tracingstacks for CPU/GPU (e.g., CUPTI, Nsight, performance counters, event correlation) and debugging concurrent systems.
* Deep hands‑onCUDAand GPU architecture knowledge (runtime/driver APIs, CUDA streams/graphs, kernel behavior).
* Proven experience designing and shippingproduction quality system softwareor drivers with strict reliability, observability, and performance constraints.
* Demonstrated technical leadership: defining architecture and success metrics, and translating abstract product visions into actionable technical roadmaps with fast\-paced, multidisciplinary teams.
* Strong interpersonal, verbal, and written communication; able to influence across organizations and build trust with external collaborators.
**Ways To Stand Out From The Crowd**
* Track record buildingcontinuous/always‑onor multi‑client profiling systems with predictable overhead at scale.
* Hands\-on experiencetuning ML training/inference loopsbased on deep profiling analysis.
* Familiarity with ML ecosystems (e.g.,PyTorch,JAX) and correlating application‑level events with GPU traces/metrics.
* Strong background in translating profiling data intoactionable performance insights(compute vs memory bound, bottleneck triage).
* Experience withuser‑mode driverdevelopment and integration with platform permissions/security models.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JR2012022</t>
        </is>
      </c>
    </row>
    <row r="220">
      <c r="A220" t="inlineStr">
        <is>
          <t>li-4367368094</t>
        </is>
      </c>
      <c r="B220" t="inlineStr">
        <is>
          <t>Senior Software Developer</t>
        </is>
      </c>
      <c r="C220" t="inlineStr">
        <is>
          <t>AtkinsRéalis</t>
        </is>
      </c>
      <c r="D220" t="inlineStr">
        <is>
          <t>linkedin</t>
        </is>
      </c>
      <c r="E220">
        <f>HYPERLINK("https://www.linkedin.com/jobs/view/4367368094", "https://www.linkedin.com/jobs/view/4367368094")</f>
        <v/>
      </c>
      <c r="F220" t="inlineStr"/>
      <c r="G220" t="inlineStr">
        <is>
          <t>Tallahassee, FL</t>
        </is>
      </c>
      <c r="H220" t="inlineStr"/>
      <c r="I220" t="inlineStr">
        <is>
          <t>**Overview**
 We are hiring! AtkinsRéalis is seeking a
 **Senior Software Developer** 
 to work on a variety of exciting projects in Florida. This position will report full\-time to our client office located in
 **Tallahassee, FL (Not Remote).**
 Your role
* Conducts client needs analyses and may manage project development lifecycle for routine to semi\-complex projects.
* Analyzes complex technical problems and devises new approaches and alternative solutions.
* Translates business requirements into software specifications for routine to semi\-complex projects.
* Leads code reviews and participates in code review standards development and improvement.
* Implements, develops and evaluates plans and criteria for software development Best Practices groups. May lead one or more Best Practices working groups.
* Prepares data documentation for application development projects, following prescribed Best Practices.
* Leads application design for projects. May lead the design of unique design patterns to meet complex project requirements.
* Develops customized applications by writing well\-documented code in the applicable environment to meet documented software requirements.
* Provides database design insight and performs database management tasks.
* Exhibits mastery of one or more programming languages and/or platforms.
* Performs maintenance tasks on existing projects following the project's'established architecture/design.
* Maintains continued knowledge of technology developments in the field and use of applicable programming languages in order to act in an advisory role to our client and act as a mentor to other development resources.
* Implements new technologies in the field of software development to meet complex project requirements.
* Continually demonstrates ability to reuse existing code and work within reusable architectures.
* Leads documentation and diagramming of business and technical requirements for routine to semi\-complex projects.
* Participates in scope of work and estimate development utilizing technical domain knowledge; may lead scope and estimate for semi\-complex projects.
* Plans and organizes the work of other Software Developers for project assignments.
* Performs such other duties as the Supervisor may from time to time deem necessary.
**About You**
* B.S. or B.A in Computer Science or IT\-related discipline with 5\-10\+ years of relevant experience in computer programming and software development, or B.S. in Engineering with five years post professional licensure and relevant experience. Non\-degreed practitioners must demonstrate at least six years of direct experience in lieu of degree.
* Must have extensive experience with the following: Enterprise Solutions software, Power BI, SharePoint, SQL Server and other databases such as Oracle.
* C\#, Net Platform, ASP.Net Core experience.
* LRE \- Classic ASP \- not Classic ASP.Net \- using JavaScript and VBScript.
* DQE \- C\# in .Net with Angular\-JS.
* Must have extensive experience in overseeing the design and development of large applications, including application development processes and quality control while coordinating multiple programmers.
* Must have broad experience with database design and/or administration of enterprise relational database management systems.
* Should demonstrate excellent interpersonal, technical writing and communication skills.
* Ability to report to our client office 5 days per week.
* An industry recognized certification, i.e., Microsoft Certified Solution Developer desired, or professional registration in the case of incumbents with Engineering degrees.
 Rewards \&amp; benefits
 At AtkinsRéalis, our values—Safety, Integrity, Collaboration, Innovation, and Excellence—are more than just words. They are the foundation of who we are and how we work. These principles shape our culture, guide our decisions, and inspire us to create an environment where every team member feels empowered to grow, succeed, and make a meaningful impact.
 Depending on your employment status, AtkinsRéalis benefits may include medical, dental, vision, company\-paid life and short\- and long\-term disability benefits, employer\-matched 401(k) with 100% vesting, employee stock purchase plan, Paid Time Off, leaves of absences options, flexible work options, recognition and employee satisfaction programs, employee assistance program, and voluntary benefits. You can review our comprehensive benefits page here.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Additional information
 Expected compensation range is between $80k\-$120k\+ annually depending on skills, experience, and geographical location.
**Are you ready to expand your career with us? Apply today and help us shape something extraordinary.**
**AtkinsRéalis is an equal opportunity, Drug\-Free employer EOE/Veteran/Disability**
 Please review AtkinsRéalis' Equal Opportunity Statement here.
**AtkinsRéalis cares about your privacy** 
 and is committed to protecting your privacy. Please consult our Privacy Notice on our Careers site to know more about how we collect, use and transfer your Personal Data. By submitting your personal information to AtkinsRéalis, you confirm that you have read and accept our Privacy Notice.
**Note To Staffing And Direct Hire Agencies**
 In the event a recruiter or agency who is not on our preferred supplier list submits a resume/candidate to anyone in the company, AtkinsRéalis family of companies, we explicitly reserve the right to recruit and hire the candidate(s) at our discretion and without any financial obligation to the recruiter or agency. https://careers.atkinsrealis.com/recruitment\-agencies</t>
        </is>
      </c>
    </row>
    <row r="221">
      <c r="A221" t="inlineStr">
        <is>
          <t>li-4367391752</t>
        </is>
      </c>
      <c r="B221" t="inlineStr">
        <is>
          <t>Software Engineer II,III,IV</t>
        </is>
      </c>
      <c r="C221" t="inlineStr">
        <is>
          <t>Excellus BCBS</t>
        </is>
      </c>
      <c r="D221" t="inlineStr">
        <is>
          <t>linkedin</t>
        </is>
      </c>
      <c r="E221">
        <f>HYPERLINK("https://www.linkedin.com/jobs/view/4367391752", "https://www.linkedin.com/jobs/view/4367391752")</f>
        <v/>
      </c>
      <c r="F221">
        <f>HYPERLINK("https://careers.excellusbcbs.com/us/en/job/JR102945/Software-Engineer-IIIIIIV?source=LinkedIn&amp;urlHash=gjxw", "https://careers.excellusbcbs.com/us/en/job/JR102945/Software-Engineer-IIIIIIV?source=LinkedIn&amp;urlHash=gjxw")</f>
        <v/>
      </c>
      <c r="G221" t="inlineStr">
        <is>
          <t>Elmira, NY</t>
        </is>
      </c>
      <c r="H221" t="inlineStr"/>
      <c r="I221" t="inlineStr">
        <is>
          <t>**Summary**
**Job Description:**
 The Software Engineer is responsible for working on projects that are currently being visualized or developed by our organization. This role will be involved with the Software Development Life Cycle methodology and framework, directing software system validation and testing methods, as well as directing software programming initiatives. This position works closely with clients and cross\-functional departments to communicate project statuses and proposals.
**Essential Accountabilities**
 Level I
* Develops code, analyzes, researches, and resolves associated system issues.
* Participates in on\-call production support rotation.
* Supports, maintains, creates and follows all documented IT processes and standards, application documentation and design and code reviews.
* Collaborates and communicates with team members and associates throughout the business to understand requirements and identify application impacts.
* Creates individual work plans, specifications and programs with guidance utilizing development procedures and standards.
* Develops skillset in one tool and ability to utilize the approved source control.
* Establishes a basic understanding of the Software Development Life Cycle methodology and framework use by your team, post one year demonstration of basic understanding and application of this skill.
* Consistently demonstrates high standards of integrity by supporting the Lifetime Healthcare Companies’ mission and values, adhering to the Corporate Code of Conduct, and leading to the Lifetime Way values and beliefs.
* Maintains high regard for member privacy in accordance with the corporate privacy policies and procedures.
* Regular and reliable attendance is expected and required.
* Performs other functions as assigned by management.
 Level II (in addition to Level I Accountabilities)
* Participates in strategic discussion and decision\-making.
* Serves as a mentor in their area(s) of technical expertise.
* Provides input to creation and documentation of organizational standards.
* Continuous development including the skillset of a second programming language and one tool/platform.
* Develops and implements an intermediate understanding of the Software Development Life Cycle methodology and framework.
* Develops understanding in one supported enterprise technology, post one year demonstration of intermediate understanding and application.
 Level III (in addition to Level II Accountabilities)
* Proactively identifies process and technical deficiencies, troubleshooting and offering solutions to resolve.
* Identifies best practices and participates in creation of organizational standards.
* Progresses the Software Development Life Cycle methodology and framework forward by demonstrating advanced understanding and application.
* Provides intermediary understanding of one supported enterprise technology and developing an additional basic understanding of another enterprise technology. Post one year demonstration of intermediate understanding, and application of an additional technology.
 Level IV (in addition to Level III Accountabilities)
* Assists with software and system design and architecture within the assigned portfolio.
* Develops strategies to mitigate risk and translates those strategies into specific action plans.
* Acts as a subject matter expert in their area(s) of technical expertise. Identifies best practices and drives creation of Organizational Standards and processes.
* Progresses the Software Development Life Cycle methodology and framework forward by demonstrating advanced understanding and application.
* Provides understanding and expertise of two (2\) supported enterprise technologies and developing an additional basic understanding of another enterprise technology. Post one year demonstration of advanced understanding, and application of, additional technologies.
**Minimum Qualifications**
 NOTE: We include multiple levels of classification differentiated by demonstrated knowledge, skills, and the ability to manage increasingly independent and/or complex assignments, broader responsibility, additional decision making, and in some cases, becoming a resource to others. In addition to using this differentiated approach to place new hires, it also provides guideposts for employee development and promotional opportunities.
 All Levels
* Associate's degree in computer science, information technology or related field. In lieu of a degree, three (3\) years of experience required. Bachelor’s degree preferred.
* Basic knowledge of at least one (1\) programming language, such as C\#/. NET, Java, SQL, C\+\+, Python, Visual Basic or JavaScript.
* Basic understanding of one (1\) of the following tools/platforms such as: Informatica, CI/CD, Pega, Power BI, Cognos.
* Basic knowledge of at least one (1\) operating system, such as Unix\-Based or Windows.
* Basic database experience
* Basic understanding of software testing and quality.
* Demonstrated basic ability to effectively communicate and partner with team members and direct leadership to understand user stories and identify application and system impacts.
* Demonstrated advanced problem\-solving skills.
* Demonstrated basic ability to implement security architecture principles, and best practice standards that align to the Organization’s overall business and strategy.
* Basic technical knowledge of techniques, standards, and state\-of\-the\-art capabilities for authentication and authorization, applied cryptography, data masking, encryption, security vulnerabilities, and remediation.
* Basic understanding of OpenAPI Specification (OAS) and Open Web Application Security Project (OWASP) vulnerabilities and risks.
**Level II (in Addition To Level I Qualifications)**
* Intermediate knowledge of at least one (1\) programming language, such as C\#/.NET, Java, SQL, C\+\+, Python, Visual Basic or JavaScript.
* Intermediate Experience with one (1\) of the following tools/ platforms such as, Informatica, CI/CD, Pega, Power BI, Cognos.
* Intermediate knowledge of at least one (1\) operating system, such as Unix\-Based or Windows.
* Intermediate database experience
* Intermediate understanding of software testing and quality.
* Intermediate knowledge and familiarity with the Software Development Life Cycle development methodologies.
* Intermediate knowledge of source control processes and application.
* Intermediate technical knowledge of techniques, standards, and state\-of\-the\-art capabilities for authentication and authorization, applied cryptography, data masking, encryption, security vulnerabilities, and remediation.
* Intermediate understanding of OpenAPI Specification (OAS) and Open Web Application Security Project (OWASP) vulnerabilities and risks.
**Level III (in Addition To Level II Qualifications)**
* Advanced knowledge of at least one (1\) programming language, such as C\#/.NET, Java, SQL, C\+\+, Python, Visual Basic or JavaScript.
* Advanced knowledge and experience with one (1\) of the following tools/platforms, such as Informatica, CI/CD, Pega, Power BI, Cognos.
* Advanced knowledge of at least one (1\) operating system, such as Unix\-Based or Windows.
* Advanced database experience
* Advanced understanding of software testing and quality.
* Advanced experience with the Software Development Life Cycle methodology and framework.
* Advanced knowledge of source control processes and application.
* Advanced technical knowledge of techniques, standards, and state\-of\-the\-art capabilities for authentication and authorization, applied cryptography, data masking, encryption, security vulnerabilities, and remediation.
* Advanced understanding of OpenAPI Specification (OAS) and Open Web Application Security Project (OWASP) vulnerabilities and risks.
**Level IV (in Addition To Level III Qualifications)**
* Expert experience with one (1\) of the following tools/ platforms such as Informatica, CI/CD, Pega, Power BI, Cognos or the above programming languages.
* Expert knowledge of at least one (1\) operating system, such as Unix\-Based or Windows.
* Expert database experience and understanding of software quality.
* Expert technical knowledge of techniques, standards, and state\-of\-the\-art capabilities for authentication and authorization, applied cryptography, data masking, encryption, security vulnerabilities, and remediation.
* Expert understanding of OpenAPI Specification (OAS) and Open Web Application Security Project (OWASP) vulnerabilities and risks.
**Physical Requirements**
* Ability to work prolonged periods sitting and/or standing at a workstation and working on a computer.
* Ability to work while sitting and/or standing at a workstation viewing a computer and using a keyboard, mouse and/or phone for three (3\) or more hours at a time.
* Ability to travel across the Health Plan service region for meetings and/or trainings as needed.
* Ability to work in a home office for continuous periods of time for business continuity.
 In support of the Americans with Disabilities Act, this job description lists only those responsibilities and qualifications deemed essential to the position.
 Equal Opportunity Employer
**Compensation Range(s)**
 Level I: Grade E3: Minimum: $62,400 \- Maximum: $84,000
 Level II: Grade E5: Minimum: $71,880 \- Maximum: $129,384
 Level III: Grade E7: Minimum: $87,766 \- maximum: $157,978
 Level IV: Grade E8: Minimum: $98,297 \- Maximum: $176,935
 The salary range indicated in this posting represents the minimum and maximum of the salary range for this position. Actual salary will vary depending on factors including, but not limited to, budget available, prior experience, knowledge, skill and education as they relate to the position’s minimum qualifications, in addition to internal equity. The posted salary range reflects just one component of our total rewards package. Other components of the total rewards package may include participation in group health and/or dental insurance, retirement plan, wellness program, paid time away from work, and paid holidays.
 Please note: There may be opportunity for remote work within all jobs posted by the Excellus Talent Acquisition team. This decision is made on a case\-by\-case basis.
 All qualified applicants will receive consideration for employment without regard to race, color, religion, sex, sexual orientation, gender identity, national origin, disability, or status as a protected veteran.</t>
        </is>
      </c>
    </row>
    <row r="222">
      <c r="A222" t="inlineStr">
        <is>
          <t>li-4359343300</t>
        </is>
      </c>
      <c r="B222" t="inlineStr">
        <is>
          <t>Distinguished Software Engineer - NVLink Fusion Software</t>
        </is>
      </c>
      <c r="C222" t="inlineStr">
        <is>
          <t>NVIDIA</t>
        </is>
      </c>
      <c r="D222" t="inlineStr">
        <is>
          <t>linkedin</t>
        </is>
      </c>
      <c r="E222">
        <f>HYPERLINK("https://www.linkedin.com/jobs/view/4359343300", "https://www.linkedin.com/jobs/view/4359343300")</f>
        <v/>
      </c>
      <c r="F222" t="inlineStr"/>
      <c r="G222" t="inlineStr">
        <is>
          <t>Santa Clara, CA</t>
        </is>
      </c>
      <c r="H222" t="inlineStr"/>
      <c r="I22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NVIDIA has a rapidly expanding ecosystem of data center platform \&amp; node designs. From single node HGX/DGX systems all the way up to large multi\-node NVLink domain rack architectures. These designs have become core to NVIDIA's rapidly growing enterprise and cloud provider businesses. Each bringing together the full power of NVIDIA GPUs, NVIDIA NVLink, NVIDIA InfiniBand networking, NVIDIA Grace CPUs, and a fully optimized NVIDIA AI and HPC software stack. NVIDIA NVLink Fusion will enable industry\-leading AI scale\-up and scale\-out performance with NVIDIA technology plus semi\-custom ASICs or CPUs. NVIDIA’s robust partner ecosystem enables hyperscalers to build an ASIC hybrid AI infrastructure with NVIDIA NVLink, rack\-scale architecture. We're searching for a highly motived, technical architect to champion work across NVIDIA's Software, Architecture, Networking and Systems engineering teams in defining the architecture for NVLink Fusion. Ensuring we have seamless integration of partner ASICs/CPUs into our rack\-scale architecture. Establishing the necessary abstraction layers, guidance/documentation and SW engagement models to make both NVIDIA \&amp; its partners successful.
**What You’ll Be Doing**
* Define NVLink Fusion architecture, leveraging industry leading NVIDIA scale\-up and scale out technologies as a foundation
* Establish appropriate software abstraction layers \&amp; reference software required for NVLink Fusion partners to extend NVIDIA's rack\-scale architecture.
* Work directly with major customers to understand their requirements and work to align their roadmap with NVIDIA’s roadmap.
* Work with business partners and vendors to shape their products to meet NVIDIA’s needs.
* Mentor architects and engineering teams to grow them into future leaders.
* Make key technical decisions even when faced with ambiguity, and mitigate execution risks by following left shift strategy to accelerate time to market.
**What We Need To See**
* BS or MS degree in Computer Engineering, Computer Science, or related degree or equivalent experience.
* 16\+ years in the area of System architecture and design
* Deep experience in designing architecture for scalable and performant server systems, particularly at the SW/HW interface.
* Previous experience working with complex system software for accelerators such as GPUs, DPUs, or FPGAs
* Expertise in out\-of\-band and in\-band management architectures.
* Knowledge of device management protocols such as MCTP, PLDM and RDE.
* Knowledge of system management protocols such as Redfish and IPMI.
* Demonstrable experience in implementing left shift strategy to de\-risk program execution. Excellent written and verbal communication skills.
**Ways To Stand Out From The Crowd**
* Knowledge of cloud and cluster level deployment and management systems.
* Participation and contributions in standards bodies such as OCP and DMTF.
* Familiarity with CXL, UCIE and other C2C technology architectures. Knowledge in storage and networking technologies.
 We are widely considered to be one of the technology world’s most desirable employers, and as a result have some of the most forward\-thinking and hardworking people in the world working for us. So if you're clever, creative, and driven, we'd love to have you join the team.
 Your base salary will be determined based on your location, experience, and the pay of employees in similar positions. The base salary range is 320,000 USD \- 488,750 USD.
 You will also be eligible for equity and benefits .
 Applications for this job will be accepted at least until January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JR2000295</t>
        </is>
      </c>
    </row>
    <row r="223">
      <c r="A223" t="inlineStr">
        <is>
          <t>li-4367327883</t>
        </is>
      </c>
      <c r="B223" t="inlineStr">
        <is>
          <t>Software Engineer 3 - R10220984</t>
        </is>
      </c>
      <c r="C223" t="inlineStr">
        <is>
          <t>Northrop Grumman</t>
        </is>
      </c>
      <c r="D223" t="inlineStr">
        <is>
          <t>linkedin</t>
        </is>
      </c>
      <c r="E223">
        <f>HYPERLINK("https://www.linkedin.com/jobs/view/4367327883", "https://www.linkedin.com/jobs/view/4367327883")</f>
        <v/>
      </c>
      <c r="F223">
        <f>HYPERLINK("https://jsv3.recruitics.com/redirect?rx_cid=3658&amp;rx_jobId=R10220984&amp;rx_url=https%3A%2F%2Fjobs.northropgrumman.com%2Fcareers%2Fjob%2F1340069563516%3Fcode%3DJB-18202%26domain%3Dngc.com%26rx_campaign%3DLinkedin1%26rx_ch%3Dconnector%26rx_group%3D375073%26rx_id%3D3efd11dc-fd0d-11f0-ada1-3335a79a5331%26rx_job%3DR10220984%26rx_medium%3Dpost%26rx_r%3Dnone%26rx_source%3DLinkedin%26rx_ts%3D20260129T181241Z%26rx_vp%3Dslots%26source%3DJB-18202%26utm_audience%3Dprospectivetalentemployees%26utm_campaign%3Dta-general%26utm_content%3Djobfeed%26utm_format%3Dcpl%26utm_medium%3Djobboard%26utm_network%3Dpartnerdirect%26utm_source%3Dlinkedin-jobslots&amp;urlHash=cT_8", "https://jsv3.recruitics.com/redirect?rx_cid=3658&amp;rx_jobId=R10220984&amp;rx_url=https%3A%2F%2Fjobs.northropgrumman.com%2Fcareers%2Fjob%2F1340069563516%3Fcode%3DJB-18202%26domain%3Dngc.com%26rx_campaign%3DLinkedin1%26rx_ch%3Dconnector%26rx_group%3D375073%26rx_id%3D3efd11dc-fd0d-11f0-ada1-3335a79a5331%26rx_job%3DR10220984%26rx_medium%3Dpost%26rx_r%3Dnone%26rx_source%3DLinkedin%26rx_ts%3D20260129T181241Z%26rx_vp%3Dslots%26source%3DJB-18202%26utm_audience%3Dprospectivetalentemployees%26utm_campaign%3Dta-general%26utm_content%3Djobfeed%26utm_format%3Dcpl%26utm_medium%3Djobboard%26utm_network%3Dpartnerdirect%26utm_source%3Dlinkedin-jobslots&amp;urlHash=cT_8")</f>
        <v/>
      </c>
      <c r="G223" t="inlineStr">
        <is>
          <t>Huntsville, AL</t>
        </is>
      </c>
      <c r="H223" t="inlineStr"/>
      <c r="I223"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Space Systems, Multi\-Domain Operations, Missile Defense Integration Business Unit (BU), has an exciting career opportunity for a
 **Principal Software Engineer** 
 to join our Internal Research and Development (IRAD) Test Team. This position is located in
 **Huntsville, AL** 
 .
 As a member of the
 **Test Automation** 
 team, your primary responsibility will be the design, development, and implementation of automated tests to validate system functionality, performance, and integration. You will work in a collaborative environment to ensure quality assurance of mission\-critical software systems, bringing cutting\-edge test automation practices to life. Your role will require close coordination with developers, systems engineers, and other stakeholders to ensure effective, reliable automated test scripts that align with defined requirements and test cases.
**Roles And Responsibilities**
* Collaborate with test leads, developers, and systems engineers to design test cases and implement automated tests to validate system requirements.
* Develop, maintain, and optimize automated test frameworks to ensure scalability, accuracy, and maintainability of automated test suites.
* Execute automated regression, integration, and performance tests, documenting and reporting results to the team.
* Identify, troubleshoot, and resolve issues found during testing, including collaboration with developers to investigate root causes.
* Support continuous testing workflows in CI/CD pipelines, incorporating automated testing tools to improve validation efficiency.
* Ensure traceability between test requirements, automated tests, and system verification results.
* Analyze test results using automated tools to evaluate system performance and identify gaps.
* Contribute to the refinement and implementation of automated testing strategies aligned with industry best practices.
**Basic Qualifications**
* Bachelor’s degree in a STEM\-related field, and 5 years of related experience; or a Master’s degree with 3 years of related experience; or 1 years with a PhD.
* Active in\-scope DoD\-issued Secret security clearance at the time of application, which is required to start.
* Experience designing, developing, and executing automated tests in alignment with defined test cases.
* Hands\-on experience with test automation frameworks and libraries in CI/CD environments.
* Proficiency with scripting languages (e.g., Python) and object\-oriented programming languages (e.g., Java, C\#).
* Strong knowledge of containerization and orchestration tools (e.g., Docker, Kubernetes) as part of a software delivery/testing pipeline.
* Familiarity with testing tools and platforms such as Jenkins, GitLab CI, or similar for automating builds and execution.
* Unix/Linux operating system experience.
* Strong analytical and troubleshooting skills.
* Quick to learn and adopt new concepts and technologies.
**Preferred Qualifications**
* Advanced scripting capabilities in Python or Java for custom automation needs.
* Previous experience integrating Gherkin syntax and Behavior\-Driven Development (BDD) methodologies into automated testing workflows.
* Familiarity with tools such as Cucumber, SpecFlow, or similar.
* Experience with hardware\-in\-the\-loop (HWIL) systems and real\-time testing environments.
* Understanding of testing in containerized environments, using Docker and orchestration platforms such as Kubernetes.
* Familiarity with Static \&amp; Dynamic Code Analysis tools (e.g., SonarQube, Fortify, Coverity).
* Familiarity with Model\-Based Systems Engineering (MBSE) tools and processes.
* Advanced degree in Engineering, Computer Science, or Mathematics.
 Primary Level Salary Range: $87,600\.00 \- $131,400\.00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24">
      <c r="A224" t="inlineStr">
        <is>
          <t>li-4367058360</t>
        </is>
      </c>
      <c r="B224" t="inlineStr">
        <is>
          <t>Principal Software Engineering</t>
        </is>
      </c>
      <c r="C224" t="inlineStr">
        <is>
          <t>AT&amp;T</t>
        </is>
      </c>
      <c r="D224" t="inlineStr">
        <is>
          <t>linkedin</t>
        </is>
      </c>
      <c r="E224">
        <f>HYPERLINK("https://www.linkedin.com/jobs/view/4367058360", "https://www.linkedin.com/jobs/view/4367058360")</f>
        <v/>
      </c>
      <c r="F224">
        <f>HYPERLINK("https://www.att.jobs/job/-/principal-software-engineering/117/91158432000?source=jb_linkedin_org&amp;utm_source=linkedin.com&amp;utm_medium=organic&amp;utm_campaign=organic&amp;utm_content=social_media&amp;utm_term=418039193&amp;urlHash=dZph", "https://www.att.jobs/job/-/principal-software-engineering/117/91158432000?source=jb_linkedin_org&amp;utm_source=linkedin.com&amp;utm_medium=organic&amp;utm_campaign=organic&amp;utm_content=social_media&amp;utm_term=418039193&amp;urlHash=dZph")</f>
        <v/>
      </c>
      <c r="G224" t="inlineStr">
        <is>
          <t>Dallas, TX</t>
        </is>
      </c>
      <c r="H224" t="inlineStr"/>
      <c r="I224" t="inlineStr">
        <is>
          <t>**Job Description:**
**This position requires office presence of a minimum of 5 days per week and is only located in the location(s) posted. No relocation is offered.**
**What you'll do:**
 Join a strategic initiative to transform our broadband device software development organization. As a Software Engineer, you will contribute to the development of high\-quality, innovative software for the next generation of broadband gateways serving 15 million\+ customers. You will leverage your expertise to drive technical excellence, integrate AI solutions, and champion a quality\-first approach to software delivery. Your individual contributions will help differentiate our software in a highly competitive market and play a vital role in shaping industry\-leading products.
 Embedded Linux Software development for Broadband Customer Premise Equipment (CPE).
* Migrating CPE from a proprietary software platform to an Opensource Prplware (OpenWRT) based software solution.
* Design, Develop and Document existing systems to improve reliability and develop new innovative features.
* Software development for new Hardware with cutting\-edge features and technology.
* Manage ongoing software architectural updates that include new Prplware, OpenWRT and Linux Kernel versions.
* Development in an Agile environment with up to 5 releases a year.
* Develop automated testing to validate new features.
* Develop applications to run in a Lifecycle Management (LCM) container on the Broadband CPE.
**What you'll bring:**
* Knowledge of Linux operating system, process execution, multi\-process environments, inter\-process communication. Good understanding of networking fundamentals, UDP/TCP basics, packet flow through the Linux packet processing stack. Understanding of Linux firewall and routing concepts. Knowledge of common networking protocols: DHCP, DNS. Familiarity with tcpdump and network protocol analysis.
* Knowlege of wifi concepts, AP and station roles, association and authentication of wifi stations, configuration of ssids.
* Familiarity with the gcc toolchain and debugging stack traces. Familiarity with syslog and logging concepts.
* Experience in an Agile development environment.
* Extensive experience with C programming. Familiarity with standard C libraries, and other common libraries like libssl, libcrypto, libcurl. Knowledge of prplware libraries. Familiarity with the OpenWrt build system, and its IPC mechanism ubus, overlayfs, and its config system UCI.
* 7\+ years of experience in embedded software development.
* Track record of creating innovative solutions and new applications through the design, development, and coding for innovative Consumer and business applications.
**What you'll need:**
* Bachelors degree (BS/AA) desired in Computer Science or equivalent.
**What we offer:**
* A pivotal leadership role in reshaping our broadband software capabilities.
* Opportunity to build a modern, AI\-augmented engineering culture.
* Direct impact on millions of customers and the company’s market position.
* Competitive compensation and benefits.
 Our
 **Principal Software Engineers** 
 earn between  $174,100\.00 \- $261,100\.00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 Full\-time office role\-
 Ready to join our team? Apply today.
**Weekly Hours:**
 40
**Time Type:**
 Regular
**Location:**
 Dallas, Texas
**Salary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25">
      <c r="A225" t="inlineStr">
        <is>
          <t>li-4331570123</t>
        </is>
      </c>
      <c r="B225" t="inlineStr">
        <is>
          <t>Sr. Software Engineer - Infotainment Software (Apple CarPlay)</t>
        </is>
      </c>
      <c r="C225" t="inlineStr">
        <is>
          <t>Rivian and Volkswagen Group Technologies</t>
        </is>
      </c>
      <c r="D225" t="inlineStr">
        <is>
          <t>linkedin</t>
        </is>
      </c>
      <c r="E225">
        <f>HYPERLINK("https://www.linkedin.com/jobs/view/4331570123", "https://www.linkedin.com/jobs/view/4331570123")</f>
        <v/>
      </c>
      <c r="F225">
        <f>HYPERLINK("https://careers.rivianvw.tech/jobs/28602?lang=en-us&amp;iis=LinkedIn&amp;urlHash=-jjZ", "https://careers.rivianvw.tech/jobs/28602?lang=en-us&amp;iis=LinkedIn&amp;urlHash=-jjZ")</f>
        <v/>
      </c>
      <c r="G225" t="inlineStr">
        <is>
          <t>Palo Alto, CA</t>
        </is>
      </c>
      <c r="H225" t="inlineStr"/>
      <c r="I225"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As we develop a fully integrated experience in our future VW\-group vehicle lines, we need Software Engineers to help raise the bar for mission critical in\-vehicle applications. Our diverse team shares an innate curiosity for the world, a willingness to see things differently, and a passion for getting things done. We never stand still in our pursuit of progress, and we’re looking for the best and brightest talent to accelerate our vision toward future mobility.
**Responsibilities**
* Develop best\-in\-class in applications for in vehicle user experience, with a focus on Apple CarPlay integration
* Create reliable and performant application infrastructure for smart phone integration features
* Collaborate with the UX/UI Team and Studio Team to realize beautiful, cutting\-edge UI
* Test the in\-vehicle experience in the lab and in prototype vehicles
* Troubleshoot and resolve issues found during testing
* Help drive research into new technologies and interfaces
* Collaborate with other divisions in understanding and sharing technology roadmaps, portfolios, and intellectual property
**Qualifications**
* Bachelor’s degree in computer science, Software Engineering, or related field
* 5\+ years of experience with software development life cycle experience, from requirements gathering through to implementation and maintenance
* 5\+ years of experience with Java/Kotlin
* 3\-5 years of experience with modern object\-oriented languages: C\+\+
* Proficiency in using Android and Android Jetpack APIs, including knowledge of Android NDK and JNI
* Knowledge of Android design principles and application interface guidelines
* Knowledge of Android’s performance and testing framework
* Familiarity with embedded Android framework services
* Excellent coding and proofreading skills
* Proficient in code versioning tools including Git, Gitlab and others
* Excellent inter\-personal skills with the ability to collaboratively work with and influence cross\-functional teams
**Preferred Qualifications**
* Experience with the Apple CarPlay Communication plugin, iAP2 interface, EAP (external accessory protocol)
* Experience with Apple CarPlay spatial audio, specifically APAC (Apple Positional Audio Codec)
* Experience with Apple CarPlay certification
**Pay Disclosure**
**Salary Range/Hourly Rate for California Based Applicants:** 
 146,000 USD to 183,000 USD (actual compensation will be determined based on experience, location, and other factors permitted by law).
**Benefits Summary** 
 :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226">
      <c r="A226" t="inlineStr">
        <is>
          <t>li-4367055483</t>
        </is>
      </c>
      <c r="B226" t="inlineStr">
        <is>
          <t>Software Engineer – Senior - CCSA</t>
        </is>
      </c>
      <c r="C226" t="inlineStr">
        <is>
          <t>Nemean Solutions, LLC</t>
        </is>
      </c>
      <c r="D226" t="inlineStr">
        <is>
          <t>linkedin</t>
        </is>
      </c>
      <c r="E226">
        <f>HYPERLINK("https://www.linkedin.com/jobs/view/4367055483", "https://www.linkedin.com/jobs/view/4367055483")</f>
        <v/>
      </c>
      <c r="F226" t="inlineStr"/>
      <c r="G226" t="inlineStr">
        <is>
          <t>Arlington, VA</t>
        </is>
      </c>
      <c r="H226" t="inlineStr"/>
      <c r="I226" t="inlineStr">
        <is>
          <t>Job Type
 Full\-time
**Description**
 Nemean Solutions, headquartered in Sierra Vista, AZ, is a certified SBA 8(a) Native Hawaiian Organization (NHO) and veteran\-operated company providing advanced Military Intelligence, Enterprise and Cloud IT services, Cybersecurity, Special Operations Forces (SOF) Exercise and Training, and niche Program Support and Professional Services to Federal and State Agencies supporting the US Government Defense, Intelligence and Aerospace sectors.
**Job Overview**
 The Software Engineer will Independently design and engineer new software products or major enhancement to existing software in support of the US Army Command and Control Support Agency (CCSA) Technical Services Division Support.
**Support Hours:** 
 Applicant shall be available during core work hours as established the Government customer.
**Essential Duties \&amp; Responsibilities**
* Work independently designing and engineering software products or major enhancements to existing software.
* May lead a team in the design of highly complex software systems.
* Acts as the highest\-level technical expert, addressing problems of systems integrations, compatibility, and multiple platforms.
* Works independently designing and engineering new software products or major enhancements to existing software.
* Devises or modifies procedures to solve complex problems considering computer equipment capacity and limitations, operating time, and form of desired results.
* Designs, codes, tests, debugs, and documents those programs.
* Conduct code review of subordinate developers and peers.
* Coordinates with Cybersecurity team members to implement and maintain a SSDLC with an understanding of NIST SP 800\-63 RMF and the DoD implementation of RMF.
**Competencies**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Strong supervisory and leadership skills.
* Ability to prioritize tasks and to delegate them when appropriate.
* Ability to function well in a high\-paced and at times stressful environment.
**Requirements**
**Minimum Requirements/Education:**
* Bachelor’s degree in computer science, Information Systems, Engineering, Business, or related discipline.
* Eight (8\) years of experience in software design, engineering, installation, integration, evaluation, enhancement, maintenance, testing, or problem diagnosis and resolution.
* Candidate should possess expert level knowledge in the use of Azure Dev Ops, Visual Studio 2019 or later and be experienced in various languages including C\#, .Net, SQL, jQuery, Java Script, amongst others.
* Required to be certified Information Assurance Manager (IAM) Level II current with either Security X (formerly CASP), CISSP, or CISM certifications.
* Requires proficiency in software development, security, and operations (DevSecOps) methodologies (i.e., Agile, Scrum, MSFT Power Platform, etc.).
* Must be able to work independently designing and engineering new software products or major enhancement to existing software.
* Competent to work at the highest technical level of all phases of applications programming activities.
**Security Requirement**
* Top Secret Clearence
**Travel Requirements**
 Travel will be required within the NCR during the performance of this contract to attend meetings, conferences, and training. If designated a member of the Emergency Response Group, travel will be required to relocate to an alternate site not to exceed 150\-mile radius of primary work location if the ERG is activated.
**What Nemean Solutions, LLC Offers**
 Medical, Dental, and Vision insurance plans, Paid Time Off, sick leave, 401k Retirement Savings plan with company match, and more.
*Nemean Solutions is proud to be a Veteran friendly employer and provides Equal Employment Opportunity (EEO) to all employees and applicants without regard to race, color, religion, sex, sexual orientation, gender identity, national origin, age, disability status, genetic information, marital status, ancestry, protected veteran status, or any other characteristic protected by applicable federal, state, and local laws. Equal Opportunity for VEVRAA Protected Veterans. Nemean Solutions, LLC will not discriminate against employees and job applicants who inquire about, discuss or disclose compensation information.*</t>
        </is>
      </c>
    </row>
    <row r="227">
      <c r="A227" t="inlineStr">
        <is>
          <t>li-4367020716</t>
        </is>
      </c>
      <c r="B227" t="inlineStr">
        <is>
          <t>Sr. Software Engineer - AIR Cloud</t>
        </is>
      </c>
      <c r="C227" t="inlineStr">
        <is>
          <t>Nextracker Inc.</t>
        </is>
      </c>
      <c r="D227" t="inlineStr">
        <is>
          <t>linkedin</t>
        </is>
      </c>
      <c r="E227">
        <f>HYPERLINK("https://www.linkedin.com/jobs/view/4367020716", "https://www.linkedin.com/jobs/view/4367020716")</f>
        <v/>
      </c>
      <c r="F227" t="inlineStr"/>
      <c r="G227" t="inlineStr">
        <is>
          <t>Fremont, CA</t>
        </is>
      </c>
      <c r="H227" t="inlineStr"/>
      <c r="I227" t="inlineStr">
        <is>
          <t>**Job Description**
 NX AIR (AI \&amp; Robotics Cloud) supports machine learning, autonomy and fleet management for Nextpower's multiple robotic and autonomous monitoring products. The Sr. Software Engineer will undertake service design and coding in three main areas:
* Support design, service definition and coding of digital twin APIs and representations of powerplant sites and equipment.
* Transition AIR cloud services offerings to use Federated Authentication and SSO.
* Support design, service definition and coding of API servers and data management systems supporting the Onsight Vantage smart cameras and Ranger inspection robots.
**The Position Requires**
* Master's degree in a technical discipline (engineering, information technology)
* 7\-10 years of software engineer experience
* Experience implementing cloud services within Azure or AWS including an understanding of deployment and security models in these services
* Experience developing and deploying high\-performance, robust API services written in Python (with Go experience a plus)
* Ability to analyze algorithm and service load and data throughput.
* Understanding and experience with unit testing (pytest or equivalent)
* Understanding and experience with API service testing and monitoring.
* Collaborative design and documentation between corporate teams.
 The position reports to the Senior Director of Software \- AIR Cloud
 Nextpower offers a comprehensive benefits package. We provide health care coverage, dental and vision, 401(K) participation including company matching, company paid holidays with unlimited paid time off, generous discretionary company bonuses, life and disability protection and more. Employees in certain positions may be eligible for stock compensation. All plans are in accordance with relevant plan documents. For more information on Nextpower 's benefits please view our company website at www.nextpower.com. Pay is based on market location and may vary based on factors including experience, skills, education and other job\-related reasons. The annual salary range for this position is $190,000 \- $210,000\.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Nextpower is an equal opportunity employer. We celebrate diversity and are committed to creating an inclusive environment for all employees.
**We are Nextpower**</t>
        </is>
      </c>
    </row>
    <row r="228">
      <c r="A228" t="inlineStr">
        <is>
          <t>li-4367344154</t>
        </is>
      </c>
      <c r="B228" t="inlineStr">
        <is>
          <t>Senior Software Engineer - AI Services</t>
        </is>
      </c>
      <c r="C228" t="inlineStr">
        <is>
          <t>Guidewire Software</t>
        </is>
      </c>
      <c r="D228" t="inlineStr">
        <is>
          <t>linkedin</t>
        </is>
      </c>
      <c r="E228">
        <f>HYPERLINK("https://www.linkedin.com/jobs/view/4367344154", "https://www.linkedin.com/jobs/view/4367344154")</f>
        <v/>
      </c>
      <c r="F228">
        <f>HYPERLINK("https://guidewire.wd5.myworkdayjobs.com/external/job/United-States\u002d\u002d-San-Mateo-CA/Senior-Software-Engineer\u002d\u002d-AI-Services_JR_14291?source=LinkedIn&amp;urlHash=Z-rY", "https://guidewire.wd5.myworkdayjobs.com/external/job/United-States\u002d\u002d-San-Mateo-CA/Senior-Software-Engineer\u002d\u002d-AI-Services_JR_14291?source=LinkedIn&amp;urlHash=Z-rY")</f>
        <v/>
      </c>
      <c r="G228" t="inlineStr">
        <is>
          <t>San Mateo, CA</t>
        </is>
      </c>
      <c r="H228" t="inlineStr"/>
      <c r="I228" t="inlineStr">
        <is>
          <t>**Summary**
 Join Guidewire as a Senior Software Engineer, Application Platform \- AI Services, and be part of the team building our next\-generation AI platform. This platform provides the essential tools to design AI agents, to connect to large language models, and manage the knowledge bases that power modern, intelligent insurance applications. You will be a key contributor on this platform, using AI coding tools to design and build core services that power developer experience, ensuring quality, scalability, and security. This is a senior, onsite, full\-time role based in the United States.
 You will play an important role in delivering operational excellence and transformative innovation for Guidewire's Product Development \&amp; Operations (PDO) organization. Our priorities include accelerating AI, cloud, and data platform adoption, and ensuring our solutions deliver measurable value and efficiency for customers. At Guidewire, you'll contribute to a culture of collaboration, continuous improvement, and customer\-centricity, helping transform the way the world's P\&amp;C insurers do business.
**Job Description**
 Key Responsibilities
* Contribute to the design, development, and maintenance of Guidewire's application platform, primarily focusing on backend services but with flexibility to occasionally work with infrastructure and frontend.
* Apply agentic coding tools as Guidewire uses them to dramatically accelerate development.
* Engineer for quality, scalability, availability, and security in every aspect of the platform.
* Collaborate with cross\-functional teams to deliver secure, scalable, and efficient platform operations, supporting Guidewire's mission of operational excellence and transformative innovation.
* Support and mentor junior engineers, contributing to a culture of continuous improvement and technical excellence.
**Required Qualifications**
* 8\+ years of experience in backend software engineering, with a solid track record in system design and building platform services.
* Experience with coding agents and automation tools.
* Strong proficiency in one of Java, JavaScript, TypeScript, Python, with ability to adjust to other languages.
* Experience with Large Language Models (LLMs), Retrieval\-Augmented Generation (RAG), vector databases (vector DBs), AI agents, and Model Context Protocol (MCP).
* Strong collaboration and communication skills.
* Experience with Kubernetes and infrastructure as code.
 How You Contribute to Guidewire's Mission
 At Guidewire, you will help deliver secure, scalable, and innovative solutions that empower P\&amp;C insurers worldwide. Your work will directly support our mission to deliver measurable value and efficiency for customers, drive AI and cloud adoption, and ensure every customer is successful and referenceable. You'll be part of a team that values determination, collaboration, and continuous improvement, and you'll help shape the future of insurance technology.
 Your Impact
 We believe in clarity and setting you up for success. In your first six months, you’ll collaborate with talented engineers to deliver secure, scalable backend services, accelerate AI and cloud adoption, and contribute to new product launches. Your work will drive measurable outcomes—improving platform reliability, security, and customer value—while supporting Guidewire’s mission to transform the insurance industry. Over time, your contributions will influence our technology direction and help shape the future of P\&amp;C insurance worldwide.
 What’s in it for you
 The people we employ give their all, and in return, we offer flexibility wherever we can, such as:
* Flexible work environment
* Health and wellness benefits
* Paid time off programs, including volunteer time off
* Market\-competitive pay and incentive programs
* Continual development and internal career growth opportunities
* All new hires participate in our in\-person orientation process to ensure a strong start and connection to our culture.
 The US base salary range for this full\-time position is $148,000 \- $222,000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229">
      <c r="A229" t="inlineStr">
        <is>
          <t>li-4367033338</t>
        </is>
      </c>
      <c r="B229" t="inlineStr">
        <is>
          <t>Staff Software Engineer, Machine Learning Infrastructure</t>
        </is>
      </c>
      <c r="C229" t="inlineStr">
        <is>
          <t>Google</t>
        </is>
      </c>
      <c r="D229" t="inlineStr">
        <is>
          <t>linkedin</t>
        </is>
      </c>
      <c r="E229">
        <f>HYPERLINK("https://www.linkedin.com/jobs/view/4367033338", "https://www.linkedin.com/jobs/view/4367033338")</f>
        <v/>
      </c>
      <c r="F229" t="inlineStr"/>
      <c r="G229" t="inlineStr">
        <is>
          <t>Mountain View, CA</t>
        </is>
      </c>
      <c r="H229" t="inlineStr"/>
      <c r="I229"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**Preferred qualifications:**
* Master’s degree or PhD in Engineering, Computer Science, or a related technical field.
* Experience with developing and applying quantization algorithms.
* Experience with performance analysis and optimization.
* Experience with JAX.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be deep\-diving into low\-level profiles to debug TPU/GPU bottlenecks, while simultaneously communicating effectively with partner teams.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new quantization features to keep pace with the rapidly evolving JAX ecosystem.
* Research and implement experimental quantization algorithms to lead customer adoption rather than just reacting to requests.
* Debug and optimize low\-level performance issues. Use XLA profiling tools to analyze TPU/GPU execution traces, identify bottlenecks, and ensure the lowest\-cost implementation of algorithms.
* Collaborate with the multiple performance teams to align roadmaps and resolve upstream compiler issues that affect quantization quality.
* Write high\-quality documentation, tutorials, and examples for the open\-source community to lower the barrier to entry for new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0">
      <c r="A230" t="inlineStr">
        <is>
          <t>li-4367045178</t>
        </is>
      </c>
      <c r="B230" t="inlineStr">
        <is>
          <t>Software Engineer (IBM ACE)</t>
        </is>
      </c>
      <c r="C230" t="inlineStr">
        <is>
          <t>Zions Bancorporation</t>
        </is>
      </c>
      <c r="D230" t="inlineStr">
        <is>
          <t>linkedin</t>
        </is>
      </c>
      <c r="E230">
        <f>HYPERLINK("https://www.linkedin.com/jobs/view/4367045178", "https://www.linkedin.com/jobs/view/4367045178")</f>
        <v/>
      </c>
      <c r="F230">
        <f>HYPERLINK("https://click.appcast.io/t/uNMpGgIxX0iEaELxYYoEscpGLs6ff0Whmewo8ZuhuRY=&amp;urlHash=fRqV", "https://click.appcast.io/t/uNMpGgIxX0iEaELxYYoEscpGLs6ff0Whmewo8ZuhuRY=&amp;urlHash=fRqV")</f>
        <v/>
      </c>
      <c r="G230" t="inlineStr">
        <is>
          <t>Midvale, UT</t>
        </is>
      </c>
      <c r="H230" t="inlineStr"/>
      <c r="I230"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**Software Engineer (IBM ACE)** 
 specializing in data and integration services to join Zions Bancorporation. The individual in this position plays a key role in helping us continue modernizing and maturing our data and integration services with a focus on cloud enablement and continuous delivery. This
 **Software Engineer** 
 will also play a part in exploring artificial intelligence (AI) solutions to streamline our processes and improve our solutions. We welcome experience and skills from various backgrounds to enrich our ability to deliver robust and efficient solutions.
**The Software Engineer will:**
* Participate in the design, development, and automated testing of data and integration services using technologies like Apigee Hybrid, IBM App Connect Enterprise (ACE), Python, and PySpark.
* Explore ways to effectively and appropriately incorporate artificial intelligence to improve our processes and solutions.
* Provide support for the solutions we deliver, including root cause analysis and periodic on\-call duties.
* Work on a cross\-functional SAFe Agile team.
* Other duties as assigned.
**Qualifications:**
* Bachelor degree in Computer Science, Information Security, Data Science or related field, and a minimum of 6\+ years directly related experience. A combination of education and experience may meet requirements
* Expertise in data\-as\-a\-service and API management concepts and how to use these with different types of integration technologies. Experience with REST APIs, JSON, SOAP Web Services, XML, XSD, WSDL.
* Experience with integration middleware solutions (ESBs, API gateways, messaging platforms, etc.). Experience with IBM App Connect Enterprise (ACE) and Apigee Hybrid API gateway is preferred.
* Working knowledge of Java, Python and Kafka.
* Experience with DevSecOps, CI/CD, build/deploy automation, Git, Azure DevOps and Digital.ai Release / Digital.ai Deploy preferred. Experience with containers is a plus.
* Experience with API security policies, OAuth, JWT, JWE, and HMAC, and secure software development lifecycle (SSDLC) concepts and tools.
* Experience working on Agile teams.
* Experience with behavior\-driven development (BDD) is a plus.
**Visa Sponsorship:**
 This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**Apply now if you have a passion for impactful outcomes, enjoy working collaboratively with co\-workers, and want to make a difference for the clients and communities we serve.**</t>
        </is>
      </c>
    </row>
    <row r="231">
      <c r="A231" t="inlineStr">
        <is>
          <t>li-4367377389</t>
        </is>
      </c>
      <c r="B231" t="inlineStr">
        <is>
          <t>Senior Software Engineer (Onsite)</t>
        </is>
      </c>
      <c r="C231" t="inlineStr">
        <is>
          <t>Raytheon</t>
        </is>
      </c>
      <c r="D231" t="inlineStr">
        <is>
          <t>linkedin</t>
        </is>
      </c>
      <c r="E231">
        <f>HYPERLINK("https://www.linkedin.com/jobs/view/4367377389", "https://www.linkedin.com/jobs/view/4367377389")</f>
        <v/>
      </c>
      <c r="F231">
        <f>HYPERLINK("https://careers.rtx.com/global/en/job/RAYTGLOBAL01820203EXTERNALENGLOBAL/Senior-Software-Engineer-Onsite?utm_source=linkedin&amp;utm_medium=phenom-feeds&amp;urlHash=uQ1F", "https://careers.rtx.com/global/en/job/RAYTGLOBAL01820203EXTERNALENGLOBAL/Senior-Software-Engineer-Onsite?utm_source=linkedin&amp;utm_medium=phenom-feeds&amp;urlHash=uQ1F")</f>
        <v/>
      </c>
      <c r="G231" t="inlineStr">
        <is>
          <t>Aurora, CO</t>
        </is>
      </c>
      <c r="H231" t="inlineStr"/>
      <c r="I231" t="inlineStr">
        <is>
          <t>**Date Posted:**
 2026\-01\-29
**Country:**
 United States of America
**Location:**
 US\-CO\-AURORA\-S77 \~ 16470 E Hughes Dr \~ BLDG S77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TS/SCI without Polygraph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this role, you have the opportunity to directly impact the world around you and contribute to classified programs and technologies you are passionate about. Our small agile teams adapt to evolving customer and warfighter needs.
**What You Will Do**
* Design, develop, test, deliver, and maintain software for cutting\-edge systems.
* Work with talented teams of engineers, architects, and leaders in an Agile environment.
* Obtain and maintain a U.S. government issued TS/SCI security clearance.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**Qualifications You Must Have**
* Typically requires a degree in Science, Technology, Engineering or Mathematics (STEM) and 5 years of prior, relevant software engineering experience.
* Experience developing object\-oriented software using C\+\+ and Java.
* The ability to obtain and maintain a U.S. government issued TS/SCI security clearance is required. U.S. citizenship is required, as only U.S. citizens are eligible for a security clearance.
**Qualifications We Prefer**
* Active and transferable U.S. government issued TS/SCI security clearance prior to start date.
* Experience with Bamboo, Git, Gradle, JavaScript, and Docker.
* Experience with satellite ground system software including orbital mechanics.
* Experience developing software using Python.
* Background in microservices, Kubernetes, and containerized applications.
**What We Offer**
*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 Relocation Eligibility \- Relocation assistance is available.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 Aurora, CO: Aurora, CO: https://careers.rtx.com/global/en/raytheon\-aurora\-co\-location
* We Are RTX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32">
      <c r="A232" t="inlineStr">
        <is>
          <t>li-4358548384</t>
        </is>
      </c>
      <c r="B232" t="inlineStr">
        <is>
          <t>Intermediate Backend Engineer (Go), Verify: Runner Core</t>
        </is>
      </c>
      <c r="C232" t="inlineStr">
        <is>
          <t>GitLab</t>
        </is>
      </c>
      <c r="D232" t="inlineStr">
        <is>
          <t>linkedin</t>
        </is>
      </c>
      <c r="E232">
        <f>HYPERLINK("https://www.linkedin.com/jobs/view/4358548384", "https://www.linkedin.com/jobs/view/4358548384")</f>
        <v/>
      </c>
      <c r="F232">
        <f>HYPERLINK("https://job-boards.greenhouse.io/gitlab/jobs/8292364002?lever-origin=applied&amp;lever-source=LINKEDIN&amp;urlHash=y_jO", "https://job-boards.greenhouse.io/gitlab/jobs/8292364002?lever-origin=applied&amp;lever-source=LINKEDIN&amp;urlHash=y_jO")</f>
        <v/>
      </c>
      <c r="G232" t="inlineStr">
        <is>
          <t>Virginia, United States</t>
        </is>
      </c>
      <c r="H232" t="inlineStr"/>
      <c r="I232"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an Intermediate Backend Engineer on our Verify: Runner Core group within the Verify: Runner organization, you'll help build and evolve GitLab Runner, the interface between GitLab and our customers' CI infrastructure. Whether jobs run on Kubernetes clusters, cloud VMs, or on\-premises hardware, GitLab Runner makes it happen. Each week, Runners process millions of jobs for GitLab.com, and our container images are downloaded hundreds of millions of times.
 You'll collaborate on technical initiatives and contribute to design and implementation, taking on work that matches your experience while growing your impact over time. You'll learn from how customers use our CI/CD capabilities and use that insight to help the team solve real\-world scaling and reliability challenges. This input can come from bug reports, customer escalations, or feedback on executor behavior and performance. GitLab Runner users often have demanding CI/CD requirements, and many rely on the infrastructure you help build as a mission\-critical part of their software delivery workflows.
 Here's a glimpse of some of the things we're working on and where we're headed:
* Job Routing: Transforming GitLab Runner's job scheduling from HTTP polling to intelligent, server\-mediated routing that enables runner prioritization, admission control, and distributed autoscaling coordination.
+ We've already kicked this off with Admission Control, and you could contribute to its iteration.
* Externalizing CI: Transforming GitLab CI from static YAML configuration to dynamic, programmable pipelines where jobs can create other jobs at runtime.
* Job Volume Mounts: Enabling CI jobs to mount GitLab repositories and artifacts as filesystem volumes, providing instant, lightweight access to multi\-repository content without full git clones.
 What you'll do
* Design and develop features and improvements for GitLab Runner that are secure, well\-tested, and high\-performance, with a focus on strong architecture in Go services, appropriate for an intermediate\-level engineer.
* Partner with the Product Manager and other Senior Engineers to assess the technical feasibility and scope of Runner\-related feature requests, contributing your perspective and asking clarifying questions.
* Contribute to architectural decisions that modernize Runner's technology stack, favoring solutions that address root causes over fixes that treat symptoms.
* Take end\-to\-end ownership of your features from design through implementation, code review, deployment, monitoring, and iterative refinement.
* Collaborate closely with other engineers on the team and within the Runner Organization through code reviews, pairing, and knowledge sharing, both learning from others and helping raise the overall technical bar.
* Work with cross\-functional partners, including Support and Product, to help diagnose, troubleshoot, and resolve customer issues related to GitLab Runner and CI Functions, and feed those learnings back into the product.
* Engage with GitLab Runner's vibrant open\-source community by triaging bug reports, reviewing community\-contributed merge requests, and helping contributors succeed.
* Participate in team rotations including bug triage, community contribution reviews, and support escalation response.
 What you'll bring
* Proficiency in developing backend services in Go and applying Go best practices in production, whether gained through professional work, open\-source contributions, or other hands\-on experience.
* Ability to design and build scalable, distributed, and resilient systems that can grow with increasing demand, ideally with exposure to high\-throughput CI pipelines, job orchestration, or similar infrastructure.
* Hands\-on skills with containerization and orchestration technologies such as Docker and Kubernetes, including deploying and operating services that run CI workloads across diverse environments.
* Ability to analyze, profile, and optimize performance in distributed systems using appropriate tools and observability data, especially for latency\-sensitive and resource\-intensive CI execution paths.
* Familiarity with cloud\-native infrastructure (for example, a major cloud provider or infrastructure\-as\-code tools) and concepts related to site reliability and operating SaaS platforms that run large\-scale CI.
* Comfort with asynchronous communication and proactive written updates, essential for collaborating effectively across a globally distributed team.
* Strong collaboration skills, including working closely with other engineers, contributing to shared technical practices, participating in code reviews, and communicating clearly with cross\-functional partners like Product and Support.
**About The Team**
 The Verify: Runner Core team at GitLab sits within the Verify: Runner organization and is responsible for GitLab Runner. We focus on Runner's core architecture, executor implementations, scalability, and reliability. The team operates across multiple time zones, so async communication is core to how we work.
 We work closely with the CI Functions Platform team, within the Runner organization. The two teams collaborate regularly and share roadmap initiatives. This close partnership means you'll have opportunities to contribute to work that affects both teams.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233">
      <c r="A233" t="inlineStr">
        <is>
          <t>li-4367033018</t>
        </is>
      </c>
      <c r="B233" t="inlineStr">
        <is>
          <t>Senior Full Stack Engineer</t>
        </is>
      </c>
      <c r="C233" t="inlineStr">
        <is>
          <t>Tata Consultancy Services</t>
        </is>
      </c>
      <c r="D233" t="inlineStr">
        <is>
          <t>linkedin</t>
        </is>
      </c>
      <c r="E233">
        <f>HYPERLINK("https://www.linkedin.com/jobs/view/4367033018", "https://www.linkedin.com/jobs/view/4367033018")</f>
        <v/>
      </c>
      <c r="F233">
        <f>HYPERLINK("https://ibegin.tcsapps.com/candidate/jobs/393858J&amp;urlHash=Fdmc", "https://ibegin.tcsapps.com/candidate/jobs/393858J&amp;urlHash=Fdmc")</f>
        <v/>
      </c>
      <c r="G233" t="inlineStr">
        <is>
          <t>Bellevue, WA</t>
        </is>
      </c>
      <c r="H233" t="inlineStr"/>
      <c r="I233" t="inlineStr">
        <is>
          <t>**Job Description**
**Must Have Technical/Functional Skills** 
 :
 C\#; Microsoft Azure ; Web API; PL/SQL
**Roles \&amp; Responsibilities**
 Fluent communication and written skills in English
 Bachelor’s degree in computer science or equivalent educational experience
 10\+ years of experience creating distributed systems in C\#
 Very strong C\# coding, problem solving and architecture skills
**Skill Required**
 Must have : C\#, .Net, Microsoft Azure, React JS.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$64,000\-$98,000 a year</t>
        </is>
      </c>
    </row>
    <row r="234">
      <c r="A234" t="inlineStr">
        <is>
          <t>li-4359450499</t>
        </is>
      </c>
      <c r="B234" t="inlineStr">
        <is>
          <t>Radar Systems Software Developer--Specialist</t>
        </is>
      </c>
      <c r="C234" t="inlineStr">
        <is>
          <t>MIT Lincoln Laboratory</t>
        </is>
      </c>
      <c r="D234" t="inlineStr">
        <is>
          <t>linkedin</t>
        </is>
      </c>
      <c r="E234">
        <f>HYPERLINK("https://www.linkedin.com/jobs/view/4359450499", "https://www.linkedin.com/jobs/view/4359450499")</f>
        <v/>
      </c>
      <c r="F234" t="inlineStr"/>
      <c r="G234" t="inlineStr">
        <is>
          <t>Lexington, MA</t>
        </is>
      </c>
      <c r="H234" t="inlineStr"/>
      <c r="I234" t="inlineStr">
        <is>
          <t>Satellites perform important civil, scientific, and national defense functions such as navigation, communications, weather forecasting, astronomical observations, and surveillance. As space becomes increasingly congested and contested, it is critical to maintain awareness of objects around the Earth to ensure the safe and effective operation of U.S. satellites. The Advanced Sensors and Techniques Group prototypes, develops and tests some of the world’s most advanced electro\-optical and radio frequency (RF) space surveillance sensors. We have access to space surveillance sensors at our main campus in Lexington, MA, and at the Lincoln Space Surveillance Complex in Westford, MA, the Experimental Test Site in Socorro, NM, and the Reagan Test Site on Kwajalein in the Marshall Islands.
 Our team explores novel concepts, develops them into prototypes, and turns those prototypes into impactful operational capabilities. Recent examples include:
* Automated high\-resolution radar image processing algorithm development
* Novel artificial intelligence\-based target characterization algorithm development
* Advanced radar signal processing algorithm development
* Implementation of transmitter and receiver upgrades for the world’s most sensitive radars
* Integration and operation of a state\-of\-the\-art telescope for space domain awareness
* Demonstration of high\-precision multi\-sensor data fusion
* Design and demonstration of long\-baseline multistatic radars
**Job Description**
 The Advanced Sensors and Techniques Group seeks a candidate to help develop software for the next generation of advanced radar systems for space surveillance. Tasks include radar operating system software design and development, user interface development, troubleshooting of software and data processing issues, and interfacing with mission partners and users. The successful candidate will collaborate in multi\-disciplinary teams of scientists and engineers to develop and demonstrate innovative concepts leveraging real\-world data and access to world\-class sensors. Assignments require the candidate to work independently and in a team environment. Strong communication and interpersonal skills are essential. We seek highly motivated, exceptionally bright and creative individuals who can think broadly, analyze complex problems, and develop cutting\-edge technology in support of National Security.
**Requirements**
* B.S. in Computer Science, Computer Engineering, or other related technical field and 5\-7 years of experience.
* Proficiency with C/C\+\+
* Proficiency with Linux systems
* Familiarity with MATLAB, Python, or other scientific programming languages
* Preference for experience with publish/subscribe middleware
* Preference for experience with Radar Open Systems Architecture (ROSA) software development
* Demonstrated proficiency in oral and written communication
* Demonstrated ability to work in a team environment and develop strong working relationships
 Hiring Range: $98,600\-$133,500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42552</t>
        </is>
      </c>
    </row>
    <row r="235">
      <c r="A235" t="inlineStr">
        <is>
          <t>li-4367045141</t>
        </is>
      </c>
      <c r="B235" t="inlineStr">
        <is>
          <t>Staff Software Engineer, Speech Quality, Cloud AI</t>
        </is>
      </c>
      <c r="C235" t="inlineStr">
        <is>
          <t>Google</t>
        </is>
      </c>
      <c r="D235" t="inlineStr">
        <is>
          <t>linkedin</t>
        </is>
      </c>
      <c r="E235">
        <f>HYPERLINK("https://www.linkedin.com/jobs/view/4367045141", "https://www.linkedin.com/jobs/view/4367045141")</f>
        <v/>
      </c>
      <c r="F235">
        <f>HYPERLINK("https://careers.google.com/jobs/results/125295818696467142-staff-software-engineer/?src=Online/LinkedIn/linkedin_us&amp;utm_source=linkedin&amp;utm_medium=jobposting&amp;utm_campaign=contract&amp;urlHash=wSLE", "https://careers.google.com/jobs/results/125295818696467142-staff-software-engineer/?src=Online/LinkedIn/linkedin_us&amp;utm_source=linkedin&amp;utm_medium=jobposting&amp;utm_campaign=contract&amp;urlHash=wSLE")</f>
        <v/>
      </c>
      <c r="G235" t="inlineStr">
        <is>
          <t>Sunnyvale, CA</t>
        </is>
      </c>
      <c r="H235" t="inlineStr"/>
      <c r="I235"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 Experience with one or more of the following: speech/audio (e.g., speech recognition), reinforcement learning, deep learning, LLMs, ML infrastructure.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Manage project priorities, deadlines, and deliverables.
* Design, develop, test, deploy, maintain, and enhance large scale software solutions.
* Work on evaluations and data for all things Speech e.g., STT, TTS, A2A.
* Triage customer issues related to model behavior and identifying solutions. Understand how the models and surrounding systems work in order to unblock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6">
      <c r="A236" t="inlineStr">
        <is>
          <t>li-4330983564</t>
        </is>
      </c>
      <c r="B236" t="inlineStr">
        <is>
          <t>Principal Software Engineer</t>
        </is>
      </c>
      <c r="C236" t="inlineStr">
        <is>
          <t>JRM Construction Management</t>
        </is>
      </c>
      <c r="D236" t="inlineStr">
        <is>
          <t>linkedin</t>
        </is>
      </c>
      <c r="E236">
        <f>HYPERLINK("https://www.linkedin.com/jobs/view/4330983564", "https://www.linkedin.com/jobs/view/4330983564")</f>
        <v/>
      </c>
      <c r="F236" t="inlineStr"/>
      <c r="G236" t="inlineStr">
        <is>
          <t>New York, NY</t>
        </is>
      </c>
      <c r="H236" t="inlineStr"/>
      <c r="I236" t="inlineStr">
        <is>
          <t>**Company Overview**
 JRM is one of the top General Contracting and Construction Management Firms with over a decade of trusted experience. Headquartered in New York City with offices in New Jersey, California, and Florida, JRM delivers the highest quality services to clients that include City, State \&amp; Federal Agencies, Fortune 500 corporations, respected property owners \&amp; developers, major law firms, media \&amp; tech firms, leading luxury retailers, renowned hospitality groups, life sciences \&amp; healthcare organizations, and financial services firms. JRM knows that dedicated, accomplished employees are the heart of any successful enterprise. We are focused on maintaining a diverse, inclusive, and authentic workplace and are always looking to add passionate personnel to our teams across the US.
**Job Summary**
 We are seeking an experienced Principal Software Engineer to serve as a senior, hands\-on technical leader within our Technology organization. This individual will play a critical role in designing and building custom applications that support operational excellence across our internal business units, including Construction Operations, Business Development, Pre\-Construction, and Project Controls.
 We are looking for a full\-stack engineer with deep technical expertise, strong architecture skills, and the ability to work both independently and in a paired programming configuration. This role is ideal for someone who enjoys owning solutions end\-to\-end while partnering closely with Product Management to deliver meaningful business outcomes.
**Key Responsibilities**
 Technical Leadership and Architecture
* Lead architecture and design efforts for new and existing applications
* Define technical standards, patterns, and best practices across the stack
* Evaluate tools, frameworks, and technologies to ensure scalable, secure, and maintainable solutions
 Full\-Stack Engineering
* Build backend services and APIs using Node.js and MS SQL Server
* Develop modern, responsive front\-end applications using React or Vue.js
* Ensure code quality through thoughtful design, testing, and documentation
* Support CI/CD practices, deployment pipelines, and application automation
 Collaboration and Delivery
* Work closely with JRM’s Product Management team to refine requirements and align outputs with business goals
* Participate in pairing sessions with other engineers to share knowledge and improve code quality
* Communicate progress, risks, and technical considerations clearly to both technical and non\-technical stakeholders
 Quality and Ownership
* Own applications from concept through deployment and long\-term maintenance
* Lead testing strategy, including unit tests, integration tests, and performance optimization
* Troubleshoot production issues and proactively identify improvements
**Qualifications and Skills**
 Required
* 10\+ years of professional software engineering experience
* Expertise in Node.js development and backend architecture
* Strong experience with MS SQL Server, including schema design and optimization
* Proficiency in React or Vue.js for front\-end development
* Ability to work independently and in a pairing configuration
* Experience delivering end\-to\-end solutions from architecture through deployment
* Strong problem\-solving skills and a commitment to quality
 Preferred
* Experience developing software for the construction industry
* Familiarity with cloud platforms such as Azure or AWS
* Experience with containerization technologies such as Docker or Kubernetes
* Experience integrating systems within a multi\-platform enterprise environment
* Understanding of secure coding practices and enterprise data management
**Computer Systems**
* Microsoft Project, Microsoft Office (Excel, Word, PowerPoint, and Outlook), Smartsheet, Jira, Confluence, Lucidchart
*All qualified applicants will receive consideration for employment at JRM without regard to race, color, religion, sex, sexual orientation, gender identity, national origin, disability, veteran status, or other characteristics protected by law. Candidates must be authorized to work in the United States without the need for employer sponsorship.* 
*The salary range listed in job postings reflects the Company’s good\-faith estimate at the time of posting. Actual compensation may vary based on factors such as position tier, geographic location, work experience, market conditions, education/training, and skills.* 
*For more information on how JRM Construction Management collects and uses your personal information, reference our Privacy Policy.*</t>
        </is>
      </c>
    </row>
    <row r="237">
      <c r="A237" t="inlineStr">
        <is>
          <t>li-4367043086</t>
        </is>
      </c>
      <c r="B237" t="inlineStr">
        <is>
          <t>Senior User Experience (UX) Software Engineer</t>
        </is>
      </c>
      <c r="C237" t="inlineStr">
        <is>
          <t>Peraton</t>
        </is>
      </c>
      <c r="D237" t="inlineStr">
        <is>
          <t>linkedin</t>
        </is>
      </c>
      <c r="E237">
        <f>HYPERLINK("https://www.linkedin.com/jobs/view/4367043086", "https://www.linkedin.com/jobs/view/4367043086")</f>
        <v/>
      </c>
      <c r="F237" t="inlineStr"/>
      <c r="G237" t="inlineStr">
        <is>
          <t>Annapolis Junction, MD</t>
        </is>
      </c>
      <c r="H237" t="inlineStr"/>
      <c r="I23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The team is seeking a highly motivated User Experience software engineer to support development and software solutions to support data tracking and metrics solutions. The ideal candidate will:
* Conduct multidisciplinary research and collaborate with systems engineers and developers across projects to support the planning, design, development, and utilization of a final product recommendation.
* Work directly with the customer and team to evolve requirements and support the creation and presentation of design documents and product demonstrations.
* Product evaluation, integration, testing and design process for data tracking and metrics solutions.
* Participate in Agile development activities, to include Sprint planning, scheduling, and Jira ticket management.
* Ensure software standards and best practices are utilized.
 The selected candidate will join an experienced team working on efforts to modernize an existing data tracking and metrics system. The User Experience (UX) developer should be able to focus on developing highly usable end user interfaces, applying UI best practices and UX principles.
**Qualifications**
**Basic Qualifications:**
* TS/SCI with Polygraph level clearance is required
* BA/BS and 20 years of experience; an additional 4 years of experience may be considered in lieu of a degree.
* The candidate will need a strong background in Linux, CSS, JavaScript and HTML to be able to develop, debug maintain, and deploy the UI application. The candidate needs to know how to work independently within small team and able to engage with a larger team.
* (5\) years of experience and have familiarity with task analysis, user interface design, and usability testing
* Experience in each of the usability and software engineering cycle phases (analysis, design, implementation, and deployment)
* Work closely with users (analysts) to research for and document user profiles, analysis tasks, workflows, and user scenarios
* Work with users to collect and document user performance requirements
* Create user interface design specifications, as required
* Work closely with product designers and process engineers to develop applications
* Conduct usability testing
* Design and develop user surveys to obtain user feedback
**Required Skills:**
* UI/UX experience
* 508 Compliance
* Experience with React
* CSS, Javascript, HTML
* MVC Full Stack experience
**Additional Desired Qualifications:**
* Experience with the following:
+ GoLang, Python, Java, Hadoop, Accumulo
+ core AWS services
+ Good background in Linux/Unix administration
+ Apache NiFi
+ REST
+ JMS
+ Building or maintaining cloud\-native applications
+ Docker and Kubernetes. Having used EMR, EC2 and various Databases is a plus
**Benefits:**
 Peraton offers enhanced benefits to employees supporting this critical National Security program, which include heavily subsidized employee benefits coverage for you and your dependents, and eligibility to participate in an attractive bonus plan.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38">
      <c r="A238" t="inlineStr">
        <is>
          <t>li-4358577516</t>
        </is>
      </c>
      <c r="B238" t="inlineStr">
        <is>
          <t>Staff Software Engineer, Transportation</t>
        </is>
      </c>
      <c r="C238" t="inlineStr">
        <is>
          <t>ACV Auctions</t>
        </is>
      </c>
      <c r="D238" t="inlineStr">
        <is>
          <t>linkedin</t>
        </is>
      </c>
      <c r="E238">
        <f>HYPERLINK("https://www.linkedin.com/jobs/view/4358577516", "https://www.linkedin.com/jobs/view/4358577516")</f>
        <v/>
      </c>
      <c r="F238" t="inlineStr"/>
      <c r="G238" t="inlineStr">
        <is>
          <t>Buffalo, NY</t>
        </is>
      </c>
      <c r="H238" t="inlineStr"/>
      <c r="I238"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**Who we are looking for:**
 We are seeking a talented and enthusiastic Staff Software Engineer to join our growing team. In this role, you will design, develop, and maintain software applications that solve real\-world problems and enhance our products. You will collaborate with cross\-functional teams to deliver high\-quality, scalable, and innovative solutions.
**What you will do:**
* Establish and document best practices and coding standards.
* Support product delivery teams by providing guidance on technical solutions when asked.
* Conduct code reviews, develop high\-quality documentation, and build robust test suites.
* Own the overall performance of products and frameworks within a defined area of focus.
* Previous experience leading POCs or technical tool adoption initiatives.
* Provide technical support for multiple applications within the technology portfolio.
* Provide technical leadership, mentorship, and guidance to multiple teams, fostering a culture of continuous improvement and technical excellence
* Be empowered to lead and complete software projects with minimal guidance from managers.
* Lead team discussions to define technical requirements for new and current products.
* Develop roadmaps and prioritizes technical debt to effectively plan features and work.
* Respond\-to and troubleshoot highly complex problems quickly, efficiently, and effectively.
* Mentor junior engineers.
* Other duties as assigned
**What you will need:**
* Ability to read, write, speak and understand English.
* 8 year(s) related experience
* Expert experience with Java, Python.
* Expert experience with Distributed Systems Design and/or Event\-Driven development.
* Expert experience and understanding of pyramid testing methodologies.
* Expert experience with build \&amp; deployment automation (CI/CD, GitHub Actions, Jenkins/TeamCity).
* Experience with AWS (or any big public cloud tech), SQL, and Pub/Sub patterns (Kafka).
* Expert experience with version control systems (Git).
* Experience maintaining and extending an existing codebase, adapting to pre\-existing patterns and tracing the code’s path of execution.
* Expert experience in debugging, profiling, and optimizing distributed systems using tools like Datadog, CloudWatch Logs, and distributed tracing frameworks.
* Experience with Docker, Kubernetes and Deployment automation.
**Compensation** 
 : $165,000\.00 \- $190,000\.00 annually. Please note that final compensation will be determined based upon the applicant's relevant experience, skillset, location, business needs, market demands, and other factors as permitted by law.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39">
      <c r="A239" t="inlineStr">
        <is>
          <t>li-4367046637</t>
        </is>
      </c>
      <c r="B239" t="inlineStr">
        <is>
          <t>Full Stack Software Engineer</t>
        </is>
      </c>
      <c r="C239" t="inlineStr">
        <is>
          <t>Jobs via Dice</t>
        </is>
      </c>
      <c r="D239" t="inlineStr">
        <is>
          <t>linkedin</t>
        </is>
      </c>
      <c r="E239">
        <f>HYPERLINK("https://www.linkedin.com/jobs/view/4367046637", "https://www.linkedin.com/jobs/view/4367046637")</f>
        <v/>
      </c>
      <c r="F239">
        <f>HYPERLINK("https://click.appcast.io/t/Tcc0HcbLqF61AsZ95TE03_zJe7MlO5rK1tqlMfQdD60=&amp;urlHash=blE6", "https://click.appcast.io/t/Tcc0HcbLqF61AsZ95TE03_zJe7MlO5rK1tqlMfQdD60=&amp;urlHash=blE6")</f>
        <v/>
      </c>
      <c r="G239" t="inlineStr">
        <is>
          <t>Dearborn, MI</t>
        </is>
      </c>
      <c r="H239" t="inlineStr"/>
      <c r="I239" t="inlineStr">
        <is>
          <t>Dice is the leading career destination for tech experts at every stage of their careers. Our client, Apex Systems, is seeking the following. Apply via Dice today!
**Job\#: 3020063**
**Job Description:**
 Position Description:
 Employees in this job function are responsible for designing, developing, testing and maintaining software applications and products to meet customer needs. They are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 JavaScript
* Angular
* SOAP APIs
* Spring Boot
* REST APIs
 Skills Preferred:
* PostgreSQL
* MySQL
* React
* Agile Software Development
 Experience Required:
 5\+ years of experience in developing UI for applications using Angular and/or React
 Experience Preferred:
 3\+ years of experience in developing application integrations using RESTful and SOAP APIs.
 Education Required:
 Bachelor's Degree
 Additional Information :
 4 days on site in Dearborn, MI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240">
      <c r="A240" t="inlineStr">
        <is>
          <t>li-4367042676</t>
        </is>
      </c>
      <c r="B240" t="inlineStr">
        <is>
          <t>Software Engineer II (Windows)</t>
        </is>
      </c>
      <c r="C240" t="inlineStr">
        <is>
          <t>Jobs via Dice</t>
        </is>
      </c>
      <c r="D240" t="inlineStr">
        <is>
          <t>linkedin</t>
        </is>
      </c>
      <c r="E240">
        <f>HYPERLINK("https://www.linkedin.com/jobs/view/4367042676", "https://www.linkedin.com/jobs/view/4367042676")</f>
        <v/>
      </c>
      <c r="F240" t="inlineStr"/>
      <c r="G240" t="inlineStr">
        <is>
          <t>Redmond, WA</t>
        </is>
      </c>
      <c r="H240" t="inlineStr"/>
      <c r="I240" t="inlineStr">
        <is>
          <t>**Overview**
 Do you want to make a direct impact on hundreds of millions of devices every month and experience the satisfaction of protecting millions of customers from the ever\-growing threats of cyberattacks? Are you passionate about delivering high\-value innovation at scale? Do you have the engineering expertise, attention to detail, and commitment to quality needed to build systems and services that delight customers and help them stay productive?
 The Windows Servicing and Delivery (WSD) team is hiring for a Software Engineer II to join a collaborative, customer\-focused group tackling unique engineering challenges and offering countless opportunities to learn and grow your career. Our mission is to keep the Windows ecosystem secure and productive by providing a seamless, timely servicing experience for current and future versions of Windows. We deliver high\-quality servicing releases that protect and empower Microsoft customers by continuously building and deploying Windows Operating System updates to consumers, enterprises, and Microsoft Cloud customers. The right candidate thrives in ambiguity, enjoys building lasting systems in partnership with others, and values solutions that are cost\-effective, reliable, and scalable.
 The Windows Containment Team plays a critical role in ensuring safe, agile delivery of Windows updates through feature flags and rollback mechanisms, enabling experimentation at scale. Key responsibilities include developing containment platforms, leading incident response with Known Issue Rollback (KIR), implementing security and vulnerability mitigations, coordinating controlled feature rollouts, and collaborating across teams. As part of this team, you will help build a world\-class feature control framework for Windows Client and Windows Server platforms. This framework enables large\-scale feature development, experimentation across more than one billion Windows devices, and improved resiliency. In this role, you will tackle complex problems at the lowest kernel level, create new capabilities that allow thousands of fixes to be managed via the cloud, and innovate with AI\-driven engineering systems to operate at scale. You will own multiple features, giving you both breadth and depth of experience.
 We are looking for experienced developers who write dependable software. If you have a track record of designing, owning, and shipping software, along with effective communication and collaboration skills, we want to hear from you. You should have a proven understanding of the software development lifecycle\-from architecture to testing\-and a passion for quality and creative problem\-solving. You will write secure, reliable, scalable, and maintainable code, and then debug, test, and support it in production. You should feel comfortable owning features and making independent decisions, while also helping to build the skills and effectiveness of the developers around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software and services at scale, innovating on the latest technologies and following modern engineering practices.
* Contribute to the identification of dependencies, and the development of design documents for a product area with little oversight. Help identify other teams and technologies that will be leveraged, how they will interact, and when one's system may provide support to others. Contribute to determining back\-end dependencies associated with product, application, service, or platform functionality for product features.
* Identify areas of efforts to integrate instrumentation for gathering telemetry data on system behavior such as performance, reliability, availability, usage, and safety mechanisms. Contribute to sustaining feedback loops from telemetry resulting in subsequent designs. Help create outputs of telemetry such as notifications or dashboards.
* Maintain close technical relationship with partner teams and drive for engineering excellence and results.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programming experience in C / C\+\+/C\# or equivalent
* 3\+ years development experience working on all phases of a development cycle
* Functional understanding of Windows operating system internals.
* Proficiency in building cloud\-native applications on Azure.
* Hands\-on experience with OpenAI APIs or similar LLM\-based platforms.
 \#W\+DJOBS
 \#WSDCFE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1">
      <c r="A241" t="inlineStr">
        <is>
          <t>li-4331950405</t>
        </is>
      </c>
      <c r="B241" t="inlineStr">
        <is>
          <t>Principal Embedded Software Engineer (Hybrid - Acton, MA or San Diego, CA)</t>
        </is>
      </c>
      <c r="C241" t="inlineStr">
        <is>
          <t>Insulet Corporation</t>
        </is>
      </c>
      <c r="D241" t="inlineStr">
        <is>
          <t>linkedin</t>
        </is>
      </c>
      <c r="E241">
        <f>HYPERLINK("https://www.linkedin.com/jobs/view/4331950405", "https://www.linkedin.com/jobs/view/4331950405")</f>
        <v/>
      </c>
      <c r="F241">
        <f>HYPERLINK("https://insulet.wd5.myworkdayjobs.com/insuletcareers/job/Acton-Massachusetts/Principal-Embedded-Software-Engineer\u002d\u002dHybrid\u002d\u002d-Acton\u002d\u002dMA-or-San-Diego\u002d\u002dCA-_REQ-2025-14288?apply%3Fsource=LinkedIn&amp;urlHash=luyR", "https://insulet.wd5.myworkdayjobs.com/insuletcareers/job/Acton-Massachusetts/Principal-Embedded-Software-Engineer\u002d\u002dHybrid\u002d\u002d-Acton\u002d\u002dMA-or-San-Diego\u002d\u002dCA-_REQ-2025-14288?apply%3Fsource=LinkedIn&amp;urlHash=luyR")</f>
        <v/>
      </c>
      <c r="G241" t="inlineStr">
        <is>
          <t>San Diego, CA</t>
        </is>
      </c>
      <c r="H241" t="inlineStr"/>
      <c r="I241" t="inlineStr">
        <is>
          <t>**Position Overview**
**Insulet’s embedded software engineers create the software which runs the Insulet automated insulin delivery system.**
 A Principal Embedded Software Engineer works with relevant departments within Insulet to understand and develop the software solutions needed to realize the features needed within the Pod to support system goals.
**Responsibilities**
* Develop Embedded Software Solutions from the Architectural level down to Hardware Adaptation layers.
* Develop Build systems to support CI/CD in a Platform approach to a single code base producing multiple products.
* Develop Software Requirements from System Requirements.
* Develop written Architecture and Design Documentation.
* Participate in the creation of modular test solutions for software designs.
* Mentor more junior software engineers.
* Lead engineering teams as necessary for the accomplishment of development and documentation goals.
* Participate in reviews.
* Accomplishes all responsibilities in compliance with company policies and procedures and as directed by Pod Software Team leadership.
* Performs other duties as required
**Education And Experience**
**Minimum Requirements:**
* Bachelor's degree required (preferred field of study: Computer Engineering, Software Engineering, Mechanical Engineering)
* 15 years software engineering experience and/or equivalent combination of education and experience.
* Demonstrated ability in embedded real\-time operating systems is required.
* Demonstrated ability to construct object\-oriented designs in C\+\+ or C is required.
* Demonstrated ability to create build systems using gnu make or cmake is required.
* Demonstrated ability to document software requirements is required.
* Demonstrated ability to document software architecture is required.
* Demonstrated ability to work with senior cross\-functional leadership is required.
* Strong written and verbal communication skills are required.
* Demonstrated team leadership abilities are required.
* The ability to develop meaningful verification procedures is required.
* Experience with micro\-controllers is required; ARM m\-series cores is highly preferred.
**Preferred Skills**
**Preferred Skills and Competencies:**
* Experience with Bluetooth Low Energy systems is strongly preferred.
* The ability to transfer designs and requirements to others through presentations, mentoring, and coaching is strongly preferred.
* Knowledge of IEC 62304, especially as related to requirements, architecture, design, and verification is strongly preferred.
* The ability to read electrical schematics as required for software board support is preferred.
* Acquaintance with UML modeling systems is preferred.
**Requirements**
**Physical Requirements (if applicable):**
* Since Insulet is a world\-wide corporation, some travel to interface with internal and external development partners and stakeholders will be required.
**NOTE:** 
 This position is eligible for hybrid working arrangements (requires on\-site work from an Insulet office).
**Additional Information**
 Compensation \&amp; Benefits: For U.S.\-based positions only, the annual base salary range for this role is $178,700\.00 \- $268,025\.00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242">
      <c r="A242" t="inlineStr">
        <is>
          <t>li-4356457739</t>
        </is>
      </c>
      <c r="B242" t="inlineStr">
        <is>
          <t>Principal Software Engineer, Forward Deployed (U.S. Public Sector)</t>
        </is>
      </c>
      <c r="C242" t="inlineStr">
        <is>
          <t>Invisible Technologies</t>
        </is>
      </c>
      <c r="D242" t="inlineStr">
        <is>
          <t>linkedin</t>
        </is>
      </c>
      <c r="E242">
        <f>HYPERLINK("https://www.linkedin.com/jobs/view/4356457739", "https://www.linkedin.com/jobs/view/4356457739")</f>
        <v/>
      </c>
      <c r="F242" t="inlineStr"/>
      <c r="G242" t="inlineStr"/>
      <c r="H242" t="inlineStr"/>
      <c r="I242" t="inlineStr">
        <is>
          <t>**About Invisible**
 Invisible Technologies makes AI work. Our end\-to\-end AI platform structures messy data, automates digital workflows, deploys agentic solutions, measures outcomes, and integrates human expertise where it matters most.
 Our platform cleans, labels, and structures company data so it is ready for AI. It adapts models to each business and adds human expertise when needed, the same approach we have used to improve models for more than 80% of the world’s top AI companies, including Microsoft, AWS, and Cohere.
 Our successes span industries, from supply chain automation for Swiss Gear to AI\-enabled naval simulations with SAIC, and validating NBA draft picks for the Charlotte Hornets.
 Profitable for more than half a decade, Invisible reached $134M in revenue and ranked as the number two fastest growing AI company on the 2024 Inc. 5000\. In September 2025, we raised $100M in growth capital to accelerate our mission of making AI actually work in the enterprise and to advance our platform technology.
**About The Role**
 As a Forward Deployed Engineer (FDE) for our U.S. Public Sector team at Invisible, you'll lead high\-impact, AI\-powered solutions that reshape how our clients operate their most critical workflows. You won’t just build and deploy — you’ll drive the strategy, architecture, and execution of end\-to\-end systems, working directly with client stakeholders and our internal delivery teams.
 This is a hybrid role: equal parts AI architect, hands\-on engineer, and technical advisor. You’ll work on the front lines with ambitious clients, turning operational challenges into scalable AI workflows. You’ll be trusted to lead complex engagements, make architectural calls, and mentor others across technical and non\-technical domains.
**What You’ll Do**
* Scope, design, and lead implementation of AI\-driven solutions in partnership with delivery teams and executive stakeholders
* Translate ambiguous workflows and business needs into repeatable systems and production\-ready technical architectures
* Lead architecture design and trade\-off discussions across performance, scalability, cost, and reliability
* Build usable systems from messy data and incomplete or evolving requirements
* Apply AI/ML solutions in highly regulated environments (e.g., defense, intelligence, healthcare, finance)
* Own projects end\-to\-end—from initial discovery and scoping through implementation, deployment, and post\-launch iteration
* Build shared infrastructure, reusable components, and internal playbooks to improve delivery consistency and team velocity
* Mentor mid\-level engineers and contribute to the development of forward\-deployed AI engineering practices at Invisible
**What We Need**
* Active U.S. Department of Defense Secret clearance or higher
* 12\+ years of software engineering experience, including work on data\-intensive, ML, or backend systems
* Experience leading requirements\-gathering activities and translating stakeholder input into technical specifications
* Python \&amp; ML/LLM frameworks: Hands\-on experience with Python and modern ML/LLM tooling (e.g., Hugging Face, LangChain, OpenAI, Pinecone)
* Deployment \&amp; infrastructure: Experience building and operating API\-based services using Docker, FastAPI, Kubernetes, and major cloud platforms (AWS, GCP)
* Platform \&amp; data management: Familiarity with workflow orchestration, pub/sub systems (e.g., Kafka), schema governance, data contracts, Unity Catalog, Delta/ETL pipelines, and replay processes
* Ability to work on\-site 2–3 days per week at offices located in the greater Washington, D.C. and Reston, VA area
**What’s In It For You**
 Invisible is committed to fair and competitive pay, ensuring that compensation reflects both market conditions and the value each team member brings. Our salary structure accounts for regional differences in cost of living while maintaining internal equity.
 For this position, the annual salary ranges by location are:
 Tier 2 Salary Range
 $227,000 \- $333,000 USD
 You can find more information about our geographic pay tiers here. During the interview process, your Invisible Talent Acquisition Partner will confirm which tier applies to your location. For candidates outside the U.S., compensation is adjusted to reflect local market conditions and cost of living.
 Bonuses and equity are included in offers above entry level. Final compensation is determined by a combination of factors, including location, job\-related experience, skills, knowledge, internal pay equity, and overall market conditions. Because of this, every offer is unique. Additional details on total compensation and benefits will be discussed during the hiring process
**What It's Like To Work At Invisible**
 At Invisible, we’re not just redefining work—we’re reinventing it. We operate at the intersection of advanced AI and human ingenuity, pushing the boundaries of what’s possible to unlock productivity and scale. Ownership is at the core of everything we do. Here, you won’t just execute tasks—you’ll build, innovate, and shape the future alongside world\-class clients pushing the boundaries of AI.
 We expect bold ideas, relentless drive, and the ability to turn ambiguity into opportunity. The pace is fast, the challenges are big, and the growth is unmatched. We’re not for everyone, and we’re okay with that. If you’re looking for predictable routines, this isn’t the place for you. But if you’re driven to create, thrive in dynamic environments, and want a front\-row seat to the AI revolution, you’ll fit right in.
**Country Hiring Guidelines**
*Invisible is a hybrid organization with offices and team members located around the world. While some roles may offer remote flexibility, most positions involve in\-office collaboration and are tied to specific locations. Any location\-based requirements or hybrid expectations will be communicated by our Talent Acquisition team during the recruiting process.
**AI Interviewing Guidelines**
*Our hiring team thoughtfully uses AI to support an efficient, engaging, and inclusive interview process. Since AI can also be a helpful tool for candidates, we've outlined expectations for using it ethically throughout your interview journey.* 
*Click here to learn more about how we use AI and our guidelines for candidates.**
**Accessibility Statement**
*We’re committed to providing reasonable accommodations for individuals with disabilities. If you need assistance or accommodation due to a disability, please contact our Talent Acquisition team during the recruitment process at* 
*accommodation@invisible.email* 
*.*
**Equal Opportunity Statement**
*We’re an equal opportunity employer. All qualified applicants will receive consideration for employment without regard to race, color, religion, sex, national origin, disability, or veteran status, or any other basis protected by law.*
*Due to a high volume of candidates, Invisible may use automated decision\-maker technologies to filter candidates based on response to our application questions and other provided information. Our use of automated decision\-making enables us to be efficient by providing a manageable list of possible candidates that meet our mandatory hiring criteria. If you object to our use of automated decision\-making please contact us.*</t>
        </is>
      </c>
    </row>
    <row r="243">
      <c r="A243" t="inlineStr">
        <is>
          <t>li-4358617265</t>
        </is>
      </c>
      <c r="B243" t="inlineStr">
        <is>
          <t>Full Stack Software Engineer, Lead</t>
        </is>
      </c>
      <c r="C243" t="inlineStr">
        <is>
          <t>Booz Allen Hamilton</t>
        </is>
      </c>
      <c r="D243" t="inlineStr">
        <is>
          <t>linkedin</t>
        </is>
      </c>
      <c r="E243">
        <f>HYPERLINK("https://www.linkedin.com/jobs/view/4358617265", "https://www.linkedin.com/jobs/view/4358617265")</f>
        <v/>
      </c>
      <c r="F243" t="inlineStr"/>
      <c r="G243" t="inlineStr">
        <is>
          <t>Annapolis Junction, MD</t>
        </is>
      </c>
      <c r="H243" t="inlineStr"/>
      <c r="I243" t="inlineStr">
        <is>
          <t>**Job Number: R0231841**
 Full Stack Software Engineer, Lead
**The Opportunity:**
 Are you looking for an opportunity to combine your technical skills with big picture thinking to serve as the lead to modernize a client critical mission system? You'll have the chance to contribute to transitioning mission data flows from legacy systems to a modernized data flow architecture, defining technical and process improvements to achieve improved mission performance and compliance and defining improved decision logic and rule sets applied to data flow management. Work as part of an Agile team directly supporting an IC core mission. You’ll interact directly with customers to understand their needs to develop protocol processing solutions that support analysts in target tracking and analysis and report writing. You’ll also help the client continue to modernize their software development practices and tools.
 Join us. The world can't wait.
**You Have:**
* Experience with developing or working with software in a LINUX environment
* Experience with C\+\+ and Java programming languages
* Experience with scripting languages, including Shell, JavaScript, Bash, or Python
* Experience in network programming, including socket development or IP based applications
* Experience with Git
* Experience with Docker
* TS/SCI clearance with a polygraph
* Bachelor's degree and 14\+ years of experience with software engineering, OR 19\+ years of experience with software engineering in lieu of a degree
**Nice If You Have:**
* Ability to provide solutions to complex problems within a collaborative, cross\-functional team
* Ability to work with automated testing tools to perform testing and maintenance
* Master’s degree
* Security\+ and Linux\+ certifications
**Clearance** 
 :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44">
      <c r="A244" t="inlineStr">
        <is>
          <t>li-4352200282</t>
        </is>
      </c>
      <c r="B244" t="inlineStr">
        <is>
          <t>Principal Software Engineer - Media Entertainment Services</t>
        </is>
      </c>
      <c r="C244" t="inlineStr">
        <is>
          <t>Oracle</t>
        </is>
      </c>
      <c r="D244" t="inlineStr">
        <is>
          <t>linkedin</t>
        </is>
      </c>
      <c r="E244">
        <f>HYPERLINK("https://www.linkedin.com/jobs/view/4352200282", "https://www.linkedin.com/jobs/view/4352200282")</f>
        <v/>
      </c>
      <c r="F244" t="inlineStr"/>
      <c r="G244" t="inlineStr">
        <is>
          <t>Nashville, TN</t>
        </is>
      </c>
      <c r="H244" t="inlineStr"/>
      <c r="I244" t="inlineStr">
        <is>
          <t>**Job Description**
**Location: (onsite)**
* Nashville, TN (5 X Week)
* Broomfield, CO (3 X Week)
* Austin, TX (3 X Week)
 As a Principal Software Engineer, you will lead the design and development of compute and media\-focused cloud services for the Media and Entertainment industry.
 We are looking for a highly skilled full\-stack or backend cloud engineer experienced with at least one major public cloud platform.
 In this role, you will architect and build scalable, performant, and secure compute services that power next\-generation media production and distribution workflows.
**Key Responsibilities**
* Compute service design and scaling: Design and develop cloud\-based compute services for media workloads with focus on scalability, elasticity, and cost efficiency.
* High\-performance architecture: Optimize systems for intensive compute use cases such as rendering, transcoding, and virtual workstation workloads.
* Cloud deployment and management: Deploy and manage workloads on OCI or other public clouds, leveraging container orchestration (Kubernetes, Docker) and infrastructure as code.
* System integration: Build integrations across storage, compute, and networking layers to support complete production pipelines in the cloud.
* Performance optimization: Monitor, tune, and enhance performance for low latency, throughput, and resource utilization.
* Reliability and automation: Implement CI/CD pipelines, observability, and automated scaling for production environments.
* Security and compliance: Ensure compliance and security best practices for compute and media services, including encryption, authentication, and network isolation.
* Cross\-team collaboration: Partner with product, networking, and operations teams to deliver end\-to\-end solutions that meet customer and industry requirements.
* Innovation: Evaluate emerging compute technologies, virtualization techniques, and cloud orchestration tools to drive continuous improvement.
**Responsibilities**
**Basic Qualifications**
**Education:**
 Bachelor’s or Master’s degree in Computer Science, Engineering, or a related field — or equivalent practical experience.
**Experience:**
* 8\+ years of professional experience building and deploying large\-scale distributed systems or cloud services.
* Strong hands\-on experience with at least one major public cloud platform (OCI, AWS, Azure, or GCP).
**Technical Skills:**
* Proficiency in Python, Java, or Go for backend development.
* Strong understanding of cloud compute architecture, VM and container orchestration, and autoscaling mechanisms.
* Experience with Kubernetes, Docker, and infrastructure as code tools (Terraform, Ansible, or equivalent).
* Familiarity with networking fundamentals, load balancing, and cloud security practices.
* Knowledge of storage integration (block and object storage) for media and compute workloads.
* Experience with CI/CD pipelines, observability, and production monitoring (Grafana, Prometheus, etc.).
**Nice\-to\-Have**
* Experience with media production or rendering workloads (e.g., VFX, animation, broadcast).
* Understanding of virtual GPU (vGPU) or GPU\-enabled compute workloads.
* Familiarity with virtual workstation or remote visualization environments.
* Knowledge of serverless compute and hybrid cloud deployment patterns.
* Experience designing for multi\-tenant, high\-availability compute platforms.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5">
      <c r="A245" t="inlineStr">
        <is>
          <t>li-4331012634</t>
        </is>
      </c>
      <c r="B245" t="inlineStr">
        <is>
          <t>Forward Deployed Software Engineer-Palantir Foundry-Director</t>
        </is>
      </c>
      <c r="C245" t="inlineStr">
        <is>
          <t>PwC</t>
        </is>
      </c>
      <c r="D245" t="inlineStr">
        <is>
          <t>linkedin</t>
        </is>
      </c>
      <c r="E245">
        <f>HYPERLINK("https://www.linkedin.com/jobs/view/4331012634", "https://www.linkedin.com/jobs/view/4331012634")</f>
        <v/>
      </c>
      <c r="F245">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45" t="inlineStr">
        <is>
          <t>Chicago, IL</t>
        </is>
      </c>
      <c r="H245" t="inlineStr"/>
      <c r="I24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6">
      <c r="A246" t="inlineStr">
        <is>
          <t>li-4330916735</t>
        </is>
      </c>
      <c r="B246" t="inlineStr">
        <is>
          <t>Forward Deployed Software Engineer-Palantir Foundry-Director</t>
        </is>
      </c>
      <c r="C246" t="inlineStr">
        <is>
          <t>PwC</t>
        </is>
      </c>
      <c r="D246" t="inlineStr">
        <is>
          <t>linkedin</t>
        </is>
      </c>
      <c r="E246">
        <f>HYPERLINK("https://www.linkedin.com/jobs/view/4330916735", "https://www.linkedin.com/jobs/view/4330916735")</f>
        <v/>
      </c>
      <c r="F246" t="inlineStr"/>
      <c r="G246" t="inlineStr">
        <is>
          <t>Fayetteville, AR</t>
        </is>
      </c>
      <c r="H246" t="inlineStr"/>
      <c r="I24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7">
      <c r="A247" t="inlineStr">
        <is>
          <t>li-4331012635</t>
        </is>
      </c>
      <c r="B247" t="inlineStr">
        <is>
          <t>Forward Deployed Software Engineer-Palantir Foundry-Director</t>
        </is>
      </c>
      <c r="C247" t="inlineStr">
        <is>
          <t>PwC</t>
        </is>
      </c>
      <c r="D247" t="inlineStr">
        <is>
          <t>linkedin</t>
        </is>
      </c>
      <c r="E247">
        <f>HYPERLINK("https://www.linkedin.com/jobs/view/4331012635", "https://www.linkedin.com/jobs/view/4331012635")</f>
        <v/>
      </c>
      <c r="F247" t="inlineStr"/>
      <c r="G247" t="inlineStr">
        <is>
          <t>St Louis, MO</t>
        </is>
      </c>
      <c r="H247" t="inlineStr"/>
      <c r="I24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8">
      <c r="A248" t="inlineStr">
        <is>
          <t>li-4330992751</t>
        </is>
      </c>
      <c r="B248" t="inlineStr">
        <is>
          <t>Forward Deployed Software Engineer-Palantir Foundry-Director</t>
        </is>
      </c>
      <c r="C248" t="inlineStr">
        <is>
          <t>PwC</t>
        </is>
      </c>
      <c r="D248" t="inlineStr">
        <is>
          <t>linkedin</t>
        </is>
      </c>
      <c r="E248">
        <f>HYPERLINK("https://www.linkedin.com/jobs/view/4330992751", "https://www.linkedin.com/jobs/view/4330992751")</f>
        <v/>
      </c>
      <c r="F248" t="inlineStr"/>
      <c r="G248" t="inlineStr">
        <is>
          <t>Columbus, OH</t>
        </is>
      </c>
      <c r="H248" t="inlineStr"/>
      <c r="I24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9">
      <c r="A249" t="inlineStr">
        <is>
          <t>li-4331022553</t>
        </is>
      </c>
      <c r="B249" t="inlineStr">
        <is>
          <t>Forward Deployed Software Engineer-Palantir Foundry-Director</t>
        </is>
      </c>
      <c r="C249" t="inlineStr">
        <is>
          <t>PwC</t>
        </is>
      </c>
      <c r="D249" t="inlineStr">
        <is>
          <t>linkedin</t>
        </is>
      </c>
      <c r="E249">
        <f>HYPERLINK("https://www.linkedin.com/jobs/view/4331022553", "https://www.linkedin.com/jobs/view/4331022553")</f>
        <v/>
      </c>
      <c r="F249">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49" t="inlineStr">
        <is>
          <t>Jacksonville, FL</t>
        </is>
      </c>
      <c r="H249" t="inlineStr"/>
      <c r="I24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2026-01-30T03:10:43Z</dcterms:created>
  <dcterms:modified xsi:type="dcterms:W3CDTF">2026-01-30T03:10:44Z</dcterms:modified>
</cp:coreProperties>
</file>