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in-cb3ba9bbd1eb810d</t>
        </is>
      </c>
      <c r="B2" t="inlineStr">
        <is>
          <t>Sr. Applied Scientist, AGI Foundations</t>
        </is>
      </c>
      <c r="C2" t="inlineStr">
        <is>
          <t>Amazon.com</t>
        </is>
      </c>
      <c r="D2" t="inlineStr">
        <is>
          <t>indeed</t>
        </is>
      </c>
      <c r="E2" t="inlineStr"/>
      <c r="F2" t="inlineStr"/>
      <c r="G2" t="inlineStr">
        <is>
          <t>Bellevue, WA,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in-4a60edbd0fe27213</t>
        </is>
      </c>
      <c r="B3" t="inlineStr">
        <is>
          <t>Sr. Applied Scientist, AGI Foundations</t>
        </is>
      </c>
      <c r="C3" t="inlineStr">
        <is>
          <t>Amazon.com</t>
        </is>
      </c>
      <c r="D3" t="inlineStr">
        <is>
          <t>indeed</t>
        </is>
      </c>
      <c r="E3" t="inlineStr"/>
      <c r="F3" t="inlineStr"/>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in-cb94992bbad631ca</t>
        </is>
      </c>
      <c r="B4" t="inlineStr">
        <is>
          <t>Sr. Applied Scientist, AGI Foundations</t>
        </is>
      </c>
      <c r="C4" t="inlineStr">
        <is>
          <t>Amazon.com</t>
        </is>
      </c>
      <c r="D4" t="inlineStr">
        <is>
          <t>indeed</t>
        </is>
      </c>
      <c r="E4" t="inlineStr"/>
      <c r="F4" t="inlineStr"/>
      <c r="G4" t="inlineStr">
        <is>
          <t>Boston, MA,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in-658b6a8bd5b6738e</t>
        </is>
      </c>
      <c r="B5" t="inlineStr">
        <is>
          <t>Applied Scientist II, Prime Video - Personalization and Discovery Science, Personalization and Discovery Science</t>
        </is>
      </c>
      <c r="C5" t="inlineStr">
        <is>
          <t>Amazon.com</t>
        </is>
      </c>
      <c r="D5" t="inlineStr">
        <is>
          <t>indeed</t>
        </is>
      </c>
      <c r="E5" t="inlineStr"/>
      <c r="F5" t="inlineStr"/>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in-efe7bf188952d16d</t>
        </is>
      </c>
      <c r="B6" t="inlineStr">
        <is>
          <t>Applied Scientist II, Prime Video - Personalization and Discovery Science, Personalization and Discovery Science</t>
        </is>
      </c>
      <c r="C6" t="inlineStr">
        <is>
          <t>Amazon.com</t>
        </is>
      </c>
      <c r="D6" t="inlineStr">
        <is>
          <t>indeed</t>
        </is>
      </c>
      <c r="E6" t="inlineStr"/>
      <c r="F6" t="inlineStr"/>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in-9e9605eb06f7cd9f</t>
        </is>
      </c>
      <c r="B7" t="inlineStr">
        <is>
          <t>Applied Scientist II, Prime Video - Personalization and Discovery Science, Personalization and Discovery Science</t>
        </is>
      </c>
      <c r="C7" t="inlineStr">
        <is>
          <t>Amazon.com</t>
        </is>
      </c>
      <c r="D7" t="inlineStr">
        <is>
          <t>indeed</t>
        </is>
      </c>
      <c r="E7" t="inlineStr"/>
      <c r="F7" t="inlineStr"/>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in-7008245af0e5f767</t>
        </is>
      </c>
      <c r="B8" t="inlineStr">
        <is>
          <t>Applied Scientist II, Prime Video - Personalization and Discovery Science</t>
        </is>
      </c>
      <c r="C8" t="inlineStr">
        <is>
          <t>Amazon.com</t>
        </is>
      </c>
      <c r="D8" t="inlineStr">
        <is>
          <t>indeed</t>
        </is>
      </c>
      <c r="E8" t="inlineStr"/>
      <c r="F8" t="inlineStr"/>
      <c r="G8" t="inlineStr">
        <is>
          <t>Sunnyvale, CA,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in-df7b703111311dd3</t>
        </is>
      </c>
      <c r="B9" t="inlineStr">
        <is>
          <t>Applied Scientist II, Prime Video - Personalization and Discovery Science</t>
        </is>
      </c>
      <c r="C9" t="inlineStr">
        <is>
          <t>Amazon.com</t>
        </is>
      </c>
      <c r="D9" t="inlineStr">
        <is>
          <t>indeed</t>
        </is>
      </c>
      <c r="E9" t="inlineStr"/>
      <c r="F9" t="inlineStr"/>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in-a3265c47ab6f47f2</t>
        </is>
      </c>
      <c r="B10" t="inlineStr">
        <is>
          <t>Applied Scientist II, Prime Video - Personalization and Discovery Science</t>
        </is>
      </c>
      <c r="C10" t="inlineStr">
        <is>
          <t>Amazon.com</t>
        </is>
      </c>
      <c r="D10" t="inlineStr">
        <is>
          <t>indeed</t>
        </is>
      </c>
      <c r="E10" t="inlineStr"/>
      <c r="F10" t="inlineStr"/>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in-bbfd17efdd77437b</t>
        </is>
      </c>
      <c r="B11" t="inlineStr">
        <is>
          <t>Sr. Applied Scientist, Prime Video - Personalization and Discovery Science</t>
        </is>
      </c>
      <c r="C11" t="inlineStr">
        <is>
          <t>Amazon.com</t>
        </is>
      </c>
      <c r="D11" t="inlineStr">
        <is>
          <t>indeed</t>
        </is>
      </c>
      <c r="E11" t="inlineStr"/>
      <c r="F11" t="inlineStr"/>
      <c r="G11" t="inlineStr">
        <is>
          <t>Seattle, WA, US</t>
        </is>
      </c>
      <c r="H11" s="2" t="n">
        <v>45881</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in-4c04be67a042e085</t>
        </is>
      </c>
      <c r="B12" t="inlineStr">
        <is>
          <t>Applied Scientist II, Prime Video - Personalization and Discovery Science</t>
        </is>
      </c>
      <c r="C12" t="inlineStr">
        <is>
          <t>Amazon.com</t>
        </is>
      </c>
      <c r="D12" t="inlineStr">
        <is>
          <t>indeed</t>
        </is>
      </c>
      <c r="E12" t="inlineStr"/>
      <c r="F12" t="inlineStr"/>
      <c r="G12" t="inlineStr">
        <is>
          <t>New York, NY, US</t>
        </is>
      </c>
      <c r="H12" s="2" t="n">
        <v>45881</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in-9b007f56ab7995ec</t>
        </is>
      </c>
      <c r="B13" t="inlineStr">
        <is>
          <t>Sr. Applied Scientist, Prime Video - Personalization and Discovery Science</t>
        </is>
      </c>
      <c r="C13" t="inlineStr">
        <is>
          <t>Amazon.com</t>
        </is>
      </c>
      <c r="D13" t="inlineStr">
        <is>
          <t>indeed</t>
        </is>
      </c>
      <c r="E13" t="inlineStr"/>
      <c r="F13" t="inlineStr"/>
      <c r="G13" t="inlineStr">
        <is>
          <t>Sunnyvale, CA, US</t>
        </is>
      </c>
      <c r="H13" s="2" t="n">
        <v>45881</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in-d63f5c33921b48f5</t>
        </is>
      </c>
      <c r="B14" t="inlineStr">
        <is>
          <t>Applied Scientist II, Prime Video - Personalization and Discovery Science</t>
        </is>
      </c>
      <c r="C14" t="inlineStr">
        <is>
          <t>Amazon.com</t>
        </is>
      </c>
      <c r="D14" t="inlineStr">
        <is>
          <t>indeed</t>
        </is>
      </c>
      <c r="E14" t="inlineStr"/>
      <c r="F14" t="inlineStr"/>
      <c r="G14" t="inlineStr">
        <is>
          <t>Seattle, WA,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in-ef77c4df9dbe71d1</t>
        </is>
      </c>
      <c r="B15" t="inlineStr">
        <is>
          <t>Applied Scientist II, Prime Video - Personalization and Discovery Science</t>
        </is>
      </c>
      <c r="C15" t="inlineStr">
        <is>
          <t>Amazon.com</t>
        </is>
      </c>
      <c r="D15" t="inlineStr">
        <is>
          <t>indeed</t>
        </is>
      </c>
      <c r="E15" t="inlineStr"/>
      <c r="F15" t="inlineStr"/>
      <c r="G15" t="inlineStr">
        <is>
          <t>Sunnyvale, CA,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in-92e83877650d53dc</t>
        </is>
      </c>
      <c r="B16" t="inlineStr">
        <is>
          <t>Sr. Applied Scientist, Prime Video - Personalization and Discovery Science</t>
        </is>
      </c>
      <c r="C16" t="inlineStr">
        <is>
          <t>Amazon.com</t>
        </is>
      </c>
      <c r="D16" t="inlineStr">
        <is>
          <t>indeed</t>
        </is>
      </c>
      <c r="E16" t="inlineStr"/>
      <c r="F16" t="inlineStr"/>
      <c r="G16" t="inlineStr">
        <is>
          <t>New York, NY,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in-76d3933a05f7032e</t>
        </is>
      </c>
      <c r="B17" t="inlineStr">
        <is>
          <t>Applied Scientist, Prime Video - Personalization and Discovery Science</t>
        </is>
      </c>
      <c r="C17" t="inlineStr">
        <is>
          <t>Amazon.com</t>
        </is>
      </c>
      <c r="D17" t="inlineStr">
        <is>
          <t>indeed</t>
        </is>
      </c>
      <c r="E17" t="inlineStr"/>
      <c r="F17" t="inlineStr"/>
      <c r="G17" t="inlineStr">
        <is>
          <t>New York, NY, US</t>
        </is>
      </c>
      <c r="H17" s="2" t="n">
        <v>45845</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in-b72f087a54fc8fe2</t>
        </is>
      </c>
      <c r="B18" t="inlineStr">
        <is>
          <t>Applied Scientist, Prime Video - Personalization and Discovery Science</t>
        </is>
      </c>
      <c r="C18" t="inlineStr">
        <is>
          <t>Amazon.com</t>
        </is>
      </c>
      <c r="D18" t="inlineStr">
        <is>
          <t>indeed</t>
        </is>
      </c>
      <c r="E18" t="inlineStr"/>
      <c r="F18" t="inlineStr"/>
      <c r="G18" t="inlineStr">
        <is>
          <t>Seattle, WA, US</t>
        </is>
      </c>
      <c r="H18" s="2" t="n">
        <v>45845</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in-c7de0bda6cc55f46</t>
        </is>
      </c>
      <c r="B19" t="inlineStr">
        <is>
          <t>Applied Scientist, Prime Video - Personalization and Discovery Science</t>
        </is>
      </c>
      <c r="C19" t="inlineStr">
        <is>
          <t>Amazon.com</t>
        </is>
      </c>
      <c r="D19" t="inlineStr">
        <is>
          <t>indeed</t>
        </is>
      </c>
      <c r="E19" t="inlineStr"/>
      <c r="F19" t="inlineStr"/>
      <c r="G19" t="inlineStr">
        <is>
          <t>Sunnyvale, CA, US</t>
        </is>
      </c>
      <c r="H19" s="2" t="n">
        <v>45845</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in-560677dc806cddc3</t>
        </is>
      </c>
      <c r="B20" t="inlineStr">
        <is>
          <t>Senior Machine Learning Engineer - Remote</t>
        </is>
      </c>
      <c r="C20" t="inlineStr"/>
      <c r="D20" t="inlineStr">
        <is>
          <t>indeed</t>
        </is>
      </c>
      <c r="E20" t="inlineStr"/>
      <c r="F20" t="inlineStr"/>
      <c r="G20" t="inlineStr">
        <is>
          <t>New York, NY, US</t>
        </is>
      </c>
      <c r="H20" s="2" t="n">
        <v>46051</v>
      </c>
      <c r="I20" t="inlineStr">
        <is>
          <t>### **About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21">
      <c r="A21" t="inlineStr">
        <is>
          <t>in-0fd734657f198520</t>
        </is>
      </c>
      <c r="B21" t="inlineStr">
        <is>
          <t>Machine Learning Engineer</t>
        </is>
      </c>
      <c r="C21" t="inlineStr">
        <is>
          <t>CliftonLarsonAllen</t>
        </is>
      </c>
      <c r="D21" t="inlineStr">
        <is>
          <t>indeed</t>
        </is>
      </c>
      <c r="E21" t="inlineStr"/>
      <c r="F21" t="inlineStr"/>
      <c r="G21" t="inlineStr">
        <is>
          <t>Akron, OH, US</t>
        </is>
      </c>
      <c r="H21" s="2" t="n">
        <v>46050</v>
      </c>
      <c r="I21"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Machine Learning Operation Engineer: this position offers growth, flexibility and a collaborative work environment.
We’re looking for a motivated and curious Machine Learning Operation Engineer to join our Data Science Team. This is an opportunity to learn, build, and grow alongside experienced developers in a supportive, collaborative environment.
How you’ll *create opportunities* in this role:* Assist with design and development of MLOps infrastructure to support the deployment, management, and monitoring of machine learning models within the firm.
* Collaborate with data scientists and engineers to ensure seamless integration of data science and engineering processes.
* Support maintenance of automated workflows and pipelines for efficient model deployment and monitoring.
* Troubleshoot and resolve any issues with model performance, data pipelines, or infrastructure.
* Assist with ensuring the security and scalability of the MLOps infrastructure to handle large volumes of data and models.
* Support maintenance of documentation for MLOps processes and systems.
* Collaborate with cross\-functional teams to understand business needs and translate them into technical requirements.
* Ensure compliance with data security and privacy regulations.
* Stay up to date with industry trends and advancements in machine learning and MLOps.
Technologies You'll Use* Familiarity with cloud platforms (e.g., AWS, Azure, GCP).
* Basic understanding of SQL and experience with ETL pipeline design and maintenance.
* Knowledge of CI/CD concepts and experience with tools like Jenkins, Git, Perforce, etc.,
* Proficiency in programming languages such as Python.
* Knowledge of data pipeline architecture and data transformation.
* Knowledge of machine learning model deployment and management.
* Familiarity with performance monitoring and optimization techniques.
* Basic understanding of machine learning and DevOps principles.
What you will need:* 2\+ years' experience as a Data/ML Engineer
* Bachelor's degree is required. Combination of relevant experience, education, and training may be accepted in lieu of degree.
Equal Opportunity Employer/Protected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row>
    <row r="22">
      <c r="A22" t="inlineStr">
        <is>
          <t>in-37bdb2832638e403</t>
        </is>
      </c>
      <c r="B22" t="inlineStr">
        <is>
          <t>Applied Scientist, Denied Party Screening, AWS Compliance &amp; Security Assurance</t>
        </is>
      </c>
      <c r="C22" t="inlineStr">
        <is>
          <t>Amazon.com</t>
        </is>
      </c>
      <c r="D22" t="inlineStr">
        <is>
          <t>indeed</t>
        </is>
      </c>
      <c r="E22" t="inlineStr"/>
      <c r="F22" t="inlineStr"/>
      <c r="G22" t="inlineStr">
        <is>
          <t>Seattle, WA, US</t>
        </is>
      </c>
      <c r="H22" s="2" t="n">
        <v>46027</v>
      </c>
      <c r="I22"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3">
      <c r="A23" t="inlineStr">
        <is>
          <t>in-436f1ae377e48d28</t>
        </is>
      </c>
      <c r="B23" t="inlineStr">
        <is>
          <t>Applied Scientist, Denied Party Screening, AWS Compliance &amp; Security Assurance</t>
        </is>
      </c>
      <c r="C23" t="inlineStr">
        <is>
          <t>Amazon.com</t>
        </is>
      </c>
      <c r="D23" t="inlineStr">
        <is>
          <t>indeed</t>
        </is>
      </c>
      <c r="E23" t="inlineStr"/>
      <c r="F23" t="inlineStr"/>
      <c r="G23" t="inlineStr">
        <is>
          <t>Dallas, TX, US</t>
        </is>
      </c>
      <c r="H23" s="2" t="n">
        <v>46027</v>
      </c>
      <c r="I23"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24">
      <c r="A24" t="inlineStr">
        <is>
          <t>in-661fead96c0104fe</t>
        </is>
      </c>
      <c r="B24" t="inlineStr">
        <is>
          <t>Applied Scientist, Amazon Special Projects</t>
        </is>
      </c>
      <c r="C24" t="inlineStr">
        <is>
          <t>Amazon.com</t>
        </is>
      </c>
      <c r="D24" t="inlineStr">
        <is>
          <t>indeed</t>
        </is>
      </c>
      <c r="E24" t="inlineStr"/>
      <c r="F24" t="inlineStr"/>
      <c r="G24" t="inlineStr">
        <is>
          <t>Boston, MA, US</t>
        </is>
      </c>
      <c r="H24" s="2" t="n">
        <v>46026</v>
      </c>
      <c r="I2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in-a0f0c7d1dd9d3886</t>
        </is>
      </c>
      <c r="B25" t="inlineStr">
        <is>
          <t>Applied Scientist, Amazon Special Projects</t>
        </is>
      </c>
      <c r="C25" t="inlineStr">
        <is>
          <t>Amazon.com</t>
        </is>
      </c>
      <c r="D25" t="inlineStr">
        <is>
          <t>indeed</t>
        </is>
      </c>
      <c r="E25" t="inlineStr"/>
      <c r="F25" t="inlineStr"/>
      <c r="G25" t="inlineStr">
        <is>
          <t>Seattle, WA, US</t>
        </is>
      </c>
      <c r="H25" s="2" t="n">
        <v>46026</v>
      </c>
      <c r="I2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in-2d5eb4195a2350b5</t>
        </is>
      </c>
      <c r="B26" t="inlineStr">
        <is>
          <t>Applied Scientist, Last Mile Delivery Automation</t>
        </is>
      </c>
      <c r="C26" t="inlineStr">
        <is>
          <t>Amazon.com</t>
        </is>
      </c>
      <c r="D26" t="inlineStr">
        <is>
          <t>indeed</t>
        </is>
      </c>
      <c r="E26" t="inlineStr"/>
      <c r="F26" t="inlineStr"/>
      <c r="G26" t="inlineStr">
        <is>
          <t>Bellevue, WA, US</t>
        </is>
      </c>
      <c r="H26" s="2" t="n">
        <v>46026</v>
      </c>
      <c r="I2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in-3995e7224dbae80e</t>
        </is>
      </c>
      <c r="B27" t="inlineStr">
        <is>
          <t>Applied Scientist, Last Mile Delivery Automation</t>
        </is>
      </c>
      <c r="C27" t="inlineStr">
        <is>
          <t>Amazon.com</t>
        </is>
      </c>
      <c r="D27" t="inlineStr">
        <is>
          <t>indeed</t>
        </is>
      </c>
      <c r="E27" t="inlineStr"/>
      <c r="F27" t="inlineStr"/>
      <c r="G27" t="inlineStr">
        <is>
          <t>Santa Clara, CA, US</t>
        </is>
      </c>
      <c r="H27" s="2" t="n">
        <v>46026</v>
      </c>
      <c r="I2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in-47f6ebbe349bdb2d</t>
        </is>
      </c>
      <c r="B28" t="inlineStr">
        <is>
          <t>Senior Applied Scientist, Distributed SQL</t>
        </is>
      </c>
      <c r="C28" t="inlineStr">
        <is>
          <t>Amazon Web Services</t>
        </is>
      </c>
      <c r="D28" t="inlineStr">
        <is>
          <t>indeed</t>
        </is>
      </c>
      <c r="E28" t="inlineStr"/>
      <c r="F28" t="inlineStr"/>
      <c r="G28" t="inlineStr">
        <is>
          <t>East Palo Alto, CA, US</t>
        </is>
      </c>
      <c r="H28" s="2" t="n">
        <v>46012</v>
      </c>
      <c r="I2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9">
      <c r="A29" t="inlineStr">
        <is>
          <t>in-3f8cf26fe93af7e8</t>
        </is>
      </c>
      <c r="B29" t="inlineStr">
        <is>
          <t>Sr. Applied Scientist, Amazon Ads</t>
        </is>
      </c>
      <c r="C29" t="inlineStr">
        <is>
          <t>Amazon.com</t>
        </is>
      </c>
      <c r="D29" t="inlineStr">
        <is>
          <t>indeed</t>
        </is>
      </c>
      <c r="E29" t="inlineStr"/>
      <c r="F29" t="inlineStr"/>
      <c r="G29" t="inlineStr">
        <is>
          <t>Brooklyn, NY,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in-2bac8099459793bd</t>
        </is>
      </c>
      <c r="B30" t="inlineStr">
        <is>
          <t>Sr. Applied Scientist, Amazon Ads</t>
        </is>
      </c>
      <c r="C30" t="inlineStr">
        <is>
          <t>Amazon.com</t>
        </is>
      </c>
      <c r="D30" t="inlineStr">
        <is>
          <t>indeed</t>
        </is>
      </c>
      <c r="E30" t="inlineStr"/>
      <c r="F30" t="inlineStr"/>
      <c r="G30" t="inlineStr">
        <is>
          <t>Boston, MA,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in-39439bd100f4c0b9</t>
        </is>
      </c>
      <c r="B31" t="inlineStr">
        <is>
          <t>Sr. Applied Scientist, Amazon Ads</t>
        </is>
      </c>
      <c r="C31" t="inlineStr">
        <is>
          <t>Amazon.com</t>
        </is>
      </c>
      <c r="D31" t="inlineStr">
        <is>
          <t>indeed</t>
        </is>
      </c>
      <c r="E31" t="inlineStr"/>
      <c r="F31" t="inlineStr"/>
      <c r="G31" t="inlineStr">
        <is>
          <t>Sunnyvale, CA,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in-715ad69bb86fbc23</t>
        </is>
      </c>
      <c r="B32" t="inlineStr">
        <is>
          <t>Sr. Applied Scientist, Amazon Ads</t>
        </is>
      </c>
      <c r="C32" t="inlineStr">
        <is>
          <t>Amazon.com</t>
        </is>
      </c>
      <c r="D32" t="inlineStr">
        <is>
          <t>indeed</t>
        </is>
      </c>
      <c r="E32" t="inlineStr"/>
      <c r="F32" t="inlineStr"/>
      <c r="G32" t="inlineStr">
        <is>
          <t>Santa Monica, CA,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in-0e05e12c7234c12c</t>
        </is>
      </c>
      <c r="B33" t="inlineStr">
        <is>
          <t>Sr. Applied Scientist, Amazon Ads</t>
        </is>
      </c>
      <c r="C33" t="inlineStr">
        <is>
          <t>Amazon.com</t>
        </is>
      </c>
      <c r="D33" t="inlineStr">
        <is>
          <t>indeed</t>
        </is>
      </c>
      <c r="E33" t="inlineStr"/>
      <c r="F33" t="inlineStr"/>
      <c r="G33" t="inlineStr">
        <is>
          <t>Seattle, WA,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in-04ba51a049c20d65</t>
        </is>
      </c>
      <c r="B34" t="inlineStr">
        <is>
          <t>Sr. Applied Scientist, Amazon Ads</t>
        </is>
      </c>
      <c r="C34" t="inlineStr">
        <is>
          <t>Amazon.com</t>
        </is>
      </c>
      <c r="D34" t="inlineStr">
        <is>
          <t>indeed</t>
        </is>
      </c>
      <c r="E34" t="inlineStr"/>
      <c r="F34" t="inlineStr"/>
      <c r="G34" t="inlineStr">
        <is>
          <t>Tukwila, WA,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in-a44d1974d58a7120</t>
        </is>
      </c>
      <c r="B35" t="inlineStr">
        <is>
          <t>Sr. Applied Scientist, Amazon Ads</t>
        </is>
      </c>
      <c r="C35" t="inlineStr">
        <is>
          <t>Amazon.com</t>
        </is>
      </c>
      <c r="D35" t="inlineStr">
        <is>
          <t>indeed</t>
        </is>
      </c>
      <c r="E35" t="inlineStr"/>
      <c r="F35" t="inlineStr"/>
      <c r="G35" t="inlineStr">
        <is>
          <t>New York, NY,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in-0919a8dc7266dcdf</t>
        </is>
      </c>
      <c r="B36" t="inlineStr">
        <is>
          <t>Sr. Applied Scientist, Amazon Ads</t>
        </is>
      </c>
      <c r="C36" t="inlineStr">
        <is>
          <t>Amazon.com</t>
        </is>
      </c>
      <c r="D36" t="inlineStr">
        <is>
          <t>indeed</t>
        </is>
      </c>
      <c r="E36" t="inlineStr"/>
      <c r="F36" t="inlineStr"/>
      <c r="G36" t="inlineStr">
        <is>
          <t>Palo Alto, CA,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in-40bbea2652cc7859</t>
        </is>
      </c>
      <c r="B37" t="inlineStr">
        <is>
          <t>Sr. Applied Scientist, Amazon Ads</t>
        </is>
      </c>
      <c r="C37" t="inlineStr">
        <is>
          <t>Amazon.com</t>
        </is>
      </c>
      <c r="D37" t="inlineStr">
        <is>
          <t>indeed</t>
        </is>
      </c>
      <c r="E37" t="inlineStr"/>
      <c r="F37" t="inlineStr"/>
      <c r="G37" t="inlineStr">
        <is>
          <t>Boulder, CO,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in-d00d3e2c1aa5a64a</t>
        </is>
      </c>
      <c r="B38" t="inlineStr">
        <is>
          <t>Sr. Applied Scientist, Amazon Ads</t>
        </is>
      </c>
      <c r="C38" t="inlineStr">
        <is>
          <t>Amazon.com</t>
        </is>
      </c>
      <c r="D38" t="inlineStr">
        <is>
          <t>indeed</t>
        </is>
      </c>
      <c r="E38" t="inlineStr"/>
      <c r="F38" t="inlineStr"/>
      <c r="G38" t="inlineStr">
        <is>
          <t>Corvallis, OR,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in-d468fd11639efd13</t>
        </is>
      </c>
      <c r="B39" t="inlineStr">
        <is>
          <t>Applied Scientist, ML Compiler</t>
        </is>
      </c>
      <c r="C39" t="inlineStr">
        <is>
          <t>Amazon Web Services</t>
        </is>
      </c>
      <c r="D39" t="inlineStr">
        <is>
          <t>indeed</t>
        </is>
      </c>
      <c r="E39" t="inlineStr"/>
      <c r="F39" t="inlineStr"/>
      <c r="G39" t="inlineStr">
        <is>
          <t>Cupertino, CA, US</t>
        </is>
      </c>
      <c r="H39" s="2" t="n">
        <v>45993</v>
      </c>
      <c r="I3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in-9ec3c22e61883857</t>
        </is>
      </c>
      <c r="B40" t="inlineStr">
        <is>
          <t>Applied Scientist, ML Compiler</t>
        </is>
      </c>
      <c r="C40" t="inlineStr">
        <is>
          <t>Amazon Web Services</t>
        </is>
      </c>
      <c r="D40" t="inlineStr">
        <is>
          <t>indeed</t>
        </is>
      </c>
      <c r="E40" t="inlineStr"/>
      <c r="F40" t="inlineStr"/>
      <c r="G40" t="inlineStr">
        <is>
          <t>Seattle, WA, US</t>
        </is>
      </c>
      <c r="H40" s="2" t="n">
        <v>45993</v>
      </c>
      <c r="I4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in-1f6e13fa58e1eb5d</t>
        </is>
      </c>
      <c r="B41" t="inlineStr">
        <is>
          <t>Senior Applied Scientist, Locomotion, Amazon Industrial Robotics</t>
        </is>
      </c>
      <c r="C41" t="inlineStr">
        <is>
          <t>Amazon.com</t>
        </is>
      </c>
      <c r="D41" t="inlineStr">
        <is>
          <t>indeed</t>
        </is>
      </c>
      <c r="E41" t="inlineStr"/>
      <c r="F41" t="inlineStr"/>
      <c r="G41" t="inlineStr">
        <is>
          <t>Reading, MA, US</t>
        </is>
      </c>
      <c r="H41" s="2" t="n">
        <v>45992</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in-b5001727a08d282d</t>
        </is>
      </c>
      <c r="B42" t="inlineStr">
        <is>
          <t>Senior Applied Scientist, Locomotion, Amazon Industrial Robotics</t>
        </is>
      </c>
      <c r="C42" t="inlineStr">
        <is>
          <t>Amazon.com</t>
        </is>
      </c>
      <c r="D42" t="inlineStr">
        <is>
          <t>indeed</t>
        </is>
      </c>
      <c r="E42" t="inlineStr"/>
      <c r="F42" t="inlineStr"/>
      <c r="G42" t="inlineStr">
        <is>
          <t>Reading, MA, US</t>
        </is>
      </c>
      <c r="H42" s="2" t="n">
        <v>45992</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in-9008459ad3ef1df1</t>
        </is>
      </c>
      <c r="B43" t="inlineStr">
        <is>
          <t>Applied Scientist II, Amazon, Amazon</t>
        </is>
      </c>
      <c r="C43" t="inlineStr">
        <is>
          <t>Amazon.com</t>
        </is>
      </c>
      <c r="D43" t="inlineStr">
        <is>
          <t>indeed</t>
        </is>
      </c>
      <c r="E43" t="inlineStr"/>
      <c r="F43" t="inlineStr"/>
      <c r="G43" t="inlineStr">
        <is>
          <t>Seattle, WA, US</t>
        </is>
      </c>
      <c r="H43" s="2" t="n">
        <v>45985</v>
      </c>
      <c r="I43" t="inlineStr">
        <is>
          <t>**DESCRIPTION**
---------------
We’re working to improve shopping on Amazon using the conversational capabilities of large language models, and are searching for pioneers who are passionate about technology, innovation, and customer experience, and are ready to make a lasting impact on the industry. In this role, you will be developing Multimodal and Agentic LLMs to unlock new shopping experiences. Experience in Vision\-Language Multimodal Modeling and Reinforcement Learning is preferred. You'll be working with talented scientists, engineers, and technical program managers (TPM) to innovate on behalf of our customers. If you're fired up about being part of a dynamic, driven team, then this is your moment to join us on this exciting journey!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in-7ea5a7a0a538c045</t>
        </is>
      </c>
      <c r="B44" t="inlineStr">
        <is>
          <t>Sr. Machine Learning Engineer, AGIF | Finetuning</t>
        </is>
      </c>
      <c r="C44" t="inlineStr">
        <is>
          <t>Amazon.com</t>
        </is>
      </c>
      <c r="D44" t="inlineStr">
        <is>
          <t>indeed</t>
        </is>
      </c>
      <c r="E44" t="inlineStr"/>
      <c r="F44" t="inlineStr"/>
      <c r="G44" t="inlineStr">
        <is>
          <t>New York, NY, US</t>
        </is>
      </c>
      <c r="H44" s="2" t="n">
        <v>45984</v>
      </c>
      <c r="I4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in-d021d2302b6af305</t>
        </is>
      </c>
      <c r="B45" t="inlineStr">
        <is>
          <t>Sr. Machine Learning Engineer, AGIF | Finetuning</t>
        </is>
      </c>
      <c r="C45" t="inlineStr">
        <is>
          <t>Amazon.com</t>
        </is>
      </c>
      <c r="D45" t="inlineStr">
        <is>
          <t>indeed</t>
        </is>
      </c>
      <c r="E45" t="inlineStr"/>
      <c r="F45" t="inlineStr"/>
      <c r="G45" t="inlineStr">
        <is>
          <t>Sunnyvale, CA, US</t>
        </is>
      </c>
      <c r="H45" s="2" t="n">
        <v>45984</v>
      </c>
      <c r="I4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in-d38302e934f7a905</t>
        </is>
      </c>
      <c r="B46" t="inlineStr">
        <is>
          <t>Sr. Machine Learning Engineer, AGIF | Finetuning</t>
        </is>
      </c>
      <c r="C46" t="inlineStr">
        <is>
          <t>Amazon.com</t>
        </is>
      </c>
      <c r="D46" t="inlineStr">
        <is>
          <t>indeed</t>
        </is>
      </c>
      <c r="E46" t="inlineStr"/>
      <c r="F46" t="inlineStr"/>
      <c r="G46" t="inlineStr">
        <is>
          <t>Bellevue, WA, US</t>
        </is>
      </c>
      <c r="H46" s="2" t="n">
        <v>45984</v>
      </c>
      <c r="I4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in-f42532426ff478b9</t>
        </is>
      </c>
      <c r="B47" t="inlineStr">
        <is>
          <t>Principal Applied Scientist, Amazon Special Projects</t>
        </is>
      </c>
      <c r="C47" t="inlineStr">
        <is>
          <t>Amazon.com</t>
        </is>
      </c>
      <c r="D47" t="inlineStr">
        <is>
          <t>indeed</t>
        </is>
      </c>
      <c r="E47" t="inlineStr"/>
      <c r="F47" t="inlineStr"/>
      <c r="G47" t="inlineStr">
        <is>
          <t>Boston, MA, US</t>
        </is>
      </c>
      <c r="H47" s="2" t="n">
        <v>45982</v>
      </c>
      <c r="I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in-9b55e62cce5f0391</t>
        </is>
      </c>
      <c r="B48" t="inlineStr">
        <is>
          <t>Principal Applied Scientist, Amazon Special Projects</t>
        </is>
      </c>
      <c r="C48" t="inlineStr">
        <is>
          <t>Amazon.com</t>
        </is>
      </c>
      <c r="D48" t="inlineStr">
        <is>
          <t>indeed</t>
        </is>
      </c>
      <c r="E48" t="inlineStr"/>
      <c r="F48" t="inlineStr"/>
      <c r="G48" t="inlineStr">
        <is>
          <t>Seattle, WA, US</t>
        </is>
      </c>
      <c r="H48" s="2" t="n">
        <v>45982</v>
      </c>
      <c r="I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in-0a9f614646a60eb5</t>
        </is>
      </c>
      <c r="B49" t="inlineStr">
        <is>
          <t>Senior Applied Scientist, Artificial General Intelligence</t>
        </is>
      </c>
      <c r="C49" t="inlineStr">
        <is>
          <t>Amazon.com</t>
        </is>
      </c>
      <c r="D49" t="inlineStr">
        <is>
          <t>indeed</t>
        </is>
      </c>
      <c r="E49" t="inlineStr"/>
      <c r="F49" t="inlineStr"/>
      <c r="G49" t="inlineStr">
        <is>
          <t>Sunnyvale, CA, US</t>
        </is>
      </c>
      <c r="H49" s="2" t="n">
        <v>45980</v>
      </c>
      <c r="I4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in-85356cec0a697899</t>
        </is>
      </c>
      <c r="B50" t="inlineStr">
        <is>
          <t>Senior Applied Scientist, Artificial General Intelligence</t>
        </is>
      </c>
      <c r="C50" t="inlineStr">
        <is>
          <t>Amazon.com</t>
        </is>
      </c>
      <c r="D50" t="inlineStr">
        <is>
          <t>indeed</t>
        </is>
      </c>
      <c r="E50" t="inlineStr"/>
      <c r="F50" t="inlineStr"/>
      <c r="G50" t="inlineStr">
        <is>
          <t>Boston, MA, US</t>
        </is>
      </c>
      <c r="H50" s="2" t="n">
        <v>45980</v>
      </c>
      <c r="I5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in-5b44ea6e9a8877fa</t>
        </is>
      </c>
      <c r="B51" t="inlineStr">
        <is>
          <t>Senior Applied Scientist, Artificial General Intelligence</t>
        </is>
      </c>
      <c r="C51" t="inlineStr">
        <is>
          <t>Amazon.com</t>
        </is>
      </c>
      <c r="D51" t="inlineStr">
        <is>
          <t>indeed</t>
        </is>
      </c>
      <c r="E51" t="inlineStr"/>
      <c r="F51" t="inlineStr"/>
      <c r="G51" t="inlineStr">
        <is>
          <t>New York, NY, US</t>
        </is>
      </c>
      <c r="H51" s="2" t="n">
        <v>45980</v>
      </c>
      <c r="I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in-6e9f4e87a183c533</t>
        </is>
      </c>
      <c r="B52" t="inlineStr">
        <is>
          <t>Senior Applied Scientist, Artificial General Intelligence</t>
        </is>
      </c>
      <c r="C52" t="inlineStr">
        <is>
          <t>Amazon.com</t>
        </is>
      </c>
      <c r="D52" t="inlineStr">
        <is>
          <t>indeed</t>
        </is>
      </c>
      <c r="E52" t="inlineStr"/>
      <c r="F52" t="inlineStr"/>
      <c r="G52" t="inlineStr">
        <is>
          <t>Seattle, WA, US</t>
        </is>
      </c>
      <c r="H52" s="2" t="n">
        <v>45980</v>
      </c>
      <c r="I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in-ea8d79f881fcdf3e</t>
        </is>
      </c>
      <c r="B53" t="inlineStr">
        <is>
          <t>Applied Scientist II, SPB Advertiser Guidance</t>
        </is>
      </c>
      <c r="C53" t="inlineStr">
        <is>
          <t>Amazon.com</t>
        </is>
      </c>
      <c r="D53" t="inlineStr">
        <is>
          <t>indeed</t>
        </is>
      </c>
      <c r="E53" t="inlineStr"/>
      <c r="F53" t="inlineStr"/>
      <c r="G53" t="inlineStr">
        <is>
          <t>Palo Alto, CA, US</t>
        </is>
      </c>
      <c r="H53" s="2" t="n">
        <v>45980</v>
      </c>
      <c r="I5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in-c621dba217848a62</t>
        </is>
      </c>
      <c r="B54" t="inlineStr">
        <is>
          <t>Applied Scientist II, SPB Advertiser Guidance</t>
        </is>
      </c>
      <c r="C54" t="inlineStr">
        <is>
          <t>Amazon.com</t>
        </is>
      </c>
      <c r="D54" t="inlineStr">
        <is>
          <t>indeed</t>
        </is>
      </c>
      <c r="E54" t="inlineStr"/>
      <c r="F54" t="inlineStr"/>
      <c r="G54" t="inlineStr">
        <is>
          <t>New York, NY, US</t>
        </is>
      </c>
      <c r="H54" s="2" t="n">
        <v>45980</v>
      </c>
      <c r="I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in-efcb9af622a3d00c</t>
        </is>
      </c>
      <c r="B55" t="inlineStr">
        <is>
          <t>Applied Scientist II, SPB Advertiser Guidance</t>
        </is>
      </c>
      <c r="C55" t="inlineStr">
        <is>
          <t>Amazon.com</t>
        </is>
      </c>
      <c r="D55" t="inlineStr">
        <is>
          <t>indeed</t>
        </is>
      </c>
      <c r="E55" t="inlineStr"/>
      <c r="F55" t="inlineStr"/>
      <c r="G55" t="inlineStr">
        <is>
          <t>Seattle, WA, US</t>
        </is>
      </c>
      <c r="H55" s="2" t="n">
        <v>45980</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in-3ee93bede41e4210</t>
        </is>
      </c>
      <c r="B56" t="inlineStr">
        <is>
          <t>Principal Applied Scientist, Sponsored Products and Brands</t>
        </is>
      </c>
      <c r="C56" t="inlineStr">
        <is>
          <t>Amazon.com</t>
        </is>
      </c>
      <c r="D56" t="inlineStr">
        <is>
          <t>indeed</t>
        </is>
      </c>
      <c r="E56" t="inlineStr"/>
      <c r="F56" t="inlineStr"/>
      <c r="G56" t="inlineStr">
        <is>
          <t>New York, NY, US</t>
        </is>
      </c>
      <c r="H56" s="2" t="n">
        <v>45979</v>
      </c>
      <c r="I5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in-961f162e58f8700a</t>
        </is>
      </c>
      <c r="B57" t="inlineStr">
        <is>
          <t>Principal Applied Scientist, Sponsored Products and Brands</t>
        </is>
      </c>
      <c r="C57" t="inlineStr">
        <is>
          <t>Amazon.com</t>
        </is>
      </c>
      <c r="D57" t="inlineStr">
        <is>
          <t>indeed</t>
        </is>
      </c>
      <c r="E57" t="inlineStr"/>
      <c r="F57" t="inlineStr"/>
      <c r="G57" t="inlineStr">
        <is>
          <t>Seattle, WA, US</t>
        </is>
      </c>
      <c r="H57" s="2" t="n">
        <v>45979</v>
      </c>
      <c r="I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in-b9d86d9c9fc5f977</t>
        </is>
      </c>
      <c r="B58" t="inlineStr">
        <is>
          <t>Sr. Applied Scientist, AGI Foundations</t>
        </is>
      </c>
      <c r="C58" t="inlineStr">
        <is>
          <t>Amazon.com</t>
        </is>
      </c>
      <c r="D58" t="inlineStr">
        <is>
          <t>indeed</t>
        </is>
      </c>
      <c r="E58" t="inlineStr"/>
      <c r="F58" t="inlineStr"/>
      <c r="G58" t="inlineStr">
        <is>
          <t>Boston, MA, US</t>
        </is>
      </c>
      <c r="H58" s="2" t="n">
        <v>45978</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in-40777b1561b6ef06</t>
        </is>
      </c>
      <c r="B59" t="inlineStr">
        <is>
          <t>Sr. Applied Scientist, AGI Foundations</t>
        </is>
      </c>
      <c r="C59" t="inlineStr">
        <is>
          <t>Amazon.com</t>
        </is>
      </c>
      <c r="D59" t="inlineStr">
        <is>
          <t>indeed</t>
        </is>
      </c>
      <c r="E59" t="inlineStr"/>
      <c r="F59" t="inlineStr"/>
      <c r="G59" t="inlineStr">
        <is>
          <t>Bellevue, WA, US</t>
        </is>
      </c>
      <c r="H59" s="2" t="n">
        <v>45978</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in-a92590d0efa81d1b</t>
        </is>
      </c>
      <c r="B60" t="inlineStr">
        <is>
          <t>Sr. Applied Scientist, AGI Foundations</t>
        </is>
      </c>
      <c r="C60" t="inlineStr">
        <is>
          <t>Amazon.com</t>
        </is>
      </c>
      <c r="D60" t="inlineStr">
        <is>
          <t>indeed</t>
        </is>
      </c>
      <c r="E60" t="inlineStr"/>
      <c r="F60" t="inlineStr"/>
      <c r="G60" t="inlineStr">
        <is>
          <t>Sunnyvale, CA, US</t>
        </is>
      </c>
      <c r="H60" s="2" t="n">
        <v>45978</v>
      </c>
      <c r="I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in-4170abf1d89d1e8e</t>
        </is>
      </c>
      <c r="B61" t="inlineStr">
        <is>
          <t>Sr. Applied Scientist, AGI Foundations</t>
        </is>
      </c>
      <c r="C61" t="inlineStr">
        <is>
          <t>Amazon.com</t>
        </is>
      </c>
      <c r="D61" t="inlineStr">
        <is>
          <t>indeed</t>
        </is>
      </c>
      <c r="E61" t="inlineStr"/>
      <c r="F61" t="inlineStr"/>
      <c r="G61" t="inlineStr">
        <is>
          <t>New York, NY, US</t>
        </is>
      </c>
      <c r="H61" s="2" t="n">
        <v>45978</v>
      </c>
      <c r="I6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in-97f940f42369f792</t>
        </is>
      </c>
      <c r="B62" t="inlineStr">
        <is>
          <t>Applied Scientist II, Robotics and ML, Amazon Industrial Robotics</t>
        </is>
      </c>
      <c r="C62" t="inlineStr">
        <is>
          <t>Amazon.com</t>
        </is>
      </c>
      <c r="D62" t="inlineStr">
        <is>
          <t>indeed</t>
        </is>
      </c>
      <c r="E62" t="inlineStr"/>
      <c r="F62" t="inlineStr"/>
      <c r="G62" t="inlineStr">
        <is>
          <t>Reading, MA, US</t>
        </is>
      </c>
      <c r="H62" s="2" t="n">
        <v>45975</v>
      </c>
      <c r="I6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in-739cd7e6770e4f5d</t>
        </is>
      </c>
      <c r="B63" t="inlineStr">
        <is>
          <t>Applied Scientist II, Robotics and ML, Amazon Industrial Robotics</t>
        </is>
      </c>
      <c r="C63" t="inlineStr">
        <is>
          <t>Amazon.com</t>
        </is>
      </c>
      <c r="D63" t="inlineStr">
        <is>
          <t>indeed</t>
        </is>
      </c>
      <c r="E63" t="inlineStr"/>
      <c r="F63" t="inlineStr"/>
      <c r="G63" t="inlineStr">
        <is>
          <t>Reading, MA, US</t>
        </is>
      </c>
      <c r="H63" s="2" t="n">
        <v>45975</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in-b583d5c67a3c5910</t>
        </is>
      </c>
      <c r="B64" t="inlineStr">
        <is>
          <t>Sr. Applied Scientist, Amazon Industrial Robotics</t>
        </is>
      </c>
      <c r="C64" t="inlineStr">
        <is>
          <t>Amazon.com</t>
        </is>
      </c>
      <c r="D64" t="inlineStr">
        <is>
          <t>indeed</t>
        </is>
      </c>
      <c r="E64" t="inlineStr"/>
      <c r="F64" t="inlineStr"/>
      <c r="G64" t="inlineStr">
        <is>
          <t>Reading, MA, US</t>
        </is>
      </c>
      <c r="H64" s="2" t="n">
        <v>45973</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in-7a084df8ac7cb8f4</t>
        </is>
      </c>
      <c r="B65" t="inlineStr">
        <is>
          <t>Sr. Applied Scientist, Amazon Industrial Robotics</t>
        </is>
      </c>
      <c r="C65" t="inlineStr">
        <is>
          <t>Amazon.com</t>
        </is>
      </c>
      <c r="D65" t="inlineStr">
        <is>
          <t>indeed</t>
        </is>
      </c>
      <c r="E65" t="inlineStr"/>
      <c r="F65" t="inlineStr"/>
      <c r="G65" t="inlineStr">
        <is>
          <t>Reading, MA, US</t>
        </is>
      </c>
      <c r="H65" s="2" t="n">
        <v>45973</v>
      </c>
      <c r="I6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in-f88bd12a937f0521</t>
        </is>
      </c>
      <c r="B66" t="inlineStr">
        <is>
          <t>Principal Applied Scientist, Amazon AGI</t>
        </is>
      </c>
      <c r="C66" t="inlineStr">
        <is>
          <t>Amazon.com</t>
        </is>
      </c>
      <c r="D66" t="inlineStr">
        <is>
          <t>indeed</t>
        </is>
      </c>
      <c r="E66" t="inlineStr"/>
      <c r="F66" t="inlineStr"/>
      <c r="G66" t="inlineStr">
        <is>
          <t>San Francisco, CA, US</t>
        </is>
      </c>
      <c r="H66" s="2" t="n">
        <v>45964</v>
      </c>
      <c r="I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in-5ea84987944029b3</t>
        </is>
      </c>
      <c r="B67" t="inlineStr">
        <is>
          <t>Principal Applied Scientist, Amazon AGI</t>
        </is>
      </c>
      <c r="C67" t="inlineStr">
        <is>
          <t>Amazon.com</t>
        </is>
      </c>
      <c r="D67" t="inlineStr">
        <is>
          <t>indeed</t>
        </is>
      </c>
      <c r="E67" t="inlineStr"/>
      <c r="F67" t="inlineStr"/>
      <c r="G67" t="inlineStr">
        <is>
          <t>Boston, MA, US</t>
        </is>
      </c>
      <c r="H67" s="2" t="n">
        <v>45964</v>
      </c>
      <c r="I6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in-874d5a5ceb287aa6</t>
        </is>
      </c>
      <c r="B68" t="inlineStr">
        <is>
          <t>Principal Applied Scientist, AWS Agentic AI Science</t>
        </is>
      </c>
      <c r="C68" t="inlineStr">
        <is>
          <t>Amazon Web Services</t>
        </is>
      </c>
      <c r="D68" t="inlineStr">
        <is>
          <t>indeed</t>
        </is>
      </c>
      <c r="E68" t="inlineStr"/>
      <c r="F68" t="inlineStr"/>
      <c r="G68" t="inlineStr">
        <is>
          <t>Santa Clara, CA, US</t>
        </is>
      </c>
      <c r="H68" s="2" t="n">
        <v>45963</v>
      </c>
      <c r="I6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in-dc3ebc226f438dba</t>
        </is>
      </c>
      <c r="B69" t="inlineStr">
        <is>
          <t>Principal Applied Scientist, AWS Agentic AI Science</t>
        </is>
      </c>
      <c r="C69" t="inlineStr">
        <is>
          <t>Amazon Web Services</t>
        </is>
      </c>
      <c r="D69" t="inlineStr">
        <is>
          <t>indeed</t>
        </is>
      </c>
      <c r="E69" t="inlineStr"/>
      <c r="F69" t="inlineStr"/>
      <c r="G69" t="inlineStr">
        <is>
          <t>New York, NY, US</t>
        </is>
      </c>
      <c r="H69" s="2" t="n">
        <v>45963</v>
      </c>
      <c r="I6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in-ff9ad0ce94a21714</t>
        </is>
      </c>
      <c r="B70" t="inlineStr">
        <is>
          <t>Sr. Applied Scientist, Sponsored Product Off-Search</t>
        </is>
      </c>
      <c r="C70" t="inlineStr">
        <is>
          <t>Amazon.com</t>
        </is>
      </c>
      <c r="D70" t="inlineStr">
        <is>
          <t>indeed</t>
        </is>
      </c>
      <c r="E70" t="inlineStr"/>
      <c r="F70" t="inlineStr"/>
      <c r="G70" t="inlineStr">
        <is>
          <t>Seattle, WA, US</t>
        </is>
      </c>
      <c r="H70" s="2" t="n">
        <v>45963</v>
      </c>
      <c r="I7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in-556b573a867ec5b2</t>
        </is>
      </c>
      <c r="B71" t="inlineStr">
        <is>
          <t>Sr. Applied Scientist, Sponsored Product Off-Search</t>
        </is>
      </c>
      <c r="C71" t="inlineStr">
        <is>
          <t>Amazon.com</t>
        </is>
      </c>
      <c r="D71" t="inlineStr">
        <is>
          <t>indeed</t>
        </is>
      </c>
      <c r="E71" t="inlineStr"/>
      <c r="F71" t="inlineStr"/>
      <c r="G71" t="inlineStr">
        <is>
          <t>New York, NY, US</t>
        </is>
      </c>
      <c r="H71" s="2" t="n">
        <v>45963</v>
      </c>
      <c r="I7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in-a7bb50e63e50b4a1</t>
        </is>
      </c>
      <c r="B72" t="inlineStr">
        <is>
          <t>Applied Scientist, AWS Agentic AI</t>
        </is>
      </c>
      <c r="C72" t="inlineStr">
        <is>
          <t>Amazon Web Services</t>
        </is>
      </c>
      <c r="D72" t="inlineStr">
        <is>
          <t>indeed</t>
        </is>
      </c>
      <c r="E72" t="inlineStr"/>
      <c r="F72" t="inlineStr"/>
      <c r="G72" t="inlineStr">
        <is>
          <t>Santa Clara, CA, US</t>
        </is>
      </c>
      <c r="H72" s="2" t="n">
        <v>45962</v>
      </c>
      <c r="I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in-8037005ab1a8a2cf</t>
        </is>
      </c>
      <c r="B73" t="inlineStr">
        <is>
          <t>Applied Scientist, AWS Agentic AI</t>
        </is>
      </c>
      <c r="C73" t="inlineStr">
        <is>
          <t>Amazon Web Services</t>
        </is>
      </c>
      <c r="D73" t="inlineStr">
        <is>
          <t>indeed</t>
        </is>
      </c>
      <c r="E73" t="inlineStr"/>
      <c r="F73" t="inlineStr"/>
      <c r="G73" t="inlineStr">
        <is>
          <t>New York, NY, US</t>
        </is>
      </c>
      <c r="H73" s="2"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in-7cb7b2fd4006433f</t>
        </is>
      </c>
      <c r="B74" t="inlineStr">
        <is>
          <t>Applied Scientist, AWS Agentic AI</t>
        </is>
      </c>
      <c r="C74" t="inlineStr">
        <is>
          <t>Amazon Web Services</t>
        </is>
      </c>
      <c r="D74" t="inlineStr">
        <is>
          <t>indeed</t>
        </is>
      </c>
      <c r="E74" t="inlineStr"/>
      <c r="F74" t="inlineStr"/>
      <c r="G74" t="inlineStr">
        <is>
          <t>Seattle, WA, US</t>
        </is>
      </c>
      <c r="H74" s="2"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in-15d7fca352a1c3b7</t>
        </is>
      </c>
      <c r="B75" t="inlineStr">
        <is>
          <t>Applied Scientist, Prime Video - Content Understanding, Localization &amp; Enrichment Team</t>
        </is>
      </c>
      <c r="C75" t="inlineStr">
        <is>
          <t>Amazon.com</t>
        </is>
      </c>
      <c r="D75" t="inlineStr">
        <is>
          <t>indeed</t>
        </is>
      </c>
      <c r="E75" t="inlineStr"/>
      <c r="F75" t="inlineStr"/>
      <c r="G75" t="inlineStr">
        <is>
          <t>San Francisco, CA, US</t>
        </is>
      </c>
      <c r="H75" s="2" t="n">
        <v>45943</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6">
      <c r="A76" t="inlineStr">
        <is>
          <t>in-90920fd2d6162c80</t>
        </is>
      </c>
      <c r="B76" t="inlineStr">
        <is>
          <t>Applied Scientist, Prime Video - Content Understanding, Localization &amp; Enrichment Team</t>
        </is>
      </c>
      <c r="C76" t="inlineStr">
        <is>
          <t>Amazon.com</t>
        </is>
      </c>
      <c r="D76" t="inlineStr">
        <is>
          <t>indeed</t>
        </is>
      </c>
      <c r="E76" t="inlineStr"/>
      <c r="F76" t="inlineStr"/>
      <c r="G76" t="inlineStr">
        <is>
          <t>Seattle, WA, US</t>
        </is>
      </c>
      <c r="H76" s="2" t="n">
        <v>45943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77">
      <c r="A77" t="inlineStr">
        <is>
          <t>in-cb2ba487aa4abb61</t>
        </is>
      </c>
      <c r="B77" t="inlineStr">
        <is>
          <t>Principal Applied Scientist, Advertiser Growth, Amazon Sponsored Products &amp; Brands</t>
        </is>
      </c>
      <c r="C77" t="inlineStr">
        <is>
          <t>Amazon.com</t>
        </is>
      </c>
      <c r="D77" t="inlineStr">
        <is>
          <t>indeed</t>
        </is>
      </c>
      <c r="E77" t="inlineStr"/>
      <c r="F77" t="inlineStr"/>
      <c r="G77" t="inlineStr">
        <is>
          <t>New York, NY,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in-21fdd3f9501e7102</t>
        </is>
      </c>
      <c r="B78" t="inlineStr">
        <is>
          <t>Principal Applied Scientist, Advertiser Growth, Amazon Sponsored Products &amp; Brands</t>
        </is>
      </c>
      <c r="C78" t="inlineStr">
        <is>
          <t>Amazon.com</t>
        </is>
      </c>
      <c r="D78" t="inlineStr">
        <is>
          <t>indeed</t>
        </is>
      </c>
      <c r="E78" t="inlineStr"/>
      <c r="F78" t="inlineStr"/>
      <c r="G78" t="inlineStr">
        <is>
          <t>Palo Alto, CA,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in-250609aac46f7993</t>
        </is>
      </c>
      <c r="B79" t="inlineStr">
        <is>
          <t>Principal Applied Scientist, Advertiser Growth, Amazon Sponsored Products &amp; Brands</t>
        </is>
      </c>
      <c r="C79" t="inlineStr">
        <is>
          <t>Amazon.com</t>
        </is>
      </c>
      <c r="D79" t="inlineStr">
        <is>
          <t>indeed</t>
        </is>
      </c>
      <c r="E79" t="inlineStr"/>
      <c r="F79" t="inlineStr"/>
      <c r="G79" t="inlineStr">
        <is>
          <t>Seattle, WA,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in-73f5869791eab64c</t>
        </is>
      </c>
      <c r="B80" t="inlineStr">
        <is>
          <t>Applied Scientist</t>
        </is>
      </c>
      <c r="C80" t="inlineStr">
        <is>
          <t>Amazon.com</t>
        </is>
      </c>
      <c r="D80" t="inlineStr">
        <is>
          <t>indeed</t>
        </is>
      </c>
      <c r="E80" t="inlineStr"/>
      <c r="F80" t="inlineStr"/>
      <c r="G80" t="inlineStr">
        <is>
          <t>New York, NY,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in-c29a291810313049</t>
        </is>
      </c>
      <c r="B81" t="inlineStr">
        <is>
          <t>Applied Scientist</t>
        </is>
      </c>
      <c r="C81" t="inlineStr">
        <is>
          <t>Amazon.com</t>
        </is>
      </c>
      <c r="D81" t="inlineStr">
        <is>
          <t>indeed</t>
        </is>
      </c>
      <c r="E81" t="inlineStr"/>
      <c r="F81" t="inlineStr"/>
      <c r="G81" t="inlineStr">
        <is>
          <t>Palo Alto, CA,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in-74eccb09a9258aea</t>
        </is>
      </c>
      <c r="B82" t="inlineStr">
        <is>
          <t>Applied Scientist</t>
        </is>
      </c>
      <c r="C82" t="inlineStr">
        <is>
          <t>Amazon.com</t>
        </is>
      </c>
      <c r="D82" t="inlineStr">
        <is>
          <t>indeed</t>
        </is>
      </c>
      <c r="E82" t="inlineStr"/>
      <c r="F82" t="inlineStr"/>
      <c r="G82" t="inlineStr">
        <is>
          <t>Seattle, WA,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in-85b4e4b9d6ae778e</t>
        </is>
      </c>
      <c r="B83" t="inlineStr">
        <is>
          <t>Sr. Applied Scientist, SPB Advertiser Guidance</t>
        </is>
      </c>
      <c r="C83" t="inlineStr">
        <is>
          <t>Amazon.com</t>
        </is>
      </c>
      <c r="D83" t="inlineStr">
        <is>
          <t>indeed</t>
        </is>
      </c>
      <c r="E83" t="inlineStr"/>
      <c r="F83" t="inlineStr"/>
      <c r="G83" t="inlineStr">
        <is>
          <t>New York, NY, US</t>
        </is>
      </c>
      <c r="H83" s="2" t="n">
        <v>45939</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in-4e78584f6930f11c</t>
        </is>
      </c>
      <c r="B84" t="inlineStr">
        <is>
          <t>Sr. Applied Scientist, SPB Advertiser Guidance</t>
        </is>
      </c>
      <c r="C84" t="inlineStr">
        <is>
          <t>Amazon.com</t>
        </is>
      </c>
      <c r="D84" t="inlineStr">
        <is>
          <t>indeed</t>
        </is>
      </c>
      <c r="E84" t="inlineStr"/>
      <c r="F84" t="inlineStr"/>
      <c r="G84" t="inlineStr">
        <is>
          <t>Palo Alto, CA,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in-30b09182675f58d6</t>
        </is>
      </c>
      <c r="B85" t="inlineStr">
        <is>
          <t>Sr. Applied Scientist, SPB Advertiser Guidance</t>
        </is>
      </c>
      <c r="C85" t="inlineStr">
        <is>
          <t>Amazon.com</t>
        </is>
      </c>
      <c r="D85" t="inlineStr">
        <is>
          <t>indeed</t>
        </is>
      </c>
      <c r="E85" t="inlineStr"/>
      <c r="F85" t="inlineStr"/>
      <c r="G85" t="inlineStr">
        <is>
          <t>Seattle, WA, US</t>
        </is>
      </c>
      <c r="H85" s="2" t="n">
        <v>45939</v>
      </c>
      <c r="I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in-f3ebcf604b55fb18</t>
        </is>
      </c>
      <c r="B86" t="inlineStr">
        <is>
          <t>Senior Applied Scientist, Sponsored Products and Brands</t>
        </is>
      </c>
      <c r="C86" t="inlineStr">
        <is>
          <t>Amazon.com</t>
        </is>
      </c>
      <c r="D86" t="inlineStr">
        <is>
          <t>indeed</t>
        </is>
      </c>
      <c r="E86" t="inlineStr"/>
      <c r="F86" t="inlineStr"/>
      <c r="G86" t="inlineStr">
        <is>
          <t>New York, NY, US</t>
        </is>
      </c>
      <c r="H86" s="2" t="n">
        <v>45922</v>
      </c>
      <c r="I8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in-6dd89d8abff600c7</t>
        </is>
      </c>
      <c r="B87" t="inlineStr">
        <is>
          <t>Senior Applied Scientist, Sponsored Products and Brands</t>
        </is>
      </c>
      <c r="C87" t="inlineStr">
        <is>
          <t>Amazon.com</t>
        </is>
      </c>
      <c r="D87" t="inlineStr">
        <is>
          <t>indeed</t>
        </is>
      </c>
      <c r="E87" t="inlineStr"/>
      <c r="F87" t="inlineStr"/>
      <c r="G87" t="inlineStr">
        <is>
          <t>Seattle, WA, US</t>
        </is>
      </c>
      <c r="H87" s="2" t="n">
        <v>45922</v>
      </c>
      <c r="I8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in-bbcd1dfa1f27169d</t>
        </is>
      </c>
      <c r="B88" t="inlineStr">
        <is>
          <t>Applied Scientist, Workplace Health &amp; Safety</t>
        </is>
      </c>
      <c r="C88" t="inlineStr">
        <is>
          <t>Amazon.com</t>
        </is>
      </c>
      <c r="D88" t="inlineStr">
        <is>
          <t>indeed</t>
        </is>
      </c>
      <c r="E88" t="inlineStr"/>
      <c r="F88" t="inlineStr"/>
      <c r="G88" t="inlineStr">
        <is>
          <t>Nashville, TN, US</t>
        </is>
      </c>
      <c r="H88" s="2" t="n">
        <v>45917</v>
      </c>
      <c r="I8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in-525d419699645ba4</t>
        </is>
      </c>
      <c r="B89" t="inlineStr">
        <is>
          <t>Applied Scientist, Workplace Health &amp; Safety</t>
        </is>
      </c>
      <c r="C89" t="inlineStr">
        <is>
          <t>Amazon.com</t>
        </is>
      </c>
      <c r="D89" t="inlineStr">
        <is>
          <t>indeed</t>
        </is>
      </c>
      <c r="E89" t="inlineStr"/>
      <c r="F89" t="inlineStr"/>
      <c r="G89" t="inlineStr">
        <is>
          <t>Bellevue, WA, US</t>
        </is>
      </c>
      <c r="H89" s="2" t="n">
        <v>45917</v>
      </c>
      <c r="I8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in-129a9ec210b86d1c</t>
        </is>
      </c>
      <c r="B90" t="inlineStr">
        <is>
          <t>Sr. Applied Scientist, Amazon Advertising</t>
        </is>
      </c>
      <c r="C90" t="inlineStr">
        <is>
          <t>Amazon.com</t>
        </is>
      </c>
      <c r="D90" t="inlineStr">
        <is>
          <t>indeed</t>
        </is>
      </c>
      <c r="E90" t="inlineStr"/>
      <c r="F90" t="inlineStr"/>
      <c r="G90" t="inlineStr">
        <is>
          <t>West Hollywood, CA,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in-667240e6f8f4b432</t>
        </is>
      </c>
      <c r="B91" t="inlineStr">
        <is>
          <t>Sr. Applied Scientist, Amazon Advertising</t>
        </is>
      </c>
      <c r="C91" t="inlineStr">
        <is>
          <t>Amazon.com</t>
        </is>
      </c>
      <c r="D91" t="inlineStr">
        <is>
          <t>indeed</t>
        </is>
      </c>
      <c r="E91" t="inlineStr"/>
      <c r="F91" t="inlineStr"/>
      <c r="G91" t="inlineStr">
        <is>
          <t>Seattle, WA,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in-c63bdd1ad77305ed</t>
        </is>
      </c>
      <c r="B92" t="inlineStr">
        <is>
          <t>Sr. Applied Scientist, Amazon Advertising</t>
        </is>
      </c>
      <c r="C92" t="inlineStr">
        <is>
          <t>Amazon.com</t>
        </is>
      </c>
      <c r="D92" t="inlineStr">
        <is>
          <t>indeed</t>
        </is>
      </c>
      <c r="E92" t="inlineStr"/>
      <c r="F92" t="inlineStr"/>
      <c r="G92" t="inlineStr">
        <is>
          <t>Los Angeles,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in-5935bdb66d43dfa8</t>
        </is>
      </c>
      <c r="B93" t="inlineStr">
        <is>
          <t>Sr. Applied Scientist, Amazon Advertising</t>
        </is>
      </c>
      <c r="C93" t="inlineStr">
        <is>
          <t>Amazon.com</t>
        </is>
      </c>
      <c r="D93" t="inlineStr">
        <is>
          <t>indeed</t>
        </is>
      </c>
      <c r="E93" t="inlineStr"/>
      <c r="F93" t="inlineStr"/>
      <c r="G93" t="inlineStr">
        <is>
          <t>New York, NY,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in-0d16a126a28c166e</t>
        </is>
      </c>
      <c r="B94" t="inlineStr">
        <is>
          <t>Sr. Applied Scientist, Amazon Advertising</t>
        </is>
      </c>
      <c r="C94" t="inlineStr">
        <is>
          <t>Amazon.com</t>
        </is>
      </c>
      <c r="D94" t="inlineStr">
        <is>
          <t>indeed</t>
        </is>
      </c>
      <c r="E94" t="inlineStr"/>
      <c r="F94" t="inlineStr"/>
      <c r="G94" t="inlineStr">
        <is>
          <t>Palo Alto, CA,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in-e9b2b64b58cf76f1</t>
        </is>
      </c>
      <c r="B95" t="inlineStr">
        <is>
          <t>Sr. Applied Scientist, Amazon Advertising</t>
        </is>
      </c>
      <c r="C95" t="inlineStr">
        <is>
          <t>Amazon.com</t>
        </is>
      </c>
      <c r="D95" t="inlineStr">
        <is>
          <t>indeed</t>
        </is>
      </c>
      <c r="E95" t="inlineStr"/>
      <c r="F95" t="inlineStr"/>
      <c r="G95" t="inlineStr">
        <is>
          <t>Arlington, VA,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in-e7a3d0d870142ce4</t>
        </is>
      </c>
      <c r="B96" t="inlineStr">
        <is>
          <t>Sr. Applied Scientist, Amazon Advertising</t>
        </is>
      </c>
      <c r="C96" t="inlineStr">
        <is>
          <t>Amazon.com</t>
        </is>
      </c>
      <c r="D96" t="inlineStr">
        <is>
          <t>indeed</t>
        </is>
      </c>
      <c r="E96" t="inlineStr"/>
      <c r="F96" t="inlineStr"/>
      <c r="G96" t="inlineStr">
        <is>
          <t>Austin, TX,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in-6df8eabb2561aa74</t>
        </is>
      </c>
      <c r="B97" t="inlineStr">
        <is>
          <t>Sr. Applied Scientist, Amazon Advertising</t>
        </is>
      </c>
      <c r="C97" t="inlineStr">
        <is>
          <t>Amazon.com</t>
        </is>
      </c>
      <c r="D97" t="inlineStr">
        <is>
          <t>indeed</t>
        </is>
      </c>
      <c r="E97" t="inlineStr"/>
      <c r="F97" t="inlineStr"/>
      <c r="G97" t="inlineStr">
        <is>
          <t>Simi Valley,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in-a05e4d97bd7be32f</t>
        </is>
      </c>
      <c r="B98" t="inlineStr">
        <is>
          <t>Senior Applied Scientist, Artificial General Intelligence</t>
        </is>
      </c>
      <c r="C98" t="inlineStr">
        <is>
          <t>Amazon.com</t>
        </is>
      </c>
      <c r="D98" t="inlineStr">
        <is>
          <t>indeed</t>
        </is>
      </c>
      <c r="E98" t="inlineStr"/>
      <c r="F98" t="inlineStr"/>
      <c r="G98" t="inlineStr">
        <is>
          <t>New York, NY, US</t>
        </is>
      </c>
      <c r="H98" s="2" t="n">
        <v>45838</v>
      </c>
      <c r="I9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in-b27e7ceb29c682c0</t>
        </is>
      </c>
      <c r="B99" t="inlineStr">
        <is>
          <t>Senior Applied Scientist, Artificial General Intelligence</t>
        </is>
      </c>
      <c r="C99" t="inlineStr">
        <is>
          <t>Amazon.com</t>
        </is>
      </c>
      <c r="D99" t="inlineStr">
        <is>
          <t>indeed</t>
        </is>
      </c>
      <c r="E99" t="inlineStr"/>
      <c r="F99" t="inlineStr"/>
      <c r="G99" t="inlineStr">
        <is>
          <t>Boston, MA, US</t>
        </is>
      </c>
      <c r="H99" s="2" t="n">
        <v>45838</v>
      </c>
      <c r="I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in-eed3986e5f1b0cb6</t>
        </is>
      </c>
      <c r="B100" t="inlineStr">
        <is>
          <t>Senior Applied Scientist, Artificial General Intelligence</t>
        </is>
      </c>
      <c r="C100" t="inlineStr">
        <is>
          <t>Amazon.com</t>
        </is>
      </c>
      <c r="D100" t="inlineStr">
        <is>
          <t>indeed</t>
        </is>
      </c>
      <c r="E100" t="inlineStr"/>
      <c r="F100" t="inlineStr"/>
      <c r="G100" t="inlineStr">
        <is>
          <t>Sunnyvale, CA, US</t>
        </is>
      </c>
      <c r="H100" s="2" t="n">
        <v>45838</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in-8d93825fcc1674e6</t>
        </is>
      </c>
      <c r="B101" t="inlineStr">
        <is>
          <t>Sr. Applied Scientist, Sales AI</t>
        </is>
      </c>
      <c r="C101" t="inlineStr">
        <is>
          <t>Amazon.com</t>
        </is>
      </c>
      <c r="D101" t="inlineStr">
        <is>
          <t>indeed</t>
        </is>
      </c>
      <c r="E101" t="inlineStr"/>
      <c r="F101" t="inlineStr"/>
      <c r="G101" t="inlineStr">
        <is>
          <t>New York, NY, US</t>
        </is>
      </c>
      <c r="H101" s="2" t="n">
        <v>45830</v>
      </c>
      <c r="I1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in-73c200ca93770855</t>
        </is>
      </c>
      <c r="B102" t="inlineStr">
        <is>
          <t>Sr. Applied Scientist, Sales AI</t>
        </is>
      </c>
      <c r="C102" t="inlineStr">
        <is>
          <t>Amazon.com</t>
        </is>
      </c>
      <c r="D102" t="inlineStr">
        <is>
          <t>indeed</t>
        </is>
      </c>
      <c r="E102" t="inlineStr"/>
      <c r="F102" t="inlineStr"/>
      <c r="G102" t="inlineStr">
        <is>
          <t>Seattle, WA, US</t>
        </is>
      </c>
      <c r="H102" s="2"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in-bb6aa59771893b3c</t>
        </is>
      </c>
      <c r="B103" t="inlineStr">
        <is>
          <t>Sr. Applied Scientist, Sales AI</t>
        </is>
      </c>
      <c r="C103" t="inlineStr">
        <is>
          <t>Amazon.com</t>
        </is>
      </c>
      <c r="D103" t="inlineStr">
        <is>
          <t>indeed</t>
        </is>
      </c>
      <c r="E103" t="inlineStr"/>
      <c r="F103" t="inlineStr"/>
      <c r="G103" t="inlineStr">
        <is>
          <t>Sunnyvale, CA,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in-52ac551cc5cd1690</t>
        </is>
      </c>
      <c r="B104" t="inlineStr">
        <is>
          <t>Principal Applied Scientist, Delivery Foundation Model</t>
        </is>
      </c>
      <c r="C104" t="inlineStr">
        <is>
          <t>Amazon.com</t>
        </is>
      </c>
      <c r="D104" t="inlineStr">
        <is>
          <t>indeed</t>
        </is>
      </c>
      <c r="E104" t="inlineStr"/>
      <c r="F104" t="inlineStr"/>
      <c r="G104" t="inlineStr">
        <is>
          <t>Santa Clara, CA,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in-07e1e6d22f242a24</t>
        </is>
      </c>
      <c r="B105" t="inlineStr">
        <is>
          <t>Principal Applied Scientist, Delivery Foundation Model</t>
        </is>
      </c>
      <c r="C105" t="inlineStr">
        <is>
          <t>Amazon.com</t>
        </is>
      </c>
      <c r="D105" t="inlineStr">
        <is>
          <t>indeed</t>
        </is>
      </c>
      <c r="E105" t="inlineStr"/>
      <c r="F105" t="inlineStr"/>
      <c r="G105" t="inlineStr">
        <is>
          <t>Bellevue, WA, US</t>
        </is>
      </c>
      <c r="H105" s="2"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in-cf6d7b065bd43f7e</t>
        </is>
      </c>
      <c r="B106" t="inlineStr">
        <is>
          <t>Principal Applied Scientist, Delivery Foundation Model</t>
        </is>
      </c>
      <c r="C106" t="inlineStr">
        <is>
          <t>Amazon.com</t>
        </is>
      </c>
      <c r="D106" t="inlineStr">
        <is>
          <t>indeed</t>
        </is>
      </c>
      <c r="E106" t="inlineStr"/>
      <c r="F106" t="inlineStr"/>
      <c r="G106" t="inlineStr">
        <is>
          <t>New York, NY, US</t>
        </is>
      </c>
      <c r="H106" s="2" t="n">
        <v>45810</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in-40bdeb80004dce1f</t>
        </is>
      </c>
      <c r="B107" t="inlineStr">
        <is>
          <t>Principal Applied Scientist, Delivery Foundation Model</t>
        </is>
      </c>
      <c r="C107" t="inlineStr">
        <is>
          <t>Amazon.com</t>
        </is>
      </c>
      <c r="D107" t="inlineStr">
        <is>
          <t>indeed</t>
        </is>
      </c>
      <c r="E107" t="inlineStr"/>
      <c r="F107" t="inlineStr"/>
      <c r="G107" t="inlineStr">
        <is>
          <t>Austin, TX, US</t>
        </is>
      </c>
      <c r="H107" s="2" t="n">
        <v>45810</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in-713573933f0ad5c9</t>
        </is>
      </c>
      <c r="B108" t="inlineStr">
        <is>
          <t>Senior Applied Scientist, Delivery Foundation Model</t>
        </is>
      </c>
      <c r="C108" t="inlineStr">
        <is>
          <t>Amazon.com</t>
        </is>
      </c>
      <c r="D108" t="inlineStr">
        <is>
          <t>indeed</t>
        </is>
      </c>
      <c r="E108" t="inlineStr"/>
      <c r="F108" t="inlineStr"/>
      <c r="G108" t="inlineStr">
        <is>
          <t>Bellevue, WA, US</t>
        </is>
      </c>
      <c r="H108" s="2"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in-85ef36737748a41b</t>
        </is>
      </c>
      <c r="B109" t="inlineStr">
        <is>
          <t>Senior Applied Scientist, Delivery Foundation Model</t>
        </is>
      </c>
      <c r="C109" t="inlineStr">
        <is>
          <t>Amazon.com</t>
        </is>
      </c>
      <c r="D109" t="inlineStr">
        <is>
          <t>indeed</t>
        </is>
      </c>
      <c r="E109" t="inlineStr"/>
      <c r="F109" t="inlineStr"/>
      <c r="G109" t="inlineStr">
        <is>
          <t>New York, NY, US</t>
        </is>
      </c>
      <c r="H109" s="2"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in-060be04ee4c5c6fe</t>
        </is>
      </c>
      <c r="B110" t="inlineStr">
        <is>
          <t>Senior Applied Scientist, Delivery Foundation Model</t>
        </is>
      </c>
      <c r="C110" t="inlineStr">
        <is>
          <t>Amazon.com</t>
        </is>
      </c>
      <c r="D110" t="inlineStr">
        <is>
          <t>indeed</t>
        </is>
      </c>
      <c r="E110" t="inlineStr"/>
      <c r="F110" t="inlineStr"/>
      <c r="G110" t="inlineStr">
        <is>
          <t>Santa Clara, CA, US</t>
        </is>
      </c>
      <c r="H110" s="2" t="n">
        <v>45806</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in-e68dc201f4d8c40a</t>
        </is>
      </c>
      <c r="B111" t="inlineStr">
        <is>
          <t>Principal Applied Scientist, Delivery Foundation Model</t>
        </is>
      </c>
      <c r="C111" t="inlineStr">
        <is>
          <t>Amazon.com</t>
        </is>
      </c>
      <c r="D111" t="inlineStr">
        <is>
          <t>indeed</t>
        </is>
      </c>
      <c r="E111" t="inlineStr"/>
      <c r="F111" t="inlineStr"/>
      <c r="G111" t="inlineStr">
        <is>
          <t>Bellevue, WA, US</t>
        </is>
      </c>
      <c r="H111" s="2" t="n">
        <v>45757</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in-cf9583de74bff015</t>
        </is>
      </c>
      <c r="B112" t="inlineStr">
        <is>
          <t>Principal Applied Scientist, Delivery Foundation Model</t>
        </is>
      </c>
      <c r="C112" t="inlineStr">
        <is>
          <t>Amazon.com</t>
        </is>
      </c>
      <c r="D112" t="inlineStr">
        <is>
          <t>indeed</t>
        </is>
      </c>
      <c r="E112" t="inlineStr"/>
      <c r="F112" t="inlineStr"/>
      <c r="G112" t="inlineStr">
        <is>
          <t>Santa Clara, CA, US</t>
        </is>
      </c>
      <c r="H112" s="2" t="n">
        <v>45757</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in-8a91a4ceb364f643</t>
        </is>
      </c>
      <c r="B113" t="inlineStr">
        <is>
          <t>Principal Applied Scientist, Delivery Foundation Model</t>
        </is>
      </c>
      <c r="C113" t="inlineStr">
        <is>
          <t>Amazon.com</t>
        </is>
      </c>
      <c r="D113" t="inlineStr">
        <is>
          <t>indeed</t>
        </is>
      </c>
      <c r="E113" t="inlineStr"/>
      <c r="F113" t="inlineStr"/>
      <c r="G113" t="inlineStr">
        <is>
          <t>New York, NY, US</t>
        </is>
      </c>
      <c r="H113" s="2" t="n">
        <v>45757</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in-c8421eb3c3526eee</t>
        </is>
      </c>
      <c r="B114" t="inlineStr">
        <is>
          <t>Principal Applied Scientist, FAR (Frontier AI &amp; Robotics)</t>
        </is>
      </c>
      <c r="C114" t="inlineStr">
        <is>
          <t>Amazon.com</t>
        </is>
      </c>
      <c r="D114" t="inlineStr">
        <is>
          <t>indeed</t>
        </is>
      </c>
      <c r="E114" t="inlineStr"/>
      <c r="F114" t="inlineStr"/>
      <c r="G114" t="inlineStr">
        <is>
          <t>San Francisco, CA, US</t>
        </is>
      </c>
      <c r="H114" s="2" t="n">
        <v>45740</v>
      </c>
      <c r="I11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in-c522188e6acd2b34</t>
        </is>
      </c>
      <c r="B115" t="inlineStr">
        <is>
          <t>Principal Applied Scientist, FAR (Frontier AI &amp; Robotics)</t>
        </is>
      </c>
      <c r="C115" t="inlineStr">
        <is>
          <t>Amazon.com</t>
        </is>
      </c>
      <c r="D115" t="inlineStr">
        <is>
          <t>indeed</t>
        </is>
      </c>
      <c r="E115" t="inlineStr"/>
      <c r="F115" t="inlineStr"/>
      <c r="G115" t="inlineStr">
        <is>
          <t>Seattle, WA, US</t>
        </is>
      </c>
      <c r="H115" s="2" t="n">
        <v>45740</v>
      </c>
      <c r="I11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in-bdca3c278f45ee7b</t>
        </is>
      </c>
      <c r="B116" t="inlineStr">
        <is>
          <t>Remote Machine Learning Engineer - Remote</t>
        </is>
      </c>
      <c r="C116" t="inlineStr"/>
      <c r="D116" t="inlineStr">
        <is>
          <t>indeed</t>
        </is>
      </c>
      <c r="E116" t="inlineStr"/>
      <c r="F116" t="inlineStr"/>
      <c r="G116" t="inlineStr">
        <is>
          <t>New York, NY, US</t>
        </is>
      </c>
      <c r="H116" s="2" t="n">
        <v>46051</v>
      </c>
      <c r="I116" t="inlineStr">
        <is>
          <t>### **About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117">
      <c r="A117" t="inlineStr">
        <is>
          <t>in-52c9e882c37ca8f6</t>
        </is>
      </c>
      <c r="B117" t="inlineStr">
        <is>
          <t>AI/ML Engineer</t>
        </is>
      </c>
      <c r="C117" t="inlineStr">
        <is>
          <t>Martori Farms</t>
        </is>
      </c>
      <c r="D117" t="inlineStr">
        <is>
          <t>indeed</t>
        </is>
      </c>
      <c r="E117" t="inlineStr"/>
      <c r="F117" t="inlineStr"/>
      <c r="G117" t="inlineStr">
        <is>
          <t>Scottsdale, AZ, US</t>
        </is>
      </c>
      <c r="H117" s="2" t="n">
        <v>46051</v>
      </c>
      <c r="I117" t="inlineStr">
        <is>
          <t>**Overview**  
We are seeking an AI/ML Engineer to design, build, and deploy AI agents and automation tools that streamline operations across our business. You will work closely with internal teams to identify high\-impact opportunities for AI, then develop and maintain solutions that integrate with our existing systems.
**Responsibilities**
* Design and develop AI agents using large language models (Claude, GPT, etc.) to automate business workflows
* Build internal tools and applications that leverage AI capabilities (document processing, data analysis, decision support)
* Create and maintain integrations between AI systems and existing business software including Microsoft Dynamics ERP
* Develop prompt engineering frameworks and fine\-tune AI behavior for specific business use cases
* Build retrieval\-augmented generation (RAG) systems to connect AI with company knowledge bases
* Establish best practices for AI safety, reliability, and monitoring in production
* Train and support internal teams on using AI tools effectively
* Stay current with rapidly evolving AI capabilities and evaluate new technologies
**Required Qualifications** 
* 3\+ years software development experience (Python strongly preferred)
* Hands\-on experience building applications with LLM APIs (Anthropic, OpenAI, etc.)
* Understanding of prompt engineering, agent architectures, and tool use patterns
* Experience with databases, APIs, and system integrations
* Experience with Microsoft Dynamics or similar ERP systems
* Strong problem\-solving skills and ability to translate business needs into technical solutions
**Preferred Qualifications** 
* Experience with AI orchestration frameworks (LangChain, LlamaIndex, etc.)
* Background in agriculture, food production, or similar industries
* Experience with cloud platforms (AWS, GCP, Azure)
* Knowledge of vector databases and embedding models
* Familiarity with Excel/data automation
Job Type: Full\-time
Pay: $120,000\.00 \- $160,000\.00 per year
Benefits:
* Dental insurance
* Health insurance
* Paid time off
* Vision insurance
Work Location: In person</t>
        </is>
      </c>
    </row>
    <row r="118">
      <c r="A118" t="inlineStr">
        <is>
          <t>in-1fde35b53c92957c</t>
        </is>
      </c>
      <c r="B118" t="inlineStr">
        <is>
          <t>AI/ML Engineer</t>
        </is>
      </c>
      <c r="C118" t="inlineStr">
        <is>
          <t>FirstNet Global</t>
        </is>
      </c>
      <c r="D118" t="inlineStr">
        <is>
          <t>indeed</t>
        </is>
      </c>
      <c r="E118" t="inlineStr"/>
      <c r="F118" t="inlineStr"/>
      <c r="G118" t="inlineStr">
        <is>
          <t>Dallas, TX, US</t>
        </is>
      </c>
      <c r="H118" s="2" t="n">
        <v>46051</v>
      </c>
      <c r="I118" t="inlineStr">
        <is>
          <t>**Benefits:**
* Company parties
* Competitive salary
* Flexible schedule
**Exp: Overall 10\+ and on AI/ML \-5\-7\+**  
**Description:**  
We are seeking a highly motivated and deeply technical AI Engineer.  
This role is ideal for someone passionate about emerging AI technologies, rapid prototyping, and transforming cutting\-edge ideas into real solutions that accelerate AI adoption across our client’s operations.  
Reporting to the Manager, AI Product Research, this individual will explore new advancements in Generative AI, build hands\-on proofs of concept, and collaborate closely with engineering teams to transition prototypes into scalable production systems.  
**What You’ll Be Doing:**  
**AI Research \&amp; Emerging\-Tech Exploration:**  
* Continuously research advancements in AI/ML, with a strong focus on Generative AI, LLM architectures, agent frameworks, and multimodal models.
* Evaluate emerging tools, frameworks, and APIs such as ChatGPT, GitHub Copilot, LangChain, LangSmith, CrewAI, vector DBs, RAG frameworks, orchestration tools, and model hosting platforms.
* Identify opportunities where new AI capabilities can solve business problems or streamline client’s operations.
**Rapid Prototyping \&amp; Hands\-On Development:**  
* Build rapid, functional prototypes with a strong hands\-on coding approach using Python, modern AI SDKs, and model APIs.
* Develop experimental features and concepts that validate feasibility before engineering teams take them to production.
* Design, test, and iterate on AI workflows, pipelines, agentic systems, and retrieval\-augmented applications.
**Technical Experimentation \&amp; Evaluation:**  
* Conduct benchmarking, model evaluation, prompt engineering, and fine\-tuning experiments to assess performance.
* Compare models, frameworks, and architectures to recommend best\-fit technologies for production teams.
* Document findings with clarity, experiment logs, model performance summaries, reproducible code samples, and technical write\-ups.
**Collaboration With Engineering \&amp; Stakeholders:**  
* Work hand\-in\-hand with engineering teams to transition prototypes into scalable production\-ready systems.
* Translate experimental results into actionable recommendations for architecture, infrastructure, and model deployment.
* Engage with product managers, business partners, and data scientists to align prototypes with real\-world needs.
**Thought Leadership \&amp; Knowledge Sharing:**  
* Track market activity, academic research, open\-source contributions, and competitor innovation trends.
* Present insights, demos, and proposals to technical leadership and stakeholders.
* Foster a culture of AI innovation through workshops, documentation, and internal knowledge sharing.
**Requirements:**  
**Technical \&amp; Research Expertise**  
* Bachelor’s degree (or equivalent experience) in Computer Science, AI, Data Science, or a related technical field.
* 7\+ years of hands\-on experience in AI engineering, research engineering, ML prototyping, or similar roles.
* Strong programming proficiency in Python and familiarity with major AI/ML frameworks (TensorFlow, PyTorch).
* Practical experience with LLMs, prompt engineering, RAG systems, LangChain, LangSmith, CrewAI, vector databases, and other modern GenAI tools.
* Experience building rapid prototypes, POCs, and experimental AI applications.
**Applied AI \&amp; Tooling Knowledge:**  
* Deep understanding of AI ecosystems such as OpenAI, Anthropic, Hugging Face, Azure AI, AWS Bedrock, etc.
* Familiarity with developer tools like GitHub Copilot, GPT\-based coding assistants, and modern MLOps workflows.
* Comfort exploring model internals, parameter tuning, API integrations, and evaluation frameworks.
**Soft Skills \&amp; Collaboration:**  
* Strong ability to translate cutting\-edge research concepts into practical technical solutions.
* Excellent communication and documentation skills for both technical and non\-technical audiences.
* Curiosity\-driven mindset and commitment to daily research, experimentation, and continuous learning.
* Ability to manage multiple research tracks, prototypes, and fast\-moving developments.</t>
        </is>
      </c>
    </row>
    <row r="119">
      <c r="A119" t="inlineStr">
        <is>
          <t>in-52c1b92b8d810517</t>
        </is>
      </c>
      <c r="B119" t="inlineStr">
        <is>
          <t>Senior Machine Learning Engineer, Risk Modeling</t>
        </is>
      </c>
      <c r="C119" t="inlineStr">
        <is>
          <t>Block</t>
        </is>
      </c>
      <c r="D119" t="inlineStr">
        <is>
          <t>indeed</t>
        </is>
      </c>
      <c r="E119" t="inlineStr"/>
      <c r="F119" t="inlineStr"/>
      <c r="G119" t="inlineStr">
        <is>
          <t>San Francisco Bay Area, CA, US</t>
        </is>
      </c>
      <c r="H119" s="2" t="n">
        <v>46050</v>
      </c>
      <c r="I119" t="inlineStr">
        <is>
          <t>Block builds technology to increase access to the global economy. Across our ecosystem, including Square and Cash App, we create tools that help businesses run and grow, and individuals move, manage, and grow their money with confidence.
Square empowers sellers of all sizes with integrated, omnichannel tools to accept payments, manage operations, access financial services, and reach customers across online and in\-person channels.
Cash App complements this by providing a fast, accessible financial platform for millions of people to send, spend, save, invest, and borrow, helping redefine how individuals interact with money.Operating at massive scale across both ecosystems means trust and safety are foundational. Our teams build systems that protect real people and businesses, safeguard financial activity, and ensure our products remain reliable, secure, and easy to use.
Block is a global, distributed company with a culture rooted in ownership, creativity, and impact. Whether supporting sellers on Square or customers on Cash App, we’re united by a shared mission: to make the global economy more accessible and inclusive.
#### **The Role**
We’re hiring Senior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on chargeback and fraud prevention as well as trust and safety initiatives supporting Cash App Families and teen banking.
Across teams, your work will directly protect our ecosystem, reduce financial loss, and enable safe, seamless financial experiences for millions of customers, sellers, and families.
**Team Focus Areas**
Depending on your background and interests, you may join a team focused on one of the following areas:
**Fraud \&amp; Chargeback Risk**  
Build machine learning models and systems that detect fraudulent transactions, reduce chargebacks, and protect the integrity of payments across Cash App and Square.
**Trust, Safety \&amp; Families**  
Develop machine learning systems that enable safe and trustworthy financial experiences for teens and families by detecting risky or abusive behavior, strengthening account integrity, and supporting long\-term trust in Cash App.
Both teams value first\-principles thinking, rapid iteration, and shipping production ML solutions with real\-world impact.
#### **You Will**
* Partner with product, engineering, data science, policy, and operations to design and productionize ML\-driven risk solutions at scale
* Own end\-to\-end machine learning systems, from problem definition and modeling to deployment, monitoring, and iteration
* Lead technical decision\-making within your workstreams and influence ML strategy and planning
* Build tooling and processes that improve the speed, reliability, and impact of the ML development lifecycle
* Apply state\-of\-the\-art modeling techniques and third\-party data sources to improve detection and decision\-making
* Investigate emerging fraud, abuse, and risk patterns to proactively inform product safeguards and policy
* Collaborate closely with ML platform and engineering teams to ensure models operate reliably in real time and at scale
#### **You Have**
* 2\+ years of industry experience in machine learning, applied AI, or related fields
* Bachelor’s degree in a quantitative field (Computer Science, Engineering, Statistics, Physics, Applied Math); Master’s or PhD preferred
* Proven experience independently designing, deploying, and maintaining ML solutions in production
* Strong familiarity with techniques such as tree\-based models, deep learning, transfer learning, or reinforcement learning
* Experience influencing technical direction and collaborating with cross\-functional partners at scale
* Strong communication skills, sound judgment, and an ownership mindset
* Curiosity and alignment with Block’s mission of economic empowerment
#### **Technologies We Use and Teach**
* Python (NumPy, Pandas, scikit\-learn, XGBoost, PyTorch, TensorFlow/Keras)
* PySpark, MLflow, workflow orchestration tools (Airflow, Prefect)
* GCP (Vertex AI), AWS
* Snowflake, MySQL, Tableau, Mode
* Containerization, CI/CD, and production ML best practices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$189,000—$283,600 USD
Zone B:
$179,600—$269,400 USD
Zone C:
$170,100—$255,100 USD
Zone D:
$160,700—$241,100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120">
      <c r="A120" t="inlineStr">
        <is>
          <t>in-70f2515563f805b9</t>
        </is>
      </c>
      <c r="B120" t="inlineStr">
        <is>
          <t>Conversational AI Engineer</t>
        </is>
      </c>
      <c r="C120" t="inlineStr">
        <is>
          <t>Zillow</t>
        </is>
      </c>
      <c r="D120" t="inlineStr">
        <is>
          <t>indeed</t>
        </is>
      </c>
      <c r="E120" t="inlineStr"/>
      <c r="F120" t="inlineStr"/>
      <c r="G120" t="inlineStr">
        <is>
          <t>Remote, US</t>
        </is>
      </c>
      <c r="H120" s="2" t="n">
        <v>46050</v>
      </c>
      <c r="I120" t="inlineStr">
        <is>
          <t>**About the team**
------------------
Our Content Strategy team is a collaborative group of strategists, technologists, content managers, and editors dedicated to creating engaging content that drives business results. We partner closely with marketing, product, enablement, and frontline teams to ensure our messaging resonates across all touchpoints. As part of Zillow Group’s Customer Experience Operations, we empower our customer\-facing partners and self\-service help sites with the tools and resources needed to deliver exceptional service and help people unlock life’s next chapter.**About the role**
------------------
As a Conversational AI Engineer, you will play a key role in transforming our self\-service experience into an interactive, agent\-driven chat interface. Your work will directly impact how customers and internal teams access information, resolve issues, and experience Zillow’s products. You will leverage machine learning and language models to deliver relevant, accurate help content, modernize workflows, and ensure a seamless, trustworthy customer journey.
**You Will Get To**
* Design, build, and deploy intelligent chat agents and automated workflows to resolve common customer and frontline issues.
* Integrate core systems (such as Salesforce) with AI tools to create a unified, compliant user experience.
* Develop and optimize prompts to ensure the AI delivers accurate, relevant answers and help content.
* Evaluate, onboard, and manage AI/ML tools and emerging technologies to enhance system performance.
* Implement safeguards and monitoring to maintain accuracy, prevent misinformation, and build user trust.
* Collaborate with Product, Engineering, QA, Content, and Analytics teams to embed conversational AI into business strategy and track performance.
* Apply machine learning and large language models to improve natural language understanding and generation in our chat agents.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$136,300\.00 \- $217,700\.00 annually. This base pay range is specific to these locations and may not be applicable to other locations.\&amp;\#xa;\&amp;\#xa;In Colorado, Hawaii, Illinois, Minnesota, Nevada, Ohio, Rhode Island, and Vermont the standard base pay range for this role is $129,500\.00 \- $206,900\.00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reside.**Who you are**
---------------
* Solutions\-oriented engineer with a passion for human\-centered design and building reliable, scalable conversational AI systems.
* Minimum 5\+ years of experience in Software or Applications Engineering, including at least 2 years focused on Conversational AI, Chatbots, or Agentic Systems.
* Proven experience developing with CRM platforms (especially Salesforce) and integrating them with AI/ML technologies.
* Skilled in leveraging machine learning and large language models for natural language processing.
* Strong background in integrating systems and managing APIs for seamless data flow.
* Experience with QA tooling and monitoring for AI performance and accuracy.
* Understanding of content performance metrics and technical implementation for measurement and A/B testing.
* Bachelor’s degree in Computer Science, Engineering, or a related technical field.
Here at Zillow, we value the experience and perspective of candidates with non\-traditional backgrounds. We encourage you to apply if you have transferable skills or related experiences.
**Get to know us**
------------------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21">
      <c r="A121" t="inlineStr">
        <is>
          <t>in-de16605fc1f87df9</t>
        </is>
      </c>
      <c r="B121" t="inlineStr">
        <is>
          <t>Sr. AI and ML Engineer</t>
        </is>
      </c>
      <c r="C121" t="inlineStr">
        <is>
          <t>Procurement Sciences</t>
        </is>
      </c>
      <c r="D121" t="inlineStr">
        <is>
          <t>indeed</t>
        </is>
      </c>
      <c r="E121" t="inlineStr"/>
      <c r="F121" t="inlineStr"/>
      <c r="G121" t="inlineStr">
        <is>
          <t>US</t>
        </is>
      </c>
      <c r="H121" s="2" t="n">
        <v>46050</v>
      </c>
      <c r="I121" t="inlineStr">
        <is>
          <t>**Company Overview:**
Procurement Sciences is at the forefront of transforming the multi\-billion\-dollar government contracting industry with Awarded AI, our cutting\-edge platform designed to help businesses excel in government sales. We simplify complex processes, drive revenue growth, and deliver real cost savings through unmatched efficiency. As a leading venture\-backed SaaS company founded by seasoned GovCon experts, we are not just participants in the AI revolution; we are shaping it by solving the industry’s toughest challenges. Our “One Team, One Fight” culture values creativity, accountability, and forward\-thinking, and we invite driven builders and innovators to help us develop high\-performing teams. Ranked among the top 10 percent of fastest\-growing SaaS companies and on a clear path to becoming a unicorn, we are seeking top talent to join our early team and play a key role in building the next great AI software company.
**Job Description:** We are seeking a Machine Learning Engineer to build and scale classification and recommendation systems that power our core product. You'll work closely with ML leadership to apply proven ML fundamentals across diverse technical challenges, including integrating LLM\-based features into our existing workflows. In this role, you will own traditional ML systems while gaining hands\-on experience with modern AI components like RAG pipelines and agent frameworks. Your work will directly impact product performance through better recommendations, search quality, and user classification. You'll collaborate with a talented team to solve real technical problems in a fast\-growing SaaS environment.
**Key Responsibilities:**
* Build, deploy, and maintain production classification and recommendation systems serving thousands of users
* Design and implement ML pipelines for training, evaluation, and monitoring of traditional ML models
* Integrate LLM APIs and vector databases into existing ML workflows to enhance product capabilities
* Collaborate with product and engineering teams to translate business requirements into scalable ML solutions
* Optimize model performance, system reliability, and inference latency across our ML stack
**Ideal Candidate:**
* Strong foundation in traditional machine learning with production deployment experience
* Excited to apply ML fundamentals to modern AI workflows including RAG and basic agent systems
* Collaborative problem solver who thrives in startup environments with evolving requirements
* Eager to learn new technologies while leveraging proven ML engineering practices
**Required Experience:**
* 5\+ years deploying ML models in production (classification, recommendations, or similar)
* Strong Python proficiency with ML libraries (scikit\-learn, pandas, numpy) and deployment frameworks
* Experience with ML infrastructure: model serving, monitoring, and data pipelines
* Familiarity with foundation model APIs (OpenAI, Anthropic, etc.) and vector databases
* Track record of building systems that handle real user traffic and data
**Desired Experience:**
* Experience with LangChain, LangGraph, or similar LLM orchestration frameworks
* Knowledge of data orchestration platforms like Dagster or Airflow
* Background in search systems, embeddings, or information retrieval
**Requirements:**
* U.S. citizenship with the ability to pass a Federal Background Check and Identity Verification.
* While formal education is not a strict requirement, a Bachelor's or Master’s degree in Computer Science, Engineering, or a related field is preferred.
**Compensation and Benefits:**
* Competitive salary with stock options in a rapidly growing, venture\-backed company.
* Comprehensive health plan, ensuring you and your loved ones are well taken care of.
* Flexible work arrangements, including full remote work capabilities, to balance your professional and personal life.
* Extensive professional development opportunities, providing a fast track for career advancement.
**AI policy Notice:**  
We want you to get the chance to know us in the interview process and for us to learn as much as we can about you, too. To make this possible and to ensure fairness for all our candidates, we have ano\-exceptions policy on AI usage and augmentation during interviews. While we are an AI first company, this does mean we prohibit any AI tooling during the interview process unless otherwise explicitly allowed (such as large language models, code suggestion software, or AI assistants) to generate, refine, or suggest answers, solutions, or code, regardless of the format (written, spoken, or coded). We want to get to know you, your experiences, and qualifications genuinely and directly and the best way to do this is to keep it just between us.
To keep the interview fair for all, we reserve the right to ask follow\-up questions or request you to clarify or elaborate on your solutions without the aid of external tools to validate that the answers provided genuinely reflect your own skills and experience. Violation of this code of conduct will result in the immediate termination of your candidacy.
**Background Notice:**
Background Check Required. As part of our employment process, a background check is required. This may include a review of your credit history, criminal records, and employment verification, conducted in compliance with the Fair Credit Reporting Act (FCRA). By applying, you acknowledge and consent to this process.
Compensation Range: $140K \- $200K</t>
        </is>
      </c>
    </row>
    <row r="122">
      <c r="A122" t="inlineStr">
        <is>
          <t>in-1d41e19d8bb832d4</t>
        </is>
      </c>
      <c r="B122" t="inlineStr">
        <is>
          <t>Lead Platform AI Engineer</t>
        </is>
      </c>
      <c r="C122" t="inlineStr">
        <is>
          <t>Tribe AI</t>
        </is>
      </c>
      <c r="D122" t="inlineStr">
        <is>
          <t>indeed</t>
        </is>
      </c>
      <c r="E122" t="inlineStr"/>
      <c r="F122" t="inlineStr"/>
      <c r="G122" t="inlineStr">
        <is>
          <t>US</t>
        </is>
      </c>
      <c r="H122" s="2" t="n">
        <v>46050</v>
      </c>
      <c r="I122" t="inlineStr">
        <is>
          <t>### **About Tribe AI:**
At Tribe, we’re on a mission to help enterprises realize the value of AI for their business. Every large enterprise wants to use AI to transform how they operate — but many don’t have the capabilities to do it. That gap is our opportunity.
We’re an AI\-native services company that helps enterprises build and deploy best\-in\-class AI products that deliver real business impact. We partner closely with OpenAI and Anthropic, giving us rare visibility into the most advanced models, roadmaps, and GTM strategies in the world.
### **About the Role**
As an experienced Lead AI Engineer on our Platform Team you will be responsible for supporting our project teams with our internal platform/foundation code to accelerate their ability to deliver projects faster and at a higher quality. You will be the bridge between our sales teams, project teams, and our foundational codebase, ensuring that we maintain high margins while delivering excellent work to our clients.
### **Key Responsibilities:**
*Platform Development \&amp; Support*
* Maintain, enhance, and **expand our foundational codebase** ("Foundry") that serves as reusable building blocks for project teams
* **Support project teams in effectively utilizing our platform** components, helping them achieve 50\-70% reuse of existing code
* Identify opportunities to **incorporate successful project implementations back into the platform** for future reuse
* Proactively **address bugs, performance issues, and feature gaps** in the platform
*Training \&amp; Enablement*
* Reduce barriers to productivity by creating training materials and documentation for platform components
* Design and implement onboarding processes to help team members become productive with the codebase quickly
* Provide hands\-on support through pairing sessions and code reviews with project teams
*Cross\-functional Collaboration*
* Work closely with sales teams to understand upcoming project requirements and advise on platform capabilities and impact
* Collaborate with project teams throughout the delivery lifecycle to understand what's working and what needs improvement
### **About You:**
* 5\+ years of experience building production\-level AI solutions
* Strong experience designing and implementing reusable systems, modules, and components
* Hands\-on experience with modern AI/ML technologies, including LLMs, RAG, and agent systems
* Experience supporting and mentoring other engineers in technical implementation
* Strong communication skills with the ability to explain complex technical concepts to diverse audiences
* Experience working in a consulting or services environment with client\-deployed solutions
* Proven ability to balance technical excellence with practical business outcomes
* Experience working with distributed teams across multiple projects
### **Why Join Us:**
* **Strategic Impact:** Drive platform development that directly influences company profitability and project quality
* **Technical Excellence:** Build reusable AI components that solve diverse challenges across multiple client engagements
* **Engineering Leadership:** Become a trusted technical advisor helping teams leverage your platform expertise
* **Cross\-Project Exposure:** Gain insights from diverse AI implementations that inform platform improvements
* **Innovation\-First Environment:** Join a culture where creative problem\-solving and continuous improvement are core to our DNA
* **Professional Growth:** Accelerate your career in a high\-growth environment balancing hands\-on engineering with strategic leadership</t>
        </is>
      </c>
    </row>
    <row r="123">
      <c r="A123" t="inlineStr">
        <is>
          <t>in-699008a4d17ca14f</t>
        </is>
      </c>
      <c r="B123" t="inlineStr">
        <is>
          <t>Forward Deployed AI Engineer</t>
        </is>
      </c>
      <c r="C123" t="inlineStr">
        <is>
          <t>Tribe AI</t>
        </is>
      </c>
      <c r="D123" t="inlineStr">
        <is>
          <t>indeed</t>
        </is>
      </c>
      <c r="E123" t="inlineStr"/>
      <c r="F123" t="inlineStr"/>
      <c r="G123" t="inlineStr">
        <is>
          <t>US</t>
        </is>
      </c>
      <c r="H123" s="2" t="n">
        <v>46050</v>
      </c>
      <c r="I123" t="inlineStr">
        <is>
          <t>### **About Tribe AI:**
At Tribe, we’re on a mission to help enterprises realize the value of AI for their business. Every large enterprise wants to use AI to transform how they operate — but many don’t have the capabilities to do it. That gap is our opportunity.
We’re an AI\-native services company that helps enterprises build and deploy best\-in\-class AI products that deliver real business impact. We partner closely with OpenAI and Anthropic, giving us rare visibility into the most advanced models, roadmaps, and GTM strategies in the world.
‍
### **About the Role**
We’re looking for a Forward Deployed AI Architect to lead our most mission\-critical client engagements. This is not a lab role \- you’ll be embedded with enterprise clients, building and deploying AI solutions where the problems are messy, the stakes are high, and the environment is rarely “ideal.”
You’ll be the one who makes things work in the real world: taking designs from architects, wrestling them into production, and ensuring they scale reliably under real constraints. If you thrive on chaos, love solving problems end\-to\-end, and want your code to matter outside of demos, this role is for you.
‍
### **Key Responsibilities:**
**Client Engagement \&amp; Delivery**
* Work side by side with clients, PMs, and Architects to scope and deploy AI systems that actually solve problems.
* Build and integrate systems using LLMs, RAG pipelines, agent frameworks, vector DBs, and related tools.
* Navigate real\-world challenges: data access, authentication, security, networking, and brittle enterprise environments.
**Solution Implementation**
* Translate high\-level designs into working components that deliver measurable outcomes.
* Debug relentlessly \- optimize for reliability in production, not just elegance in code.
* Write modular, reusable code that balances speed of delivery with long\-term maintainability.
**Collaboration \&amp; Enablement**
* Embed with client engineering teams to accelerate adoption and integration.
* Share insights from field implementations to inform reusable components in our platform.
* Document decisions with clarity so both clients and internal teams can build on your work.
‍
### **About You:**
* 5\+ years of engineering experience, with proven work shipping AI/ML systems into production.
* Strong Python skills and deep familiarity with modern AI/ML frameworks (LangChain, LlamaIndex, Hugging Face, vector DBs).
* Hands\-on with cloud deployment, orchestration, CI/CD, and distributed environments (AWS, Azure, GCP).
* Ability to debug gnarly real\-world issues (auth failures, networking black holes, flaky data pipelines).
* Problem\-solver who thrives in ambiguity, focused on delivery and reliability over process and ceremony.
* Comfortable in client\-facing environments \- credible with engineers, clear with executives.
‍
### **Why Join Us:**
* **Impact:** Ship AI systems that don’t just demo well but run at scale in Fortune 500 enterprises.
* **Growth:** Stay hands\-on with cutting\-edge frameworks while developing field\-tested instincts.
* **Variety:** Solve problems across industries, from finance to healthcare to defense.
* **Culture:** Work in a team that prizes resilience, creativity, and winning over process.
* **Trajectory:** Build both your technical and consulting muscles in one of the most demanding roles in AI delivery.</t>
        </is>
      </c>
    </row>
    <row r="124">
      <c r="A124" t="inlineStr">
        <is>
          <t>in-8827f93f36b534dc</t>
        </is>
      </c>
      <c r="B124" t="inlineStr">
        <is>
          <t>Gen AI Engineer</t>
        </is>
      </c>
      <c r="C124" t="inlineStr">
        <is>
          <t>Realign</t>
        </is>
      </c>
      <c r="D124" t="inlineStr">
        <is>
          <t>indeed</t>
        </is>
      </c>
      <c r="E124" t="inlineStr"/>
      <c r="F124" t="inlineStr"/>
      <c r="G124" t="inlineStr">
        <is>
          <t>Edison, NJ, US</t>
        </is>
      </c>
      <c r="H124" s="2" t="n">
        <v>46050</v>
      </c>
      <c r="I124" t="inlineStr">
        <is>
          <t>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25">
      <c r="A125" t="inlineStr">
        <is>
          <t>in-5db40938e1f004ca</t>
        </is>
      </c>
      <c r="B125" t="inlineStr">
        <is>
          <t>Senior RF Machine Learning Engineer</t>
        </is>
      </c>
      <c r="C125" t="inlineStr">
        <is>
          <t>HawkEye 360</t>
        </is>
      </c>
      <c r="D125" t="inlineStr">
        <is>
          <t>indeed</t>
        </is>
      </c>
      <c r="E125" t="inlineStr"/>
      <c r="F125" t="inlineStr"/>
      <c r="G125" t="inlineStr">
        <is>
          <t>Herndon, VA, US</t>
        </is>
      </c>
      <c r="H125" s="2" t="n">
        <v>46050</v>
      </c>
      <c r="I125" t="inlineStr">
        <is>
          <t>Our Processing Team builds advanced DSP, geolocation, and analytics capabilities spanning embedded platforms and large\-scale cloud infrastructure. We are seeking a senior engineer who combines theoretical grounding in signal processing and machine learning with experience applying these techniques to large, real\-world datasets in production environments.
In this role, you will develop and mature RF signal processing and machine learning techniques, work end\-to\-end across the processing stack, and collaborate closely with partner teams to deploy robust, scalable solutions into production.
As the Senior RF Machine Learning Engineer, your main responsibilities will be:
* Design, implement, and improve RF signal detection, characterization, and geolocation algorithms across a wide range of signals and operational scenarios.
* Identify opportunities where machine learning can augment or complement traditional signal processing approaches in the current processing stack.
* Work with our customer solutions team to understand signal processing and analytic techniques that drive novel customer insights and product capabilities.
* Work with large volumes of raw RF and derived data to build scalable, reliable processing and analytics pipelines.
* Contribute technical leadership through design reviews and mentorship of other engineers.
**Your skills and qualifications:****Essential education and experience:**  
* B.S. or higher in Electrical Engineering, Computer Engineering, Computer Science, Applied Physics, or a related technical discipline or equivalent experience
* 2\+ years of hands\-on experience applying signal processing and machine learning techniques to real\-world data in a production environment.
* Strong foundation in signal processing concepts (e.g., signals and systems, detection theory, estimation, filtering).
* Experience applying classical machine learning and statistical techniques such as clustering, classification and anomaly detection to complex datasets.
* Fluency in Python, common Python scientific computing libraries (e.g., NumPy, pandas, PyTorch) and experience working within modern Python\-based technical stacks.
* Experience manipulating and analyzing large, raw datasets in support of signal processing and analytics workflows.
* Strong communication skills and a collaborative, team\-oriented mindset.
**Desirable:**  
* M.S. or Ph.D. in Electrical Engineering, Computer Engineering, Computer Science, or a related field.
* Direct experience applying signal processing and/or machine learning techniques to RF data.
* Familiarity with modern machine learning approaches such as deep learning.
* Experience optimizing processing performance through parallel computing.
* Experience deploying software in containerized or cloud\-native environments (Docker, Kubernetes).
* C\+\+ experience.
**Base Salary Range:** $140,000 \- $170,000 annually
HawkEye 360 offers a compensation package that includes a competitive base salary plus annual performance bonus and benefits. We consider many factors when determining salary offers, such as candidate's work experience, education, training \&amp; skills, as well as market and business considerations. We are also open to considering candidates with experience and qualifications at a different level than required in a job posting, which may affect the compensation package offered.
**Company Overview:**  
HawkEye 360 is delivering a revolutionary source of global knowledge based on radio frequency (RF) geospatial analytics to those working to make the world a safer place. The company operates a commercial satellite constellation that detects, geolocates, and identifies a broad range of signals \&amp; behaviors. We employ cutting edge AI techniques to equip our global customers with high\-impact insights needed to make decisions with confidence. HawkEye 360 is headquartered in Herndon, Virginia.
HawkEye 360 is committed to hiring and retaining a diverse workforce. We are proud to be an Equal Opportunity Employer, making decisions without regard to race, color, religion, sex, sexual orientation, gender identity, gender expression, marital status, national origin, age, veteran status, disability, or any other protected class.
**To all recruitment agencies:** HawkEye 360 does not accept unsolicited agency resumes. Please do not forward resumes to our jobs alias, HawkEye 360 employees or any other organization location. HawkEye 360 is not responsible for any fees related to unsolicited resumes.</t>
        </is>
      </c>
    </row>
    <row r="126">
      <c r="A126" t="inlineStr">
        <is>
          <t>in-c91257f1c5842b17</t>
        </is>
      </c>
      <c r="B126" t="inlineStr">
        <is>
          <t>Sr Manager, AI Engineer</t>
        </is>
      </c>
      <c r="C126" t="inlineStr">
        <is>
          <t>CVS Health</t>
        </is>
      </c>
      <c r="D126" t="inlineStr">
        <is>
          <t>indeed</t>
        </is>
      </c>
      <c r="E126" t="inlineStr"/>
      <c r="F126" t="inlineStr"/>
      <c r="G126" t="inlineStr">
        <is>
          <t>Springfield, IL, US</t>
        </is>
      </c>
      <c r="H126" s="2" t="n">
        <v>46050</v>
      </c>
      <c r="I12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27">
      <c r="A127" t="inlineStr">
        <is>
          <t>in-622fda230b81b29e</t>
        </is>
      </c>
      <c r="B127" t="inlineStr">
        <is>
          <t>Sr Manager, AI Engineer</t>
        </is>
      </c>
      <c r="C127" t="inlineStr">
        <is>
          <t>CVS Health</t>
        </is>
      </c>
      <c r="D127" t="inlineStr">
        <is>
          <t>indeed</t>
        </is>
      </c>
      <c r="E127" t="inlineStr"/>
      <c r="F127" t="inlineStr"/>
      <c r="G127" t="inlineStr">
        <is>
          <t>Hartford, CT, US</t>
        </is>
      </c>
      <c r="H127" s="2" t="n">
        <v>46050</v>
      </c>
      <c r="I12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28">
      <c r="A128" t="inlineStr">
        <is>
          <t>in-30b3a6f418b58937</t>
        </is>
      </c>
      <c r="B128" t="inlineStr">
        <is>
          <t>Sr Manager, AI Engineer</t>
        </is>
      </c>
      <c r="C128" t="inlineStr">
        <is>
          <t>CVS Health</t>
        </is>
      </c>
      <c r="D128" t="inlineStr">
        <is>
          <t>indeed</t>
        </is>
      </c>
      <c r="E128" t="inlineStr"/>
      <c r="F128" t="inlineStr"/>
      <c r="G128" t="inlineStr">
        <is>
          <t>Providence, RI, US</t>
        </is>
      </c>
      <c r="H128" s="2" t="n">
        <v>46050</v>
      </c>
      <c r="I12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29">
      <c r="A129" t="inlineStr">
        <is>
          <t>in-3d4ca9aa4aedcf35</t>
        </is>
      </c>
      <c r="B129" t="inlineStr">
        <is>
          <t>Sr Manager, AI Engineer</t>
        </is>
      </c>
      <c r="C129" t="inlineStr">
        <is>
          <t>CVS Health</t>
        </is>
      </c>
      <c r="D129" t="inlineStr">
        <is>
          <t>indeed</t>
        </is>
      </c>
      <c r="E129" t="inlineStr"/>
      <c r="F129" t="inlineStr"/>
      <c r="G129" t="inlineStr">
        <is>
          <t>Tallahassee, FL, US</t>
        </is>
      </c>
      <c r="H129" s="2" t="n">
        <v>46050</v>
      </c>
      <c r="I12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30">
      <c r="A130" t="inlineStr">
        <is>
          <t>in-ac658dc2fb63424d</t>
        </is>
      </c>
      <c r="B130" t="inlineStr">
        <is>
          <t>Sr Manager, AI Engineer</t>
        </is>
      </c>
      <c r="C130" t="inlineStr">
        <is>
          <t>CVS Health</t>
        </is>
      </c>
      <c r="D130" t="inlineStr">
        <is>
          <t>indeed</t>
        </is>
      </c>
      <c r="E130" t="inlineStr"/>
      <c r="F130" t="inlineStr"/>
      <c r="G130" t="inlineStr">
        <is>
          <t>Boston, MA, US</t>
        </is>
      </c>
      <c r="H130" s="2" t="n">
        <v>46050</v>
      </c>
      <c r="I13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31">
      <c r="A131" t="inlineStr">
        <is>
          <t>in-f02b1e9fefd84a97</t>
        </is>
      </c>
      <c r="B131" t="inlineStr">
        <is>
          <t>Sr Manager, AI Engineer</t>
        </is>
      </c>
      <c r="C131" t="inlineStr">
        <is>
          <t>CVS Health</t>
        </is>
      </c>
      <c r="D131" t="inlineStr">
        <is>
          <t>indeed</t>
        </is>
      </c>
      <c r="E131" t="inlineStr"/>
      <c r="F131" t="inlineStr"/>
      <c r="G131" t="inlineStr">
        <is>
          <t>Albany, NY, US</t>
        </is>
      </c>
      <c r="H131" s="2" t="n">
        <v>46050</v>
      </c>
      <c r="I13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32">
      <c r="A132" t="inlineStr">
        <is>
          <t>in-e925200760dcff98</t>
        </is>
      </c>
      <c r="B132" t="inlineStr">
        <is>
          <t>Sr Manager, AI Engineer</t>
        </is>
      </c>
      <c r="C132" t="inlineStr">
        <is>
          <t>CVS Health</t>
        </is>
      </c>
      <c r="D132" t="inlineStr">
        <is>
          <t>indeed</t>
        </is>
      </c>
      <c r="E132" t="inlineStr"/>
      <c r="F132" t="inlineStr"/>
      <c r="G132" t="inlineStr">
        <is>
          <t>Austin, TX, US</t>
        </is>
      </c>
      <c r="H132" s="2" t="n">
        <v>46050</v>
      </c>
      <c r="I13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**Job Summary:**
The AI lead, leads the development and deployment of end\-to\-end AI and Machine Learning (ML) pipelines, ensuring that AI initiatives align with strategic business goals. This role requires a blend of deep technical expertise in AI technologies, architectural design principles, and strong leadership to guide cross\-functional teams. This high\-level, strategic role requires a professional to bridge the gap between business objectives and technical AI capabilities.
**Key Responsibilities:**
**Strategic Planning and Architectural Design**
* Develop a comprehensive AI strategy and roadmap that supports business objectives and drives innovation.
* Design and develop scalable, secure, and resilient AI systems and infrastructure.
* Translate business needs and use cases into technical AI and ML solutions.
* Evaluate and select the most appropriate AI technologies, frameworks, and cloud services (e.g., AWS, Azure, GCP).
**Technical Implementation and Oversight**
* Oversee the entire lifecycle of AI projects, from research and design to deployment and monitoring.
* Collaborate with data scientists and engineers to build robust data pipelines for AI model training and inference.
* Ensure the seamless integration of AI applications and ML models with existing IT infrastructure and business processes.
* Optimize AI systems for performance, scalability, and cost efficiency, and troubleshoot technical issues.
**Leadership and Collaboration**
* Provide technical leadership and guidance to development teams, including AI engineers and software developers.
* Collaborate effectively with business stakeholders, product managers, and executives to communicate the potential, limitations, and strategic value of AI initiatives.
* Foster a culture of innovation and continuous improvement across AI teams.
**Governance and Ethics**
* Ensure AI implementations comply with ethical standards, data privacy regulations (e.g., GDPR), and security best practices.
* Establish and enforce data governance policies for AI model development and data usage.
* Mitigate risks such as adversarial attacks and data poisoning.
**Research and Development**
* Stay up\-to\-date with the latest advancements in AI research, trends, and technologies.
* Recommend new methodologies and tools to improve the organization's AI capabilities.
**Required Qualifications:**
**Experience**
* Extensive experience (5 \- 7 years) in software development, data science, or as an AI/ML Engineer.
* Proven track record of designing, implementing, and deploying scalable AI solutions in a production environment.
* Demonstrated experience with cloud computing platforms (AWS, Azure, GCP) and MLOps practices.
**Technical Skills**
* **Programming Languages:** Proficiency in Python is essential, along with experience in languages like R, Java, or Scala.
* **AI/ML Frameworks:** Expertise in machine learning and deep learning frameworks, such as TensorFlow, PyTorch, and scikit\-learn.
* **Data Technologies:** Strong knowledge of big data technologies like Hadoop and Spark, as well as data processing and warehousing techniques.
* **AI Concepts:** Deep understanding of machine learning models, neural networks, natural language processing (NLP), and computer vision.
**Soft Skills**
* **Problem\-Solving:** Exceptional analytical and critical thinking skills to address complex technical and business challenges.
* **Communication:** Strong ability to communicate complex technical concepts to both technical and non\-technical stakeholders.
* **Leadership:** Demonstrated leadership and project management capabilities to guide and mentor teams.
* **Adaptability:** A commitment to continuous learning to keep pace with the rapidly evolving field of AI.
**Education**
* A Bachelor's degree in Computer Science, Data Science, AI, or a related field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02/27/2026
Qualified applicants with arrest or conviction records will be considered for employment in accordance with all federal, state and local laws.</t>
        </is>
      </c>
    </row>
    <row r="133">
      <c r="A133" t="inlineStr">
        <is>
          <t>in-6ee5603e555b08e8</t>
        </is>
      </c>
      <c r="B133" t="inlineStr">
        <is>
          <t>Gen AI Engineer</t>
        </is>
      </c>
      <c r="C133" t="inlineStr">
        <is>
          <t>Realign</t>
        </is>
      </c>
      <c r="D133" t="inlineStr">
        <is>
          <t>indeed</t>
        </is>
      </c>
      <c r="E133" t="inlineStr"/>
      <c r="F133" t="inlineStr"/>
      <c r="G133" t="inlineStr">
        <is>
          <t>Tampa, FL, US</t>
        </is>
      </c>
      <c r="H133" s="2" t="n">
        <v>46050</v>
      </c>
      <c r="I133" t="inlineStr">
        <is>
          <t>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34">
      <c r="A134" t="inlineStr">
        <is>
          <t>in-0aa45d4e881b9d2d</t>
        </is>
      </c>
      <c r="B134" t="inlineStr">
        <is>
          <t>Gen AI Engineer</t>
        </is>
      </c>
      <c r="C134" t="inlineStr">
        <is>
          <t>Realign</t>
        </is>
      </c>
      <c r="D134" t="inlineStr">
        <is>
          <t>indeed</t>
        </is>
      </c>
      <c r="E134" t="inlineStr"/>
      <c r="F134" t="inlineStr"/>
      <c r="G134" t="inlineStr">
        <is>
          <t>Irving, TX, US</t>
        </is>
      </c>
      <c r="H134" s="2" t="n">
        <v>46050</v>
      </c>
      <c r="I134" t="inlineStr">
        <is>
          <t>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35">
      <c r="A135" t="inlineStr">
        <is>
          <t>in-8b4aa65a432a188b</t>
        </is>
      </c>
      <c r="B135" t="inlineStr">
        <is>
          <t>Gen AI Engineer_Python</t>
        </is>
      </c>
      <c r="C135" t="inlineStr">
        <is>
          <t>Infosys</t>
        </is>
      </c>
      <c r="D135" t="inlineStr">
        <is>
          <t>indeed</t>
        </is>
      </c>
      <c r="E135" t="inlineStr"/>
      <c r="F135" t="inlineStr"/>
      <c r="G135" t="inlineStr">
        <is>
          <t>Charlotte, NC, US</t>
        </is>
      </c>
      <c r="H135" s="2" t="n">
        <v>46050</v>
      </c>
      <c r="I135" t="inlineStr">
        <is>
          <t>Infosys is seeking an **AI/ML \&amp; Generative AI Engineer** with deep expertise in designing, developing, and deploying advanced AI solutions, includingLarge Language Models (LLMs) and Agentic AI architectures. The ideal candidate will collaborate with clients to understand complex business challenges, architect scalable AI solutions, and deploy them using modern cloud platforms such as Azure ML and GCP AI Services.  
This role offers the opportunity to work on cutting\-edge technologies in Generative AI, LLM fine\-tuning, agentic orchestration, and vector databases, while shaping impactful consulting solutions across industries like Banking, Finance, and Capital Markets.  
**Required Qualifications:**
* Candidate must be located within commuting distance of **Charlotte, NC** or be willing to relocate to the area.
* At least 2 years of experience in Information Technology.
* Experience in cloud platforms (Azure, GCP) and their AI/ML services.
* Bachelor’s degree or foreign equivalent required from accredited institution. Will also consider three years of progressive experience in the specialty in lieu of every year of education
* Applicants authorized to work for any employer in the United States without employer\-based visa sponsorship are welcome to apply. Infosys is unable to provide immigration sponsorship for this role at this time.
**Preferred Qualifications:*** Experience in Big Data technologies (e.g., BigQuery, Hadoop). Expertise in ML model development, data engineering, and software engineering principles.
* Knowledge of MLOps and AI/ML deployment (e.g., SageMaker, Snowflake). Hands\-on experience in Generative AI, LLMs, and agentic frameworks.
* Hands\-on experience with vector databases and RAG pipelines.
* Familiarity with CI/CD, DevOps, and automation tools in AI/ML contexts.
* Domain expertise in Banking, Finance, or Capital Markets is a plus.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136">
      <c r="A136" t="inlineStr">
        <is>
          <t>in-d69d955eebe9ab28</t>
        </is>
      </c>
      <c r="B136" t="inlineStr">
        <is>
          <t>Sr AI/ML Engineer Remote - Eastern Time Zone</t>
        </is>
      </c>
      <c r="C136" t="inlineStr">
        <is>
          <t>Optum</t>
        </is>
      </c>
      <c r="D136" t="inlineStr">
        <is>
          <t>indeed</t>
        </is>
      </c>
      <c r="E136" t="inlineStr"/>
      <c r="F136" t="inlineStr"/>
      <c r="G136" t="inlineStr">
        <is>
          <t>Eden Prairie, MN, US</t>
        </is>
      </c>
      <c r="H136" s="2" t="n">
        <v>46050</v>
      </c>
      <c r="I13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
We are seeking a highly skilled and innovative AI/ML Engineer with deep expertise in Generative AI technologies to develop and deploy cutting\-edge solutions within the Pharmacy domain. The ideal candidate will have hands\-on experience with Large Language Models (LLMs), Retrieval\-Augmented Generation (RAG), Agentic AI, and frameworks such as LangGraph and LangChain. Solid proficiency in Python and experience with deep learning frameworks like TensorFlow, PyTorch, or Keras are essential.
This role will involve close collaboration with Pharmacy Operations and Capability teams. On the Operations side, you'll engage directly with Pharmacists to understand and solve real\-world challenges. On the Capability side, you'll work with Capability leaders to identify problem areas and co\-design AI/ML solutions. You'll also contribute to broader initiatives in Pharmacy Modernization, aligning with organizational goals to leverage emerging AI technologies for reducing manual work, accelerating delivery, and improving Net Promoter Score (NPS).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models using GenAI technologies (LLMs, RAG, Agentic AI)
* Utilize frameworks such as LangGraph, LangChain, TensorFlow, PyTorch, or Keras for model development
* Build models that generate new data samples, patterns, or content based on existing inputs
* Deploy AI/ML solutions in production environments, preferably on cloud platforms like Azure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Ensure code quality and security by identifying and resolving vulnerabilities
* Maintain solid programming practices with a focus on Python
* Work Eastern Time Zone hours to support collaboration across a global team
* Participate in on\-call rotations as scheduled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in Computer Science, Data Science, or related field
* 7\+ years of industry or academic experience in AI/ML or Data Science
* 4\+ years of hands\-on experience with Python and version control tools like GitHub
* 4\+ years of experience with deep learning frameworks (e.g., PyTorch, TensorFlow)
* 3\+ years of experience deploying AI/ML solutions in production environments
* Experience with Git management and CI/CD best practices
* Experience in designing high\-level cloud architecture and solution designs for AI/ML solutions
* Experience of AI/ML projects deployed in Production
* Not a research focused role, but more of a AI/ML product development role.
 **Preferred Qualifications:**
* Certifications in AI/ML or related technologies
* Familiarity with cloud platforms (Azure, AWS, Google Cloud)
* Knowledge of UAIS and MLRB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37">
      <c r="A137" t="inlineStr">
        <is>
          <t>in-b87b2d159177208c</t>
        </is>
      </c>
      <c r="B137" t="inlineStr">
        <is>
          <t>Staff/Sr. Staff AI Engineer Systems Architect</t>
        </is>
      </c>
      <c r="C137" t="inlineStr">
        <is>
          <t>Northrop Grumman</t>
        </is>
      </c>
      <c r="D137" t="inlineStr">
        <is>
          <t>indeed</t>
        </is>
      </c>
      <c r="E137" t="inlineStr"/>
      <c r="F137" t="inlineStr"/>
      <c r="G137" t="inlineStr">
        <is>
          <t>Falls Church, VA, US</t>
        </is>
      </c>
      <c r="H137" s="2" t="n">
        <v>46047</v>
      </c>
      <c r="I137"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hiring a Chief AI Architect within the Insights \&amp; Intelligence (i2\) organization to define and drive our enterprise\-standard AI architecture and roadmap. This Chief AI Architect will report to the AI Platforms and i2 Operations Director and be remote and/or hybrid supporting the Falls Church, VA office.
Insights \&amp; Intelligence (i2\) is reimagining decision making at Northrop Grumman and driving our data, analytics \&amp; AI transformation. As part of our Chief Information \&amp; Digital Office (CIDO), i2 works with all enterprise domains and businesses.
As the Chief AI Architect, you will define and drive the AI architectural roadmap to include evaluation of emerging generative and agentic AI technologies, selection of open source \&amp; proprietary models and frameworks, and contribution to the end\-to\-end design and deployment of AI solutions across the enterprise. You will bring your deep understanding of AI capabilities and limitations, hands\-on software engineering expertise, and knowledge of the aerospace and defense industry together into a comprehensive AI architectural vision.
You will be curious, innovative, and proactive, looking ahead to address the technical challenges and business needs of tomorrow. You will champion the adoption of AI by example, leveraging AI in your everyday work to boost your own productivity.  
*This role can be filled at the Staff (T05\) or Senior Staff (T06\) level depending on the qualifications below.*
Responsibilities include (but are not limited to) the following:
* Define the enterprise standard generative AI and agentic AI architecture through the analysis and selection of solutions and frameworks that are scalable, secure, adaptable and maintainable
* Enable a hybrid cloud/on\-prem architecture that fulfills unclassified and classified AI needs balanced with affordability and flexibility
* Stay abreast of the latest research and technology in the AI market
* Advise technical teams on AI architecture and design within enterprise platforms
* Develop strong relationships with key CIDO and AI stakeholders to ensure that critical business needs are understood and addressed within the architectural roadmap
* Define standards and processes for AI architectural reviews, model evaluation, and solution testing
* Demonstrate thought leadership by advising senior executives and technical leadership on AI strategy, ROI, and risk
**Basic Qualifications:**
* Staff level: Must have at least 12 years of relevant experience with bachelor’s degree in computer science, Engineering, Data Science, or a related field; 10 years with Masters; or 8 years with PhD
* Senior Staff level: Must have at least 14 Years of relevant experience with bachelor’s degree in computer science, Engineering, Data Science, or a related field; 12 Years with Masters; or 10 Years with PhD
* Must have At least 3 years focused on generative and agentic AI
* Must have a proven track record of architecture, deployment, and operation of large‑scale AI systems
* Must have demonstrated experience with machine learning, NLP, RAG, and data platforms
* Must have demonstrated proficiency in relevant programming languages (e.g., Python, Java) and AI/ML frameworks
* Must have demonstrated ability to evaluate and integrate open‑source AI projects (e.g., LangChain, Llama‑Index, Hugging Face, Ray, OpenAI SDKs)
* Must have hands\-on experience with cloud native AI services (e.g., AWS Sagemaker, Azure OpenAI Service, etc.)
* Must have proven ability to translate complex AI concepts into clear opportunities, risks, and outcomes for non\-technical audiences
 **Preferred Qualifications:**
* Active Top Secret/SCI Security Clearance
* Recognized cloud certifications (e.g., AWS Certified Solutions Architect, Azure Solutions Architect, etc.)
* Demonstrated technical knowledge of MCP servers and applications within Agentic AI use cases
* Familiarity with model development or MLOps frameworks and tools
* Familiarity with the latest GPU hardware for model development and hosting
* Awareness of cybersecurity considerations for Generative and Agentic AI deployments
* Demonstrated experience transitioning AI prototypes/pilots into production
* Proven contributions to open\-source AI projects
* Proven experience developing and/or deploying AI/ML solutions within classified and/or air\-gapped environments
* Proven track record of setting process and technical standards and driving team adoption and accountability
Primary Level Salary Range: $194,700\.00 \- $292,100\.00
Secondary Level Salary Range: $212,100\.00 \- $318,100\.00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8">
      <c r="A138" t="inlineStr">
        <is>
          <t>in-2257c42b9af36f20</t>
        </is>
      </c>
      <c r="B138" t="inlineStr">
        <is>
          <t>Staff/Sr. Staff AI Engineer Systems Architect</t>
        </is>
      </c>
      <c r="C138" t="inlineStr">
        <is>
          <t>Northrop Grumman</t>
        </is>
      </c>
      <c r="D138" t="inlineStr">
        <is>
          <t>indeed</t>
        </is>
      </c>
      <c r="E138" t="inlineStr"/>
      <c r="F138" t="inlineStr"/>
      <c r="G138" t="inlineStr">
        <is>
          <t>VA, US</t>
        </is>
      </c>
      <c r="H138" s="2" t="n">
        <v>46047</v>
      </c>
      <c r="I138"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hiring a Chief AI Architect within the Insights \&amp; Intelligence (i2\) organization to define and drive our enterprise\-standard AI architecture and roadmap. This Chief AI Architect will report to the AI Platforms and i2 Operations Director and be remote and/or hybrid supporting the Falls Church, VA office.
Insights \&amp; Intelligence (i2\) is reimagining decision making at Northrop Grumman and driving our data, analytics \&amp; AI transformation. As part of our Chief Information \&amp; Digital Office (CIDO), i2 works with all enterprise domains and businesses.
As the Chief AI Architect, you will define and drive the AI architectural roadmap to include evaluation of emerging generative and agentic AI technologies, selection of open source \&amp; proprietary models and frameworks, and contribution to the end\-to\-end design and deployment of AI solutions across the enterprise. You will bring your deep understanding of AI capabilities and limitations, hands\-on software engineering expertise, and knowledge of the aerospace and defense industry together into a comprehensive AI architectural vision.
You will be curious, innovative, and proactive, looking ahead to address the technical challenges and business needs of tomorrow. You will champion the adoption of AI by example, leveraging AI in your everyday work to boost your own productivity.  
*This role can be filled at the Staff (T05\) or Senior Staff (T06\) level depending on the qualifications below.*
Responsibilities include (but are not limited to) the following:
* Define the enterprise standard generative AI and agentic AI architecture through the analysis and selection of solutions and frameworks that are scalable, secure, adaptable and maintainable
* Enable a hybrid cloud/on\-prem architecture that fulfills unclassified and classified AI needs balanced with affordability and flexibility
* Stay abreast of the latest research and technology in the AI market
* Advise technical teams on AI architecture and design within enterprise platforms
* Develop strong relationships with key CIDO and AI stakeholders to ensure that critical business needs are understood and addressed within the architectural roadmap
* Define standards and processes for AI architectural reviews, model evaluation, and solution testing
* Demonstrate thought leadership by advising senior executives and technical leadership on AI strategy, ROI, and risk
**Basic Qualifications:**
* Staff level: Must have at least 12 years of relevant experience with bachelor’s degree in computer science, Engineering, Data Science, or a related field; 10 years with Masters; or 8 years with PhD
* Senior Staff level: Must have at least 14 Years of relevant experience with bachelor’s degree in computer science, Engineering, Data Science, or a related field; 12 Years with Masters; or 10 Years with PhD
* Must have At least 3 years focused on generative and agentic AI
* Must have a proven track record of architecture, deployment, and operation of large‑scale AI systems
* Must have demonstrated experience with machine learning, NLP, RAG, and data platforms
* Must have demonstrated proficiency in relevant programming languages (e.g., Python, Java) and AI/ML frameworks
* Must have demonstrated ability to evaluate and integrate open‑source AI projects (e.g., LangChain, Llama‑Index, Hugging Face, Ray, OpenAI SDKs)
* Must have hands\-on experience with cloud native AI services (e.g., AWS Sagemaker, Azure OpenAI Service, etc.)
* Must have proven ability to translate complex AI concepts into clear opportunities, risks, and outcomes for non\-technical audiences
 **Preferred Qualifications:**
* Active Top Secret/SCI Security Clearance
* Recognized cloud certifications (e.g., AWS Certified Solutions Architect, Azure Solutions Architect, etc.)
* Demonstrated technical knowledge of MCP servers and applications within Agentic AI use cases
* Familiarity with model development or MLOps frameworks and tools
* Familiarity with the latest GPU hardware for model development and hosting
* Awareness of cybersecurity considerations for Generative and Agentic AI deployments
* Demonstrated experience transitioning AI prototypes/pilots into production
* Proven contributions to open\-source AI projects
* Proven experience developing and/or deploying AI/ML solutions within classified and/or air\-gapped environments
* Proven track record of setting process and technical standards and driving team adoption and accountability
Primary Level Salary Range: $194,700\.00 \- $292,100\.00
Secondary Level Salary Range: $212,100\.00 \- $318,100\.00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9">
      <c r="A139" t="inlineStr">
        <is>
          <t>in-8b5a51fbb827f3ea</t>
        </is>
      </c>
      <c r="B139" t="inlineStr">
        <is>
          <t>Machine Learning Engineer, WWPS ProServe Data and Machine Learning</t>
        </is>
      </c>
      <c r="C139" t="inlineStr">
        <is>
          <t>Amazon Web Services</t>
        </is>
      </c>
      <c r="D139" t="inlineStr">
        <is>
          <t>indeed</t>
        </is>
      </c>
      <c r="E139" t="inlineStr"/>
      <c r="F139" t="inlineStr"/>
      <c r="G139" t="inlineStr">
        <is>
          <t>Herndon, VA, US</t>
        </is>
      </c>
      <c r="H139" s="2" t="n">
        <v>46044</v>
      </c>
      <c r="I13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0">
      <c r="A140" t="inlineStr">
        <is>
          <t>in-aac97ff4937db0c6</t>
        </is>
      </c>
      <c r="B140" t="inlineStr">
        <is>
          <t>Machine Learning Engineer, WWPS ProServe Data and Machine Learning</t>
        </is>
      </c>
      <c r="C140" t="inlineStr">
        <is>
          <t>Amazon Web Services</t>
        </is>
      </c>
      <c r="D140" t="inlineStr">
        <is>
          <t>indeed</t>
        </is>
      </c>
      <c r="E140" t="inlineStr"/>
      <c r="F140" t="inlineStr"/>
      <c r="G140" t="inlineStr">
        <is>
          <t>Arlington, VA, US</t>
        </is>
      </c>
      <c r="H140" s="2" t="n">
        <v>46044</v>
      </c>
      <c r="I14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1">
      <c r="A141" t="inlineStr">
        <is>
          <t>in-c3e0e434f435f29b</t>
        </is>
      </c>
      <c r="B141" t="inlineStr">
        <is>
          <t>Machine Learning Engineer, WWPS ProServe Data and Machine Learning</t>
        </is>
      </c>
      <c r="C141" t="inlineStr">
        <is>
          <t>Amazon Web Services</t>
        </is>
      </c>
      <c r="D141" t="inlineStr">
        <is>
          <t>indeed</t>
        </is>
      </c>
      <c r="E141" t="inlineStr"/>
      <c r="F141" t="inlineStr"/>
      <c r="G141" t="inlineStr">
        <is>
          <t>Herndon, VA, US</t>
        </is>
      </c>
      <c r="H141" s="2" t="n">
        <v>46043</v>
      </c>
      <c r="I14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2">
      <c r="A142" t="inlineStr">
        <is>
          <t>in-9331b551e541ee95</t>
        </is>
      </c>
      <c r="B142" t="inlineStr">
        <is>
          <t>Machine Learning Engineer, WWPS ProServe Data and Machine Learning</t>
        </is>
      </c>
      <c r="C142" t="inlineStr">
        <is>
          <t>Amazon Web Services</t>
        </is>
      </c>
      <c r="D142" t="inlineStr">
        <is>
          <t>indeed</t>
        </is>
      </c>
      <c r="E142" t="inlineStr"/>
      <c r="F142" t="inlineStr"/>
      <c r="G142" t="inlineStr">
        <is>
          <t>Arlington, VA, US</t>
        </is>
      </c>
      <c r="H142" s="2" t="n">
        <v>46043</v>
      </c>
      <c r="I14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43">
      <c r="A143" t="inlineStr">
        <is>
          <t>in-9fe4fa1b32642bce</t>
        </is>
      </c>
      <c r="B143" t="inlineStr">
        <is>
          <t>Applied Scientist, Alexa Smart Home</t>
        </is>
      </c>
      <c r="C143" t="inlineStr">
        <is>
          <t>Amazon.com</t>
        </is>
      </c>
      <c r="D143" t="inlineStr">
        <is>
          <t>indeed</t>
        </is>
      </c>
      <c r="E143" t="inlineStr"/>
      <c r="F143" t="inlineStr"/>
      <c r="G143" t="inlineStr">
        <is>
          <t>Seattle, WA, US</t>
        </is>
      </c>
      <c r="H143" s="2" t="n">
        <v>46033</v>
      </c>
      <c r="I14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4">
      <c r="A144" t="inlineStr">
        <is>
          <t>in-6c99e4de8ec495d8</t>
        </is>
      </c>
      <c r="B144" t="inlineStr">
        <is>
          <t>Applied Scientist, Alexa Smart Home</t>
        </is>
      </c>
      <c r="C144" t="inlineStr">
        <is>
          <t>Amazon.com</t>
        </is>
      </c>
      <c r="D144" t="inlineStr">
        <is>
          <t>indeed</t>
        </is>
      </c>
      <c r="E144" t="inlineStr"/>
      <c r="F144" t="inlineStr"/>
      <c r="G144" t="inlineStr">
        <is>
          <t>Sunnyvale, CA, US</t>
        </is>
      </c>
      <c r="H144" s="2" t="n">
        <v>46033</v>
      </c>
      <c r="I14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5">
      <c r="A145" t="inlineStr">
        <is>
          <t>in-519271ab27ee06de</t>
        </is>
      </c>
      <c r="B145" t="inlineStr">
        <is>
          <t>ML engineer with Gen AI</t>
        </is>
      </c>
      <c r="C145" t="inlineStr"/>
      <c r="D145" t="inlineStr">
        <is>
          <t>indeed</t>
        </is>
      </c>
      <c r="E145">
        <f>HYPERLINK("https://www.indeed.com/viewjob?jk=519271ab27ee06de", "https://www.indeed.com/viewjob?jk=519271ab27ee06de")</f>
        <v/>
      </c>
      <c r="F145">
        <f>HYPERLINK("https://roboticstechno.com/view_job?mode=apply&amp;id=36720&amp;hr_id=", "https://roboticstechno.com/view_job?mode=apply&amp;id=36720&amp;hr_id=")</f>
        <v/>
      </c>
      <c r="G145" t="inlineStr">
        <is>
          <t>Austin, TX, US</t>
        </is>
      </c>
      <c r="H145" s="3" t="n">
        <v>46050</v>
      </c>
      <c r="I145" t="inlineStr">
        <is>
          <t>* Job ID:
J53120
* Job Title:
ML engineer with Gen AI
* Location:
Austin, TX
* Duration:
24 Months \+ Extension
* Hourly Rate:
Depending on Experience (DOE)
* Work Authorization:
US Citizen, Green Card, OPT\-EAD, CPT, H\-1B,  
H4\-EAD, L2\-EAD, GC\-EAD
* Client:
To Be Discussed Later
* Employment Type:
W\-2, 1099, C2C
**Job Description:**
* **GenAI Development:** Architect, fine\-tune, and deploy Large Language Models (LLMs) and Generative AI techniques (e.g., RAG, PEFT/SFT) to improve business applications.
* **Production Deployment:** Build and maintain high\-performance, scalable ML pipelines and GPU\-based inference systems in cloud environments (AWS/GCP/Azure).
* **Collaboration \&amp; Communication:** Work closely with product managers, data scientists, and engineers to translate business requirements into technical specifications.
* **Stakeholder Engagement:** Clearly present AI methodologies, performance results, and technical trade\-offs to non\-technical stakeholders and leadership.
* **Model Optimization:** Implement prompt engineering, adversarial testing, and model optimization strategies to ensure high\-quality, efficient, and safe outputs.
* **Stay Updated:** Actively keep up with the latest advancements in GenAI research and incorporate them into our production systems.
* **Team and project Coordination:** Define project scope, timelines, deliverables, success metrics, co\-ordinate with and guide offshore technical team on project deliverables.
**Required Skills \&amp; Qualifications**
* **Experience:** 10\+ years of experience as an ML Engineer, with at least 1\-2 years dedicated to Generative AI or NLP projects, and good experience on AWS cloud platform.
* **Technical Expertise:** Strong proficiency in Python, and IDEs such as Cursor/AWS Kiro, deep learning frameworks (PyTorch or TensorFlow or), utilizing GitHub co\-pilot etc.
* **GenAI Proficiency:** Hands\-on experience with LLMs (e.g., GPT\-4, Llama), RAG architectures, LangChain, Vector Databases, Knowledge graphs, and Agentic AI
* **MLOps and LLM Ops:** Familiarity with Docker, Kubernetes, and CI/CD tools for ML.
* **AWS Skills:** S3, Lambda, Glue, AWS Sage maker, and AWS Bedrock platform
* **Communication Skills:** **Excellent** verbal and written communication skills; ability to articulate complex technical concepts simply.
* **Stakeholder Management:** Able to collaborate with key business/client stakeholders and manage their expectations
* **Problem\-Solving:** Proven ability to work independently in a fast\-paced environment and troubleshoot issues.
**Preferred Qualifications**
* Engineering degree in computer science or equivalent, and relevant certification in Machine learning
* Experience in banking or financial services domain – Payments industry.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146">
      <c r="A146" t="inlineStr">
        <is>
          <t>in-a1ba05f2135e9c6d</t>
        </is>
      </c>
      <c r="B146" t="inlineStr">
        <is>
          <t>AI Engineer, Senior</t>
        </is>
      </c>
      <c r="C146" t="inlineStr">
        <is>
          <t>Booz Allen Hamilton</t>
        </is>
      </c>
      <c r="D146" t="inlineStr">
        <is>
          <t>indeed</t>
        </is>
      </c>
      <c r="E146">
        <f>HYPERLINK("https://www.indeed.com/viewjob?jk=a1ba05f2135e9c6d", "https://www.indeed.com/viewjob?jk=a1ba05f2135e9c6d")</f>
        <v/>
      </c>
      <c r="F146">
        <f>HYPERLINK("https://careers.boozallen.com/careers/JobDetail?jobId=120094", "https://careers.boozallen.com/careers/JobDetail?jobId=120094")</f>
        <v/>
      </c>
      <c r="G146" t="inlineStr">
        <is>
          <t>McLean, VA, US</t>
        </is>
      </c>
      <c r="H146" s="3" t="n">
        <v>46050</v>
      </c>
      <c r="I146" t="inlineStr">
        <is>
          <t>AI Engineer, Senior**The Opportunity:**
As an experienced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enabling AI and AIOps solutions to mission customers. As an ML engineer on our systems integration team, you’ll train, test, deploy, and maintain models that learn from data.
In this role, you’ll own and define the direction of mission\-critical solutions by applying best\-fit ML algorithms and technologies. You’ll be part of a large community of ML engineers across the company and collaborate with data engineers, data scientists, solutions architects, and product owners to deliver world class solutions to develop, deploy, and scale AI/ML applications and workloads. Your skills and extensive technical expertise will guide clients as they navigate the landscape of ML algorithms, tools, and frameworks.
Join us. The world can’t wait.
**You Have:**
* 3\+ years of experience supporting AI or ML workloads and data pipelines in AWS
* Experience integrating LLMs or multimodal models into user\-facing applications or workflow tools
* Experience in natural language processing, LLMs, transformers, or Retrieval\-Augmented Generation (RAG) architectures
* Experience with infrastructure\-as\-code or standup of cloud\-based infrastructure and platform services in AWS
* Knowledge of developing ETL or ELT pipelines for structured and unstructured data ingestion into vector and graph systems
* Knowledge of APIs, cloud functions, and deployment pipelines
* Top Secret clearance
* Bachelor’s degree
* DoD 8170 or 8140 IAT Level II Certification such as Security\+ Certification
* Compliant Computing Environment Certification such as AWS Cloud Practitioner Certification
**Nice If You Have:**
* 2\+ years of experience integrating with third\-party platforms, including Collibra, Tableau, and ServiceNow
* 2\+ years of experience working with modern AI capabilities in ML, including deep learning and LLM frameworks
* Experience with AI\-assisted development such as Cursor, Cline, Windsurf, or Claude Code
* Experience with AWS AI\-related services and Model Context Protocol (MCP)
* Experience working with cybersecurity teams to develop and review technical documentation and security control implementation required to achieve and maintain ATO
* Bachelor’s degree in CS, Engineering, or a related field preferred; Master’s degree a plus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7">
      <c r="A147" t="inlineStr">
        <is>
          <t>in-62edca23a180aea9</t>
        </is>
      </c>
      <c r="B147" t="inlineStr">
        <is>
          <t>AI and ML Engineer</t>
        </is>
      </c>
      <c r="C147" t="inlineStr">
        <is>
          <t>Booz Allen Hamilton</t>
        </is>
      </c>
      <c r="D147" t="inlineStr">
        <is>
          <t>indeed</t>
        </is>
      </c>
      <c r="E147">
        <f>HYPERLINK("https://www.indeed.com/viewjob?jk=62edca23a180aea9", "https://www.indeed.com/viewjob?jk=62edca23a180aea9")</f>
        <v/>
      </c>
      <c r="F147">
        <f>HYPERLINK("https://careers.boozallen.com/careers/JobDetail?jobId=120125", "https://careers.boozallen.com/careers/JobDetail?jobId=120125")</f>
        <v/>
      </c>
      <c r="G147" t="inlineStr">
        <is>
          <t>Annapolis Junction, MD, US</t>
        </is>
      </c>
      <c r="H147" s="3" t="n">
        <v>46050</v>
      </c>
      <c r="I147" t="inlineStr">
        <is>
          <t>AI and ML Engineer**The Opportunity:**
As an experienced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develop AI/ML solutions for challenging customer problems. As an ML engineer on our national security team, you’ll train, test, deploy, and maintain models that learn from data.
In this role, you’ll own and define the direction of mission\-critical solutions by applying best\-fit ML algorithms and technologies. You’ll be part of a large community of ML engineers across the company and collaborate with data scientists, solutions architects, subject matter experts, product owners, and end users to deliver world class AI/ML solutions to a wide variety of national security problems. Your skills and extensive technical expertise will guide clients as they navigate the landscape of ML algorithms, tools, and frameworks.
Work with us to solve real\-world national security challenges in AI/ML.
Join us. The world can’t wait.
**You Have:**
* 3\+ years of experience in AL/ML\-based solutions, including Python programming and deep learning frameworks such as PyTorch, TensorFlow, or Keras
* Experience developing Natural Language Processing (NLP), Large Language Models (LLM), and Retrieval\-Augmented Generation (RAG)\-enabled solutions
* Experience applying AI/ML research to develop AI/ML solutions
* Knowledge of core AI/ML concepts, including clustering, regression, classification, algorithm selection, and model evaluation
* Knowledge of the Software Development Life Cycle (SDLC) and commonly used tools such as Git
* Ability to work independently with limited guidance and direction
* TS/SCI clearance with a polygraph
* Bachelor's degree in a CS, AI, Mathematics, or Statistics field
**Nice If You Have:**
* Experience in rapid prototyping or developing proofs of concepts to demonstrate or validate AI/ML capabilities
* Experience deploying AI/ML solutions into production environments using end\-to\-end model pipelines and tools such as Docker or Kubernetes
* Experience with AI agent frameworks, including LangChain or LlamaIndex
* Experience fine\-tuning large\-scale models for domain\-specific tasks in secure or fully isolated, air\-gapped environments
* Experience leading small teams of AI/ML developers or researchers
* Experience with high performance computing
* Experience with major cloud platforms such as AWS, and their respective AI services such as SageMaker
* Experience with data analysis and creation of data\-driven visualizations
* Master’s degree in CS, AI, Mathematics, Statistics, or a related field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8">
      <c r="A148" t="inlineStr">
        <is>
          <t>in-cb842e1a9636ce38</t>
        </is>
      </c>
      <c r="B148" t="inlineStr">
        <is>
          <t>Aviation AI/ML Engineer</t>
        </is>
      </c>
      <c r="C148" t="inlineStr">
        <is>
          <t>Booz Allen Hamilton</t>
        </is>
      </c>
      <c r="D148" t="inlineStr">
        <is>
          <t>indeed</t>
        </is>
      </c>
      <c r="E148">
        <f>HYPERLINK("https://www.indeed.com/viewjob?jk=cb842e1a9636ce38", "https://www.indeed.com/viewjob?jk=cb842e1a9636ce38")</f>
        <v/>
      </c>
      <c r="F148">
        <f>HYPERLINK("https://careers.boozallen.com/careers/JobDetail?jobId=120188", "https://careers.boozallen.com/careers/JobDetail?jobId=120188")</f>
        <v/>
      </c>
      <c r="G148" t="inlineStr">
        <is>
          <t>Washington, DC, US</t>
        </is>
      </c>
      <c r="H148" s="3" t="n">
        <v>46050</v>
      </c>
      <c r="I148" t="inlineStr">
        <is>
          <t>Aviation AI/ML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contribute to the direction of mission\-critical solutions by applying best\-fit ML algorithms and technologies. You’ll grow within a large community of machine learning engineers across the company and collaborate with data engineers, data scientists, solutions architects, and aviation experts to deliver world\-class solutions to build a product that transforms aviation safety. Your skills and technical experience will help your clients navigate the landscape of ML algorithms, tools, and frameworks.
Work with us to solve real\-world challenges and define an ML strategy for our nation’s airspace.
Join us. The world can’t wait.
**You Have:**
* 2\+ years of experience with Automatic Speech Recognition (ASR)
* 2\+ years of experience with model fine\-tuning and deployment
* 2\+ years of experience with Large Language Model (LLM) integration
* 2\+ years of experience with custom machine learning modeling such as PyTorch or scikit\-learn
* Experience with aviation, geospatial, and weather datasets
* Experience with executive\-level summaries and briefings
* Ability to work cross\-functionally with various product work teams
* Ability to obtain and maintain a Public Trust or Suitability/Fitness determination based on client requirements
* Bachelor’s degree
**Nice If You Have:**
* Experience with Databricks
* Experience with AWS
* Experience with Causal Modeling
* Experience with Agentic Workflows
* Knowledge of Federal Aviation operations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9">
      <c r="A149" t="inlineStr">
        <is>
          <t>in-c9a5460de56a3556</t>
        </is>
      </c>
      <c r="B149" t="inlineStr">
        <is>
          <t>Aviation AI &amp; ML Engineer, Lead</t>
        </is>
      </c>
      <c r="C149" t="inlineStr">
        <is>
          <t>Booz Allen Hamilton</t>
        </is>
      </c>
      <c r="D149" t="inlineStr">
        <is>
          <t>indeed</t>
        </is>
      </c>
      <c r="E149">
        <f>HYPERLINK("https://www.indeed.com/viewjob?jk=c9a5460de56a3556", "https://www.indeed.com/viewjob?jk=c9a5460de56a3556")</f>
        <v/>
      </c>
      <c r="F149">
        <f>HYPERLINK("https://careers.boozallen.com/careers/JobDetail?jobId=120185", "https://careers.boozallen.com/careers/JobDetail?jobId=120185")</f>
        <v/>
      </c>
      <c r="G149" t="inlineStr">
        <is>
          <t>Washington, DC, US</t>
        </is>
      </c>
      <c r="H149" s="3" t="n">
        <v>46050</v>
      </c>
      <c r="I149" t="inlineStr">
        <is>
          <t>Aviation AI \&amp; ML Engineer, Lead**The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lead the direction of mission\-critical solutions by applying best\-fit ML algorithms and introducing leading\-edge technologies. You’ll share your knowledge with a large community of machine learning engineers across the company and collaborate with data engineers, data scientists, solutions architects, and aviation experts to deliver world class solutions to build a product that transforms aviation safety. Your skills and extensive technical expertise will guide clients as they navigate the landscape of ML algorithms, tools, and frameworks.
Work with us to solve real\-world challenges and define ML strategy for our nation’s airspace.
Join us. The world can’t wait.
**You Have:**
* 7\+ years of experience with Automatic Speech Recognition (ASR)
* 7\+ years of experience with model fine tuning and deployment
* 7\+ years of experience with Large Language Model (LLM) integration
* 7\+ years of experience with custom machine learning modeling, including PyTorch or scikit\-learn
* Experience with aviation, geospatial, and weather datasets
* Experience with executive\-level summaries and briefings
* Knowledge of FAA operations
* Ability to work cross\-functionally with various product workstreams
* Ability to obtain and maintain a Public Trust or Suitability/Fitness determination based on client requirements
* Bachelor’s degree
**Nice If You Have:**
* Experience with Databricks
* Experience with AWS
* Experience with Causal Modeling
* Experience with Agentic Workflows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0">
      <c r="A150" t="inlineStr">
        <is>
          <t>in-f45da3957f7e05d2</t>
        </is>
      </c>
      <c r="B150" t="inlineStr">
        <is>
          <t>Aviation AI &amp; ML Engineer, Lead</t>
        </is>
      </c>
      <c r="C150" t="inlineStr">
        <is>
          <t>Booz Allen Hamilton</t>
        </is>
      </c>
      <c r="D150" t="inlineStr">
        <is>
          <t>indeed</t>
        </is>
      </c>
      <c r="E150">
        <f>HYPERLINK("https://www.indeed.com/viewjob?jk=f45da3957f7e05d2", "https://www.indeed.com/viewjob?jk=f45da3957f7e05d2")</f>
        <v/>
      </c>
      <c r="F150">
        <f>HYPERLINK("https://careers.boozallen.com/careers/JobDetail?jobId=120184", "https://careers.boozallen.com/careers/JobDetail?jobId=120184")</f>
        <v/>
      </c>
      <c r="G150" t="inlineStr">
        <is>
          <t>Washington, DC, US</t>
        </is>
      </c>
      <c r="H150" s="3" t="n">
        <v>46050</v>
      </c>
      <c r="I150" t="inlineStr">
        <is>
          <t>Aviation AI \&amp; ML Engineer, Lead**The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lead the direction of mission\-critical solutions by applying best\-fit ML algorithms and introducing leading\-edge technologies. You’ll share your knowledge with a large community of machine learning engineers across the company and collaborate with data engineers, data scientists, solutions architects, and aviation experts to deliver world class solutions to build a product that transforms aviation safety. Your skills and extensive technical expertise will guide clients as they navigate the landscape of ML algorithms, tools, and frameworks.
Work with us to solve real\-world challenges and define ML strategy for our nation’s airspace.
Join us. The world can’t wait.
**You Have:**
* 7\+ years of experience with Automatic Speech Recognition (ASR)
* 7\+ years of experience with model fine tuning and deployment
* 7\+ years of experience with Large Language Model (LLM) integration
* 7\+ years of experience with custom machine learning modeling, including PyTorch or scikit\-learn
* Experience with aviation, geospatial, and weather datasets
* Experience with executive\-level summaries and briefings
* Knowledge of FAA operations
* Ability to work cross\-functionally with various product workstreams
* Ability to obtain and maintain a Public Trust or Suitability/Fitness determination based on client requirements
* Bachelor’s degree
**Nice If You Have:**
* Experience with Databricks
* Experience with AWS
* Experience with Causal Modeling
* Experience with Agentic Workflows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1">
      <c r="A151" t="inlineStr">
        <is>
          <t>in-fd3eecb22c281178</t>
        </is>
      </c>
      <c r="B151" t="inlineStr">
        <is>
          <t>26-1080: Senior AI/ML Engineer - Herndon, VA</t>
        </is>
      </c>
      <c r="C151" t="inlineStr">
        <is>
          <t>Navitas</t>
        </is>
      </c>
      <c r="D151" t="inlineStr">
        <is>
          <t>indeed</t>
        </is>
      </c>
      <c r="E151">
        <f>HYPERLINK("https://www.indeed.com/viewjob?jk=fd3eecb22c281178", "https://www.indeed.com/viewjob?jk=fd3eecb22c281178")</f>
        <v/>
      </c>
      <c r="F151">
        <f>HYPERLINK("https://navitas.applytojob.com/apply/4UxQ7mQjJN/261080-Senior-AIML-Engineer-Herndon-VA?source=INDE&amp;~", "https://navitas.applytojob.com/apply/4UxQ7mQjJN/261080-Senior-AIML-Engineer-Herndon-VA?source=INDE&amp;~")</f>
        <v/>
      </c>
      <c r="G151" t="inlineStr">
        <is>
          <t>Herndon, VA, US</t>
        </is>
      </c>
      <c r="H151" s="3" t="n">
        <v>46050</v>
      </c>
      <c r="I151" t="inlineStr">
        <is>
          <t>**Senior Data Engineer**  
**Job ID\#: 26\-1080**  
**Clearance: Secret**  
**Location: Herndon, VA**  
**Who We Are**:  
Since our inception back in 2006, Navitas has grown to be an industry leader in the digital transformation space, and we’ve served as trusted advisors supporting our client base within the commercial, federal, and state and local markets.  
**What We Do**:  
At our very core, we’re a group of problem solvers providing our award\-winning technology solutions to drive digital acceleration for our customers! With proven solutions, award\-winning technologies, and a team of expert problem solvers, Navitas has consistently empowered customers to use technology as a competitive advantage and deliver cutting\-edge transformative solutions.  
**What You’ll Do**:  
Navitas is seeking an advanced Senior ML Engineer with NLP to design, build, and deploy scalable AI/ML models for use within the DoD's Search Portfolio. This role requires a strong background in natural language processing, generative AI (LLMs, RAG), distributed computing, and cloud\-native architecture. The successful candidate will collaborate with interdisciplinary teams and apply the latest advancements in AI research to deliver secure, mission\-ready solutions that process and analyze massive datasets.  
***Responsibilities will include but are not limited to:**** Design, develop, test, and support AI/ML pipelines on Databricks using Python to support a variety of Department of Defense (DoD) technical missions.
* Develop and operationalize NLP solutions for large datasets using modern techniques such as context extraction, topic extraction, and keyword extraction (e.g., RAKE, TF\-IDF, and other statistical or embedding\-based methods).
* Leverage advanced NLP libraries and frameworks including Spark NLP, Hugging Face, and TensorFlow to design and deploy scalable machine\-learning models.
* Build, train, and deploy GPU\-based models optimized for performance and cost\-efficiency across distributed compute environments (Apache Spark/Databricks/Kubernetes).
* Apply MLOps best practices using MLflow for model lifecycle management, experiment tracking, and reproducibility.
* Integrate AI capabilities with Elasticsearch and Neo4j to enhance search, graph analytics, and semantic understanding across enterprise datasets.
* Collaborate with cross\-functional teams of data scientists, software engineers, and mission stakeholders to integrate AI/ML capabilities across the Search Portfolio and other data products.
* Manage the full lifecycle of AI/ML components, from research and model development through deployment, monitoring, and iterative improvement.
* Diagnose and solve complex data challenges using analytical modeling, AI\-driven reasoning, and modern informatics techniques.
* Document and present technical design alternatives, trade\-offs, and implementation strategies to technical and non\-technical stakeholders.
* Build and maintain shared ML tools, libraries, and reusable assets to accelerate innovation and ensure engineering consistency.
* Support strategic AI roadmap development and architectural planning to enable rapid prototyping and experimentation with advanced AI capabilities.
* Ensure compliance, security, and traceability in all AI/ML workflows and infrastructure aligned with DoD and federal standards.
**What You’ll Need:*** Bachelor’s degree with 5 years of relevant experience
* 5\+ years of hands\-on experience with Natural Language Processing (NLP), Large Language Models (LLMs), semantic search, text embedding, Retrieval\-Augmented Generation (RAG), and generative AI applications.
* Extensive knowledge of NLP techniques for large datasets, including context, topic, and keyword extraction methods.
* Proficiency in NLP libraries and frameworks such as Spark NLP, Hugging Face, and TensorFlow.
* 4\+ years of experience working in Databricks as an ML Engineer, including building and managing distributed ML pipelines.
* Strong Python expertise, including experience developing Flask APIs and reusable ML utilities.
* Experience with MLOps and MLflow for model tracking, deployment automation, and governance.
* Hands\-on experience developing and tuning GPU\-based models in production environments.
* Working knowledge of Elasticsearch and Neo4j preferred for search and graph\-based AI applications.
* Deep understanding of machine\-learning subfields such as computer vision, reinforcement learning, and statistical learning theory.
* Proven experience with data preprocessing, feature engineering, and model evaluation.
* Proficiency with version control systems (e.g., Git) for collaborative ML development.
* Demonstrated experience with Apache Spark or Databricks for distributed data and ML workloads.
* Experience working with petabyte\-scale datasets, data exploration, SQL, and visualization tools.
*Equal Employer/Veterans/Disabled*
*Navitas Business Consulting is an affirmative action and equal opportunity employer. If reasonable accommodation is needed to participate in the job application or interview process, to perform essential job functions, and/or to receive other benefits and privileges of employment, please contact Navitas Human Resources.*
*Navitas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Navitas.*
4UxQ7mQjJN</t>
        </is>
      </c>
    </row>
    <row r="152">
      <c r="A152" t="inlineStr">
        <is>
          <t>in-560677dc806cddc3</t>
        </is>
      </c>
      <c r="B152" t="inlineStr">
        <is>
          <t>Senior Machine Learning Engineer - Remote</t>
        </is>
      </c>
      <c r="C152" t="inlineStr"/>
      <c r="D152" t="inlineStr">
        <is>
          <t>indeed</t>
        </is>
      </c>
      <c r="E152">
        <f>HYPERLINK("https://www.indeed.com/viewjob?jk=560677dc806cddc3", "https://www.indeed.com/viewjob?jk=560677dc806cddc3")</f>
        <v/>
      </c>
      <c r="F152">
        <f>HYPERLINK("https://app.screenloop.com/careers/fitmatch/job_posts/8001?tab=overview", "https://app.screenloop.com/careers/fitmatch/job_posts/8001?tab=overview")</f>
        <v/>
      </c>
      <c r="G152" t="inlineStr">
        <is>
          <t>New York, NY, US</t>
        </is>
      </c>
      <c r="H152" s="3" t="n">
        <v>46051</v>
      </c>
      <c r="I152" t="inlineStr">
        <is>
          <t>### **About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153">
      <c r="A153" t="inlineStr">
        <is>
          <t>in-16dcc1a881792634</t>
        </is>
      </c>
      <c r="B153" t="inlineStr">
        <is>
          <t>Senior Machine Learning Engineer</t>
        </is>
      </c>
      <c r="C153" t="inlineStr">
        <is>
          <t>CVS Health</t>
        </is>
      </c>
      <c r="D153" t="inlineStr">
        <is>
          <t>indeed</t>
        </is>
      </c>
      <c r="E153">
        <f>HYPERLINK("https://www.indeed.com/viewjob?jk=16dcc1a881792634", "https://www.indeed.com/viewjob?jk=16dcc1a881792634")</f>
        <v/>
      </c>
      <c r="F153">
        <f>HYPERLINK("https://click.appcast.io/t/CZlrSFqpK9Qav6xuhR5R7CmFAE9oCsWc4kGRngObFeY=", "https://click.appcast.io/t/CZlrSFqpK9Qav6xuhR5R7CmFAE9oCsWc4kGRngObFeY=")</f>
        <v/>
      </c>
      <c r="G153" t="inlineStr">
        <is>
          <t>New York, NY, US</t>
        </is>
      </c>
      <c r="H153" s="3" t="n">
        <v>46050</v>
      </c>
      <c r="I15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 of CRM Marketing through AI\-driven optimization and decision\-making to better serve millions of customers nationwide. We’re looking for a **Senior Machine Learning Engineer** to help build and scale the next generation of data science and AI products in the journey. In this role, you’ll leverage your engineering background and expertise in ML to work on complex technical problems, build new features, and improve existing products. Your solutions will impact tens of millions of customers, influencing how they manage their health and everyday purchases.
Collaborating closely with data science, data engineering, marketing, operations, and other cross\-functional teams, you’ll architect, develop, deploy, and operationalize ML systems that transform first\-party data and measurement signals into reliable decision engines \- reducing cycle times, increasing impact, and enabling closed\-loop, in\-flight optimization. You will also continuously improve model deployment pipelines, strengthening ML infrastructure, and integrating emerging AI technologies into real business workflows.
If you are excited by hard problems, large scale of data and systems, and shipping models that actually get used, this is the job.
**What You’ll Do**
* Architect, design, build, and test end to end pipelines leveraging artificial intelligence, machine learning, reinforcement learning to drive CRM Marketing optimization and automation including customer targeting, content recommendation, frequency optimization, propensity, uplift and LTV models etc.
* Implement CICD for ML including automated testing, model versioning, monitoring, and orchestration for models in production
* Lead the design of Agentic AI solutions to marketing workflow automation, optimize ML infrastructure, and guide the development of data preparation and model optimization strategies.
* Collaborate with Data Science, Engineering, and business teams to turn prototypes into production\-ready solutions that meet business needs and drive measurable outcomes
* Provide technical leadership on complex projects. Mentor other engineers and data scientists in best practices, code quality, and scalable architecture. Influence our ML and data roadmap.
**What We’re Looking For**
**Must\-Have**
* 5\+ years of hands\-on experience developing machine learning systems in production environment
* 5\+ years of Python programming experience. Familiarity with ML frameworks (e.g., PyTorch, TensorFlow) and MLOps platforms (e.g., Kubeflow, Vertex)
* 2\+ years of SQL experience working with large\-scale data (e.g., Snowflake, BigQuery)
* 2\+ years of leading design and architecture of new and existing system experience
* Strong background in one or more of the following: reinforcement learning, causal inference, LLM, MCP
* Experience as a mentor or tech lead
* Ability to work and influence cross\-functionally with strong communication skills
**Preferred**
* Proficiency with full\-stack framework (e.g, Node.js, React)
* Experience with real time scoring using tools like Spark, Kafka, Airflow
* Solid backend engineering skills in Python, including APIs and data modeling
* A/B testing and experimentation experience
**Education**
* Bachelor’s degree in Computer Science, Engineering, Math, Statistics, or related field (or equivalent experience)
* Master’s degree preferred
**Anticipated Weekly Hours**
40**Time Type**
Full time**Pay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154">
      <c r="A154" t="inlineStr">
        <is>
          <t>in-2ddc5d018733288e</t>
        </is>
      </c>
      <c r="B154" t="inlineStr">
        <is>
          <t>Scientific AI and ML Engineer</t>
        </is>
      </c>
      <c r="C154" t="inlineStr">
        <is>
          <t>Booz Allen Hamilton</t>
        </is>
      </c>
      <c r="D154" t="inlineStr">
        <is>
          <t>indeed</t>
        </is>
      </c>
      <c r="E154">
        <f>HYPERLINK("https://www.indeed.com/viewjob?jk=2ddc5d018733288e", "https://www.indeed.com/viewjob?jk=2ddc5d018733288e")</f>
        <v/>
      </c>
      <c r="F154">
        <f>HYPERLINK("https://careers.boozallen.com/careers/JobDetail?jobId=120154", "https://careers.boozallen.com/careers/JobDetail?jobId=120154")</f>
        <v/>
      </c>
      <c r="G154" t="inlineStr">
        <is>
          <t>Bethesda, MD, US</t>
        </is>
      </c>
      <c r="H154" s="3" t="n">
        <v>46050</v>
      </c>
      <c r="I154" t="inlineStr">
        <is>
          <t>Scientific AI and ML Engineer**The Opportunity:**
Are you looking for an opportunity to make a difference and help build innovative systems that will have a positive impact on how scientific systems are delivered? What if you could find a position that is tailor\-made for your mix of science, AI, ML, and engineering skills? Scientific AI and ML engineers play a critical role in advancing research and operational innovation through cutting\-edge applications of AI and ML. That’s why we need an experienced AI and ML engineer like you to help us design and develop solutions that combine domain expertise, scientific rigor, and ML techniques to deliver actionable insights and support mission\-critical operations.
As a Scientific AI and ML Engineer on our team, you’ll apply your deep technical expertise to create innovative AI and ML algorithms, frameworks, and tools to address complex scientific challenges. You’ll collaborate with a multidisciplinary Agile development team to develop, validate, and optimize AI and ML models and workflows. Whether it’s designing novel algorithms, enabling automation of AI workflows, or scaling solutions in a cloud environment, you’ll have the opportunity to pioneer new approaches while improving scientific outcomes. As a critical member of the team, you’ll identify opportunities for leveraging AI and ML to solve real\-world problems, guide efforts to mitigate risks, optimize resources, and improve lives.
Work with us to apply the power of AI and ML to solve scientific problems at the intersection of health and technology, and protect America from health, safety, and security threats.
**What You’ll Work On:**
* Develop and optimize novel AI and ML algorithms tailored to scientific challenges, integrating domain knowledge to ensure results are actionable and relevant.
* Design, validate, and deploy end\-to\-end AI and ML workflows in cloud environments to address complex analytical needs across the organization.
* Collaborate with cross\-functional teams to design efficient frameworks for data preparation, feature engineering, model selection, and outcome interpretation across data sources.
* Build tools and infrastructure to enable seamless experimentation, rapid model iteration, and reproducibility of scientific AI and ML experiments.
* Scale AI and ML solutions using advanced techniques such as distributed computing, cloud environments, including Azure and Databricks, and containerized deployments.
* Implement automated pipelines for training, validating, and deploying models into production with rigorous monitoring and evaluation processes.
* Develop containerized applications and APIs for exposing AI and ML model capabilities, ensuring accessibility and interpretability for stakeholders.
* Identify and introduce state\-of\-the\-art AI and ML techniques and tools such as explainable AI (XAI), reinforcement learning, and probabilistic modeling, to enhance research outcomes and operational decision\-making.
* Support collaboration with data scientists, researchers, and engineers to bridge the gap between foundational AI and ML research and deployed, impactful applications.
Join us. The world can’t wait.
**You Have:**
* 5\+ years of experience across data science, AI, and data engineering with ownership of end\-to\-end analytical or ML solutions
* 5\+ years of experience in bioinformatics or computational biology, including analysis and processing of biological and imaging data such as FASTQ, BAM/CRAM, VCF, or DICOM
* 3\+ years of experience designing and deploying AI and ML solutions, including model training, evaluation, and production
* 3\+ years of experience designing cloud architectures for data\-intensive or AI applications on AWS, Azure, or Google Cloud
* Experience with cloud\-based AI platforms, including Databricks, AWS SageMaker, or Azure ML
* Knowledge of Python or R for data analysis, modeling, and pipeline development
* Ability to translate complex biological questions into analytical approaches and apply existing methods to novel datasets
* Ability to work independently, lead technical initiatives, and deliver in a fast\-paced, evolving environment
* Ability to obtain and maintain a Public Trust or Suitability/Fitness determination based on client requirements
* Bachelor’s degree in a Science field
**Nice If You Have:**
* Experience with PySpark or SparkR
* Experience with Kubernetes or another container management system for managing containerized AI and ML workloads
* Experience designing and implementing automated, reproducible data and ML pipelines in a cloud environment
* Experience with version control tools, including Git
* Knowledge of AI model explainability, ethical AI, or advanced deep learning frameworks such as TensorFlow or PyTorch
* Master's degree in CS, Bioinformatics, Computational Biology, or a related Science or technical field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5">
      <c r="A155" t="inlineStr">
        <is>
          <t>in-1755cde91d1d8dfd</t>
        </is>
      </c>
      <c r="B155" t="inlineStr">
        <is>
          <t>AI &amp; ML Engineer, Mid</t>
        </is>
      </c>
      <c r="C155" t="inlineStr">
        <is>
          <t>Booz Allen Hamilton</t>
        </is>
      </c>
      <c r="D155" t="inlineStr">
        <is>
          <t>indeed</t>
        </is>
      </c>
      <c r="E155">
        <f>HYPERLINK("https://www.indeed.com/viewjob?jk=1755cde91d1d8dfd", "https://www.indeed.com/viewjob?jk=1755cde91d1d8dfd")</f>
        <v/>
      </c>
      <c r="F155">
        <f>HYPERLINK("https://careers.boozallen.com/careers/JobDetail?jobId=120075", "https://careers.boozallen.com/careers/JobDetail?jobId=120075")</f>
        <v/>
      </c>
      <c r="G155" t="inlineStr">
        <is>
          <t>Colorado Springs, CO, US</t>
        </is>
      </c>
      <c r="H155" s="3" t="n">
        <v>46050</v>
      </c>
      <c r="I155" t="inlineStr">
        <is>
          <t>AI \&amp; ML Engineer, Mid**The Opportunity:**
As an experienced engineer, you know that machine learning is critical to understanding and processing massive datasets. In an increasingly connected world, massive amounts of structured and unstructured data open new opportunities. As an AI and ML engineer, you understand the need for robust, scalable tools that enable efficient ML workflows at the enterprise level, enabling data scientists to build, test, and deploy models at scale. We need your technical knowledge and desire to problem\-solve to support civil engineering clients within the Department of War.
In this role, you’ll own and define the direction of mission\-critical solutions by applying best\-fit ML algorithms and technologies. As an ML engineer, you’ll help define and develop MLOps pipelines and containerized solutions to enable secure, robust delivery of models to the enterprise. You’ll work closely with your client to understand their questions and needs, and then dig into their data\-rich environment to find the pieces of their information puzzle. You’ll develop algorithms, write scripts, build predictive analytics, apply ML and deep learning, and use the right combination of tools and frameworks to turn that set of disparate data points into objective answers to help drive innovation, research, and development for our military and government leaders to make informed decisions. Your advanced consulting skills and extensive technical expertise will guide clients as they navigate the landscape of ML algorithms, tools, and frameworks.
Work with us to solve real\-world challenges and help define AI and ML strategy for our clients.
Join us. The world can’t wait.
**You Have:**
* 1\+ years of experience with data science, machine learning engineering, data analytics, or data research
* 1\+ years of experience with an object\-oriented language such as Python, C, or Java
* Experience with AWS or Azure cloud technologies
* Experience building data science and AI or ML solutions that support enterprise operational business and mission use case
* Experience with MLOps open\-source and Commercial Off the Shelf (COTS) products such as MLFlow, Databricks, Domino, or SageMaker
* Experience with projects in NLP, generative AI, or deep learning focus
* Ability to design environments that support MLOps pipelines by creating architecture diagrams, process flows, selecting appropriate tooling, and deploying the solution
* Ability to work in a team environment and effectively communicate technical concepts to clients, stakeholders, and senior leaders
* Ability to obtain a Secret clearance
* Bachelor's degree
**Nice If You Have:**
* Experience with Generative AI and Large Language Model (LLM) tools and frameworks
* Experience with modern Cloud containerization computing technologies and CI/CD, including Docker or Kubernetes
* Experience with Huggingface, LangChain, AutoGPT, or AgentGPT, or similar tools
* Experience with GPU programming, including CUDA or RAPIDs
* Experience addressing functional, technical, and performance requirements and evaluating architectural tradeoffs for data science and AI or ML solutions
* Secret clearance
* Master's degree in Computer Science or Statistics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6">
      <c r="A156" t="inlineStr">
        <is>
          <t>in-4b9512a9b97d13e6</t>
        </is>
      </c>
      <c r="B156" t="inlineStr">
        <is>
          <t>Lead ML Engineer, Cat Digital</t>
        </is>
      </c>
      <c r="C156" t="inlineStr">
        <is>
          <t>Caterpillar</t>
        </is>
      </c>
      <c r="D156" t="inlineStr">
        <is>
          <t>indeed</t>
        </is>
      </c>
      <c r="E156">
        <f>HYPERLINK("https://www.indeed.com/viewjob?jk=4b9512a9b97d13e6", "https://www.indeed.com/viewjob?jk=4b9512a9b97d13e6")</f>
        <v/>
      </c>
      <c r="F156">
        <f>HYPERLINK("https://careers.caterpillar.com/en/jobs/r0000346724/lead-ml-engineer-cat-digital/", "https://careers.caterpillar.com/en/jobs/r0000346724/lead-ml-engineer-cat-digital/")</f>
        <v/>
      </c>
      <c r="G156" t="inlineStr">
        <is>
          <t>Chicago, IL, US</t>
        </is>
      </c>
      <c r="H156" s="3" t="n">
        <v>46050</v>
      </c>
      <c r="I156"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Join the Gen AI Delivery team of Cat Digital and be responsible for bringing world class GenAI capabilities to our products and services.
 **What You Do:**
* **Model Development:** Fine\-tuning, implementing, developing, and optimizing models used in generative AI solutions
* **Algorithm Research:** Staying updated with the latest advancements in AI and machine learning algorithms and integrating them into the team's projects.
* **Experimentation:** Conducting experiments to test the performance of different models and approaches, and iterating based on the results.
* **Research and Implementation:** Agentic GenAI solution research and best approach to implement solutions
* **Training and Mentorship:** Providing guidance and mentorship to junior data scientists and other team members.
 **What You Will Have:**
* **Business Statistics:** Knowledge of the statistical tools, processes, and practices to describe business results in measurable scales; ability to use statistical tools and processes to assist in making business decisions.
* **Analytical Thinking:** Knowledge of techniques and tools that promote effective analysis; ability to determine the root cause of organizational problems and create alternative solutions that resolve these problems.
* **Machine Learning:** Knowledge of principles, technologies and algorithms of machine learning; ability to develop, implement and deliver related systems, products and services.
* **Programming:** Solid understanding of concepts and capabilities of software engineering; ability to use tools, techniques and platforms to write and modify software.
* **Requirements Analysis:** Knowledge of tools, methods, and techniques of requirement analysis; ability to elicit, analyze and record required business functionality and non\-functionality requirements to ensure the success of a system or software development project.
**Top Candidates Will Have:**
* Experience with Python and Golang
* Experience with AWS services and tools
* Ability to evaluate generated content from Large\-Language Models (LLM)
* Machine Learning
* Computer Vision
**Additional Details:**
This position has the option to be based out of either our Chicago, IL, Peoria, IL, or Irving, TX (Dallas) offices.
\#LI
\#BI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applicants.**Posting Dates:**
January 29, 2026 \- February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57">
      <c r="A157" t="inlineStr">
        <is>
          <t>in-77a1a7d3df92da49</t>
        </is>
      </c>
      <c r="B157" t="inlineStr">
        <is>
          <t>Lead AI Engineer</t>
        </is>
      </c>
      <c r="C157" t="inlineStr">
        <is>
          <t>Elevance Health</t>
        </is>
      </c>
      <c r="D157" t="inlineStr">
        <is>
          <t>indeed</t>
        </is>
      </c>
      <c r="E157">
        <f>HYPERLINK("https://www.indeed.com/viewjob?jk=77a1a7d3df92da49", "https://www.indeed.com/viewjob?jk=77a1a7d3df92da49")</f>
        <v/>
      </c>
      <c r="F157">
        <f>HYPERLINK("https://careers.elevancehealth.com/lead-ai-engineer/job/00B4FCFEC2421C7C50BCA4B30E672AD0", "https://careers.elevancehealth.com/lead-ai-engineer/job/00B4FCFEC2421C7C50BCA4B30E672AD0")</f>
        <v/>
      </c>
      <c r="G157" t="inlineStr">
        <is>
          <t>Mason, OH, US</t>
        </is>
      </c>
      <c r="H157" s="3" t="n">
        <v>46050</v>
      </c>
      <c r="I157" t="inlineStr">
        <is>
          <t>**Lead AI Engineer**
Location: This role requires associates to be **in\-office 3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**Lead AI Engineer** will drive the design, development, and deployment of AI solutions in healthcare. This role focuses on building production\-grade, compliant, and trustworthy AI systems that improve healthcare outcomes, operational efficiency, and decision\-making. You will lead AI initiatives end\-to\-end while working closely with clinical, product, data, and engineering teams in a highly regulated environment.
**How You Will Make an Impact:**
* Lead the architecture and implementation of AI and Agentic AI solutions for healthcare use cases.
* Design scalable, secure, and compliant AI systems aligned with healthcare regulations.
* Establish standards for model governance, validation, monitoring, and explainability.
* May implement improvements in stability, performance, and scalability across major business\-critical systems.
* May implement processes to reduce barriers and roadblocks in projects, services, and processes in order to operate more efficiently.
* Build, train, and deploy ML and deep learning models using healthcare data (claims, EHR, clinical notes, imaging, etc.).
* Develop data pipelines for structured and unstructured healthcare data.
* Implement APIs and services to serve AI models in production environments.
* Apply and evaluate **Generative AI and LLMs** for healthcare use cases (clinical summarization, coding support, member engagement, operational automation).
* Develops and defines application scope and objectives and supervises the preparation of technical and/or functional specifications from with programs will be written.
* Performs technical design reviews and code reviews.
* Ensure AI solutions meet HIPAA, PHI, and data privacy requirements.
* Implement responsible AI practices including bias detection, fairness evaluation, and explainability.
* Collaborate with legal, compliance, and security teams on model governance.
* Partner with product managers, clinicians, data scientists, and business stakeholders to translate healthcare needs into AI solutions.
* Identify high\-impact healthcare AI use cases and guide prioritization.
* Communicate complex AI concepts clearly to clinical and non\-technical audiences.
* Owns the technical development environment and works on the Enterprise team.
* Leads multiple or large projects and facilitates large group JAD sessions for requirements, modeling in several disciplines.
* Mentor and guide AI engineers in best practices and healthcare\-specific considerations.
* Review code, models, and architectures.
* Contribute to hiring, onboarding, and building a high\-performing AI team.
**Minimum Requirements:**
* Requires an BA/BS degree in Information Technology, Computer Science or related field of study and a minimum of 7 years related experience; multi\-platform, multi\-dimensional experience, and expert level experience with business and technical applications; or any combination of education and experience, which would provide an equivalent background.
**Preferred Skills, Capabilities and Experiences:**
* 7\+ years of software engineering experience, with 4\+ years in AI/ML roles.
* Strong expertise in **Python** and ML frameworks (PyTorch, TensorFlow, scikit\-learn).
* Proven experience deploying AI/ML models into **production healthcare environments.**
* Solid understanding of:
* Machine learning and deep learning techniques.
* Model evaluation, validation, and monitoring.
* Data pipelines and feature engineering.
* Experience with **cloud platforms** (AWS, Azure), including secure data handling.
* Familiarity with **MLOps** practices (CI/CD, model versioning, drift detection).
* Strong understanding of data privacy and security principles.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58">
      <c r="A158" t="inlineStr">
        <is>
          <t>in-fb7aa2248e9eba19</t>
        </is>
      </c>
      <c r="B158" t="inlineStr">
        <is>
          <t>Contract Machine Learning Engineer/Data Scientist</t>
        </is>
      </c>
      <c r="C158" t="inlineStr"/>
      <c r="D158" t="inlineStr">
        <is>
          <t>indeed</t>
        </is>
      </c>
      <c r="E158">
        <f>HYPERLINK("https://www.indeed.com/viewjob?jk=fb7aa2248e9eba19", "https://www.indeed.com/viewjob?jk=fb7aa2248e9eba19")</f>
        <v/>
      </c>
      <c r="F158">
        <f>HYPERLINK("https://ht-jobs.net/v5s7xho?s=in", "https://ht-jobs.net/v5s7xho?s=in")</f>
        <v/>
      </c>
      <c r="G158" t="inlineStr">
        <is>
          <t>Remote, US</t>
        </is>
      </c>
      <c r="H158" s="3" t="n">
        <v>46050</v>
      </c>
      <c r="I158" t="inlineStr">
        <is>
          <t>**ABOUT ARS X MACHINA:**
Ars X Machina (AXM) is a full\-service media planning, buying, and analytics agency headquartered in San Francisco, with a remote team distributed across the U.S. We craft omnichannel, data\-driven media strategies that span the entire paid media landscape. From audience development and strategic planning to budget forecasting, execution, optimization, and reporting, we manage the full media lifecycle end\-to\-end. Our experience spans both B2B and B2C, supporting brand\-building and performance\-driven campaigns. What sets AXM apart? Our agility, strategic leadership, and innovative mindset—all rooted in a collaborative, people\-first culture where both clients and team members thrive for the long haul.
**JOB DESCRIPTION:**
AXM is seeking a data scientist on a contract basis to support the continued development and delivery of Agile Mix Modeling™ (AMM), our machine\-learning powered solution for real\-time, cross\-channel media measurement, forecasting, and optimization. This role is highly execution\-oriented. The contractor will be responsible for building, running, validating, and iterating on AMM models in support of active client engagements, working closely with AXM’s Analytics, Data Science, and Media teams.
**ESSENTIAL DUTIES AND RESPONSIBILITIES:**
* Construct and run models as needed for client reporting deliverables
* Communicate complex statistical information to agency client teams, and help construct narratives for client reporting deliverables
* Continue development of AMM product by improving Bayesian models and utilizing statistical and machinelearning approaches to optimize attribution output and streamline the creation of valid models
* Help maintain a custom code base, container images, and cloud infrastructure.
* Work in an AWS cloud environment managed
* Be highly organized and able to work independently.
* Provide guidance and mentorship to data science team members
* Demonstrate critical thinking and problem\-solving abilities.
* Consistently meet deadlines in a fast\-paced environment: working under pressure while prioritizing workload.
**REQUIREMENTS**
* 8\+ years of experience in a data scientist role, including experience in advertising analytics
* Bachelor's degree in Statistics, Mathematics, Computer Science, Economics, or a related field.
* Proven expertise in coding with Python, with a strong understanding of data structures, algorithms, and object\-oriented programming.
* Experience with Bayesian Modelling, ideally using PyMC and pymc\-marketing, with the ability to effectively communicate results
* Experience with the following is required: Ray, Podman (or Docker), Terraform, Git
* Familiarity with machine learning techniques and libraries such as scikit\-learn, TensorFlow, or PyTorch
* Proficiency in SQL, Pandas, and general ETL practices required
* Knowledge of econometrics and statistical modeling techniques
* Ability to thrive in a remote work environment, demonstrating strong project management, communication, and collaboration skills.
* Experience in advertising analytics, Marketing Mix Modeling (MMM), and experimentation required
* Excellent problem\-solving skills and the ability to work independently and as part of a team.
* Outstanding collaboration skills with a proven ability to work cross\-functionally in order to establish and meet shared organizational goals
* Highly detail\-oriented with excellent organizational, time management, and problem\-solving skills
* Must live in the Pacific time zone or be willing to work PST hours.
**\*\*\*WE ARE AN AT\-WILL, EQUAL OPPORTUNITY EMPLOYER\*\*\***</t>
        </is>
      </c>
    </row>
    <row r="159">
      <c r="A159" t="inlineStr">
        <is>
          <t>in-0fd734657f198520</t>
        </is>
      </c>
      <c r="B159" t="inlineStr">
        <is>
          <t>Machine Learning Engineer</t>
        </is>
      </c>
      <c r="C159" t="inlineStr">
        <is>
          <t>CliftonLarsonAllen</t>
        </is>
      </c>
      <c r="D159" t="inlineStr">
        <is>
          <t>indeed</t>
        </is>
      </c>
      <c r="E159">
        <f>HYPERLINK("https://www.indeed.com/viewjob?jk=0fd734657f198520", "https://www.indeed.com/viewjob?jk=0fd734657f198520")</f>
        <v/>
      </c>
      <c r="F159">
        <f>HYPERLINK("https://cliftonlarsonallen.wd1.myworkdayjobs.com/en-US/CLA/job/Akron-OH/Machine-Learning-Engineer_R16794", "https://cliftonlarsonallen.wd1.myworkdayjobs.com/en-US/CLA/job/Akron-OH/Machine-Learning-Engineer_R16794")</f>
        <v/>
      </c>
      <c r="G159" t="inlineStr">
        <is>
          <t>Akron, OH, US</t>
        </is>
      </c>
      <c r="H159" s="3" t="n">
        <v>46050</v>
      </c>
      <c r="I159"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Our Perks:* Flexible PTO (designed to offer flexible time away for you!)
* Up to 12 weeks paid parental leave
* Paid Volunteer Time Off
* Mental health coverage
* Quarterly Wellness stipend
* Fertility benefits
* Complete list of benefits here
CLA is growing and seeking to hire an experienced Machine Learning Operation Engineer: this position offers growth, flexibility and a collaborative work environment.
We’re looking for a motivated and curious Machine Learning Operation Engineer to join our Data Science Team. This is an opportunity to learn, build, and grow alongside experienced developers in a supportive, collaborative environment.
How you’ll *create opportunities* in this role:* Assist with design and development of MLOps infrastructure to support the deployment, management, and monitoring of machine learning models within the firm.
* Collaborate with data scientists and engineers to ensure seamless integration of data science and engineering processes.
* Support maintenance of automated workflows and pipelines for efficient model deployment and monitoring.
* Troubleshoot and resolve any issues with model performance, data pipelines, or infrastructure.
* Assist with ensuring the security and scalability of the MLOps infrastructure to handle large volumes of data and models.
* Support maintenance of documentation for MLOps processes and systems.
* Collaborate with cross\-functional teams to understand business needs and translate them into technical requirements.
* Ensure compliance with data security and privacy regulations.
* Stay up to date with industry trends and advancements in machine learning and MLOps.
Technologies You'll Use* Familiarity with cloud platforms (e.g., AWS, Azure, GCP).
* Basic understanding of SQL and experience with ETL pipeline design and maintenance.
* Knowledge of CI/CD concepts and experience with tools like Jenkins, Git, Perforce, etc.,
* Proficiency in programming languages such as Python.
* Knowledge of data pipeline architecture and data transformation.
* Knowledge of machine learning model deployment and management.
* Familiarity with performance monitoring and optimization techniques.
* Basic understanding of machine learning and DevOps principles.
What you will need:* 2\+ years' experience as a Data/ML Engineer
* Bachelor's degree is required. Combination of relevant experience, education, and training may be accepted in lieu of degree.
Equal Opportunity Employer/Protected Veterans/Individuals with Disabilities  
Wellness at CLA
To support our CLA family members, we focus on their physical, financial, social, and emotional well\-being and offer comprehensive benefit options that include health, dental, vision, 401k and much more.
To view a complete list of benefits click here.</t>
        </is>
      </c>
    </row>
    <row r="160">
      <c r="A160" t="inlineStr">
        <is>
          <t>in-3f8cf26fe93af7e8</t>
        </is>
      </c>
      <c r="B160" t="inlineStr">
        <is>
          <t>Sr. Applied Scientist, Amazon Ads</t>
        </is>
      </c>
      <c r="C160" t="inlineStr">
        <is>
          <t>Amazon.com</t>
        </is>
      </c>
      <c r="D160" t="inlineStr">
        <is>
          <t>indeed</t>
        </is>
      </c>
      <c r="E160">
        <f>HYPERLINK("https://www.indeed.com/viewjob?jk=3f8cf26fe93af7e8", "https://www.indeed.com/viewjob?jk=3f8cf26fe93af7e8")</f>
        <v/>
      </c>
      <c r="F160">
        <f>HYPERLINK("https://www.amazon.jobs/jobs/3139328/sr-applied-scientist-amazon-ads?cmpid=DA_INAD200785B", "https://www.amazon.jobs/jobs/3139328/sr-applied-scientist-amazon-ads?cmpid=DA_INAD200785B")</f>
        <v/>
      </c>
      <c r="G160" t="inlineStr">
        <is>
          <t>Brooklyn, NY,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in-2bac8099459793bd</t>
        </is>
      </c>
      <c r="B161" t="inlineStr">
        <is>
          <t>Sr. Applied Scientist, Amazon Ads</t>
        </is>
      </c>
      <c r="C161" t="inlineStr">
        <is>
          <t>Amazon.com</t>
        </is>
      </c>
      <c r="D161" t="inlineStr">
        <is>
          <t>indeed</t>
        </is>
      </c>
      <c r="E161">
        <f>HYPERLINK("https://www.indeed.com/viewjob?jk=2bac8099459793bd", "https://www.indeed.com/viewjob?jk=2bac8099459793bd")</f>
        <v/>
      </c>
      <c r="F161">
        <f>HYPERLINK("https://www.amazon.jobs/jobs/3139328/sr-applied-scientist-amazon-ads?cmpid=DA_INAD200785B", "https://www.amazon.jobs/jobs/3139328/sr-applied-scientist-amazon-ads?cmpid=DA_INAD200785B")</f>
        <v/>
      </c>
      <c r="G161" t="inlineStr">
        <is>
          <t>Boston, MA,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in-d468fd11639efd13</t>
        </is>
      </c>
      <c r="B162" t="inlineStr">
        <is>
          <t>Applied Scientist, ML Compiler</t>
        </is>
      </c>
      <c r="C162" t="inlineStr">
        <is>
          <t>Amazon Web Services</t>
        </is>
      </c>
      <c r="D162" t="inlineStr">
        <is>
          <t>indeed</t>
        </is>
      </c>
      <c r="E162">
        <f>HYPERLINK("https://www.indeed.com/viewjob?jk=d468fd11639efd13", "https://www.indeed.com/viewjob?jk=d468fd11639efd13")</f>
        <v/>
      </c>
      <c r="F162">
        <f>HYPERLINK("https://www.amazon.jobs/jobs/3136884/applied-scientist-ml-compiler?cmpid=DA_INAD200785B", "https://www.amazon.jobs/jobs/3136884/applied-scientist-ml-compiler?cmpid=DA_INAD200785B")</f>
        <v/>
      </c>
      <c r="G162" t="inlineStr">
        <is>
          <t>Cupertino, CA, US</t>
        </is>
      </c>
      <c r="H162" s="3" t="n">
        <v>45993</v>
      </c>
      <c r="I16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in-9ec3c22e61883857</t>
        </is>
      </c>
      <c r="B163" t="inlineStr">
        <is>
          <t>Applied Scientist, ML Compiler</t>
        </is>
      </c>
      <c r="C163" t="inlineStr">
        <is>
          <t>Amazon Web Services</t>
        </is>
      </c>
      <c r="D163" t="inlineStr">
        <is>
          <t>indeed</t>
        </is>
      </c>
      <c r="E163">
        <f>HYPERLINK("https://www.indeed.com/viewjob?jk=9ec3c22e61883857", "https://www.indeed.com/viewjob?jk=9ec3c22e61883857")</f>
        <v/>
      </c>
      <c r="F163">
        <f>HYPERLINK("https://www.amazon.jobs/jobs/3136884/applied-scientist-ml-compiler?cmpid=DA_INAD200785B", "https://www.amazon.jobs/jobs/3136884/applied-scientist-ml-compiler?cmpid=DA_INAD200785B")</f>
        <v/>
      </c>
      <c r="G163" t="inlineStr">
        <is>
          <t>Seattle, WA, US</t>
        </is>
      </c>
      <c r="H163" s="3" t="n">
        <v>45993</v>
      </c>
      <c r="I16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in-f42532426ff478b9</t>
        </is>
      </c>
      <c r="B164" t="inlineStr">
        <is>
          <t>Principal Applied Scientist, Amazon Special Projects</t>
        </is>
      </c>
      <c r="C164" t="inlineStr">
        <is>
          <t>Amazon.com</t>
        </is>
      </c>
      <c r="D164" t="inlineStr">
        <is>
          <t>indeed</t>
        </is>
      </c>
      <c r="E164">
        <f>HYPERLINK("https://www.indeed.com/viewjob?jk=f42532426ff478b9", "https://www.indeed.com/viewjob?jk=f42532426ff478b9")</f>
        <v/>
      </c>
      <c r="F164">
        <f>HYPERLINK("https://www.amazon.jobs/jobs/3132566/principal-applied-scientist-amazon-special-projects?cmpid=DA_INAD200785B", "https://www.amazon.jobs/jobs/3132566/principal-applied-scientist-amazon-special-projects?cmpid=DA_INAD200785B")</f>
        <v/>
      </c>
      <c r="G164" t="inlineStr">
        <is>
          <t>Boston, MA, US</t>
        </is>
      </c>
      <c r="H164" s="3" t="n">
        <v>45982</v>
      </c>
      <c r="I16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in-9b55e62cce5f0391</t>
        </is>
      </c>
      <c r="B165" t="inlineStr">
        <is>
          <t>Principal Applied Scientist, Amazon Special Projects</t>
        </is>
      </c>
      <c r="C165" t="inlineStr">
        <is>
          <t>Amazon.com</t>
        </is>
      </c>
      <c r="D165" t="inlineStr">
        <is>
          <t>indeed</t>
        </is>
      </c>
      <c r="E165">
        <f>HYPERLINK("https://www.indeed.com/viewjob?jk=9b55e62cce5f0391", "https://www.indeed.com/viewjob?jk=9b55e62cce5f0391")</f>
        <v/>
      </c>
      <c r="F165">
        <f>HYPERLINK("https://www.amazon.jobs/jobs/3132566/principal-applied-scientist-amazon-special-projects?cmpid=DA_INAD200785B", "https://www.amazon.jobs/jobs/3132566/principal-applied-scientist-amazon-special-projects?cmpid=DA_INAD200785B")</f>
        <v/>
      </c>
      <c r="G165" t="inlineStr">
        <is>
          <t>Seattle, WA, US</t>
        </is>
      </c>
      <c r="H165" s="3" t="n">
        <v>45982</v>
      </c>
      <c r="I16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in-0a9f614646a60eb5</t>
        </is>
      </c>
      <c r="B166" t="inlineStr">
        <is>
          <t>Senior Applied Scientist, Artificial General Intelligence</t>
        </is>
      </c>
      <c r="C166" t="inlineStr">
        <is>
          <t>Amazon.com</t>
        </is>
      </c>
      <c r="D166" t="inlineStr">
        <is>
          <t>indeed</t>
        </is>
      </c>
      <c r="E166">
        <f>HYPERLINK("https://www.indeed.com/viewjob?jk=0a9f614646a60eb5", "https://www.indeed.com/viewjob?jk=0a9f614646a60eb5")</f>
        <v/>
      </c>
      <c r="F166">
        <f>HYPERLINK("https://www.amazon.jobs/jobs/3131971/senior-applied-scientist-artificial-general-intelligence?cmpid=DA_INAD200785B", "https://www.amazon.jobs/jobs/3131971/senior-applied-scientist-artificial-general-intelligence?cmpid=DA_INAD200785B")</f>
        <v/>
      </c>
      <c r="G166" t="inlineStr">
        <is>
          <t>Sunnyvale, CA, US</t>
        </is>
      </c>
      <c r="H166" s="3" t="n">
        <v>45980</v>
      </c>
      <c r="I16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in-85356cec0a697899</t>
        </is>
      </c>
      <c r="B167" t="inlineStr">
        <is>
          <t>Senior Applied Scientist, Artificial General Intelligence</t>
        </is>
      </c>
      <c r="C167" t="inlineStr">
        <is>
          <t>Amazon.com</t>
        </is>
      </c>
      <c r="D167" t="inlineStr">
        <is>
          <t>indeed</t>
        </is>
      </c>
      <c r="E167">
        <f>HYPERLINK("https://www.indeed.com/viewjob?jk=85356cec0a697899", "https://www.indeed.com/viewjob?jk=85356cec0a697899")</f>
        <v/>
      </c>
      <c r="F167">
        <f>HYPERLINK("https://www.amazon.jobs/jobs/3131971/senior-applied-scientist-artificial-general-intelligence?cmpid=DA_INAD200785B", "https://www.amazon.jobs/jobs/3131971/senior-applied-scientist-artificial-general-intelligence?cmpid=DA_INAD200785B")</f>
        <v/>
      </c>
      <c r="G167" t="inlineStr">
        <is>
          <t>Boston, MA, US</t>
        </is>
      </c>
      <c r="H167" s="3" t="n">
        <v>45980</v>
      </c>
      <c r="I16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in-5b44ea6e9a8877fa</t>
        </is>
      </c>
      <c r="B168" t="inlineStr">
        <is>
          <t>Senior Applied Scientist, Artificial General Intelligence</t>
        </is>
      </c>
      <c r="C168" t="inlineStr">
        <is>
          <t>Amazon.com</t>
        </is>
      </c>
      <c r="D168" t="inlineStr">
        <is>
          <t>indeed</t>
        </is>
      </c>
      <c r="E168">
        <f>HYPERLINK("https://www.indeed.com/viewjob?jk=5b44ea6e9a8877fa", "https://www.indeed.com/viewjob?jk=5b44ea6e9a8877fa")</f>
        <v/>
      </c>
      <c r="F168">
        <f>HYPERLINK("https://www.amazon.jobs/jobs/3131971/senior-applied-scientist-artificial-general-intelligence?cmpid=DA_INAD200785B", "https://www.amazon.jobs/jobs/3131971/senior-applied-scientist-artificial-general-intelligence?cmpid=DA_INAD200785B")</f>
        <v/>
      </c>
      <c r="G168" t="inlineStr">
        <is>
          <t>New York, NY, US</t>
        </is>
      </c>
      <c r="H168" s="3" t="n">
        <v>45980</v>
      </c>
      <c r="I16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in-6e9f4e87a183c533</t>
        </is>
      </c>
      <c r="B169" t="inlineStr">
        <is>
          <t>Senior Applied Scientist, Artificial General Intelligence</t>
        </is>
      </c>
      <c r="C169" t="inlineStr">
        <is>
          <t>Amazon.com</t>
        </is>
      </c>
      <c r="D169" t="inlineStr">
        <is>
          <t>indeed</t>
        </is>
      </c>
      <c r="E169">
        <f>HYPERLINK("https://www.indeed.com/viewjob?jk=6e9f4e87a183c533", "https://www.indeed.com/viewjob?jk=6e9f4e87a183c533")</f>
        <v/>
      </c>
      <c r="F169">
        <f>HYPERLINK("https://www.amazon.jobs/jobs/3131971/senior-applied-scientist-artificial-general-intelligence?cmpid=DA_INAD200785B", "https://www.amazon.jobs/jobs/3131971/senior-applied-scientist-artificial-general-intelligence?cmpid=DA_INAD200785B")</f>
        <v/>
      </c>
      <c r="G169" t="inlineStr">
        <is>
          <t>Seattle, WA, US</t>
        </is>
      </c>
      <c r="H169" s="3" t="n">
        <v>45980</v>
      </c>
      <c r="I16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in-3ee93bede41e4210</t>
        </is>
      </c>
      <c r="B170" t="inlineStr">
        <is>
          <t>Principal Applied Scientist, Sponsored Products and Brands</t>
        </is>
      </c>
      <c r="C170" t="inlineStr">
        <is>
          <t>Amazon.com</t>
        </is>
      </c>
      <c r="D170" t="inlineStr">
        <is>
          <t>indeed</t>
        </is>
      </c>
      <c r="E170">
        <f>HYPERLINK("https://www.indeed.com/viewjob?jk=3ee93bede41e4210", "https://www.indeed.com/viewjob?jk=3ee93bede41e4210")</f>
        <v/>
      </c>
      <c r="F170">
        <f>HYPERLINK("https://www.amazon.jobs/jobs/3130855/principal-applied-scientist-sponsored-products-and-brands?cmpid=DA_INAD200785B", "https://www.amazon.jobs/jobs/3130855/principal-applied-scientist-sponsored-products-and-brands?cmpid=DA_INAD200785B")</f>
        <v/>
      </c>
      <c r="G170" t="inlineStr">
        <is>
          <t>New York, NY, US</t>
        </is>
      </c>
      <c r="H170" s="3" t="n">
        <v>45979</v>
      </c>
      <c r="I1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in-961f162e58f8700a</t>
        </is>
      </c>
      <c r="B171" t="inlineStr">
        <is>
          <t>Principal Applied Scientist, Sponsored Products and Brands</t>
        </is>
      </c>
      <c r="C171" t="inlineStr">
        <is>
          <t>Amazon.com</t>
        </is>
      </c>
      <c r="D171" t="inlineStr">
        <is>
          <t>indeed</t>
        </is>
      </c>
      <c r="E171">
        <f>HYPERLINK("https://www.indeed.com/viewjob?jk=961f162e58f8700a", "https://www.indeed.com/viewjob?jk=961f162e58f8700a")</f>
        <v/>
      </c>
      <c r="F171">
        <f>HYPERLINK("https://www.amazon.jobs/jobs/3130855/principal-applied-scientist-sponsored-products-and-brands?cmpid=DA_INAD200785B", "https://www.amazon.jobs/jobs/3130855/principal-applied-scientist-sponsored-products-and-brands?cmpid=DA_INAD200785B")</f>
        <v/>
      </c>
      <c r="G171" t="inlineStr">
        <is>
          <t>Seattle, WA, US</t>
        </is>
      </c>
      <c r="H171" s="3" t="n">
        <v>45979</v>
      </c>
      <c r="I1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in-b9d86d9c9fc5f977</t>
        </is>
      </c>
      <c r="B172" t="inlineStr">
        <is>
          <t>Sr. Applied Scientist, AGI Foundations</t>
        </is>
      </c>
      <c r="C172" t="inlineStr">
        <is>
          <t>Amazon.com</t>
        </is>
      </c>
      <c r="D172" t="inlineStr">
        <is>
          <t>indeed</t>
        </is>
      </c>
      <c r="E172">
        <f>HYPERLINK("https://www.indeed.com/viewjob?jk=b9d86d9c9fc5f977", "https://www.indeed.com/viewjob?jk=b9d86d9c9fc5f977")</f>
        <v/>
      </c>
      <c r="F172">
        <f>HYPERLINK("https://www.amazon.jobs/jobs/3128807/sr-applied-scientist-agi-foundations?cmpid=DA_INAD200785B", "https://www.amazon.jobs/jobs/3128807/sr-applied-scientist-agi-foundations?cmpid=DA_INAD200785B")</f>
        <v/>
      </c>
      <c r="G172" t="inlineStr">
        <is>
          <t>Boston, MA, US</t>
        </is>
      </c>
      <c r="H172" s="3" t="n">
        <v>45978</v>
      </c>
      <c r="I17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in-40777b1561b6ef06</t>
        </is>
      </c>
      <c r="B173" t="inlineStr">
        <is>
          <t>Sr. Applied Scientist, AGI Foundations</t>
        </is>
      </c>
      <c r="C173" t="inlineStr">
        <is>
          <t>Amazon.com</t>
        </is>
      </c>
      <c r="D173" t="inlineStr">
        <is>
          <t>indeed</t>
        </is>
      </c>
      <c r="E173">
        <f>HYPERLINK("https://www.indeed.com/viewjob?jk=40777b1561b6ef06", "https://www.indeed.com/viewjob?jk=40777b1561b6ef06")</f>
        <v/>
      </c>
      <c r="F173">
        <f>HYPERLINK("https://www.amazon.jobs/jobs/3128807/sr-applied-scientist-agi-foundations?cmpid=DA_INAD200785B", "https://www.amazon.jobs/jobs/3128807/sr-applied-scientist-agi-foundations?cmpid=DA_INAD200785B")</f>
        <v/>
      </c>
      <c r="G173" t="inlineStr">
        <is>
          <t>Bellevue, WA, US</t>
        </is>
      </c>
      <c r="H173" s="3" t="n">
        <v>45978</v>
      </c>
      <c r="I17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in-a92590d0efa81d1b</t>
        </is>
      </c>
      <c r="B174" t="inlineStr">
        <is>
          <t>Sr. Applied Scientist, AGI Foundations</t>
        </is>
      </c>
      <c r="C174" t="inlineStr">
        <is>
          <t>Amazon.com</t>
        </is>
      </c>
      <c r="D174" t="inlineStr">
        <is>
          <t>indeed</t>
        </is>
      </c>
      <c r="E174">
        <f>HYPERLINK("https://www.indeed.com/viewjob?jk=a92590d0efa81d1b", "https://www.indeed.com/viewjob?jk=a92590d0efa81d1b")</f>
        <v/>
      </c>
      <c r="F174">
        <f>HYPERLINK("https://www.amazon.jobs/jobs/3128807/sr-applied-scientist-agi-foundations?cmpid=DA_INAD200785B", "https://www.amazon.jobs/jobs/3128807/sr-applied-scientist-agi-foundations?cmpid=DA_INAD200785B")</f>
        <v/>
      </c>
      <c r="G174" t="inlineStr">
        <is>
          <t>Sunnyvale, CA, US</t>
        </is>
      </c>
      <c r="H174" s="3" t="n">
        <v>45978</v>
      </c>
      <c r="I1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in-4170abf1d89d1e8e</t>
        </is>
      </c>
      <c r="B175" t="inlineStr">
        <is>
          <t>Sr. Applied Scientist, AGI Foundations</t>
        </is>
      </c>
      <c r="C175" t="inlineStr">
        <is>
          <t>Amazon.com</t>
        </is>
      </c>
      <c r="D175" t="inlineStr">
        <is>
          <t>indeed</t>
        </is>
      </c>
      <c r="E175">
        <f>HYPERLINK("https://www.indeed.com/viewjob?jk=4170abf1d89d1e8e", "https://www.indeed.com/viewjob?jk=4170abf1d89d1e8e")</f>
        <v/>
      </c>
      <c r="F175">
        <f>HYPERLINK("https://www.amazon.jobs/jobs/3128807/sr-applied-scientist-agi-foundations?cmpid=DA_INAD200785B", "https://www.amazon.jobs/jobs/3128807/sr-applied-scientist-agi-foundations?cmpid=DA_INAD200785B")</f>
        <v/>
      </c>
      <c r="G175" t="inlineStr">
        <is>
          <t>New York, NY, US</t>
        </is>
      </c>
      <c r="H175" s="3" t="n">
        <v>45978</v>
      </c>
      <c r="I1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in-f88bd12a937f0521</t>
        </is>
      </c>
      <c r="B176" t="inlineStr">
        <is>
          <t>Principal Applied Scientist, Amazon AGI</t>
        </is>
      </c>
      <c r="C176" t="inlineStr">
        <is>
          <t>Amazon.com</t>
        </is>
      </c>
      <c r="D176" t="inlineStr">
        <is>
          <t>indeed</t>
        </is>
      </c>
      <c r="E176">
        <f>HYPERLINK("https://www.indeed.com/viewjob?jk=f88bd12a937f0521", "https://www.indeed.com/viewjob?jk=f88bd12a937f0521")</f>
        <v/>
      </c>
      <c r="F176">
        <f>HYPERLINK("https://www.amazon.jobs/jobs/3128808/principal-applied-scientist-amazon-agi?cmpid=DA_INAD200785B", "https://www.amazon.jobs/jobs/3128808/principal-applied-scientist-amazon-agi?cmpid=DA_INAD200785B")</f>
        <v/>
      </c>
      <c r="G176" t="inlineStr">
        <is>
          <t>San Francisco, CA, US</t>
        </is>
      </c>
      <c r="H176" s="3" t="n">
        <v>45964</v>
      </c>
      <c r="I17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in-5ea84987944029b3</t>
        </is>
      </c>
      <c r="B177" t="inlineStr">
        <is>
          <t>Principal Applied Scientist, Amazon AGI</t>
        </is>
      </c>
      <c r="C177" t="inlineStr">
        <is>
          <t>Amazon.com</t>
        </is>
      </c>
      <c r="D177" t="inlineStr">
        <is>
          <t>indeed</t>
        </is>
      </c>
      <c r="E177">
        <f>HYPERLINK("https://www.indeed.com/viewjob?jk=5ea84987944029b3", "https://www.indeed.com/viewjob?jk=5ea84987944029b3")</f>
        <v/>
      </c>
      <c r="F177">
        <f>HYPERLINK("https://www.amazon.jobs/jobs/3128808/principal-applied-scientist-amazon-agi?cmpid=DA_INAD200785B", "https://www.amazon.jobs/jobs/3128808/principal-applied-scientist-amazon-agi?cmpid=DA_INAD200785B")</f>
        <v/>
      </c>
      <c r="G177" t="inlineStr">
        <is>
          <t>Boston, MA, US</t>
        </is>
      </c>
      <c r="H177" s="3" t="n">
        <v>45964</v>
      </c>
      <c r="I17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in-cb3ba9bbd1eb810d</t>
        </is>
      </c>
      <c r="B178" t="inlineStr">
        <is>
          <t>Sr. Applied Scientist, AGI Foundations</t>
        </is>
      </c>
      <c r="C178" t="inlineStr">
        <is>
          <t>Amazon.com</t>
        </is>
      </c>
      <c r="D178" t="inlineStr">
        <is>
          <t>indeed</t>
        </is>
      </c>
      <c r="E178">
        <f>HYPERLINK("https://www.indeed.com/viewjob?jk=cb3ba9bbd1eb810d", "https://www.indeed.com/viewjob?jk=cb3ba9bbd1eb810d")</f>
        <v/>
      </c>
      <c r="F178">
        <f>HYPERLINK("https://www.amazon.jobs/jobs/3123268/sr-applied-scientist-agi-foundations?cmpid=DA_INAD200785B", "https://www.amazon.jobs/jobs/3123268/sr-applied-scientist-agi-foundations?cmpid=DA_INAD200785B")</f>
        <v/>
      </c>
      <c r="G178" t="inlineStr">
        <is>
          <t>Bellevue, WA, US</t>
        </is>
      </c>
      <c r="H178" s="3" t="n">
        <v>45963</v>
      </c>
      <c r="I17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in-4a60edbd0fe27213</t>
        </is>
      </c>
      <c r="B179" t="inlineStr">
        <is>
          <t>Sr. Applied Scientist, AGI Foundations</t>
        </is>
      </c>
      <c r="C179" t="inlineStr">
        <is>
          <t>Amazon.com</t>
        </is>
      </c>
      <c r="D179" t="inlineStr">
        <is>
          <t>indeed</t>
        </is>
      </c>
      <c r="E179">
        <f>HYPERLINK("https://www.indeed.com/viewjob?jk=4a60edbd0fe27213", "https://www.indeed.com/viewjob?jk=4a60edbd0fe27213")</f>
        <v/>
      </c>
      <c r="F179">
        <f>HYPERLINK("https://www.amazon.jobs/jobs/3123268/sr-applied-scientist-agi-foundations?cmpid=DA_INAD200785B", "https://www.amazon.jobs/jobs/3123268/sr-applied-scientist-agi-foundations?cmpid=DA_INAD200785B")</f>
        <v/>
      </c>
      <c r="G179" t="inlineStr">
        <is>
          <t>New York, NY, US</t>
        </is>
      </c>
      <c r="H179" s="3" t="n">
        <v>45963</v>
      </c>
      <c r="I17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in-cb94992bbad631ca</t>
        </is>
      </c>
      <c r="B180" t="inlineStr">
        <is>
          <t>Sr. Applied Scientist, AGI Foundations</t>
        </is>
      </c>
      <c r="C180" t="inlineStr">
        <is>
          <t>Amazon.com</t>
        </is>
      </c>
      <c r="D180" t="inlineStr">
        <is>
          <t>indeed</t>
        </is>
      </c>
      <c r="E180">
        <f>HYPERLINK("https://www.indeed.com/viewjob?jk=cb94992bbad631ca", "https://www.indeed.com/viewjob?jk=cb94992bbad631ca")</f>
        <v/>
      </c>
      <c r="F180">
        <f>HYPERLINK("https://www.amazon.jobs/jobs/3123268/sr-applied-scientist-agi-foundations?cmpid=DA_INAD200785B", "https://www.amazon.jobs/jobs/3123268/sr-applied-scientist-agi-foundations?cmpid=DA_INAD200785B")</f>
        <v/>
      </c>
      <c r="G180" t="inlineStr">
        <is>
          <t>Boston, MA, US</t>
        </is>
      </c>
      <c r="H180" s="3" t="n">
        <v>45963</v>
      </c>
      <c r="I18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in-874d5a5ceb287aa6</t>
        </is>
      </c>
      <c r="B181" t="inlineStr">
        <is>
          <t>Principal Applied Scientist, AWS Agentic AI Science</t>
        </is>
      </c>
      <c r="C181" t="inlineStr">
        <is>
          <t>Amazon Web Services</t>
        </is>
      </c>
      <c r="D181" t="inlineStr">
        <is>
          <t>indeed</t>
        </is>
      </c>
      <c r="E181">
        <f>HYPERLINK("https://www.indeed.com/viewjob?jk=874d5a5ceb287aa6", "https://www.indeed.com/viewjob?jk=874d5a5ceb287aa6")</f>
        <v/>
      </c>
      <c r="F181">
        <f>HYPERLINK("https://www.amazon.jobs/jobs/3132887/principal-applied-scientist-aws-agentic-ai-science?cmpid=DA_INAD200785B", "https://www.amazon.jobs/jobs/3132887/principal-applied-scientist-aws-agentic-ai-science?cmpid=DA_INAD200785B")</f>
        <v/>
      </c>
      <c r="G181" t="inlineStr">
        <is>
          <t>Santa Clara, CA, US</t>
        </is>
      </c>
      <c r="H181" s="3" t="n">
        <v>45963</v>
      </c>
      <c r="I18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in-dc3ebc226f438dba</t>
        </is>
      </c>
      <c r="B182" t="inlineStr">
        <is>
          <t>Principal Applied Scientist, AWS Agentic AI Science</t>
        </is>
      </c>
      <c r="C182" t="inlineStr">
        <is>
          <t>Amazon Web Services</t>
        </is>
      </c>
      <c r="D182" t="inlineStr">
        <is>
          <t>indeed</t>
        </is>
      </c>
      <c r="E182">
        <f>HYPERLINK("https://www.indeed.com/viewjob?jk=dc3ebc226f438dba", "https://www.indeed.com/viewjob?jk=dc3ebc226f438dba")</f>
        <v/>
      </c>
      <c r="F182">
        <f>HYPERLINK("https://www.amazon.jobs/jobs/3132887/principal-applied-scientist-aws-agentic-ai-science?cmpid=DA_INAD200785B", "https://www.amazon.jobs/jobs/3132887/principal-applied-scientist-aws-agentic-ai-science?cmpid=DA_INAD200785B")</f>
        <v/>
      </c>
      <c r="G182" t="inlineStr">
        <is>
          <t>New York, NY, US</t>
        </is>
      </c>
      <c r="H182" s="3" t="n">
        <v>45963</v>
      </c>
      <c r="I18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in-cb2ba487aa4abb61</t>
        </is>
      </c>
      <c r="B183" t="inlineStr">
        <is>
          <t>Principal Applied Scientist, Advertiser Growth, Amazon Sponsored Products &amp; Brands</t>
        </is>
      </c>
      <c r="C183" t="inlineStr">
        <is>
          <t>Amazon.com</t>
        </is>
      </c>
      <c r="D183" t="inlineStr">
        <is>
          <t>indeed</t>
        </is>
      </c>
      <c r="E183">
        <f>HYPERLINK("https://www.indeed.com/viewjob?jk=cb2ba487aa4abb61", "https://www.indeed.com/viewjob?jk=cb2ba487aa4abb61")</f>
        <v/>
      </c>
      <c r="F183">
        <f>HYPERLINK("https://www.amazon.jobs/jobs/3115279/principal-applied-scientist-advertiser-growth-amazon-sponsored-products--brands?cmpid=DA_INAD200785B", "https://www.amazon.jobs/jobs/3115279/principal-applied-scientist-advertiser-growth-amazon-sponsored-products--brands?cmpid=DA_INAD200785B")</f>
        <v/>
      </c>
      <c r="G183" t="inlineStr">
        <is>
          <t>New York, NY, US</t>
        </is>
      </c>
      <c r="H183" s="3" t="n">
        <v>45942</v>
      </c>
      <c r="I1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in-21fdd3f9501e7102</t>
        </is>
      </c>
      <c r="B184" t="inlineStr">
        <is>
          <t>Principal Applied Scientist, Advertiser Growth, Amazon Sponsored Products &amp; Brands</t>
        </is>
      </c>
      <c r="C184" t="inlineStr">
        <is>
          <t>Amazon.com</t>
        </is>
      </c>
      <c r="D184" t="inlineStr">
        <is>
          <t>indeed</t>
        </is>
      </c>
      <c r="E184">
        <f>HYPERLINK("https://www.indeed.com/viewjob?jk=21fdd3f9501e7102", "https://www.indeed.com/viewjob?jk=21fdd3f9501e7102")</f>
        <v/>
      </c>
      <c r="F184">
        <f>HYPERLINK("https://www.amazon.jobs/jobs/3115279/principal-applied-scientist-advertiser-growth-amazon-sponsored-products--brands?cmpid=DA_INAD200785B", "https://www.amazon.jobs/jobs/3115279/principal-applied-scientist-advertiser-growth-amazon-sponsored-products--brands?cmpid=DA_INAD200785B")</f>
        <v/>
      </c>
      <c r="G184" t="inlineStr">
        <is>
          <t>Palo Alto, CA, US</t>
        </is>
      </c>
      <c r="H184" s="3" t="n">
        <v>45942</v>
      </c>
      <c r="I1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in-250609aac46f7993</t>
        </is>
      </c>
      <c r="B185" t="inlineStr">
        <is>
          <t>Principal Applied Scientist, Advertiser Growth, Amazon Sponsored Products &amp; Brands</t>
        </is>
      </c>
      <c r="C185" t="inlineStr">
        <is>
          <t>Amazon.com</t>
        </is>
      </c>
      <c r="D185" t="inlineStr">
        <is>
          <t>indeed</t>
        </is>
      </c>
      <c r="E185">
        <f>HYPERLINK("https://www.indeed.com/viewjob?jk=250609aac46f7993", "https://www.indeed.com/viewjob?jk=250609aac46f7993")</f>
        <v/>
      </c>
      <c r="F185">
        <f>HYPERLINK("https://www.amazon.jobs/jobs/3115279/principal-applied-scientist-advertiser-growth-amazon-sponsored-products--brands?cmpid=DA_INAD200785B", "https://www.amazon.jobs/jobs/3115279/principal-applied-scientist-advertiser-growth-amazon-sponsored-products--brands?cmpid=DA_INAD200785B")</f>
        <v/>
      </c>
      <c r="G185" t="inlineStr">
        <is>
          <t>Seattle, WA, US</t>
        </is>
      </c>
      <c r="H185" s="3" t="n">
        <v>45942</v>
      </c>
      <c r="I1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in-658b6a8bd5b6738e</t>
        </is>
      </c>
      <c r="B186" t="inlineStr">
        <is>
          <t>Applied Scientist II, Prime Video - Personalization and Discovery Science, Personalization and Discovery Science</t>
        </is>
      </c>
      <c r="C186" t="inlineStr">
        <is>
          <t>Amazon.com</t>
        </is>
      </c>
      <c r="D186" t="inlineStr">
        <is>
          <t>indeed</t>
        </is>
      </c>
      <c r="E186">
        <f>HYPERLINK("https://www.indeed.com/viewjob?jk=658b6a8bd5b6738e", "https://www.indeed.com/viewjob?jk=658b6a8bd5b6738e")</f>
        <v/>
      </c>
      <c r="F18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6" t="inlineStr">
        <is>
          <t>Sunnyvale, CA, US</t>
        </is>
      </c>
      <c r="H186" s="3" t="n">
        <v>45930</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in-efe7bf188952d16d</t>
        </is>
      </c>
      <c r="B187" t="inlineStr">
        <is>
          <t>Applied Scientist II, Prime Video - Personalization and Discovery Science, Personalization and Discovery Science</t>
        </is>
      </c>
      <c r="C187" t="inlineStr">
        <is>
          <t>Amazon.com</t>
        </is>
      </c>
      <c r="D187" t="inlineStr">
        <is>
          <t>indeed</t>
        </is>
      </c>
      <c r="E187">
        <f>HYPERLINK("https://www.indeed.com/viewjob?jk=efe7bf188952d16d", "https://www.indeed.com/viewjob?jk=efe7bf188952d16d")</f>
        <v/>
      </c>
      <c r="F18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7" t="inlineStr">
        <is>
          <t>New York, NY, US</t>
        </is>
      </c>
      <c r="H187" s="3" t="n">
        <v>45930</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in-9e9605eb06f7cd9f</t>
        </is>
      </c>
      <c r="B188" t="inlineStr">
        <is>
          <t>Applied Scientist II, Prime Video - Personalization and Discovery Science, Personalization and Discovery Science</t>
        </is>
      </c>
      <c r="C188" t="inlineStr">
        <is>
          <t>Amazon.com</t>
        </is>
      </c>
      <c r="D188" t="inlineStr">
        <is>
          <t>indeed</t>
        </is>
      </c>
      <c r="E188">
        <f>HYPERLINK("https://www.indeed.com/viewjob?jk=9e9605eb06f7cd9f", "https://www.indeed.com/viewjob?jk=9e9605eb06f7cd9f")</f>
        <v/>
      </c>
      <c r="F18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88" t="inlineStr">
        <is>
          <t>Seattle, WA, US</t>
        </is>
      </c>
      <c r="H188" s="3" t="n">
        <v>45930</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in-7008245af0e5f767</t>
        </is>
      </c>
      <c r="B189" t="inlineStr">
        <is>
          <t>Applied Scientist II, Prime Video - Personalization and Discovery Science</t>
        </is>
      </c>
      <c r="C189" t="inlineStr">
        <is>
          <t>Amazon.com</t>
        </is>
      </c>
      <c r="D189" t="inlineStr">
        <is>
          <t>indeed</t>
        </is>
      </c>
      <c r="E189">
        <f>HYPERLINK("https://www.indeed.com/viewjob?jk=7008245af0e5f767", "https://www.indeed.com/viewjob?jk=7008245af0e5f767")</f>
        <v/>
      </c>
      <c r="F189">
        <f>HYPERLINK("https://www.amazon.jobs/jobs/3086060/applied-scientist-ii-prime-video--personalization-and-discovery-science?cmpid=DA_INAD200785B", "https://www.amazon.jobs/jobs/3086060/applied-scientist-ii-prime-video--personalization-and-discovery-science?cmpid=DA_INAD200785B")</f>
        <v/>
      </c>
      <c r="G189" t="inlineStr">
        <is>
          <t>Sunnyvale, CA, US</t>
        </is>
      </c>
      <c r="H189" s="3" t="n">
        <v>45915</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in-df7b703111311dd3</t>
        </is>
      </c>
      <c r="B190" t="inlineStr">
        <is>
          <t>Applied Scientist II, Prime Video - Personalization and Discovery Science</t>
        </is>
      </c>
      <c r="C190" t="inlineStr">
        <is>
          <t>Amazon.com</t>
        </is>
      </c>
      <c r="D190" t="inlineStr">
        <is>
          <t>indeed</t>
        </is>
      </c>
      <c r="E190">
        <f>HYPERLINK("https://www.indeed.com/viewjob?jk=df7b703111311dd3", "https://www.indeed.com/viewjob?jk=df7b703111311dd3")</f>
        <v/>
      </c>
      <c r="F190">
        <f>HYPERLINK("https://www.amazon.jobs/jobs/3086060/applied-scientist-ii-prime-video--personalization-and-discovery-science?cmpid=DA_INAD200785B", "https://www.amazon.jobs/jobs/3086060/applied-scientist-ii-prime-video--personalization-and-discovery-science?cmpid=DA_INAD200785B")</f>
        <v/>
      </c>
      <c r="G190" t="inlineStr">
        <is>
          <t>Seattle, WA, US</t>
        </is>
      </c>
      <c r="H190" s="3" t="n">
        <v>45915</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in-a3265c47ab6f47f2</t>
        </is>
      </c>
      <c r="B191" t="inlineStr">
        <is>
          <t>Applied Scientist II, Prime Video - Personalization and Discovery Science</t>
        </is>
      </c>
      <c r="C191" t="inlineStr">
        <is>
          <t>Amazon.com</t>
        </is>
      </c>
      <c r="D191" t="inlineStr">
        <is>
          <t>indeed</t>
        </is>
      </c>
      <c r="E191">
        <f>HYPERLINK("https://www.indeed.com/viewjob?jk=a3265c47ab6f47f2", "https://www.indeed.com/viewjob?jk=a3265c47ab6f47f2")</f>
        <v/>
      </c>
      <c r="F191">
        <f>HYPERLINK("https://www.amazon.jobs/jobs/3086060/applied-scientist-ii-prime-video--personalization-and-discovery-science?cmpid=DA_INAD200785B", "https://www.amazon.jobs/jobs/3086060/applied-scientist-ii-prime-video--personalization-and-discovery-science?cmpid=DA_INAD200785B")</f>
        <v/>
      </c>
      <c r="G191" t="inlineStr">
        <is>
          <t>New York, NY, US</t>
        </is>
      </c>
      <c r="H191" s="3" t="n">
        <v>45915</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in-bbfd17efdd77437b</t>
        </is>
      </c>
      <c r="B192" t="inlineStr">
        <is>
          <t>Sr. Applied Scientist, Prime Video - Personalization and Discovery Science</t>
        </is>
      </c>
      <c r="C192" t="inlineStr">
        <is>
          <t>Amazon.com</t>
        </is>
      </c>
      <c r="D192" t="inlineStr">
        <is>
          <t>indeed</t>
        </is>
      </c>
      <c r="E192">
        <f>HYPERLINK("https://www.indeed.com/viewjob?jk=bbfd17efdd77437b", "https://www.indeed.com/viewjob?jk=bbfd17efdd77437b")</f>
        <v/>
      </c>
      <c r="F192">
        <f>HYPERLINK("https://www.amazon.jobs/jobs/3059256/sr-applied-scientist-prime-video--personalization-and-discovery-science?cmpid=DA_INAD200785B", "https://www.amazon.jobs/jobs/3059256/sr-applied-scientist-prime-video--personalization-and-discovery-science?cmpid=DA_INAD200785B")</f>
        <v/>
      </c>
      <c r="G192" t="inlineStr">
        <is>
          <t>Seattle, WA,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in-4c04be67a042e085</t>
        </is>
      </c>
      <c r="B193" t="inlineStr">
        <is>
          <t>Applied Scientist II, Prime Video - Personalization and Discovery Science</t>
        </is>
      </c>
      <c r="C193" t="inlineStr">
        <is>
          <t>Amazon.com</t>
        </is>
      </c>
      <c r="D193" t="inlineStr">
        <is>
          <t>indeed</t>
        </is>
      </c>
      <c r="E193">
        <f>HYPERLINK("https://www.indeed.com/viewjob?jk=4c04be67a042e085", "https://www.indeed.com/viewjob?jk=4c04be67a042e085")</f>
        <v/>
      </c>
      <c r="F193">
        <f>HYPERLINK("https://www.amazon.jobs/jobs/3059253/applied-scientist-ii-prime-video--personalization-and-discovery-science?cmpid=DA_INAD200785B", "https://www.amazon.jobs/jobs/3059253/applied-scientist-ii-prime-video--personalization-and-discovery-science?cmpid=DA_INAD200785B")</f>
        <v/>
      </c>
      <c r="G193" t="inlineStr">
        <is>
          <t>New York, NY, US</t>
        </is>
      </c>
      <c r="H193" s="3"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in-9b007f56ab7995ec</t>
        </is>
      </c>
      <c r="B194" t="inlineStr">
        <is>
          <t>Sr. Applied Scientist, Prime Video - Personalization and Discovery Science</t>
        </is>
      </c>
      <c r="C194" t="inlineStr">
        <is>
          <t>Amazon.com</t>
        </is>
      </c>
      <c r="D194" t="inlineStr">
        <is>
          <t>indeed</t>
        </is>
      </c>
      <c r="E194">
        <f>HYPERLINK("https://www.indeed.com/viewjob?jk=9b007f56ab7995ec", "https://www.indeed.com/viewjob?jk=9b007f56ab7995ec")</f>
        <v/>
      </c>
      <c r="F194">
        <f>HYPERLINK("https://www.amazon.jobs/jobs/3059256/sr-applied-scientist-prime-video--personalization-and-discovery-science?cmpid=DA_INAD200785B", "https://www.amazon.jobs/jobs/3059256/sr-applied-scientist-prime-video--personalization-and-discovery-science?cmpid=DA_INAD200785B")</f>
        <v/>
      </c>
      <c r="G194" t="inlineStr">
        <is>
          <t>Sunnyvale, CA, US</t>
        </is>
      </c>
      <c r="H194" s="3"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in-d63f5c33921b48f5</t>
        </is>
      </c>
      <c r="B195" t="inlineStr">
        <is>
          <t>Applied Scientist II, Prime Video - Personalization and Discovery Science</t>
        </is>
      </c>
      <c r="C195" t="inlineStr">
        <is>
          <t>Amazon.com</t>
        </is>
      </c>
      <c r="D195" t="inlineStr">
        <is>
          <t>indeed</t>
        </is>
      </c>
      <c r="E195">
        <f>HYPERLINK("https://www.indeed.com/viewjob?jk=d63f5c33921b48f5", "https://www.indeed.com/viewjob?jk=d63f5c33921b48f5")</f>
        <v/>
      </c>
      <c r="F195">
        <f>HYPERLINK("https://www.amazon.jobs/jobs/3059253/applied-scientist-ii-prime-video--personalization-and-discovery-science?cmpid=DA_INAD200785B", "https://www.amazon.jobs/jobs/3059253/applied-scientist-ii-prime-video--personalization-and-discovery-science?cmpid=DA_INAD200785B")</f>
        <v/>
      </c>
      <c r="G195" t="inlineStr">
        <is>
          <t>Seattle, WA, US</t>
        </is>
      </c>
      <c r="H195" s="3"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in-ef77c4df9dbe71d1</t>
        </is>
      </c>
      <c r="B196" t="inlineStr">
        <is>
          <t>Applied Scientist II, Prime Video - Personalization and Discovery Science</t>
        </is>
      </c>
      <c r="C196" t="inlineStr">
        <is>
          <t>Amazon.com</t>
        </is>
      </c>
      <c r="D196" t="inlineStr">
        <is>
          <t>indeed</t>
        </is>
      </c>
      <c r="E196">
        <f>HYPERLINK("https://www.indeed.com/viewjob?jk=ef77c4df9dbe71d1", "https://www.indeed.com/viewjob?jk=ef77c4df9dbe71d1")</f>
        <v/>
      </c>
      <c r="F196">
        <f>HYPERLINK("https://www.amazon.jobs/jobs/3059253/applied-scientist-ii-prime-video--personalization-and-discovery-science?cmpid=DA_INAD200785B", "https://www.amazon.jobs/jobs/3059253/applied-scientist-ii-prime-video--personalization-and-discovery-science?cmpid=DA_INAD200785B")</f>
        <v/>
      </c>
      <c r="G196" t="inlineStr">
        <is>
          <t>Sunnyvale, CA, US</t>
        </is>
      </c>
      <c r="H196" s="3"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in-92e83877650d53dc</t>
        </is>
      </c>
      <c r="B197" t="inlineStr">
        <is>
          <t>Sr. Applied Scientist, Prime Video - Personalization and Discovery Science</t>
        </is>
      </c>
      <c r="C197" t="inlineStr">
        <is>
          <t>Amazon.com</t>
        </is>
      </c>
      <c r="D197" t="inlineStr">
        <is>
          <t>indeed</t>
        </is>
      </c>
      <c r="E197">
        <f>HYPERLINK("https://www.indeed.com/viewjob?jk=92e83877650d53dc", "https://www.indeed.com/viewjob?jk=92e83877650d53dc")</f>
        <v/>
      </c>
      <c r="F197">
        <f>HYPERLINK("https://www.amazon.jobs/jobs/3059256/sr-applied-scientist-prime-video--personalization-and-discovery-science?cmpid=DA_INAD200785B", "https://www.amazon.jobs/jobs/3059256/sr-applied-scientist-prime-video--personalization-and-discovery-science?cmpid=DA_INAD200785B")</f>
        <v/>
      </c>
      <c r="G197" t="inlineStr">
        <is>
          <t>New York, NY, US</t>
        </is>
      </c>
      <c r="H197" s="3"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in-129a9ec210b86d1c</t>
        </is>
      </c>
      <c r="B198" t="inlineStr">
        <is>
          <t>Sr. Applied Scientist, Amazon Advertising</t>
        </is>
      </c>
      <c r="C198" t="inlineStr">
        <is>
          <t>Amazon.com</t>
        </is>
      </c>
      <c r="D198" t="inlineStr">
        <is>
          <t>indeed</t>
        </is>
      </c>
      <c r="E198">
        <f>HYPERLINK("https://www.indeed.com/viewjob?jk=129a9ec210b86d1c", "https://www.indeed.com/viewjob?jk=129a9ec210b86d1c")</f>
        <v/>
      </c>
      <c r="F198">
        <f>HYPERLINK("https://www.amazon.jobs/jobs/3035686/sr-applied-scientist-amazon-advertising?cmpid=DA_INAD200785B", "https://www.amazon.jobs/jobs/3035686/sr-applied-scientist-amazon-advertising?cmpid=DA_INAD200785B")</f>
        <v/>
      </c>
      <c r="G198" t="inlineStr">
        <is>
          <t>West Hollywood, CA, US</t>
        </is>
      </c>
      <c r="H198" s="3" t="n">
        <v>45851</v>
      </c>
      <c r="I1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in-667240e6f8f4b432</t>
        </is>
      </c>
      <c r="B199" t="inlineStr">
        <is>
          <t>Sr. Applied Scientist, Amazon Advertising</t>
        </is>
      </c>
      <c r="C199" t="inlineStr">
        <is>
          <t>Amazon.com</t>
        </is>
      </c>
      <c r="D199" t="inlineStr">
        <is>
          <t>indeed</t>
        </is>
      </c>
      <c r="E199">
        <f>HYPERLINK("https://www.indeed.com/viewjob?jk=667240e6f8f4b432", "https://www.indeed.com/viewjob?jk=667240e6f8f4b432")</f>
        <v/>
      </c>
      <c r="F199">
        <f>HYPERLINK("https://www.amazon.jobs/jobs/3035686/sr-applied-scientist-amazon-advertising?cmpid=DA_INAD200785B", "https://www.amazon.jobs/jobs/3035686/sr-applied-scientist-amazon-advertising?cmpid=DA_INAD200785B")</f>
        <v/>
      </c>
      <c r="G199" t="inlineStr">
        <is>
          <t>Seattle, WA, US</t>
        </is>
      </c>
      <c r="H199" s="3" t="n">
        <v>45851</v>
      </c>
      <c r="I1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in-c63bdd1ad77305ed</t>
        </is>
      </c>
      <c r="B200" t="inlineStr">
        <is>
          <t>Sr. Applied Scientist, Amazon Advertising</t>
        </is>
      </c>
      <c r="C200" t="inlineStr">
        <is>
          <t>Amazon.com</t>
        </is>
      </c>
      <c r="D200" t="inlineStr">
        <is>
          <t>indeed</t>
        </is>
      </c>
      <c r="E200">
        <f>HYPERLINK("https://www.indeed.com/viewjob?jk=c63bdd1ad77305ed", "https://www.indeed.com/viewjob?jk=c63bdd1ad77305ed")</f>
        <v/>
      </c>
      <c r="F200">
        <f>HYPERLINK("https://www.amazon.jobs/jobs/3035686/sr-applied-scientist-amazon-advertising?cmpid=DA_INAD200785B", "https://www.amazon.jobs/jobs/3035686/sr-applied-scientist-amazon-advertising?cmpid=DA_INAD200785B")</f>
        <v/>
      </c>
      <c r="G200" t="inlineStr">
        <is>
          <t>Los Angeles, CA, US</t>
        </is>
      </c>
      <c r="H200" s="3"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in-5935bdb66d43dfa8</t>
        </is>
      </c>
      <c r="B201" t="inlineStr">
        <is>
          <t>Sr. Applied Scientist, Amazon Advertising</t>
        </is>
      </c>
      <c r="C201" t="inlineStr">
        <is>
          <t>Amazon.com</t>
        </is>
      </c>
      <c r="D201" t="inlineStr">
        <is>
          <t>indeed</t>
        </is>
      </c>
      <c r="E201">
        <f>HYPERLINK("https://www.indeed.com/viewjob?jk=5935bdb66d43dfa8", "https://www.indeed.com/viewjob?jk=5935bdb66d43dfa8")</f>
        <v/>
      </c>
      <c r="F201">
        <f>HYPERLINK("https://www.amazon.jobs/jobs/3035686/sr-applied-scientist-amazon-advertising?cmpid=DA_INAD200785B", "https://www.amazon.jobs/jobs/3035686/sr-applied-scientist-amazon-advertising?cmpid=DA_INAD200785B")</f>
        <v/>
      </c>
      <c r="G201" t="inlineStr">
        <is>
          <t>New York, NY, US</t>
        </is>
      </c>
      <c r="H201" s="3" t="n">
        <v>45851</v>
      </c>
      <c r="I2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in-0d16a126a28c166e</t>
        </is>
      </c>
      <c r="B202" t="inlineStr">
        <is>
          <t>Sr. Applied Scientist, Amazon Advertising</t>
        </is>
      </c>
      <c r="C202" t="inlineStr">
        <is>
          <t>Amazon.com</t>
        </is>
      </c>
      <c r="D202" t="inlineStr">
        <is>
          <t>indeed</t>
        </is>
      </c>
      <c r="E202">
        <f>HYPERLINK("https://www.indeed.com/viewjob?jk=0d16a126a28c166e", "https://www.indeed.com/viewjob?jk=0d16a126a28c166e")</f>
        <v/>
      </c>
      <c r="F202">
        <f>HYPERLINK("https://www.amazon.jobs/jobs/3035686/sr-applied-scientist-amazon-advertising?cmpid=DA_INAD200785B", "https://www.amazon.jobs/jobs/3035686/sr-applied-scientist-amazon-advertising?cmpid=DA_INAD200785B")</f>
        <v/>
      </c>
      <c r="G202" t="inlineStr">
        <is>
          <t>Palo Alto, CA, US</t>
        </is>
      </c>
      <c r="H202" s="3" t="n">
        <v>45851</v>
      </c>
      <c r="I2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in-e9b2b64b58cf76f1</t>
        </is>
      </c>
      <c r="B203" t="inlineStr">
        <is>
          <t>Sr. Applied Scientist, Amazon Advertising</t>
        </is>
      </c>
      <c r="C203" t="inlineStr">
        <is>
          <t>Amazon.com</t>
        </is>
      </c>
      <c r="D203" t="inlineStr">
        <is>
          <t>indeed</t>
        </is>
      </c>
      <c r="E203">
        <f>HYPERLINK("https://www.indeed.com/viewjob?jk=e9b2b64b58cf76f1", "https://www.indeed.com/viewjob?jk=e9b2b64b58cf76f1")</f>
        <v/>
      </c>
      <c r="F203">
        <f>HYPERLINK("https://www.amazon.jobs/jobs/3035686/sr-applied-scientist-amazon-advertising?cmpid=DA_INAD200785B", "https://www.amazon.jobs/jobs/3035686/sr-applied-scientist-amazon-advertising?cmpid=DA_INAD200785B")</f>
        <v/>
      </c>
      <c r="G203" t="inlineStr">
        <is>
          <t>Arlington, VA, US</t>
        </is>
      </c>
      <c r="H203" s="3" t="n">
        <v>45851</v>
      </c>
      <c r="I2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in-e7a3d0d870142ce4</t>
        </is>
      </c>
      <c r="B204" t="inlineStr">
        <is>
          <t>Sr. Applied Scientist, Amazon Advertising</t>
        </is>
      </c>
      <c r="C204" t="inlineStr">
        <is>
          <t>Amazon.com</t>
        </is>
      </c>
      <c r="D204" t="inlineStr">
        <is>
          <t>indeed</t>
        </is>
      </c>
      <c r="E204">
        <f>HYPERLINK("https://www.indeed.com/viewjob?jk=e7a3d0d870142ce4", "https://www.indeed.com/viewjob?jk=e7a3d0d870142ce4")</f>
        <v/>
      </c>
      <c r="F204">
        <f>HYPERLINK("https://www.amazon.jobs/jobs/3035686/sr-applied-scientist-amazon-advertising?cmpid=DA_INAD200785B", "https://www.amazon.jobs/jobs/3035686/sr-applied-scientist-amazon-advertising?cmpid=DA_INAD200785B")</f>
        <v/>
      </c>
      <c r="G204" t="inlineStr">
        <is>
          <t>Austin, TX, US</t>
        </is>
      </c>
      <c r="H204" s="3" t="n">
        <v>45851</v>
      </c>
      <c r="I2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in-6df8eabb2561aa74</t>
        </is>
      </c>
      <c r="B205" t="inlineStr">
        <is>
          <t>Sr. Applied Scientist, Amazon Advertising</t>
        </is>
      </c>
      <c r="C205" t="inlineStr">
        <is>
          <t>Amazon.com</t>
        </is>
      </c>
      <c r="D205" t="inlineStr">
        <is>
          <t>indeed</t>
        </is>
      </c>
      <c r="E205">
        <f>HYPERLINK("https://www.indeed.com/viewjob?jk=6df8eabb2561aa74", "https://www.indeed.com/viewjob?jk=6df8eabb2561aa74")</f>
        <v/>
      </c>
      <c r="F205">
        <f>HYPERLINK("https://www.amazon.jobs/jobs/3035686/sr-applied-scientist-amazon-advertising?cmpid=DA_INAD200785B", "https://www.amazon.jobs/jobs/3035686/sr-applied-scientist-amazon-advertising?cmpid=DA_INAD200785B")</f>
        <v/>
      </c>
      <c r="G205" t="inlineStr">
        <is>
          <t>Simi Valley, CA, US</t>
        </is>
      </c>
      <c r="H205" s="3" t="n">
        <v>45851</v>
      </c>
      <c r="I2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in-76d3933a05f7032e</t>
        </is>
      </c>
      <c r="B206" t="inlineStr">
        <is>
          <t>Applied Scientist, Prime Video - Personalization and Discovery Science</t>
        </is>
      </c>
      <c r="C206" t="inlineStr">
        <is>
          <t>Amazon.com</t>
        </is>
      </c>
      <c r="D206" t="inlineStr">
        <is>
          <t>indeed</t>
        </is>
      </c>
      <c r="E206">
        <f>HYPERLINK("https://www.indeed.com/viewjob?jk=76d3933a05f7032e", "https://www.indeed.com/viewjob?jk=76d3933a05f7032e")</f>
        <v/>
      </c>
      <c r="F206">
        <f>HYPERLINK("https://www.amazon.jobs/jobs/3033050/applied-scientist-prime-video--personalization-and-discovery-science?cmpid=DA_INAD200785B", "https://www.amazon.jobs/jobs/3033050/applied-scientist-prime-video--personalization-and-discovery-science?cmpid=DA_INAD200785B")</f>
        <v/>
      </c>
      <c r="G206" t="inlineStr">
        <is>
          <t>New York, NY, US</t>
        </is>
      </c>
      <c r="H206" s="3" t="n">
        <v>45845</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in-b72f087a54fc8fe2</t>
        </is>
      </c>
      <c r="B207" t="inlineStr">
        <is>
          <t>Applied Scientist, Prime Video - Personalization and Discovery Science</t>
        </is>
      </c>
      <c r="C207" t="inlineStr">
        <is>
          <t>Amazon.com</t>
        </is>
      </c>
      <c r="D207" t="inlineStr">
        <is>
          <t>indeed</t>
        </is>
      </c>
      <c r="E207">
        <f>HYPERLINK("https://www.indeed.com/viewjob?jk=b72f087a54fc8fe2", "https://www.indeed.com/viewjob?jk=b72f087a54fc8fe2")</f>
        <v/>
      </c>
      <c r="F207">
        <f>HYPERLINK("https://www.amazon.jobs/jobs/3033050/applied-scientist-prime-video--personalization-and-discovery-science?cmpid=DA_INAD200785B", "https://www.amazon.jobs/jobs/3033050/applied-scientist-prime-video--personalization-and-discovery-science?cmpid=DA_INAD200785B")</f>
        <v/>
      </c>
      <c r="G207" t="inlineStr">
        <is>
          <t>Seattle, WA, US</t>
        </is>
      </c>
      <c r="H207" s="3" t="n">
        <v>45845</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in-c7de0bda6cc55f46</t>
        </is>
      </c>
      <c r="B208" t="inlineStr">
        <is>
          <t>Applied Scientist, Prime Video - Personalization and Discovery Science</t>
        </is>
      </c>
      <c r="C208" t="inlineStr">
        <is>
          <t>Amazon.com</t>
        </is>
      </c>
      <c r="D208" t="inlineStr">
        <is>
          <t>indeed</t>
        </is>
      </c>
      <c r="E208">
        <f>HYPERLINK("https://www.indeed.com/viewjob?jk=c7de0bda6cc55f46", "https://www.indeed.com/viewjob?jk=c7de0bda6cc55f46")</f>
        <v/>
      </c>
      <c r="F208">
        <f>HYPERLINK("https://www.amazon.jobs/jobs/3033050/applied-scientist-prime-video--personalization-and-discovery-science?cmpid=DA_INAD200785B", "https://www.amazon.jobs/jobs/3033050/applied-scientist-prime-video--personalization-and-discovery-science?cmpid=DA_INAD200785B")</f>
        <v/>
      </c>
      <c r="G208" t="inlineStr">
        <is>
          <t>Sunnyvale, CA, US</t>
        </is>
      </c>
      <c r="H208" s="3" t="n">
        <v>45845</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in-8d93825fcc1674e6</t>
        </is>
      </c>
      <c r="B209" t="inlineStr">
        <is>
          <t>Sr. Applied Scientist, Sales AI</t>
        </is>
      </c>
      <c r="C209" t="inlineStr">
        <is>
          <t>Amazon.com</t>
        </is>
      </c>
      <c r="D209" t="inlineStr">
        <is>
          <t>indeed</t>
        </is>
      </c>
      <c r="E209">
        <f>HYPERLINK("https://www.indeed.com/viewjob?jk=8d93825fcc1674e6", "https://www.indeed.com/viewjob?jk=8d93825fcc1674e6")</f>
        <v/>
      </c>
      <c r="F209">
        <f>HYPERLINK("https://www.amazon.jobs/jobs/3020528/sr-applied-scientist-sales-ai?cmpid=DA_INAD200785B", "https://www.amazon.jobs/jobs/3020528/sr-applied-scientist-sales-ai?cmpid=DA_INAD200785B")</f>
        <v/>
      </c>
      <c r="G209" t="inlineStr">
        <is>
          <t>New York, NY, US</t>
        </is>
      </c>
      <c r="H209" s="3" t="n">
        <v>45830</v>
      </c>
      <c r="I2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in-73c200ca93770855</t>
        </is>
      </c>
      <c r="B210" t="inlineStr">
        <is>
          <t>Sr. Applied Scientist, Sales AI</t>
        </is>
      </c>
      <c r="C210" t="inlineStr">
        <is>
          <t>Amazon.com</t>
        </is>
      </c>
      <c r="D210" t="inlineStr">
        <is>
          <t>indeed</t>
        </is>
      </c>
      <c r="E210">
        <f>HYPERLINK("https://www.indeed.com/viewjob?jk=73c200ca93770855", "https://www.indeed.com/viewjob?jk=73c200ca93770855")</f>
        <v/>
      </c>
      <c r="F210">
        <f>HYPERLINK("https://www.amazon.jobs/jobs/3020528/sr-applied-scientist-sales-ai?cmpid=DA_INAD200785B", "https://www.amazon.jobs/jobs/3020528/sr-applied-scientist-sales-ai?cmpid=DA_INAD200785B")</f>
        <v/>
      </c>
      <c r="G210" t="inlineStr">
        <is>
          <t>Seattle, WA, US</t>
        </is>
      </c>
      <c r="H210" s="3" t="n">
        <v>45830</v>
      </c>
      <c r="I2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in-bb6aa59771893b3c</t>
        </is>
      </c>
      <c r="B211" t="inlineStr">
        <is>
          <t>Sr. Applied Scientist, Sales AI</t>
        </is>
      </c>
      <c r="C211" t="inlineStr">
        <is>
          <t>Amazon.com</t>
        </is>
      </c>
      <c r="D211" t="inlineStr">
        <is>
          <t>indeed</t>
        </is>
      </c>
      <c r="E211">
        <f>HYPERLINK("https://www.indeed.com/viewjob?jk=bb6aa59771893b3c", "https://www.indeed.com/viewjob?jk=bb6aa59771893b3c")</f>
        <v/>
      </c>
      <c r="F211">
        <f>HYPERLINK("https://www.amazon.jobs/jobs/3020528/sr-applied-scientist-sales-ai?cmpid=DA_INAD200785B", "https://www.amazon.jobs/jobs/3020528/sr-applied-scientist-sales-ai?cmpid=DA_INAD200785B")</f>
        <v/>
      </c>
      <c r="G211" t="inlineStr">
        <is>
          <t>Sunnyvale, CA, US</t>
        </is>
      </c>
      <c r="H211" s="3" t="n">
        <v>45830</v>
      </c>
      <c r="I21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in-c8421eb3c3526eee</t>
        </is>
      </c>
      <c r="B212" t="inlineStr">
        <is>
          <t>Principal Applied Scientist, FAR (Frontier AI &amp; Robotics)</t>
        </is>
      </c>
      <c r="C212" t="inlineStr">
        <is>
          <t>Amazon.com</t>
        </is>
      </c>
      <c r="D212" t="inlineStr">
        <is>
          <t>indeed</t>
        </is>
      </c>
      <c r="E212">
        <f>HYPERLINK("https://www.indeed.com/viewjob?jk=c8421eb3c3526eee", "https://www.indeed.com/viewjob?jk=c8421eb3c3526eee")</f>
        <v/>
      </c>
      <c r="F212">
        <f>HYPERLINK("https://www.amazon.jobs/jobs/2938625/principal-applied-scientist-far-frontier-ai--robotics?cmpid=DA_INAD200785B", "https://www.amazon.jobs/jobs/2938625/principal-applied-scientist-far-frontier-ai--robotics?cmpid=DA_INAD200785B")</f>
        <v/>
      </c>
      <c r="G212" t="inlineStr">
        <is>
          <t>San Francisco, CA, US</t>
        </is>
      </c>
      <c r="H212" s="3" t="n">
        <v>45740</v>
      </c>
      <c r="I21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in-c522188e6acd2b34</t>
        </is>
      </c>
      <c r="B213" t="inlineStr">
        <is>
          <t>Principal Applied Scientist, FAR (Frontier AI &amp; Robotics)</t>
        </is>
      </c>
      <c r="C213" t="inlineStr">
        <is>
          <t>Amazon.com</t>
        </is>
      </c>
      <c r="D213" t="inlineStr">
        <is>
          <t>indeed</t>
        </is>
      </c>
      <c r="E213">
        <f>HYPERLINK("https://www.indeed.com/viewjob?jk=c522188e6acd2b34", "https://www.indeed.com/viewjob?jk=c522188e6acd2b34")</f>
        <v/>
      </c>
      <c r="F213">
        <f>HYPERLINK("https://www.amazon.jobs/jobs/2938625/principal-applied-scientist-far-frontier-ai--robotics?cmpid=DA_INAD200785B", "https://www.amazon.jobs/jobs/2938625/principal-applied-scientist-far-frontier-ai--robotics?cmpid=DA_INAD200785B")</f>
        <v/>
      </c>
      <c r="G213" t="inlineStr">
        <is>
          <t>Seattle, WA, US</t>
        </is>
      </c>
      <c r="H213" s="3" t="n">
        <v>45740</v>
      </c>
      <c r="I21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in-bdca3c278f45ee7b</t>
        </is>
      </c>
      <c r="B214" t="inlineStr">
        <is>
          <t>Remote Machine Learning Engineer - Remote</t>
        </is>
      </c>
      <c r="C214" t="inlineStr"/>
      <c r="D214" t="inlineStr">
        <is>
          <t>indeed</t>
        </is>
      </c>
      <c r="E214">
        <f>HYPERLINK("https://www.indeed.com/viewjob?jk=bdca3c278f45ee7b", "https://www.indeed.com/viewjob?jk=bdca3c278f45ee7b")</f>
        <v/>
      </c>
      <c r="F214">
        <f>HYPERLINK("https://app.screenloop.com/careers/fitmatch/job_posts/8000?tab=overview", "https://app.screenloop.com/careers/fitmatch/job_posts/8000?tab=overview")</f>
        <v/>
      </c>
      <c r="G214" t="inlineStr">
        <is>
          <t>New York, NY, US</t>
        </is>
      </c>
      <c r="H214" s="3" t="n">
        <v>46051</v>
      </c>
      <c r="I214" t="inlineStr">
        <is>
          <t>### **About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215">
      <c r="A215" t="inlineStr">
        <is>
          <t>in-afeea4452e8fae8f</t>
        </is>
      </c>
      <c r="B215" t="inlineStr">
        <is>
          <t>Senior AI Engineer Vice President</t>
        </is>
      </c>
      <c r="C215" t="inlineStr">
        <is>
          <t>Information Technology Senior Management Forum</t>
        </is>
      </c>
      <c r="D215" t="inlineStr">
        <is>
          <t>indeed</t>
        </is>
      </c>
      <c r="E215">
        <f>HYPERLINK("https://www.indeed.com/viewjob?jk=afeea4452e8fae8f", "https://www.indeed.com/viewjob?jk=afeea4452e8fae8f")</f>
        <v/>
      </c>
      <c r="F215">
        <f>HYPERLINK("https://jobs.itsmfleaders.org/job/dzujk2/senior-ai-engineer-vice-president/irving/tx", "https://jobs.itsmfleaders.org/job/dzujk2/senior-ai-engineer-vice-president/irving/tx")</f>
        <v/>
      </c>
      <c r="G215" t="inlineStr">
        <is>
          <t>Irving, TX, US</t>
        </is>
      </c>
      <c r="H215" s="3" t="n">
        <v>46050</v>
      </c>
      <c r="I215" t="inlineStr">
        <is>
          <t>Posted Date
1/29/2026
Description
**Overview of the Role (Required for every posting, at the top)**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**Responsibilities:**
* Architect and Lead Design: Design, architect, and lead the development of sophisticated virtual assistants and chatbots, leveraging cutting\-edge Generative AI platforms and microservices architectures.
* Advanced NLP \&amp; NLU Strategy: Define and implement strategies for advanced Natural Language Processing (NLP) and Natural Language Understanding (NLU) models, focusing on complex intent recognition, advanced entity extraction, contextual reasoning, and human\-like conversational flows.
* GenAI Tooling \&amp; Innovation: Leverage and integrate state\-of\-the\-art NLP and GenAI tools for intent development, prompt engineering, and creating highly intelligent and adaptive bot interactions. Drive innovation by exploring new GenAI techniques and models.
* Agentic AI Systems: Architect and build advanced agentic AI systems capable of proactive problem\-solving, autonomous decision\-making, and sophisticated user engagement.
* Seamless Integration \&amp; Orchestration: Design and oversee the seamless integration of AI solutions with complex enterprise backend systems via robust APIs, ensuring high performance, scalability, and security across live chat platforms and other communication channels.
* Data Architecture \&amp; Security: Architect and implement secure, scalable, and compliant data storage and retrieval mechanisms for conversational data, leveraging advanced database solutions including but not limited to MongoDB, SQL, NoSQL solutions, and distributed data stores. Ensure adherence to data governance policies.
* Resilience \&amp; Reliability: Develop comprehensive error handling, fault tolerance, and fallback systems, including intelligent routing and seamless handoff to human agents, to ensure an exceptionally smooth and reliable user experience.
* Data Privacy \&amp; Compliance Leadership: Establish and enforce best practices for user data privacy and security, safeguarding sensitive information and ensuring strict compliance with relevant global regulations (e.g., GDPR, CCPA).
* Feature Roadmap \&amp; Implementation: Lead the development and integration of advanced bot features such as sophisticated FAQ automation, engaging small talk capabilities, rich content rendering, complex account troubleshooting workflows, and intelligent live agent handover.
* GenAI Thought Leadership: Stay at the absolute forefront of AI and Generative AI advancements. Evaluate, integrate, and drive the adoption of emerging GenAI platforms (e.g., Gemini, GPT models) and research breakthroughs to maintain a competitive edge.
 **Recommended Qualifications:**
* Bachelor's degree in Computer Science, Information Technology, or a related quantitative field. Master's degree preferred.
* Minimum 6\+ years of proven experience as a Software Engineer or Architect, with significant leadership experience in designing and building large\-scale, AI\-powered applications.
* Extensive hands\-on experience in architecting and developing virtual assistants, chatbots, and conversational AI platforms using leading AI platforms (e.g., Kore.AI, Rasa, Dialogflow) and microservices architectures.
* Deep proficiency in Python (preferred) or JavaScript/TypeScript, with a strong understanding of software design patterns, data structures, and algorithms.
* Expert\-level understanding and practical experience in advanced NLP/NLU concepts, machine learning, and Generative AI techniques.
* Demonstrated experience with complex API integrations, enterprise system connectivity, and message queueing technologies.
* Strong expertise in database management (SQL, NoSQL), data modeling, and robust data security best practices.
* Exceptional problem\-solving, analytical, and critical thinking skills, with the ability to lead and mentor cross\-functional teams.
* Excellent communication, presentation, and interpersonal skills, with the ability to articulate complex technical concepts to diverse audiences.
* Proven experience with cloud platforms (AWS, Azure, GCP) including serverless architectures and managed AI/ML services.
* Experience with MLOps practices, CI/CD pipelines for AI models, and agile development methodologies at an enterprise scale.
* Contributions to open\-source GenAI/NLP projects, publications, or active participation in relevant AI/ML communities.
* Experience with containerization (Docker, Kubernetes) and orchestration technologies.
 **Education:**
* Bachelor’s degree/University degree or equivalent experience
* Master’s degree preferred
This job description provides a high\-level review of the types of work performed. Other job\-related duties may be assigned as required.
\-
**Job Family Group:**
Technology
\-
**Job Family:**
Applications Development
\-
**Time Type:**
Full time
\-
**Primary Location:**
Irving Texas United States
\-
**Primary Location Full Time Salary Range:**
$125 760,00 \- $188 640,00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feb 05,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
Salary
125\.00 Hour
Type
Full\-time</t>
        </is>
      </c>
    </row>
    <row r="216">
      <c r="A216" t="inlineStr">
        <is>
          <t>in-cdd18b4523340ecf</t>
        </is>
      </c>
      <c r="B216" t="inlineStr">
        <is>
          <t>Artificial Intelligence/ Machine Learning Engineer Level 1</t>
        </is>
      </c>
      <c r="C216" t="inlineStr">
        <is>
          <t>Nyla Technology Solutions</t>
        </is>
      </c>
      <c r="D216" t="inlineStr">
        <is>
          <t>indeed</t>
        </is>
      </c>
      <c r="E216">
        <f>HYPERLINK("https://www.indeed.com/viewjob?jk=cdd18b4523340ecf", "https://www.indeed.com/viewjob?jk=cdd18b4523340ecf")</f>
        <v/>
      </c>
      <c r="F216">
        <f>HYPERLINK("https://nyla-jobs.services.agileonboarding.com/jobs/details/1129", "https://nyla-jobs.services.agileonboarding.com/jobs/details/1129")</f>
        <v/>
      </c>
      <c r="G216" t="inlineStr">
        <is>
          <t>Annapolis Junction, MD, US</t>
        </is>
      </c>
      <c r="H216" s="3" t="n">
        <v>46050</v>
      </c>
      <c r="I216" t="inlineStr">
        <is>
          <t>Job Description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The Level 1 Artificial Intelligence/Machine Learning (AI/Ml) Engineer shall possess the following capabilities: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WHAT ABOUT OTHER BENEFITS? Nyla’s health care (medical, dental, and vision) is 100% covered by the company. We provide 10% 401k matching \- with full vesting day 1! Our Professional Development offers $5,000 per year to be used towards fees, tuition, or time off for your continued growth. We even have a student loan repayment program and we provide 8 hours of volunteering annually so you can support your community, making your world a better place.
To learn more about Nyla's culture and our exceptional benefit packages click here .
Nyla is an equal opportunity employer.</t>
        </is>
      </c>
    </row>
    <row r="217">
      <c r="A217" t="inlineStr">
        <is>
          <t>in-3ec3deac69d90dea</t>
        </is>
      </c>
      <c r="B217" t="inlineStr">
        <is>
          <t>Director, Applied AI Engineering</t>
        </is>
      </c>
      <c r="C217" t="inlineStr">
        <is>
          <t>3E</t>
        </is>
      </c>
      <c r="D217" t="inlineStr">
        <is>
          <t>indeed</t>
        </is>
      </c>
      <c r="E217">
        <f>HYPERLINK("https://www.indeed.com/viewjob?jk=3ec3deac69d90dea", "https://www.indeed.com/viewjob?jk=3ec3deac69d90dea")</f>
        <v/>
      </c>
      <c r="F217">
        <f>HYPERLINK("https://jobs.lever.co/3eco/58140559-2082-4646-939a-779cda27db63?lever-source=Indeed", "https://jobs.lever.co/3eco/58140559-2082-4646-939a-779cda27db63?lever-source=Indeed")</f>
        <v/>
      </c>
      <c r="G217" t="inlineStr">
        <is>
          <t>Bethesda, MD, US</t>
        </is>
      </c>
      <c r="H217" s="3" t="n">
        <v>46050</v>
      </c>
      <c r="I217" t="inlineStr">
        <is>
          <t>**About 3E:**
We are a mission\-driven company dedicated to creating a safer and more sustainable world!  
3E provides award\-winning regulatory expertise and cutting\-edge technology that seamlessly integrates data and intelligence regarding chemicals, regulations, products, and supply chains for over 5,000 customers globally.  
With more than 35 years of experience and 15 locations across North America, Europe, and Asia, we are connecting our customers to a new class of expert\-led AI solutions, specifically designed to accelerate future product compliance with trust, speed, and domain authority.  
Are you ready to help shape the future? **Come** **join us!** **About the Role:**
As the Director, Applied AI Engineering, you will lead the team turning powerful AI models and proprietary data into secure, scalable, user\-facing solutions. This role reports to the VP, Technology Operations, and works closely with the engineering and product leadership team to build, iterate, and scale AI\-powered capabilities that drive measurable customer and business outcomes.
You’ll partner closely with the CTO (a seasoned AI leader and hands\-on partner) and establish the engineering foundations (platform, APIs, evaluation, safety, and operations) to deliver expert\-led AI at scale. A key part of this role is redesigning and operationalizing an AI\-native software development lifecycle that meaningfully accelerates planning, coding, testing, review, and production operations—securely and with strong observability.**Why This Role Matters:**
You'll be building the engineering organization that defines what AI\-first software development looks like \- not for a future decade, but for right now. This is your opportunity to architect from first principles, shape how AI amplifies human capability at scale, and leave a lasting imprint on both 3E and the broader industry.
### **What You’ll Do**
* **Redesign and operationalize an AI\-native software development lifecycle (SDLC), including:**
* AI\-assisted and AI\-generated code
* Autonomous and semi\-autonomous engineering AI agents
* Model\-driven development and test generation
* AI\-enabled code review, quality, and observability
* **Lead AI Engineering Strategy \&amp; Execution:** Define the technical roadmap, architecture standards, and delivery approach for AI\-powered products and platforms—from prototype to production.
* **Architect Secure, Autonomous AI Systems:** Design and guide development of agent\-based tools leveraging solutions like Claude Code, MCPs, A2A, Gemini CLI, the OpenAI Agents SDK, and Knowledge Graph concepts to solve complex, high\-value problems.
* **Develop A2A Systems:** Build frameworks to enable LLMs to work together internally and externally, increasing the reach of 3E\-enabled generative AI systems.
* **Bridge Product \&amp; Engineering:** Partner with Product, Engineering, and Customer teams to embed AI into tools that enhance usability, decision\-making, and automation.
* **Build Seamless API Integrations:** Create scalable, secure APIs that connect AI models with web applications, internal systems, and external platforms. Integrate these with MCP for agentic use.
* **Operationalize Production AI:** Establish best practices for inference serving, MLOps pipelines, evaluation, observability, and shared services to ensure reliability and performance.
* **Contribute to Responsible AI Practices:** Stay current with AI advancements and help define responsible development standards, alignment strategies, and safety protocols.
* **Build and Grow the Team:** Hire, mentor, and develop a high\-performing team; create a culture of accountability, transparency, and continuous improvement
### **What Makes You a Great Fit**
* **Minimum Qualifications**
* Bachelor’s degree in Computer Science, Data Science, Machine Learning, or a related field or equivalent experience developing and deploying production\-grade AI systems and/or SaaS platforms at scale.
* Demonstrated success leading application engineering organizations through meaningful transformation, including measurable improvements in speed, quality, reliability, and team leverage.
* Proven experience re\-architecting SDLCs and engineering workflows (CI/CD, quality gates, testing strategy, release practices, observability) to materially improve delivery speed and quality; experience designing or operating AI\-native or AI\-augmented engineering organizations.
* Deep, hands\-on experience developing and deploying production\-grade AI systems as a Software Engineer or Machine Learning Engineer (or similar role).
* Hands\-on experience with LLMs, generative AI, and agentic frameworks such as MCP, A2A, and the OpenAI Agents SDK.
* Proven ability in AI infrastructure: production\-grade inference serving, MLOps pipelines, evaluation practices, and shared services.
* Solid understanding of AI safety, alignment, privacy, and ethical development practices.
* Hands\-on experience with local/open LLM runtime and serving tools (e.g., Ollama) and similar tooling for controlled deployments.
* Background in modern cloud\-based, SaaS, or platform\-oriented architectures, including scalable service patterns and secure API design.
* Physically located on the U.S. East Coast and willing to work effectively across multiple time zones (North America, Europe, and Asia).
* **Preferred Qualifications:**
* Master’s degree or Ph.D. in Computer Science, Data Science, Machine Learning, or a related field.
* Experience with agent orchestration frameworks such as Claude Subagents, AutoGen, or CrewAI.
* Expertise in prompt engineering, context engineering, RAG pipelines, and optimization.
* Expertise in deploying open\-source LLMs into production (e.g., Qwen, DeepSeek, Llama, Mistral, Gemma).
* Familiarity with cloud\-based AI tools (e.g., AWS Bedrock, GCP Vertex AI, Azure ML).
* Experience integrating AI capabilities into legacy web applications, desktop applications, and APIs.
### **What’s In It for You**
* **Solve Complex, High\-Impact Problems:** Use AI to address mission\-critical challenges that directly influence revenue and drive business value.
* **Work with Proprietary Data:** Leverage exclusive datasets and real\-world signals to build intelligent systems with lasting competitive advantage.
* **Learn from Proven Leadership:** Partner with seasoned executives who’ve scaled AI and product teams at high\-growth companies.
* **Best of Both Worlds:** Experience the pace and innovation of a startup culture with the stability and resources of a trusted global enterprise.
**Pay Transparency:**
The expected base salary for this position is **$190,000\- $220,000 per year, plus incentives**. The final offer will depend on several factors, including the successful candidate’s skills, depth of work experience, location, and relevant licenses/ qualifications. Each offer is determined based on individual strengths and relevant business considerations.
In addition to the base salary, certain roles may qualify for a performance\-based incentive and/or equity, with eligibility depending on the position. These rewards are based on a combination of company performance and individual achievements. **Our US Benefits Include:**
Health, dental, and vision insurance
Life insurance and disability coverage
Open PTO and parental leave
401(k) plan with company matching
Employee assistance program
Voluntary supplemental benefits (Accident, Hospital Indemnity, Critical Illness) **3E is currently authorized to hire in the following U.S. states:**
Alabama, Arizona, California, Colorado (excluding Denver), Connecticut, Delaware, District of Columbia, Florida, Georgia, Illinois (excluding Chicago), Indiana, Kansas, Kentucky, Maryland, Massachusetts, Michigan, Minnesota, Nevada, New Jersey, New York (excluding New York City), North Carolina, Ohio, Oklahoma, Oregon, Pennsylvania, South Carolina, Tennessee, Texas, Utah, Virginia, and Washington. **Disclosures:**
3E is committed to a diverse and inclusive work environment. 3E is an equal opportunity employer and does not discriminate based on race, nationality, gender, gender identity, sexual orientation, protected veteran status, age, disability, or any other legally protected status. For applicants who would like to request accommodation please send an email to recruiting@hr.3eco.com
Visit us at https://www.3eco.com/
Follow us at https://www.linkedin.com/company/3e\-safer\-world/
Privacy Policy and Candidate Privacy Notice**Agencies**: 3E is not accepting unsolicited assistance from search firms for this employment opportunity. Please, no phone calls or emails. All resumes submitted by search firms to any employee at 3E via email, the Internet, or in any form and/or method without a valid written search agreement in place for this position will be deemed the sole property of 3E. No fee will be paid in the event the candidate is hired by 3E because of the referral or through other means.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8">
      <c r="A218" t="inlineStr">
        <is>
          <t>in-35b7716b672430f8</t>
        </is>
      </c>
      <c r="B218" t="inlineStr">
        <is>
          <t>Machine Learning Engineer II</t>
        </is>
      </c>
      <c r="C218" t="inlineStr">
        <is>
          <t>Glidewell Laboratories</t>
        </is>
      </c>
      <c r="D218" t="inlineStr">
        <is>
          <t>indeed</t>
        </is>
      </c>
      <c r="E218">
        <f>HYPERLINK("https://www.indeed.com/viewjob?jk=35b7716b672430f8", "https://www.indeed.com/viewjob?jk=35b7716b672430f8")</f>
        <v/>
      </c>
      <c r="F218">
        <f>HYPERLINK("https://app.jobvite.com/CompanyJobs/Job.aspx?j=oXDuzfwn&amp;s=Indeed", "https://app.jobvite.com/CompanyJobs/Job.aspx?j=oXDuzfwn&amp;s=Indeed")</f>
        <v/>
      </c>
      <c r="G218" t="inlineStr">
        <is>
          <t>Irvine, CA, US</t>
        </is>
      </c>
      <c r="H218" s="3" t="n">
        <v>46050</v>
      </c>
      <c r="I218" t="inlineStr">
        <is>
          <t>**Essential Functions****:*** Designs, develops, and deploys machine learning models for real\-world applications.
* Builds scalable pipelines for data ingestion, pre\-processing, training, and inference.
* Owns end to end development of machine learning algorithms including data analysis, feature engineering, model development, training, validation, and performance evaluation.
* Designs, implements, and optimizes retrieval\-augmented generation (RAG) pipelines that combine large language models (LLMs) with vector search/retrieval systems.
* Builds data ingestion and embedding pipelines for efficient indexing and retrieval.
* Fine\-tunes and adapts LLMs for domain\-specific tasks such as instruction tuning, prompt engineering, low\-rank adaptation (LoRA), etc.
* Engages in both engineering and research, exploring latest ML algorithms, solution architectures, and cutting\-edge approaches to improve retrieval and generation performance.
* Works with stakeholders to translate business requirements into robust technical solutions that deliver measurable impact.
* Works with engineering teams to continuously scale and advance machine learning across the organization.
* Identifies new opportunities of applying ML technology to improve business workflows and processes.
* Builds a deep understanding of the company’s products, services, data, and customers to deliver impactful solutions.
* Performs other related duties and projects as business needs require at direction of management.
**Education and Experience:*** Master’s degree in Machine Learning, Deep Learning, or a computer science\-related field. PhD preferred.
* Minimum three (3\) years of relevant work experience in the areas below, or any equivalent education and/or experience from which comparable knowledge, skills and abilities have been demonstrated/achieved:
* Understands fundamental concepts, practices, and procedures of machine learning field.
* Data discovery, data aggregation, and feature engineering with SQL query writing skills.
* Training, evaluating, optimizing, deploying, and maintaining machine learning models on production systems.
* Logging, tracking, A/B testing, evaluating and analyzing the performance of different machine learning algorithms and models in production.
* Strong development skills in Python programming language and have experience in developing data\-driven, scalable, and reliable applications with Amazon Web Services (AWS).
* Applying machine learning algorithms to solve a wide range of optimization problems like customer sales prediction, recommendation engine, sentiment analysis, deep learning with image and natural language, customer segmentations/clustering, and object detection.
* Utilization of popular open\-source machine learning/deep learning libraries like LangChain, HuggingFace, Tensorflow, scikit\-learn, pandas, pyTorch, and Keras.
* Experience working with relational, non\-relational, and high\-scale data processing and storage frameworks like Structured Query Language (SQL), AWS RedShift, Aurora, S3, DynamoDB, MySQL, PostgreSQL.
* Experience with AWS Serverless architecture and AWS native services like BedRock, EC2, Lambda, Step Functions, SageMaker, Rekognition, Comprehend, Lex/Polly, and Transcribe.
**Pay Range:** $121,108\.84\.84 \- $146,000/YR</t>
        </is>
      </c>
    </row>
    <row r="219">
      <c r="A219" t="inlineStr">
        <is>
          <t>in-db1dd133d26e1bd9</t>
        </is>
      </c>
      <c r="B219" t="inlineStr">
        <is>
          <t>Staff Machine Learning Engineer</t>
        </is>
      </c>
      <c r="C219" t="inlineStr">
        <is>
          <t>GEICO</t>
        </is>
      </c>
      <c r="D219" t="inlineStr">
        <is>
          <t>indeed</t>
        </is>
      </c>
      <c r="E219">
        <f>HYPERLINK("https://www.indeed.com/viewjob?jk=db1dd133d26e1bd9", "https://www.indeed.com/viewjob?jk=db1dd133d26e1bd9")</f>
        <v/>
      </c>
      <c r="F219">
        <f>HYPERLINK("https://click.appcast.io/t/FptiyqamMX_CYBhPVMXYD7M-VQ6aIZ_HN0uPiMzpqMw=", "https://click.appcast.io/t/FptiyqamMX_CYBhPVMXYD7M-VQ6aIZ_HN0uPiMzpqMw=")</f>
        <v/>
      </c>
      <c r="G219" t="inlineStr">
        <is>
          <t>New York, NY, US</t>
        </is>
      </c>
      <c r="H219" s="3" t="n">
        <v>46050</v>
      </c>
      <c r="I21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Define the product roadmap for machine learning solutions and establish feature backlogs. Prioritize key ML features in collaboration with product managers, aligning them with business objectives and technical feasibility.
**Optimize****Model Performance and Reliability**Debug and troubleshoot model performance issues, track key metrics, and continuously enhance model reliability, speed, and efficiency in production environments.
**End\-to\-End Model Lifecycle Management:**Own the complete lifecycle of ML models, including monitoring, retraining, finetuning and managing versions of models to ensure they continue to meet business needs over time.
**Leadership and Mentorship:**Guide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**Preferred****Qualifications****:**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0">
      <c r="A220" t="inlineStr">
        <is>
          <t>in-097fb17bdcda802a</t>
        </is>
      </c>
      <c r="B220" t="inlineStr">
        <is>
          <t>Staff Machine Learning Engineer</t>
        </is>
      </c>
      <c r="C220" t="inlineStr">
        <is>
          <t>GEICO</t>
        </is>
      </c>
      <c r="D220" t="inlineStr">
        <is>
          <t>indeed</t>
        </is>
      </c>
      <c r="E220">
        <f>HYPERLINK("https://www.indeed.com/viewjob?jk=097fb17bdcda802a", "https://www.indeed.com/viewjob?jk=097fb17bdcda802a")</f>
        <v/>
      </c>
      <c r="F220">
        <f>HYPERLINK("https://click.appcast.io/t/n71_I1sO2Ug8R1FBFPP3XLozJyAguh2rMq_ReSc2R7U=", "https://click.appcast.io/t/n71_I1sO2Ug8R1FBFPP3XLozJyAguh2rMq_ReSc2R7U=")</f>
        <v/>
      </c>
      <c r="G220" t="inlineStr">
        <is>
          <t>Chevy Chase, MD, US</t>
        </is>
      </c>
      <c r="H220" s="3" t="n">
        <v>46050</v>
      </c>
      <c r="I22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Define the product roadmap for machine learning solutions and establish feature backlogs. Prioritize key ML features in collaboration with product managers, aligning them with business objectives and technical feasibility.
**Optimize****Model Performance and Reliability**Debug and troubleshoot model performance issues, track key metrics, and continuously enhance model reliability, speed, and efficiency in production environments.
**End\-to\-End Model Lifecycle Management:**Own the complete lifecycle of ML models, including monitoring, retraining, finetuning and managing versions of models to ensure they continue to meet business needs over time.
**Leadership and Mentorship:**Guide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**Preferred****Qualifications****:**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1">
      <c r="A221" t="inlineStr">
        <is>
          <t>in-f031bf9b97f20e84</t>
        </is>
      </c>
      <c r="B221" t="inlineStr">
        <is>
          <t>Staff Machine Learning Engineer</t>
        </is>
      </c>
      <c r="C221" t="inlineStr">
        <is>
          <t>GEICO</t>
        </is>
      </c>
      <c r="D221" t="inlineStr">
        <is>
          <t>indeed</t>
        </is>
      </c>
      <c r="E221">
        <f>HYPERLINK("https://www.indeed.com/viewjob?jk=f031bf9b97f20e84", "https://www.indeed.com/viewjob?jk=f031bf9b97f20e84")</f>
        <v/>
      </c>
      <c r="F221">
        <f>HYPERLINK("https://click.appcast.io/t/4QgFQVBmSh8NHsVjbAAXc-BXBt4zvqsQ3xsXVEPEqew=", "https://click.appcast.io/t/4QgFQVBmSh8NHsVjbAAXc-BXBt4zvqsQ3xsXVEPEqew=")</f>
        <v/>
      </c>
      <c r="G221" t="inlineStr">
        <is>
          <t>Palo Alto, CA, US</t>
        </is>
      </c>
      <c r="H221" s="3" t="n">
        <v>46050</v>
      </c>
      <c r="I22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Define the product roadmap for machine learning solutions and establish feature backlogs. Prioritize key ML features in collaboration with product managers, aligning them with business objectives and technical feasibility.
**Optimize****Model Performance and Reliability**Debug and troubleshoot model performance issues, track key metrics, and continuously enhance model reliability, speed, and efficiency in production environments.
**End\-to\-End Model Lifecycle Management:**Own the complete lifecycle of ML models, including monitoring, retraining, finetuning and managing versions of models to ensure they continue to meet business needs over time.
**Leadership and Mentorship:**Guide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**Preferred****Qualifications****:**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2">
      <c r="A222" t="inlineStr">
        <is>
          <t>in-52c1b92b8d810517</t>
        </is>
      </c>
      <c r="B222" t="inlineStr">
        <is>
          <t>Senior Machine Learning Engineer, Risk Modeling</t>
        </is>
      </c>
      <c r="C222" t="inlineStr">
        <is>
          <t>Block</t>
        </is>
      </c>
      <c r="D222" t="inlineStr">
        <is>
          <t>indeed</t>
        </is>
      </c>
      <c r="E222">
        <f>HYPERLINK("https://www.indeed.com/viewjob?jk=52c1b92b8d810517", "https://www.indeed.com/viewjob?jk=52c1b92b8d810517")</f>
        <v/>
      </c>
      <c r="F222">
        <f>HYPERLINK("https://block.xyz/careers/jobs/5100268008", "https://block.xyz/careers/jobs/5100268008")</f>
        <v/>
      </c>
      <c r="G222" t="inlineStr">
        <is>
          <t>San Francisco Bay Area, CA, US</t>
        </is>
      </c>
      <c r="H222" s="3" t="n">
        <v>46050</v>
      </c>
      <c r="I222" t="inlineStr">
        <is>
          <t>Block builds technology to increase access to the global economy. Across our ecosystem, including Square and Cash App, we create tools that help businesses run and grow, and individuals move, manage, and grow their money with confidence.
Square empowers sellers of all sizes with integrated, omnichannel tools to accept payments, manage operations, access financial services, and reach customers across online and in\-person channels.
Cash App complements this by providing a fast, accessible financial platform for millions of people to send, spend, save, invest, and borrow, helping redefine how individuals interact with money.Operating at massive scale across both ecosystems means trust and safety are foundational. Our teams build systems that protect real people and businesses, safeguard financial activity, and ensure our products remain reliable, secure, and easy to use.
Block is a global, distributed company with a culture rooted in ownership, creativity, and impact. Whether supporting sellers on Square or customers on Cash App, we’re united by a shared mission: to make the global economy more accessible and inclusive.
#### **The Role**
We’re hiring Senior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on chargeback and fraud prevention as well as trust and safety initiatives supporting Cash App Families and teen banking.
Across teams, your work will directly protect our ecosystem, reduce financial loss, and enable safe, seamless financial experiences for millions of customers, sellers, and families.
**Team Focus Areas**
Depending on your background and interests, you may join a team focused on one of the following areas:
**Fraud \&amp; Chargeback Risk**  
Build machine learning models and systems that detect fraudulent transactions, reduce chargebacks, and protect the integrity of payments across Cash App and Square.
**Trust, Safety \&amp; Families**  
Develop machine learning systems that enable safe and trustworthy financial experiences for teens and families by detecting risky or abusive behavior, strengthening account integrity, and supporting long\-term trust in Cash App.
Both teams value first\-principles thinking, rapid iteration, and shipping production ML solutions with real\-world impact.
#### **You Will**
* Partner with product, engineering, data science, policy, and operations to design and productionize ML\-driven risk solutions at scale
* Own end\-to\-end machine learning systems, from problem definition and modeling to deployment, monitoring, and iteration
* Lead technical decision\-making within your workstreams and influence ML strategy and planning
* Build tooling and processes that improve the speed, reliability, and impact of the ML development lifecycle
* Apply state\-of\-the\-art modeling techniques and third\-party data sources to improve detection and decision\-making
* Investigate emerging fraud, abuse, and risk patterns to proactively inform product safeguards and policy
* Collaborate closely with ML platform and engineering teams to ensure models operate reliably in real time and at scale
#### **You Have**
* 2\+ years of industry experience in machine learning, applied AI, or related fields
* Bachelor’s degree in a quantitative field (Computer Science, Engineering, Statistics, Physics, Applied Math); Master’s or PhD preferred
* Proven experience independently designing, deploying, and maintaining ML solutions in production
* Strong familiarity with techniques such as tree\-based models, deep learning, transfer learning, or reinforcement learning
* Experience influencing technical direction and collaborating with cross\-functional partners at scale
* Strong communication skills, sound judgment, and an ownership mindset
* Curiosity and alignment with Block’s mission of economic empowerment
#### **Technologies We Use and Teach**
* Python (NumPy, Pandas, scikit\-learn, XGBoost, PyTorch, TensorFlow/Keras)
* PySpark, MLflow, workflow orchestration tools (Airflow, Prefect)
* GCP (Vertex AI), AWS
* Snowflake, MySQL, Tableau, Mode
* Containerization, CI/CD, and production ML best practices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$189,000—$283,600 USD
Zone B:
$179,600—$269,400 USD
Zone C:
$170,100—$255,100 USD
Zone D:
$160,700—$241,100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223">
      <c r="A223" t="inlineStr">
        <is>
          <t>in-8b5a51fbb827f3ea</t>
        </is>
      </c>
      <c r="B223" t="inlineStr">
        <is>
          <t>Machine Learning Engineer, WWPS ProServe Data and Machine Learning</t>
        </is>
      </c>
      <c r="C223" t="inlineStr">
        <is>
          <t>Amazon Web Services</t>
        </is>
      </c>
      <c r="D223" t="inlineStr">
        <is>
          <t>indeed</t>
        </is>
      </c>
      <c r="E223">
        <f>HYPERLINK("https://www.indeed.com/viewjob?jk=8b5a51fbb827f3ea", "https://www.indeed.com/viewjob?jk=8b5a51fbb827f3ea")</f>
        <v/>
      </c>
      <c r="F223">
        <f>HYPERLINK("https://www.amazon.jobs/jobs/3168182/machine-learning-engineer-wwps-proserve-data-and-machine-learning?cmpid=DA_INAD200785B", "https://www.amazon.jobs/jobs/3168182/machine-learning-engineer-wwps-proserve-data-and-machine-learning?cmpid=DA_INAD200785B")</f>
        <v/>
      </c>
      <c r="G223" t="inlineStr">
        <is>
          <t>Herndon, VA, US</t>
        </is>
      </c>
      <c r="H223" s="3" t="n">
        <v>46044</v>
      </c>
      <c r="I22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4">
      <c r="A224" t="inlineStr">
        <is>
          <t>in-aac97ff4937db0c6</t>
        </is>
      </c>
      <c r="B224" t="inlineStr">
        <is>
          <t>Machine Learning Engineer, WWPS ProServe Data and Machine Learning</t>
        </is>
      </c>
      <c r="C224" t="inlineStr">
        <is>
          <t>Amazon Web Services</t>
        </is>
      </c>
      <c r="D224" t="inlineStr">
        <is>
          <t>indeed</t>
        </is>
      </c>
      <c r="E224">
        <f>HYPERLINK("https://www.indeed.com/viewjob?jk=aac97ff4937db0c6", "https://www.indeed.com/viewjob?jk=aac97ff4937db0c6")</f>
        <v/>
      </c>
      <c r="F224">
        <f>HYPERLINK("https://www.amazon.jobs/jobs/3168182/machine-learning-engineer-wwps-proserve-data-and-machine-learning?cmpid=DA_INAD200785B", "https://www.amazon.jobs/jobs/3168182/machine-learning-engineer-wwps-proserve-data-and-machine-learning?cmpid=DA_INAD200785B")</f>
        <v/>
      </c>
      <c r="G224" t="inlineStr">
        <is>
          <t>Arlington, VA, US</t>
        </is>
      </c>
      <c r="H224" s="3" t="n">
        <v>46044</v>
      </c>
      <c r="I22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5">
      <c r="A225" t="inlineStr">
        <is>
          <t>in-c3e0e434f435f29b</t>
        </is>
      </c>
      <c r="B225" t="inlineStr">
        <is>
          <t>Machine Learning Engineer, WWPS ProServe Data and Machine Learning</t>
        </is>
      </c>
      <c r="C225" t="inlineStr">
        <is>
          <t>Amazon Web Services</t>
        </is>
      </c>
      <c r="D225" t="inlineStr">
        <is>
          <t>indeed</t>
        </is>
      </c>
      <c r="E225">
        <f>HYPERLINK("https://www.indeed.com/viewjob?jk=c3e0e434f435f29b", "https://www.indeed.com/viewjob?jk=c3e0e434f435f29b")</f>
        <v/>
      </c>
      <c r="F225">
        <f>HYPERLINK("https://www.amazon.jobs/jobs/3168180/machine-learning-engineer-wwps-proserve-data-and-machine-learning?cmpid=DA_INAD200785B", "https://www.amazon.jobs/jobs/3168180/machine-learning-engineer-wwps-proserve-data-and-machine-learning?cmpid=DA_INAD200785B")</f>
        <v/>
      </c>
      <c r="G225" t="inlineStr">
        <is>
          <t>Herndon, VA, US</t>
        </is>
      </c>
      <c r="H225" s="3" t="n">
        <v>46043</v>
      </c>
      <c r="I22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6">
      <c r="A226" t="inlineStr">
        <is>
          <t>in-9331b551e541ee95</t>
        </is>
      </c>
      <c r="B226" t="inlineStr">
        <is>
          <t>Machine Learning Engineer, WWPS ProServe Data and Machine Learning</t>
        </is>
      </c>
      <c r="C226" t="inlineStr">
        <is>
          <t>Amazon Web Services</t>
        </is>
      </c>
      <c r="D226" t="inlineStr">
        <is>
          <t>indeed</t>
        </is>
      </c>
      <c r="E226">
        <f>HYPERLINK("https://www.indeed.com/viewjob?jk=9331b551e541ee95", "https://www.indeed.com/viewjob?jk=9331b551e541ee95")</f>
        <v/>
      </c>
      <c r="F226">
        <f>HYPERLINK("https://www.amazon.jobs/jobs/3168180/machine-learning-engineer-wwps-proserve-data-and-machine-learning?cmpid=DA_INAD200785B", "https://www.amazon.jobs/jobs/3168180/machine-learning-engineer-wwps-proserve-data-and-machine-learning?cmpid=DA_INAD200785B")</f>
        <v/>
      </c>
      <c r="G226" t="inlineStr">
        <is>
          <t>Arlington, VA, US</t>
        </is>
      </c>
      <c r="H226" s="3" t="n">
        <v>46043</v>
      </c>
      <c r="I22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7">
      <c r="A227" t="inlineStr">
        <is>
          <t>in-9fe4fa1b32642bce</t>
        </is>
      </c>
      <c r="B227" t="inlineStr">
        <is>
          <t>Applied Scientist, Alexa Smart Home</t>
        </is>
      </c>
      <c r="C227" t="inlineStr">
        <is>
          <t>Amazon.com</t>
        </is>
      </c>
      <c r="D227" t="inlineStr">
        <is>
          <t>indeed</t>
        </is>
      </c>
      <c r="E227">
        <f>HYPERLINK("https://www.indeed.com/viewjob?jk=9fe4fa1b32642bce", "https://www.indeed.com/viewjob?jk=9fe4fa1b32642bce")</f>
        <v/>
      </c>
      <c r="F227">
        <f>HYPERLINK("https://www.amazon.jobs/jobs/3169205/applied-scientist-alexa-smart-home?cmpid=DA_INAD200785B", "https://www.amazon.jobs/jobs/3169205/applied-scientist-alexa-smart-home?cmpid=DA_INAD200785B")</f>
        <v/>
      </c>
      <c r="G227" t="inlineStr">
        <is>
          <t>Seattle, WA, US</t>
        </is>
      </c>
      <c r="H227" s="3" t="n">
        <v>46033</v>
      </c>
      <c r="I22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8">
      <c r="A228" t="inlineStr">
        <is>
          <t>in-6c99e4de8ec495d8</t>
        </is>
      </c>
      <c r="B228" t="inlineStr">
        <is>
          <t>Applied Scientist, Alexa Smart Home</t>
        </is>
      </c>
      <c r="C228" t="inlineStr">
        <is>
          <t>Amazon.com</t>
        </is>
      </c>
      <c r="D228" t="inlineStr">
        <is>
          <t>indeed</t>
        </is>
      </c>
      <c r="E228">
        <f>HYPERLINK("https://www.indeed.com/viewjob?jk=6c99e4de8ec495d8", "https://www.indeed.com/viewjob?jk=6c99e4de8ec495d8")</f>
        <v/>
      </c>
      <c r="F228">
        <f>HYPERLINK("https://www.amazon.jobs/jobs/3169205/applied-scientist-alexa-smart-home?cmpid=DA_INAD200785B", "https://www.amazon.jobs/jobs/3169205/applied-scientist-alexa-smart-home?cmpid=DA_INAD200785B")</f>
        <v/>
      </c>
      <c r="G228" t="inlineStr">
        <is>
          <t>Sunnyvale, CA, US</t>
        </is>
      </c>
      <c r="H228" s="3" t="n">
        <v>46033</v>
      </c>
      <c r="I22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9">
      <c r="A229" t="inlineStr">
        <is>
          <t>in-7ea5a7a0a538c045</t>
        </is>
      </c>
      <c r="B229" t="inlineStr">
        <is>
          <t>Sr. Machine Learning Engineer, AGIF | Finetuning</t>
        </is>
      </c>
      <c r="C229" t="inlineStr">
        <is>
          <t>Amazon.com</t>
        </is>
      </c>
      <c r="D229" t="inlineStr">
        <is>
          <t>indeed</t>
        </is>
      </c>
      <c r="E229">
        <f>HYPERLINK("https://www.indeed.com/viewjob?jk=7ea5a7a0a538c045", "https://www.indeed.com/viewjob?jk=7ea5a7a0a538c045")</f>
        <v/>
      </c>
      <c r="F229">
        <f>HYPERLINK("https://www.amazon.jobs/jobs/3145989/sr-machine-learning-engineer-agif--finetuning?cmpid=DA_INAD200785B", "https://www.amazon.jobs/jobs/3145989/sr-machine-learning-engineer-agif--finetuning?cmpid=DA_INAD200785B")</f>
        <v/>
      </c>
      <c r="G229" t="inlineStr">
        <is>
          <t>New York, NY, US</t>
        </is>
      </c>
      <c r="H229" s="3" t="n">
        <v>45984</v>
      </c>
      <c r="I2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in-d021d2302b6af305</t>
        </is>
      </c>
      <c r="B230" t="inlineStr">
        <is>
          <t>Sr. Machine Learning Engineer, AGIF | Finetuning</t>
        </is>
      </c>
      <c r="C230" t="inlineStr">
        <is>
          <t>Amazon.com</t>
        </is>
      </c>
      <c r="D230" t="inlineStr">
        <is>
          <t>indeed</t>
        </is>
      </c>
      <c r="E230">
        <f>HYPERLINK("https://www.indeed.com/viewjob?jk=d021d2302b6af305", "https://www.indeed.com/viewjob?jk=d021d2302b6af305")</f>
        <v/>
      </c>
      <c r="F230">
        <f>HYPERLINK("https://www.amazon.jobs/jobs/3145989/sr-machine-learning-engineer-agif--finetuning?cmpid=DA_INAD200785B", "https://www.amazon.jobs/jobs/3145989/sr-machine-learning-engineer-agif--finetuning?cmpid=DA_INAD200785B")</f>
        <v/>
      </c>
      <c r="G230" t="inlineStr">
        <is>
          <t>Sunnyvale, CA, US</t>
        </is>
      </c>
      <c r="H230" s="3" t="n">
        <v>45984</v>
      </c>
      <c r="I23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in-d38302e934f7a905</t>
        </is>
      </c>
      <c r="B231" t="inlineStr">
        <is>
          <t>Sr. Machine Learning Engineer, AGIF | Finetuning</t>
        </is>
      </c>
      <c r="C231" t="inlineStr">
        <is>
          <t>Amazon.com</t>
        </is>
      </c>
      <c r="D231" t="inlineStr">
        <is>
          <t>indeed</t>
        </is>
      </c>
      <c r="E231">
        <f>HYPERLINK("https://www.indeed.com/viewjob?jk=d38302e934f7a905", "https://www.indeed.com/viewjob?jk=d38302e934f7a905")</f>
        <v/>
      </c>
      <c r="F231">
        <f>HYPERLINK("https://www.amazon.jobs/jobs/3145989/sr-machine-learning-engineer-agif--finetuning?cmpid=DA_INAD200785B", "https://www.amazon.jobs/jobs/3145989/sr-machine-learning-engineer-agif--finetuning?cmpid=DA_INAD200785B")</f>
        <v/>
      </c>
      <c r="G231" t="inlineStr">
        <is>
          <t>Bellevue, WA, US</t>
        </is>
      </c>
      <c r="H231" s="3" t="n">
        <v>45984</v>
      </c>
      <c r="I23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li-4367315647</t>
        </is>
      </c>
      <c r="B2" t="inlineStr">
        <is>
          <t>Applied Scientist</t>
        </is>
      </c>
      <c r="C2" t="inlineStr">
        <is>
          <t>Raydar</t>
        </is>
      </c>
      <c r="D2" t="inlineStr">
        <is>
          <t>linkedin</t>
        </is>
      </c>
      <c r="E2" t="inlineStr"/>
      <c r="F2" t="inlineStr"/>
      <c r="G2" t="inlineStr"/>
      <c r="H2" t="inlineStr"/>
      <c r="I2" t="inlineStr">
        <is>
          <t>As an Applied Scientist (ML), you will collaborate closely with our product and engineering teams, and use cutting\-edge ML research to transform how users interact with our client in their daily workflows. You'll drive impact across the entire ML lifecycle: from problem formulation and system analysis to data collection, benchmark development, model training, and production deployment. You’ll also have opportunities to publish your work and deliver impact to the ML community. Your expertise will advance our capabilities in these critical technical domains:
* Retrieval, ranking and RAG
* LLM post\-training and reinforcement learning
* AI agents for knowledge workflows
* ML benchmarks
 Your work has the potential to transform the following key products and deliver impacts to tens of thousands of professional users:
**Instant QA:** 
 Our client's custom\-built Question Answer system using state of the art in house models, seamlessly trained to work together to enable instant expert intelligence.
**Agents:** 
 You will enable expert\-level agentic workflows to automate comprehensive knowledge work and enable AI tools that work with experts to gain new insights.
**Responsibilities** 
* Formulate an ML problem from product requirements.
* Analyze existing ML systems for their limitations, and propose and validate novel methodologies to improve upon existing systems.
* Create and productionize cutting\-edge research prototypes for knowledge work at scale.
* Build novel ML evaluation datasets that serve as crucial criteria for production feature rollouts.
* \[Optionally] Mentor ML interns and publish your research findings with the community.
**Experience** 
 Required
* PhD or Master’s degree in Computer Science, Machine Learning, NLP, or a related field.
* Strong background in deep learning, large language models, and NLP techniques.
* A strong track record of first\-author publications in top AI/NLP conferences (e.g., NeurIPS, ICML, ACL, EMNLP).
* Proficiency in Python and deep learning frameworks such as PyTorch or Transformers, and strong coding skills.
 Preferred
* 2\+ years of experience in an industry applied ML research environment
* Familiarity with retrieval\-augmented generation, reasoning, LLM training and reinforcement learning techniques.</t>
        </is>
      </c>
    </row>
    <row r="3">
      <c r="A3" t="inlineStr">
        <is>
          <t>li-4367314438</t>
        </is>
      </c>
      <c r="B3" t="inlineStr">
        <is>
          <t>AI and ML Engineer</t>
        </is>
      </c>
      <c r="C3" t="inlineStr">
        <is>
          <t>Intellibee Inc</t>
        </is>
      </c>
      <c r="D3" t="inlineStr">
        <is>
          <t>linkedin</t>
        </is>
      </c>
      <c r="E3" t="inlineStr"/>
      <c r="F3" t="inlineStr"/>
      <c r="G3" t="inlineStr">
        <is>
          <t>Detroit, MI</t>
        </is>
      </c>
      <c r="H3" t="inlineStr"/>
      <c r="I3" t="inlineStr">
        <is>
          <t>AI and ML Engineer, Detroit, MI, US
**AI and ML Engineer**
 We are seeking an innovative AI/ML Engineer to design, develop, and implement cutting\-edge artificial intelligence and machine learning solutions. In this role, you will leverage Google's suite of AI products and technologies to create intelligent systems that solve complex business problems. You will work closely with cross\-functional teams to integrate AI capabilities into our products and services.
 This role requires a deep understanding of AI/ML principles, software development practices, and Google's AI technologies. The ideal candidate will have a proven track record of developing and deploying AI solutions using Google's ecosystem of tools and services. They should be passionate about staying current with Google's rapidly evolving AI landscape and capable of applying these cutting\-edge technologies to solve real\-world business problems.
* Strong programming skills in Python, and familiarity with Java or C\+\+
* Solid understanding of machine learning algorithms and techniques
* Experience with deep learning frameworks (TensorFlow preferred)
* Familiarity with Google Cloud Platform (GCP) and its AI/ML services
* Knowledge of data processing and analysis techniques
* Strong analytical and problem\-solving skills
* Excellent communication and collaboration abilities
**Level 1 (2\-4 Years Of Experience)**
* Implements basic machine learning models using scikit\-learn and TensorFlow
* Uses Google Cloud AI Platform for model training and deployment
* Develops simple data pipelines using Google Cloud Dataflow
* Applies Google's pre\-trained models (e.g., Vision API, Natural Language API) for basic tasks
* Understands and applies fundamental ML concepts (supervised/unsupervised learning, evaluation metrics)
* Creates basic visualizations of ML model performance
**Level 2 (4\-7 Years Of Experience)**
* Designs and implements custom neural network architectures using TensorFlow
* Utilizes Google Cloud AutoML for automated model development
* Develops more complex data processing pipelines using Apache Beam on Dataflow
* Implements advanced NLP solutions using BERT and other transformer models
* Applies Google Cloud AI Building Blocks for specialized tasks (e.g., Translation API, Speech\-to\-Text)
* Implements basic MLOps practices using Google Cloud AI Platform
**Level 3 (7\-10 Years Of Experience)**
* Architects end\-to\-end ML solutions using Google Cloud's AI platform
* Implements advanced deep learning models (CNNs, RNNs, GANs) for complex tasks
* Develops sophisticated NLP systems using Google's latest language models
* Utilizes Google Cloud Vertex AI for unified ML operations
* Implements ML pipelines using TensorFlow Extended (TFX)
* Applies Google's responsible AI practices in model development
**Level 4 (10\-14 Years Of Experience)**
* Designs scalable, production\-grade AI systems using Google Cloud technologies
* Implements cutting\-edge ML techniques (e.g., few\-shot learning, meta\-learning)
* Develops custom AI solutions using Google's open\-source tools (e.g., JAX, Flax)
* Utilizes Google Cloud TPUs for high\-performance model training
* Implements advanced MLOps practices, including ML pipelines and continuous training
* Leads initiatives for adopting Google's AI technologies across the organization
**Level 5 (14\-18 Years Of Experience)**
* Architects enterprise\-wide AI strategies leveraging Google's AI ecosystem
* Implements sophisticated AI systems for multi\-modal data (text, image, audio, video)
* Develops innovative solutions using Google's latest AI research (e.g., LaMDA, PaLM)
* Utilizes Google Cloud's AI solutions for edge and IoT applications
* Implements advanced techniques for model interpretability and fairness
* Drives adoption of Google's AI technologies for business transformation
**Level 6 (18\+ years of experience):**
* Shapes organizational AI/ML strategies aligned with Google's AI roadmap
* Pioneers adoption of cutting\-edge Google AI technologies (e.g., quantum ML)
* Designs ultra\-large\-scale AI systems leveraging Google's distributed computing capabilities
* Creates frameworks for measuring and optimizing AI/ML impact on business outcomes
* Implements innovative approaches to AI governance and ethics using Google's guidelines
* Leads transformative initiatives in AI/ML practices and culture
**Technical Skills**
* Google Cloud AI/ML Services: AI Platform, Vertex AI, AutoML, BigQuery ML
* TensorFlow Ecosystem: TensorFlow, Keras, TensorFlow Extended (TFX), TensorFlow.js
* Google AI APIs: Vision AI, Natural Language AI, Translation AI, Speech\-to\-Text, Text\-to\-Speech
* Google Cloud Data Tools: Dataflow, Dataprep, Data Fusion, Pub/Sub
* MLOps on Google Cloud: AI Platform Pipelines, Kubeflow
* Google's Responsible AI Practices and Tools
* Familiarity with Google's open\-source AI projects (e.g., BERT, T5, JAX)
* Experience with Google Cloud TPUs and distributed training
* Knowledge of Google's AI research initiatives and latest publications</t>
        </is>
      </c>
    </row>
    <row r="4">
      <c r="A4" t="inlineStr">
        <is>
          <t>li-4367304954</t>
        </is>
      </c>
      <c r="B4" t="inlineStr">
        <is>
          <t>AI ML Engineer</t>
        </is>
      </c>
      <c r="C4" t="inlineStr">
        <is>
          <t>Unicorn Technologies LLC</t>
        </is>
      </c>
      <c r="D4" t="inlineStr">
        <is>
          <t>linkedin</t>
        </is>
      </c>
      <c r="E4" t="inlineStr"/>
      <c r="F4" t="inlineStr"/>
      <c r="G4" t="inlineStr">
        <is>
          <t>Texas, United States</t>
        </is>
      </c>
      <c r="H4" t="inlineStr"/>
      <c r="I4" t="inlineStr">
        <is>
          <t>**Job Title : AI ML Engineer**
**Location : Dallas , TX ( Onsite) In Person Needed**
**Duration: 1\+ year**
 We seek an experienced developer to design, build, and deploy advanced conversational AI solutions on Google Cloud. You will leverage Vertex AI, CCAI, and Dialogflow to create intelligent, scalable chatbots that enhance digital customer engagement.
**Key Responsibilities**
* Experience architecting, designing, and developing scalable chat Virtual Agent frameworks using Google Vertex AI, with proficiency in Vertex AI Agent Engine and Google Agent Development Kit (ADK).
* Expertise in building, customizing, and optimizing chatbots and conversational flows with Dialogflow CX/ES, including implementation of advanced intent detection, context management, slot filling, and rich fulfillment.
* Demonstrated ability to leverage state\-of\-the\-art NLP, LLM, and GenAI models on Vertex AI to enhance chatbot capabilities, such as complex intent handling, summarization, entity extraction, and response generation.
* Hands\-on experience building and maintaining cloud\-native chat Virtual Agent solutions using GCP services including CCAI, Vertex AI, Pub/Sub, Cloud Functions, Cloud Run, Cloud Storage, and BigQuery for real\-time data processing, analytics, and reporting.
* Proficiency in training, fine\-tuning, and deploying custom LLMs, transformer models, and Retrieval Augmented Generation (RAG) pipelines to advance chat Virtual Agent intelligence.
* Solid understanding and practical application of MLOps best practices for chatbot pipelines, including automation of training, deployment, testing, monitoring, and versioning with Vertex AI Pipelines, Docker, Kubernetes, and CI/CD workflows.
* Strong experience developing REST APIs, gRPC, and JSON\-based communication for seamless system integration.
**Required Qualifications**
* 6\+ years in software development (4\+ in NLP/NLU for chat).
* Advanced Python skills; experience with ML/NLP libraries (Hugging Face, TensorFlow, PyTorch).
* Proven success building conversational agents with Vertex AI and Dialogflow CX/ES.
* Proficiency in GCP services and cloud\-native architectures.
* Solid MLOps understanding (Docker, Kubernetes, CI/CD, Git).
* Experience with Agent Assist functionality is a plus.
**Preferred Qualifications**
* Master's/PhD in Computer Science, AI/ML, or related field.
* GCP certifications (e.g., Google Cloud Certified Professional ML Engineer).
* Experience with GenAI frameworks (PaLM, Gemini).
* Integration with CRM, knowledge bases, and live agent systems.
* Knowledge of security and compliance in chat AI.
**Soft Skills**
* Excellent communication and collaboration.
* Strong ownership and end\-to\-end project delivery.
* Leadership in cross\-functional environments.
* Team Leading and Management.</t>
        </is>
      </c>
    </row>
    <row r="5">
      <c r="A5" t="inlineStr">
        <is>
          <t>li-4366013780</t>
        </is>
      </c>
      <c r="B5" t="inlineStr">
        <is>
          <t>Machine Learning Engineer</t>
        </is>
      </c>
      <c r="C5" t="inlineStr">
        <is>
          <t>Avride</t>
        </is>
      </c>
      <c r="D5" t="inlineStr">
        <is>
          <t>linkedin</t>
        </is>
      </c>
      <c r="E5" t="inlineStr"/>
      <c r="F5" t="inlineStr"/>
      <c r="G5" t="inlineStr">
        <is>
          <t>Austin, TX</t>
        </is>
      </c>
      <c r="H5" t="inlineStr"/>
      <c r="I5" t="inlineStr">
        <is>
          <t>Avride develops autonomous vehicle and delivery robot technology, leveraging deep expertise in autonomous systems. With the recent 
 **launch of our robotaxi service in Dallas** 
 , we are accelerating innovation and redefining the future of mobility.
 Our team builds self\-driving solutions from the ground up, with machine learning at the core of our development pipeline to enable safe and intelligent navigation. We design and deploy state\-of\-the\-art models to address key challenges in autonomous systems, utilizing advanced deep learning architectures such as Convolutional Neural Networks (CNNs), Transformers, and Multimodal Large Language Models (MLLMs). These models power both onboard and offboard applications, ensuring robust and efficient operation. Your work will directly contribute to enhancing the performance, safety, and reliability of Avride’s autonomous vehicles and delivery robots.
 About the Role
 We are looking for an
 **experienced Machine Learning Engineer** 
 with a strong background in developing and deploying modern machine learning solutions for complex real\-world challenges. In this role, you will conduct experiments, manage large\-scale datasets, and implement deep learning models tailored for autonomous systems.
 You will utilize cloud platforms, orchestration tools, and machine learning frameworks to develop scalable and efficient solutions. Additionally, you will analyze the latest research, assess the applicability of emerging deep learning techniques, and drive innovation in autonomous vehicle technology.
 What You'll Do
 * **Develop and Optimize Machine Learning Models:** 
  Design, implement, and refine deep learning models to ensure efficiency, scalability, and robustness. This may include developing models for understanding a self\-driving vehicle’s surroundings or predicting the intentions of other road users.
* **Curate and Manage Large\-Scale Datasets:** 
  Oversee data collection, preprocessing, and augmentation to maintain high\-quality datasets for training and evaluation.
* **Enhance and Maintain Training Pipelines:** 
  Develop efficient workflows for training, validation, and testing, incorporating distributed training, hyperparameter tuning, and automated monitoring.
* **Improve Model Deployment and Efficiency:** 
  Optimize inference performance, model compression, and deployment across various hardware platforms.
* **Explore and Apply Cutting\-Edge ML Techniques:** 
  Stay up to date with advancements in deep learning and experiment with novel approaches to improve model performance.
* **Collaborate with Cross\-Functional Teams:** 
  Work closely with researchers, software engineers, and robotics experts to integrate machine learning solutions into real\-world autonomous systems.
 What You'll Need
 * Strong understanding of fundamental machine learning algorithms and neural network techniques.
* Expertise in at least one modern machine learning domain, such as computer vision, large language models, or generative AI.
* At least three years of experience developing neural network\-based algorithms, including data collection, training, and deployment.
* Proficiency in Python and ML frameworks such as PyTorch, TensorFlow, or JAX, along with PySpark, NumPy, and SciPy.
* Working knowledge of C\+\+ and SQL.
* Ability to quickly absorb new concepts by reviewing research papers, technical reports, and documentation.
* Strong collaboration and communication skills, with the ability to align technical work with business objectives and drive results.
 Nice to Have
 * Advanced degree in Computer Science, Machine Learning, Robotics, or a related field.
* Experience developing ML algorithms for autonomous vehicles or robotics applications.
* Familiarity with neural network deployment and optimization tools such as triton, TensorRT, or similar frameworks.
* Proven ability to set and achieve mid\- and long\-term goals, prioritize tasks, and meet deadlines independently.
* Experience working in cross\-functional teams within a multidisciplinary environment.
* Publications in top\-tier ML conferences or contributions to patent applications or ML\-related open\-source projects.</t>
        </is>
      </c>
    </row>
    <row r="6">
      <c r="A6" t="inlineStr">
        <is>
          <t>li-4259765111</t>
        </is>
      </c>
      <c r="B6" t="inlineStr">
        <is>
          <t>Machine Learning Engineer - Perception Offline Driving Intelligence</t>
        </is>
      </c>
      <c r="C6" t="inlineStr">
        <is>
          <t>Zoox</t>
        </is>
      </c>
      <c r="D6" t="inlineStr">
        <is>
          <t>linkedin</t>
        </is>
      </c>
      <c r="E6" t="inlineStr"/>
      <c r="F6" t="inlineStr"/>
      <c r="G6" t="inlineStr">
        <is>
          <t>Foster City, CA</t>
        </is>
      </c>
      <c r="H6" t="inlineStr"/>
      <c r="I6" t="inlineStr">
        <is>
          <t>The Offline Driving Intelligence (ODIN) team at Zoox is leveraging the latest in AI to craft algorithms that understand the world. We leverage large models first offline and we devise a path of impact into our self\-driving robot, enabling safe and efficient navigation in complex environments.
 As an engineer in the ODIN team, you will develop advanced multimodal large language models that enhance environmental understanding. You'll develop and fine\-tune these models for off\-vehicle analysis while working with the onboard team to deliver impact in our robotaxi platform, ensuring they can efficiently identify hazards and interpret driving restrictions with minimal latency. Working alongside world\-class engineers and researchers, you'll leverage premium sensor data and cutting\-edge infrastructure to validate your algorithms in real\-world conditions, directly impacting productivity, safety and the capability of Zoox's autonomous system.
**In This Role, You Will**
* Develop multimodal large language models that enhance our robotaxis' understanding of complex urban environments
* Implement model architectures and sophisticated training techniques
* Build large high quality datasets leveraging all the inputs from our sensor stack and the overall large scale data we have at Zoox.
* Drive end\-to\-end ML solutions from research to production, utilizing Zoox's extensive data pipelines and infrastructure to improve autonomous driving capabilities.
* Collaborate with perception, planning, safety, and systems teams to integrate your models into the vehicle's decision\-making pipeline.
* Validate and optimize your solutions using real\-world driving scenarios, directly contributing to the safety and reliability of Zoox's autonomous system
**Qualifications**
* MS or PhD in Computer Science, Machine Learning, or related technical field
* Demonstrated experience training and deploying large language models (LLMs)
* Experience building and maintaining ML training pipelines, including data preprocessing, model training, and evaluation
* Proficiency in Python and ML libraries (PyTorch, NumPy) demonstrated through professional or research projects
* Experience training models with large scale data
**Bonus Qualifications**
* Publications in top\-tier conferences (CVPR, ICCV, RSS, ICRA)
* Experience with autonomous robotics systems
 $189,000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li-4367181244</t>
        </is>
      </c>
      <c r="B7" t="inlineStr">
        <is>
          <t>Machine Learning Engineer</t>
        </is>
      </c>
      <c r="C7" t="inlineStr">
        <is>
          <t>Upstart</t>
        </is>
      </c>
      <c r="D7" t="inlineStr">
        <is>
          <t>linkedin</t>
        </is>
      </c>
      <c r="E7" t="inlineStr"/>
      <c r="F7" t="inlineStr"/>
      <c r="G7" t="inlineStr"/>
      <c r="H7" t="inlineStr"/>
      <c r="I7" t="inlineStr">
        <is>
          <t>**About Upstart** 
 At Upstart, we’re driven by a mission to radically reduce the cost and complexity of borrowing for all Americans. Our innovative approach combines creativity, experimentation, and advanced artificial intelligence to reshape access to credit, empowering millions to move forward financially with clarity and confidence. As a leading AI lending marketplace, we collaborate with banks and credit unions to expand access to affordable credit through technology that’s both highly intelligent and deeply human. Our platform performs over one million predictions per borrower utilizing more than 1,800 signals, enabling smarter and fairer lending decisions for our customers. Beyond the numbers, our work creates meaningful impact, helping individuals achieve their financial goals and improve their lives.
 Our organization is proudly digital\-first, offering flexibility for employees to work remotely from anywhere they thrive, while maintaining a strong culture of in\-person connection through team onsite sessions, planning events, and activities that foster creativity and trust. With offices in Columbus, Austin, the Bay Area, and New York City (opening Summer 2026\), we support our team members’ diverse work preferences. If you are passionate about solving meaningful problems, eager to innovate with purpose, and motivated by work that truly makes a difference, Upstart welcomes your application.
**About The Role** 
 We are seeking a highly skilled Staff Applied Machine Learning Engineer specializing in LLM applications to join our newly formed Applied LLM team. This team is pivotal in building foundational infrastructure that democratizes access to generative AI across all product and engineering functions within Upstart. The role involves working at the intersection of machine learning, product development, and engineering to bring the power of large language models and generative AI into Upstart’s core products. You will collaborate closely with researchers, product managers, platform engineers, and designers to develop and deploy intelligent features that enhance user experience and expand system capabilities. Your expertise will guide the technical architecture and implementation strategies to ensure scalable, trustworthy, and high\-performing ML systems that meet safety, fairness, and compliance standards. This position offers locations in San Mateo, Columbus, Austin, and remote options, with the team operating within East/West Coast time zones and engaging in quarterly on\-site collaboration sessions.
**Qualifications** 
* 6\+ years of software engineering experience, including 2\+ years working directly on ML\-driven products or intelligent systems
* Proven ability to lead complex initiatives across engineering, product, and research teams
* Strong backend development skills in Python, with experience using frameworks such as FastAPI or Flask
* Experience with cloud\-native tooling including Kubernetes, Docker, and Terraform
* Hands\-on experience integrating LLMs or ML models into production environments, including APIs and user\-facing applications
* Excellent communication skills and a collaborative, product\-oriented mindset
* Ability to design robust systems considering latency, user impact, and scalability
 Preferred qualifications include experience with GenAI or LLM\-powered features using frameworks like LangChain, LlamaIndex, or OpenAI APIs, familiarity with retrieval\-augmented generation (RAG), vector search technologies such as FAISS or Pinecone, real\-time inference patterns, full\-stack development skills (including React), strong prompt engineering intuition, and experience with explainability, user trust, or compliance considerations in ML applications. A track record of influencing architectural or product decisions at a team or organizational level is also highly valued.
**Responsibilities** 
* Design and develop user\-facing ML features utilizing LLMs and generative AI to unlock new product functionalities
* Partner with product, design, and research teams to prototype and deliver impactful ML\-powered experiences
* Own the technical architecture and deployment strategy for applied ML systems, ensuring optimal balance of latency, observability, and iteration speed
* Build scalable services and APIs that deliver model outputs in trustworthy and intuitive ways to users
* Collaborate with platform, infrastructure, legal, and compliance teams to ensure ML deployments adhere to safety, fairness, and regulatory standards
* Establish and promote best practices for prompt design, model evaluation, and experimentation across the organization
**Benefits** 
* Competitive salary with target bonuses and equity grants
* Generous 401(k) plan with Upstart matching $2 for every $1 contributed, up to $15,000 annually
* Employee Stock Purchase Plan with discounted stock options
* Affordable medical, dental, and vision coverage, with Upstart covering 90% to 100% of costs depending on the plan
* Health Savings Account contributions for eligible plans
* Income protection benefits including company\-paid life, AD\&amp;D, and short\- and long\-term disability insurance, with options for supplemental coverage
* Paid time off, sick leave, company holidays, and paid family and parental leave
* Family\-centered benefits supporting fertility, parenthood, and caregiving through partnerships like Carrot and Cleo
* Mental health and life resources via Employee Assistance Program (EAP)
* Financial wellness tools and a dedicated financial concierge service
* Annual wellness and productivity allowances to support personal development and work needs
* Team events, onsite perks, catered lunches, and micro\-kitchens at our physical offices
 Equal Opportunity
 Upstart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8">
      <c r="A8" t="inlineStr">
        <is>
          <t>li-4366852395</t>
        </is>
      </c>
      <c r="B8" t="inlineStr">
        <is>
          <t>Sr. Machine Learning Engineer (AI/ML Engineer)</t>
        </is>
      </c>
      <c r="C8" t="inlineStr">
        <is>
          <t>The Walt Disney Company</t>
        </is>
      </c>
      <c r="D8" t="inlineStr">
        <is>
          <t>linkedin</t>
        </is>
      </c>
      <c r="E8" t="inlineStr"/>
      <c r="F8" t="inlineStr"/>
      <c r="G8" t="inlineStr">
        <is>
          <t>Seattle, WA</t>
        </is>
      </c>
      <c r="H8" t="inlineStr"/>
      <c r="I8" t="inlineStr">
        <is>
          <t>**Department Description**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**Team Description**
 The AI Engineering team builds ML solutions that enable creativity, personalization, and operational excellence across the company. You’ll be part of a team that values innovation, agility, and impact—where your work directly contributes to the future of entertainment.
**What You’ll Do**
* Work closely with Staff Engineers to design and engineer robust ML models and solutions.
* Design, create and deploy enhanced agents using agentic frameworks such as LangChain, LangGraph, ADK, strands, and other emerging technologies.
* Develop autonomous workflows where agents can reason, plan, use tools/APIs, collaborate, and self\-correct to accomplish complex tasks.
* Engineer high\-quality prompts and system instructions, including chain\-of\-thought orchestration, structured prompting, prompt templates, and dynamic prompt generation.
* Build and manage long\-term and short\-term memory for agents using vector databases, retrieval\-augmented generation (RAG), and episodic memory techniques.
* Integrate agents with external tools, APIs, databases, and enterprise systems using function calling and tool execution frameworks.
* Build scalable platforms for conversational AI, automation, and personalized guest experiences.
* Drive strategy and best practices for prompt engineering, model fine\-tuning, orchestration, and agent reliability.
* Implement observability and debugging for agentic systems, including tracing, step\-level reasoning inspection, and failure analysis.
* Coach junior and mid\-level engineers, fostering a culture of innovation and excellence.
* Partner with product, engineering, and research teams to define AI/agentic roadmaps and deliver business\-impactful solutions.
* Ensure robust documentation and reproducibility across models, agents, and workflows.
* Set standards for safety, privacy, responsibility, and ethical use of AI/agents.
**Required Qualifications \&amp; Skills**
* 5\+ years industry experience in machine learning, generative AI, NLP, or agent development.
* Skilled in Python and at least one ML library/framework (scikit\-learn, TensorFlow, PyTorch).
* Demonstrated experience designing, deploying, and maintaining LLMs and generative AI models.
* Hands\-on proficiency with at least one agentic development framework like LangChain, ADK, Strands, or equivalent.
* Good understanding of different Agentic development patterns such as ReAct, Multi\-agent etc.
* Proven ability in designing and orchestrating agentic workflows and multi\-agent systems.
* Experience developing, deploying, and managing ML solutions on cloud platforms (AWS, GCP, Azure).
* Strong collaborator and communicator experienced in leading cross\-disciplinary teams.
* Familiarity with responsible AI practices, compliance, and security requirements.
* Git, Docker, CI/CD, and software best practices.
**Preferred Qualifications**
* Experience integrating agent\-based systems into consumer applications at scale.
* Background in recommender systems, personalization, or conversational interfaces.
* Solid understanding of reinforcement learning, RLHF, or related agent learning paradigms.
* Experience with large\-scale data pipelines and ML platform engineering.
**Required Education**
* Bachelor's degree in Computer Science, Information Systems, Software, Electrical or Electronics Engineering, or comparable field of study, and/or equivalent work experience
 \#DISNEYTECH
 The hiring range for this position in Seattle, WA is $148,700 to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9">
      <c r="A9" t="inlineStr">
        <is>
          <t>li-4366882795</t>
        </is>
      </c>
      <c r="B9" t="inlineStr">
        <is>
          <t>AI Engineer, Design Innovation</t>
        </is>
      </c>
      <c r="C9" t="inlineStr">
        <is>
          <t>Skechers</t>
        </is>
      </c>
      <c r="D9" t="inlineStr">
        <is>
          <t>linkedin</t>
        </is>
      </c>
      <c r="E9" t="inlineStr"/>
      <c r="F9" t="inlineStr"/>
      <c r="G9" t="inlineStr">
        <is>
          <t>Manhattan Beach, CA</t>
        </is>
      </c>
      <c r="H9" t="inlineStr"/>
      <c r="I9"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Skechers Technology team is enabling our business with AI through the development and adoption of private, proprietary AI technologies. The AI Engineer \- Design Innovation is a key role within the Skechers organization and will be central to developing AI\-powered design tools and technologies specifically for Skechers' Design team. The AI Engineer \- Design Innovation will spearhead the development of cutting\-edge AI tools tailored for footwear and apparel design workflows. This role is at the forefront of integrating graphic designing, image modeling, and generative AI technologies to revolutionize how our designers create and visualize products. While reporting to IT, this position will be 100% dedicated to supporting the Design team, working closely with designers to understand their needs and translating them into innovative AI\-powered solutions. The AI Engineer will collaborate with high\-velocity software engineering teams and coordinate across various departments to bring design\-focused AI capabilities to new heights. The candidate should be an experienced and motivated technologist who possesses a unique balance of technical depth, creative problem\-solving skills, and strong interpersonal abilities.
**What You'll Do** 
* Lead the design, development, and deployment of AI\-powered design tools, integrating with cutting\-edge image generation models including OpenAI (GPT\-Image\-1, DALL\-E 3\), Google Gemini 2\.5 Flash, FLUX 1\.1 Pro Ultra, Stable Diffusion 3\.5, SeedDream v4, and Ideogram 3\.0 for footwear and apparel automation.
* Integrate and optimize multiple AI APIs with a "Lego\-building" approach \- viewing APIs as building blocks to create proprietary solutions that don't exist off\-the\-shelf, specifically for fashion and footwear design applications.
* Develop and maintain multi\-API orchestration including Google Gemini, OpenAI, and Fal.ai integrations with advanced prompt engineering techniques to enhance design workflows and maintain brand consistency while generating new designs.
* Build scalable image generation pipelines for batch processing handling hundreds of concurrent requests, with intelligent routing between AI providers based on task requirements using cloud services (AWS, Vercel, Replit, or equivalent platforms).
* Create and deploy web applications using JavaScript/TypeScript, React/Next.js, and Tailwind CSS components to provide designers with intuitive drag\-and\-drop interfaces for AI\-powered design tools, collaborating on frontend development.
* Coordinate with cross\-functional teams as the sole software developer among footwear designers, graphic artists, and merchandisers \- bringing significant autonomy and creative freedom to integrate AI solutions tailored for creative workflows.
* Develop automated systems for CMF variations, component swapping, style transfer, and other design workflows with queue management solutions for handling high\-volume AI generation tasks.
* Design and implement database solutions using PostgreSQL with Drizzle ORM for storing design assets, API response caching, user data, and design iteration histories with efficient file storage.
* Execute against the product backlog efficiently, rapidly prototyping and experimenting with emerging models to multiply creative team output through intelligent automation.
* Implement quality validation, automatic retry logic, and brand consistency checks to ensure all design\-focused requirements are met while managing API rate limits and costs across multiple providers.
* Stay up to date with the latest advancements in generative AI from Google, OpenAI, ByteDance, and emerging ai models / companies, proposing and implementing innovative AI solutions based on real team needs.
**What You'll Bring** 
* Proficiency with generative AI, including hosted LLMs (Claude, OpenAI, Gemini), LLM API integration, advanced prompt engineering techniques, and most importantly image generation models such as Stable Diffusion and Imagen.
* Strong programming skills in Python for AI applications (with frameworks like LangChain), and JavaScript/TypeScript for web development.
* Experience with modern JavaScript Frameworks like React/Next.js or Flutter for building designer\-facing applications with understanding of UX patterns and mobile\-first design principles is preferred.
* Strong skills in API development (REST/GraphQL), database design (SQL/NoSQL including MongoDB), and integration with design tools.
* Proficiency with general AWS services (Lambda, API Gateway, S3, etc) is required while experience with Docker containerization and orchestration systems (ECS/EKS/Fargate) is a plus.
* Experience with CI/CD pipelines and development tools including Git, Jenkins, and Postman.
* Experience with file storage, CDN management for large design files, batch processing systems, and queue management for AI tasks.
* Proficiency in Figma/Sketch, understanding of design tool ecosystems, design systems, and component libraries.
* Understanding of image generation pipelines, design workflow optimization, and creative team collaboration.
* Experience with design tools, agile methodologies, and project management tools like JIRA.
* Strong analytical and problem\-solving skills with high degree of self\-motivation and experience with user research.
* Understanding of fashion/footwear industry trends and design processes is a huge plus.
**Requirements** 
 To perform this job successfully, an individual must be able to perform each essential duty satisfactorily. The requirements listed below are representative of the knowledge, skill, and/or ability required.
* B.S. or M.S. in Computer Science, Machine Learning, Computer Graphics, or equivalent proven years of experience.
* 5\+ years of experience in software development with a focus on AI applications.
* 3\+ years of experience with Python.
* 3\+ years of experience in developing REST APIs with JSON, HTTP protocol, Postman and/or curl.
* Web development experience with HTML, CSS, and JavaScript and modern JS frameworks.
* Experience with AWS Lambda, API Gateway, S3, and other cloud services.
* Working knowledge of Linux, Windows, SQL and NoSQL database systems (MongoDB), and networking.
* Experience integrating with 3rd party APIs, particularly design and creative tools.
* Experience working with DevOps teams on implementing CI/CD pipelines and monitoring/alerting.
* Graphic design experience or background working closely with creative teams is highly preferred.
* Experience working directly with business facing groups outside of development is ideal.
* Experience working within an Agile team environment is ideal.
* Ability to communicate complex technical topics to creative professionals with precision and clarity.
* Ability to translate creative requirements into technical specifications accurately and effectively.
 The pay range for this position is $150,000\-$220,000/yr USD.
**About Skechers** 
 Skechers, a global Fortune 500® brand develops and markets a diverse range of lifestyle and performance footwear, apparel, and accessories. Developing comfort technologies is the foundation of all we do – delivering stylish, innovative, and quality products. Serving over 180 countries and territories, Skechers connects customers to products through department and specialty stores, e\-commerce and digital stores, and through our more than 5,200 company\-and third\-party\-owned retail locations. Headquartered in Southern California, with offices and distribution centers around the globe, Skechers has spent over 30 years helping people of all ages look and feel good.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10">
      <c r="A10" t="inlineStr">
        <is>
          <t>li-4333355314</t>
        </is>
      </c>
      <c r="B10" t="inlineStr">
        <is>
          <t>Machine Learning Engineer</t>
        </is>
      </c>
      <c r="C10" t="inlineStr">
        <is>
          <t>Robert Half</t>
        </is>
      </c>
      <c r="D10" t="inlineStr">
        <is>
          <t>linkedin</t>
        </is>
      </c>
      <c r="E10" t="inlineStr"/>
      <c r="F10" t="inlineStr"/>
      <c r="G10" t="inlineStr">
        <is>
          <t>El Segundo, CA</t>
        </is>
      </c>
      <c r="H10" t="inlineStr"/>
      <c r="I10"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1">
      <c r="A11" t="inlineStr">
        <is>
          <t>li-4367314873</t>
        </is>
      </c>
      <c r="B11" t="inlineStr">
        <is>
          <t>AI Engineer</t>
        </is>
      </c>
      <c r="C11" t="inlineStr">
        <is>
          <t>VeeRteq Solutions LLC</t>
        </is>
      </c>
      <c r="D11" t="inlineStr">
        <is>
          <t>linkedin</t>
        </is>
      </c>
      <c r="E11" t="inlineStr"/>
      <c r="F11" t="inlineStr"/>
      <c r="G11" t="inlineStr">
        <is>
          <t>Lincolnshire, IL</t>
        </is>
      </c>
      <c r="H11" t="inlineStr"/>
      <c r="I11" t="inlineStr">
        <is>
          <t>Tite: AI Engineer Location: Hybrid (Candidate should open to travel to Lincolnshire, IL once a Month) Duration: Long Term
 Job Summary: As an AI Agent developer you will be responsible for designs, builds, and deploying intelligent AI agents that perform autonomous tasks such as reasoning, planning, decision\-making, and interaction. These agents often leverage large language models (LLMs) and integrate into applications like chatbots, automation tools, or SaaS applications. You will be responsible in working closely with business users and application teams in developing and deploying AI agents using Enterprise AI tools such as Google Gemini, OpenAI ChatGPT or Microsoft CoPilot. You will also act as a subject matter expert and provide guidance, thought leadership, brainstorming and ideas on how to improve and make agents better or improve flows to applications and data that the AI agent will leverage.
 Key Responsibilities Design and implement scalable, resilient AI Agents that integrate with company data or processes Define processes, standards, and implementation oversight for all AI agent development. Lead infrastructure modernization initiatives and digital transformation projects using AI Agents for various workflows Collaborate with engineering teams to use AI agents to optimize workflows, security, and cost efficiency Research and develop standards, and tools for AI Agent usage and implementation Meet with vendors and stay knowledgeable on AI Agent roadmaps and future products Meet with application and business units to develop robust AI Agent solutions Design and build autonomous AI agents that can perform multi\-step, complex tasks and make decisions independently. Developing robust and secure integrations (e.g., APIs, webhooks, or custom connectors) to enable AI agents to connect with and take actions within enterprise systems Creating and managing a network of specialized AI agents that work together to solve complex business problems. This involves designing protocols for agents to communicate, share information, and hand off tasks seamlessly Workflow Automation in translating complex business processes into automated, agent\-driven workflows and implementing the logic that allows agents to perform those tasks Implementing and managing secure authentication and authorization protocols to ensure all agent actions are secure and compliant with enterprise security policies. Monitoring the health and performance of integrations and AI agents. This includes troubleshooting technical issues, optimizing workflows for speed and reliability, and continuously improving the agents' behavior through feedback from the business or users using the agent Provide support and knowledge on enterprise automation needs and help guide teams on how to automate some of the workflows via AI agents or possibly scripts and code
 Education
 Masters/bachelor's degree in information \&amp; computer science
 5\+ years of previous automation and developer coding experience 3\+ years of Customer Service and Technical Leadership 2\+ years of experience in AI tool and support 2\+ years of Agentic AI development 2\+ years of Agent AI integrations using various tools
**Qualifications**
 Strong understanding of AI Agent development using tools such as Google Agentspace, Gemini, ChatGPT, and Microsoft CoPilot Strong troubleshooting skills in development of AI agents using various tools Strong experience in implementing and managing AI agents once they are deployed Experience in integrations using AI Agents, knowing how to connect to various data sources or SaaS applications Strong proficiency in languages like Python as well as Java or JavaScript for Agent AI development. Experience in successfully deploying AI Agent solutions A solid understanding of core AI and machine learning concepts, including natural language processing (NLP), reinforcement learning, and the use of large language models (LLMs). Hands\-on experience with AI/ML libraries and frameworks Experience in deploying AI tools and services Enterprise wide Experience in documenting workflows and how integrations work Experience in securing AI Agents properly Strong decision making and operational skill. Excellent verbal and written communication skills Proven track record of AI agent development and solutions using AI Agents Have excellent problem\-solving skills utilizing both internal and external resources to get the job done. Work through issues and challenges. Strong knowledge of how applications work and are deployed Strong knowledge of various AI tools and what benefits they provide Understanding of public cloud platforms such as AWS, Azure and GCP Self\-starter and motivator and ability to work in team and solo</t>
        </is>
      </c>
    </row>
    <row r="12">
      <c r="A12" t="inlineStr">
        <is>
          <t>li-4367367020</t>
        </is>
      </c>
      <c r="B12" t="inlineStr">
        <is>
          <t>Senior AI Engineer With Python</t>
        </is>
      </c>
      <c r="C12" t="inlineStr">
        <is>
          <t>PETADATA</t>
        </is>
      </c>
      <c r="D12" t="inlineStr">
        <is>
          <t>linkedin</t>
        </is>
      </c>
      <c r="E12" t="inlineStr"/>
      <c r="F12" t="inlineStr"/>
      <c r="G12" t="inlineStr">
        <is>
          <t>Albany, NY</t>
        </is>
      </c>
      <c r="H12" t="inlineStr"/>
      <c r="I12" t="inlineStr">
        <is>
          <t>**Position: Senior AI Engineer With Python**
**Location:Albany, NY (Onsite/Remote)**
**Experience: 10\+ Years**
**Work type: C2C only**
**Visa Type: H1\-B, GC and US Citizen**
**Job Summary**
**PETADATA is seeking a highly experienced AI Engineer with strong Python expertise to design, develop, and deploy advanced Artificial Intelligence and Machine Learning solutions. The ideal candidate will have deep hands\-on experience across the AI lifecycle—from data engineering and model development to production deployment and optimization at scale.**
**Roles \&amp; Responsibilities**
* Design, develop, and deploy AI/ML models using Python for real\-world business problems
* Architect end\-to\-end AI solutions including data pipelines, model training, evaluation, and deployment
* Work with large\-scale structured and unstructured datasets
* Develop and optimize deep learning, NLP, computer vision, and predictive models
* Build scalable AI systems using cloud platforms (AWS, Azure, or GCP)
* Collaborate with data scientists, product managers, and engineering teams
* Implement MLOps practices including CI/CD, model versioning, monitoring, and retraining
* Ensure model performance, scalability, security, and compliance
* Mentor junior engineers and provide technical leadership
* Stay updated with the latest AI research, tools, and industry trends.
**Required Qualifications**
* 10\+ years of experience in software engineering with strong focus on AI/ML
* Expert\-level Python programming
* Strong experience with Machine Learning frameworks: TensorFlow, PyTorch, Keras, Scikit\-learn
* Solid understanding of: Machine Learning algorithms Deep Learning architectures NLP and/or Computer Vision
* Experience with data processing frameworks (Pandas, NumPy, Spark)
* Strong SQL and data modeling knowledge
* Hands\-on experience with REST APIs, microservices, and model serving
* Proficiency in cloud services (AWS / Azure / GCP)
* Experience with Docker, Kubernetes, and containerized deployments
* Familiarity with MLOps tools (MLflow, Kubeflow, Airflow, SageMaker, etc.)
* Strong problem\-solving, communication, and leadership skills.
**Educational Qualification**
**Bachelor's/Master’s or PhD in Computer Science, AI, Data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13">
      <c r="A13" t="inlineStr">
        <is>
          <t>li-4367009280</t>
        </is>
      </c>
      <c r="B13" t="inlineStr">
        <is>
          <t>Machine Learning Engineer</t>
        </is>
      </c>
      <c r="C13" t="inlineStr">
        <is>
          <t>FutureTech Recruitment</t>
        </is>
      </c>
      <c r="D13" t="inlineStr">
        <is>
          <t>linkedin</t>
        </is>
      </c>
      <c r="E13" t="inlineStr"/>
      <c r="F13" t="inlineStr"/>
      <c r="G13" t="inlineStr">
        <is>
          <t>San Francisco, CA</t>
        </is>
      </c>
      <c r="H13" t="inlineStr"/>
      <c r="I13" t="inlineStr">
        <is>
          <t>**Founding AI Engineer** 
**Onsite / Hybrid (4–5x per week) \- San Francisco** 
**$225k–$300k base \+ equity** 
 FutureTech Recruitment is partnered with a stealth AI FinTech startup building an AI\-native platform designed to make financial advisors dramatically more effective. The company is tackling outdated, manual workflows in wealth management with production\-grade AI systems, backed by top\-tier investors and operators with deep domain expertise.
 They’re hiring a Founding AI Engineer
 to own and evolve the AI capabilities of the platform from first principles.
**Responsibilities** 
* Evolve the multi\-agent system that powers the platform, from architecture through production deployment
* Own AI capabilities end\-to\-end, driving development of the core product
* Partner closely with founders, designers, and financial advisors to shape product direction and user experience
* Design and build production AI agent systems that enable advisors to tailor portfolios for thousands of clients
* Lead development of multi\-agent orchestration, tool\-calling infrastructure, and evaluation frameworks
* Build and maintain systems for state management, observability, and explainability to ensure reliability, transparency, and auditability
**Requirements** 
* 2\+ years of experience in backend or full\-stack software engineering, operating systems in production
* Strong focus on building and shipping production AI / ML systems
* Proven ability to rapidly iterate on complex systems in an early\-stage environment
* Proficient in Python and TypeScript
* Experience using React in production environments
* Actively uses AI coding tools to significantly increase development velocity
* Experience in financial services, particularly wealth or asset management, is a strong plus
* Interest or experience with agentic / multi\-agent AI systems preferred
**Why join?** 
* Help democratise sophisticated wealth management so millions can build wealth
* Define and lead from pre\-product to true scale as part of the founding team
* Backed by Tier 1 investors, with founder track record including a successful exit
 Interested in building the future of AI\-powered wealth management from the ground up? Click Apply Now!</t>
        </is>
      </c>
    </row>
    <row r="14">
      <c r="A14" t="inlineStr">
        <is>
          <t>li-4367333370</t>
        </is>
      </c>
      <c r="B14" t="inlineStr">
        <is>
          <t>Sr. AI and ML Engineer</t>
        </is>
      </c>
      <c r="C14" t="inlineStr">
        <is>
          <t>Procurement Sciences AI</t>
        </is>
      </c>
      <c r="D14" t="inlineStr">
        <is>
          <t>linkedin</t>
        </is>
      </c>
      <c r="E14" t="inlineStr"/>
      <c r="F14" t="inlineStr"/>
      <c r="G14" t="inlineStr"/>
      <c r="H14" t="inlineStr"/>
      <c r="I14" t="inlineStr">
        <is>
          <t>**Company Overview:**
 Procurement Sciences is at the forefront of transforming the multi\-billion\-dollar government contracting industry with Awarded AI, our cutting\-edge platform designed to help businesses excel in government sales. We simplify complex processes, drive revenue growth, and deliver real cost savings through unmatched efficiency. As a leading venture\-backed SaaS company founded by seasoned GovCon experts, we are not just participants in the AI revolution; we are shaping it by solving the industry’s toughest challenges. Our “One Team, One Fight” culture values creativity, accountability, and forward\-thinking, and we invite driven builders and innovators to help us develop high\-performing teams. Ranked among the top 10 percent of fastest\-growing SaaS companies and on a clear path to becoming a unicorn, we are seeking top talent to join our early team and play a key role in building the next great AI software company.
**Job Description:** 
 We are seeking a Machine Learning Engineer to build and scale classification and recommendation systems that power our core product. You'll work closely with ML leadership to apply proven ML fundamentals across diverse technical challenges, including integrating LLM\-based features into our existing workflows. In this role, you will own traditional ML systems while gaining hands\-on experience with modern AI components like RAG pipelines and agent frameworks. Your work will directly impact product performance through better recommendations, search quality, and user classification. You'll collaborate with a talented team to solve real technical problems in a fast\-growing SaaS environment.
**Key Responsibilities:**
* Build, deploy, and maintain production classification and recommendation systems serving thousands of users
* Design and implement ML pipelines for training, evaluation, and monitoring of traditional ML models
* Integrate LLM APIs and vector databases into existing ML workflows to enhance product capabilities
* Collaborate with product and engineering teams to translate business requirements into scalable ML solutions
* Optimize model performance, system reliability, and inference latency across our ML stack
**Ideal Candidate:**
* Strong foundation in traditional machine learning with production deployment experience
* Excited to apply ML fundamentals to modern AI workflows including RAG and basic agent systems
* Collaborative problem solver who thrives in startup environments with evolving requirements
* Eager to learn new technologies while leveraging proven ML engineering practices
**Required Experience:**
* 5\+ years deploying ML models in production (classification, recommendations, or similar)
* Strong Python proficiency with ML libraries (scikit\-learn, pandas, numpy) and deployment frameworks
* Experience with ML infrastructure: model serving, monitoring, and data pipelines
* Familiarity with foundation model APIs (OpenAI, Anthropic, etc.) and vector databases
* Track record of building systems that handle real user traffic and data
**Desired Experience:**
* Experience with LangChain, LangGraph, or similar LLM orchestration frameworks
* Knowledge of data orchestration platforms like Dagster or Airflow
* Background in search systems, embeddings, or information retrieval
**Requirements:**
* U.S. citizenship with the ability to pass a Federal Background Check and Identity Verification.
* While formal education is not a strict requirement, a Bachelor's or Master’s degree in Computer Science, Engineering, or a related field is preferred.
**Compensation and Benefits:**
* Competitive salary with stock options in a rapidly growing, venture\-backed company.
* Comprehensive health plan, ensuring you and your loved ones are well taken care of.
* Flexible work arrangements, including full remote work capabilities, to balance your professional and personal life.
* Extensive professional development opportunities, providing a fast track for career advancement.
**AI policy Notice:**
 We want you to get the chance to know us in the interview process and for us to learn as much as we can about you, too. To make this possible and to ensure fairness for all our candidates, we have a no\-exceptions policy on AI usage and augmentation during interviews. While we are an AI first company, this does mean we prohibit any AI tooling during the interview process unless otherwise explicitly allowed (such as large language models, code suggestion software, or AI assistants) to generate, refine, or suggest answers, solutions, or code, regardless of the format (written, spoken, or coded). We want to get to know you, your experiences, and qualifications genuinely and directly and the best way to do this is to keep it just between us.
 To keep the interview fair for all, we reserve the right to ask follow\-up questions or request you to clarify or elaborate on your solutions without the aid of external tools to validate that the answers provided genuinely reflect your own skills and experience. Violation of this code of conduct will result in the immediate termination of your candidacy.
**Background Notice:**
 Background Check Required. As part of our employment process, a background check is required. This may include a review of your credit history, criminal records, and employment verification, conducted in compliance with the Fair Credit Reporting Act (FCRA). By applying, you acknowledge and consent to this process.
 Compensation Range: $140K \- $200K</t>
        </is>
      </c>
    </row>
    <row r="15">
      <c r="A15" t="inlineStr">
        <is>
          <t>li-4367302635</t>
        </is>
      </c>
      <c r="B15" t="inlineStr">
        <is>
          <t>Machine Learning Engineer</t>
        </is>
      </c>
      <c r="C15" t="inlineStr">
        <is>
          <t>Yoh, A Day &amp; Zimmermann Company</t>
        </is>
      </c>
      <c r="D15" t="inlineStr">
        <is>
          <t>linkedin</t>
        </is>
      </c>
      <c r="E15" t="inlineStr"/>
      <c r="F15" t="inlineStr"/>
      <c r="G15" t="inlineStr">
        <is>
          <t>Plano, TX</t>
        </is>
      </c>
      <c r="H15" t="inlineStr"/>
      <c r="I15" t="inlineStr">
        <is>
          <t>A remote permanent direct hire opportunity for a Machine Learning Engineer
 A fast\-growing financial technology organization is seeking a Machine Learning Engineer to join its Data Science and Credit Risk function. This position is highly engineering\-focused and centers on building and operating backend systems that support real\-time credit and fraud decisioning. In this role, you will own Python\-based services and APIs that drive underwriting and risk evaluation at the core of the business. You will be responsible for deploying decision logic into production, maintaining system performance, and enhancing the platform as new requirements emerge. This opportunity is ideal for an engineer who enjoys working on mission\-critical decision infrastructure and wants to deepen expertise in fraud prevention, credit risk, and underwriting technology.
 Key Responsibilities
 * Develop and maintain backend services supporting credit risk and fraud decision workflows
* Deploy and operate production scoring systems, automated decision rules, and predictive models
* Ensure reliability, performance, and observability of underwriting\-related services
* Troubleshoot production issues that impact decision accuracy or service uptime
* Partner with data scientists to safely transition analytics into scalable production systems
* Improve architecture for scalability, resilience, and operational robustness
* Implement monitoring and alerting for system health and decision outcomes
* Collaborate across risk strategy, engineering, and operations teams to deliver real\-time decisions
* Build deep expertise in underwriting and fraud decision infrastructure
 Required Qualifications
 * Bachelor’s or Master’s degree in Computer Science, Engineering, or a related technical field
* 3\+ years of experience in backend, platform, or systems engineering
* 2\+ years supporting deployment and operation of machine learning systems in production
* Strong experience building Python\-based APIs and service frameworks
* Familiarity with cloud infrastructure (AWS preferred) including deployment, scaling, and monitoring
* Understanding of software engineering best practices: CI/CD, testing, version control, documentation
* Proficiency in Python and SQL with experience across the ML deployment lifecycle, especially monitoring and iteration
* Strong debugging skills and comfort supporting high\-impact production services
* Ability to communicate technical concepts clearly across diverse stakeholders
 Preferred Experience
 * Exposure to fraud systems, credit risk platforms, NLP, or LLM\-based solutions
**Estimated Min Rate** 
 : $110000\.00
**Estimated Max Rate** 
 : $155000\.00
**What’s In It for You?**
 We welcome you to be a part of the largest and legendary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Benefit eligibility is in accordance with applicable laws and client requirements. Benefits include:
* Medical, Prescription, Dental \&amp; Vision Benefits (for employees working 20\+ hours per week)
* Health Savings Account (HSA) (for employees working 20\+ hours per week)
* Life \&amp; Disability Insurance (for employees working 20\+ hours per week)
* MetLife Voluntary Benefits
* Employee Assistance Program (EAP)
* 401K Retirement Savings Plan
* Direct Deposit \&amp; weekly epayroll
* Referral Bonus Programs
* Certification and training opportunities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It is unlawful in Massachusetts to require or administer a lie detector test as a condition of employment or continued employment. An employer who violates this law shall be subject to criminal penalties and civil liability.
 By applying and submitting your resume, you authorize Yoh to review and reformat your resume to meet Yoh’s hiring clients’ preferences. To learn more about Yoh’s privacy practices, please see our Candidate Privacy Notice: 
 **https://www.yoh.com/privacy\-notice**</t>
        </is>
      </c>
    </row>
    <row r="16">
      <c r="A16" t="inlineStr">
        <is>
          <t>li-4366887366</t>
        </is>
      </c>
      <c r="B16" t="inlineStr">
        <is>
          <t>Senior Machine Learning Engineer, AI Product and Platform</t>
        </is>
      </c>
      <c r="C16" t="inlineStr">
        <is>
          <t>BetterUp</t>
        </is>
      </c>
      <c r="D16" t="inlineStr">
        <is>
          <t>linkedin</t>
        </is>
      </c>
      <c r="E16" t="inlineStr"/>
      <c r="F16" t="inlineStr"/>
      <c r="G16" t="inlineStr">
        <is>
          <t>San Francisco, CA</t>
        </is>
      </c>
      <c r="H16" t="inlineStr"/>
      <c r="I16"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17">
      <c r="A17" t="inlineStr">
        <is>
          <t>li-4366306567</t>
        </is>
      </c>
      <c r="B17" t="inlineStr">
        <is>
          <t>Senior Machine Learning Engineer II, Growth Modeling</t>
        </is>
      </c>
      <c r="C17" t="inlineStr">
        <is>
          <t>Instacart</t>
        </is>
      </c>
      <c r="D17" t="inlineStr">
        <is>
          <t>linkedin</t>
        </is>
      </c>
      <c r="E17" t="inlineStr"/>
      <c r="F17" t="inlineStr"/>
      <c r="G17" t="inlineStr"/>
      <c r="H17" t="inlineStr"/>
      <c r="I1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**About the Role:**
 We are hiring a tech lead who will drive major initiatives, identify impactful opportunities, define roadmaps, mentor team members, and develop ML/AI solutions in the incentive space to drive substantial business growth.
 We are the ML team within Instacart’s Growth org \- a fast\-moving, results\-driven group building production\-ready ML/AI systems to optimize incentive allocation. We tackle unique, high\-impact problems, value bottom\-up ideas, and partner closely with Product, Marketing, Data Science, and Backend Engineering to drive growth.
**About The Job**
* Identifying high\-leverage opportunities in incentive optimization, defining the technical roadmap, and driving end\-to\-end execution of ML/AI solutions to deliver measurable business impact.
* Partnering closely with product managers, marketers, data scientists, and backend engineers to deeply understand business needs and build impactful ML applications.
* Leading and mentoring the team, raising technical standards, and improving team execution efficiency.
**About You**
**Minimum Qualifications:**
* Proven track record of identifying high\-impact opportunities, defining roadmaps, driving major initiatives, partnering with cross\-functional stakeholders, and hands\-on developing production\-ready ML/AI solutions that deliver measurable business results.
* Strong skills in analytics, modeling, programming, and communication
* Strong ownership, results\-driven, and continuously innovating to deliver impact.
**Preferred Qualifications**
* Experience in incentive or pricing optimization.
* Experience in causal modeling.
* Experience in LLM and reinforcement learning.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$240,000—$253,000 USD
 WA
 $230,000—$243,000 USD
 OR, DE, ME, MA, MD, NH, RI, VT, DC, PA, VA, CO, TX, IL, HI
 $221,000—$233,000 USD
 All other states
 $201,000—$212,000 USD</t>
        </is>
      </c>
    </row>
    <row r="18">
      <c r="A18" t="inlineStr">
        <is>
          <t>li-4367319013</t>
        </is>
      </c>
      <c r="B18" t="inlineStr">
        <is>
          <t>Machine Learning Engineer - Risk AI/ML</t>
        </is>
      </c>
      <c r="C18" t="inlineStr">
        <is>
          <t>Coinbase</t>
        </is>
      </c>
      <c r="D18" t="inlineStr">
        <is>
          <t>linkedin</t>
        </is>
      </c>
      <c r="E18" t="inlineStr"/>
      <c r="F18" t="inlineStr"/>
      <c r="G18" t="inlineStr"/>
      <c r="H18" t="inlineStr"/>
      <c r="I1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 are looking for a Machine Learning Engineer to join our Risk AI/ML team. We are dedicated to building the sophisticated models that protect our customers and make Coinbase the most trusted platform in crypto. Your work will directly prevent fraud, account takeovers, and scams, while enabling future products like instant guest checkout and Coinbase Cards.
 This is a hands\-on technical role where you will leverage our cutting\-edge, self\-service ML platform to rapidly design, deploy, and iterate on the models that defend millions of users.
**What you’ll be doing:** 
* **Focus on Modeling:** 
 Use our centralized, self\-service ML platform to own the end\-to\-end development of ML models, from ideation to production.
* **Improve Core Model Performance:** 
 Join a high\-priority "pod" to enhance our core models, including the
 **Scam Models, Transfer/Transaction Risk Models, Withdrawal Limit Models,** 
 and
 **Account Takeover models.**
* **Rapidly Respond to Threats:** 
 Act on new threat data (identified by our Risk Operations partners) to build, train, and deploy permanent ML models that replace temporary rules—targeting a deploy\-to\-production timeline of
 *under one week* 
 .
* **Build \&amp; Deploy Scalable Models:** 
 Develop production\-grade AI/ML models and pipelines that enable reliable, real\-time predictions, leveraging our platform's automated CI/CD pipelines and centralized feature store.
* **Apply Advanced ML:** 
 Apply modern methodologies (e.g., deep learning, NLP,
 **Graph Neural Networks (GNNs)** 
 ,
 **sequence modeling** 
 , and
 **LLMs** 
 for NLP and conversational agents) to solve complex, crypto\-native challenges—all while focusing 100% on modeling, not infrastructure plumbing.
* **Build Context\-Aware Risk Systems:** 
 Go beyond a single score. You will help build the adaptive logic that decides
 *which* 
 friction (a quiz, an LLM agent, a human review) to apply to
 *which* 
 user (e.g., new user, high\-value trader), balancing security with user experience.
* **Collaborate and Execute:** 
 Work closely with stakeholders from Risk Operations, Platform Engineering, and Product Management to close the feedback loop, turning new threats into automated defenses.
**What we look for in you:** 
* 4\+ years of professional experience in software engineering and/or AI/ML, with experience deploying AI/ML systems into production.
* **Passion \&amp; Values:** 
 A commitment to building an open financial system and a strong desire to protect users from fraud and scams. You embody our core cultural values: add positive energy, communicate clearly, be curious, and be a builder.
* **AI/ML Knowledge:** 
 Familiarity with applied AI/ML techniques (e.g., Risk ML, deep learning, NLP, recommender systems, anomaly detection).
* **Technical \&amp; Coding Skills:** 
 Proficient coding skills (e.g., Python) with experience in AI/ML frameworks (TensorFlow, PyTorch). Experience in building backend systems with a focus on data processing or analytics is a plus.
* **Team Collaboration:** 
 Ability to work collaboratively on technical initiatives and contribute to impactful AI/ML solutions.
* **Communication Skills:** 
 Strong communication skills, with the ability to convey technical concepts to both technical and non\-technical audiences.
**Nice to Haves:** 
* Bachelor’s degree in Computer Science, AI/ML, Data Science, or a related field.
* Familiarity with modern data and AI/ML infrastructure (e.g.,
 **Feature Stores** 
 like Tecton,
 **Model Serving** 
 like RayServe, Apache Airflow,
 **Spark** 
 ,
 **Kafka** 
 ).
* Experience with
 **Graph Neural Networks (GNNs)** 
 or
 **Sequential Models (like LSTMs)** 
 .
* Experience with
 **LLMs (NLP, fine\-tuning, agentic systems)** 
 or Reinforcement Learning.
* Understanding of MLOps best practices, including monitoring and improving production models.
* Experience with data analysis and visualization tools.
 Pay Transparency Notice:  Depending on your work location, the target annual salary for this position can range from $
 \[Zone 3 Pay]
 to $
 \[Zone 1 Pay]
 \+ target bonus \+ target equity \+ benefits (including medical, dental, vision and 401(k)).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$161,500 USD \- $190,000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9">
      <c r="A19" t="inlineStr">
        <is>
          <t>li-4366898356</t>
        </is>
      </c>
      <c r="B19" t="inlineStr">
        <is>
          <t>AI/ML Engineer – (Next-Generation AI Platforms &amp; Workloads)</t>
        </is>
      </c>
      <c r="C19" t="inlineStr">
        <is>
          <t>VeeAR Projects Inc.</t>
        </is>
      </c>
      <c r="D19" t="inlineStr">
        <is>
          <t>linkedin</t>
        </is>
      </c>
      <c r="E19" t="inlineStr"/>
      <c r="F19" t="inlineStr"/>
      <c r="G19" t="inlineStr">
        <is>
          <t>Sunnyvale, CA</t>
        </is>
      </c>
      <c r="H19" t="inlineStr"/>
      <c r="I19"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20">
      <c r="A20" t="inlineStr">
        <is>
          <t>li-4344672305</t>
        </is>
      </c>
      <c r="B20" t="inlineStr">
        <is>
          <t>Senior ML/AI Engineer - Developer Experience</t>
        </is>
      </c>
      <c r="C20" t="inlineStr">
        <is>
          <t>General Motors</t>
        </is>
      </c>
      <c r="D20" t="inlineStr">
        <is>
          <t>linkedin</t>
        </is>
      </c>
      <c r="E20" t="inlineStr"/>
      <c r="F20" t="inlineStr"/>
      <c r="G20" t="inlineStr">
        <is>
          <t>Austin, TX</t>
        </is>
      </c>
      <c r="H20" t="inlineStr"/>
      <c r="I20"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
      <c r="A21" t="inlineStr">
        <is>
          <t>li-4367178243</t>
        </is>
      </c>
      <c r="B21" t="inlineStr">
        <is>
          <t>Machine Learning Engineer</t>
        </is>
      </c>
      <c r="C21" t="inlineStr">
        <is>
          <t>Coinbase</t>
        </is>
      </c>
      <c r="D21" t="inlineStr">
        <is>
          <t>linkedin</t>
        </is>
      </c>
      <c r="E21" t="inlineStr"/>
      <c r="F21" t="inlineStr"/>
      <c r="G21" t="inlineStr"/>
      <c r="H21" t="inlineStr"/>
      <c r="I21" t="inlineStr">
        <is>
          <t>**About The Company** 
 Coinbase is a leading global cryptocurrency exchange and financial technology platform dedicated to increasing economic freedom worldwide. Our mission is to build an open financial system that connects the world, empowering individuals through innovative blockchain and crypto solutions. Coinbase fosters a dynamic, high\-performance culture that values transparency, collaboration, and continuous learning. We are committed to maintaining a diverse and inclusive environment where talented professionals can thrive and contribute to shaping the future of finance. As a pioneer in the industry, Coinbase offers a unique opportunity to work at the forefront of technological advancements in digital assets, providing secure, reliable, and user\-centric financial services across the globe.
**About The Role** 
 We are seeking a highly skilled Senior Staff Machine Learning Engineer to join our Risk AI/ML team. In this role, you will be instrumental in designing and deploying advanced AI/ML models and systems that safeguard our platform from fraud, scams, and malicious activities. Your expertise will directly impact our ability to protect millions of users by leveraging diverse data sources, including blockchain data, to identify and prevent fraudulent transactions and account takeovers. You will operate as both a hands\-on technical contributor and a strategic leader, guiding complex projects, mentoring engineering teams, and ensuring the robustness and scalability of our AI/ML solutions. This position offers a unique opportunity to work on cutting\-edge technologies, influence the company's risk management strategies, and contribute to building a secure and trustworthy financial ecosystem.
**Qualifications** 
* 10\+ years of professional experience in software engineering and/or AI/ML, with significant experience deploying AI/ML systems into production
* Deep expertise in applied AI/ML areas such as risk modeling, large\-scale deep learning, NLP/LLMs, GNNs, reinforcement learning, or computer vision
* Strong coding skills, particularly in Python, with extensive experience using frameworks like TensorFlow, PyTorch, etc.
* Proven ability to lead complex, cross\-team technical initiatives and deliver impactful AI/ML solutions at scale
* Excellent communication skills with the ability to influence stakeholders across technical and non\-technical teams
* Demonstrated mentorship experience, elevating engineering excellence and fostering a culture of continuous improvement
* Experience building backend systems focused on data processing, analytics, and AI/ML pipelines
**Responsibilities** 
* Lead the end\-to\-end design, development, and deployment of scalable AI/ML models and systems to detect and prevent fraud and other financial threats
* Investigate and implement cutting\-edge methodologies such as large\-scale deep learning, LLMs, GNNs, and reinforcement learning to solve complex risk challenges
* Architect and build robust, low\-latency AI/ML pipelines and production\-grade models that support real\-time and scheduled workflows
* Collaborate closely with Platform, Product, Analyst, and Operations teams to identify new fraud patterns and improve defensive capabilities
* Drive technical strategy, set best practices, and ensure solutions are aligned with business goals and scalable for future growth
* Mentor and guide engineering teams, fostering a culture of innovation, quality, and continuous learning
* Create onboarding tools, frameworks, and infrastructure to democratize AI/ML expertise across the organization
* Monitor, evaluate, and optimize AI/ML models in production, ensuring high performance and compliance with responsible AI standards
**Benefits** 
* Competitive salary within the range of $262,650 — $309,000 USD, commensurate with experience and location
* Bonus eligibility and equity options
* Comprehensive medical, dental, and vision insurance plans
* 401(k) retirement savings plan with company matching
* Paid time off, holidays, and flexible work arrangements
* Opportunities for professional development, training, and career growth
* Supportive work environment that encourages innovation and collaboration
 Equal Opportunity
 Coinbase is proud to be an Equal Opportunity Employer. We value diversity and are committed to creating an inclusive environment for all employees. All qualified applicants will receive consideration for employment without regard to race, color, religion, national origin, gender, age, disability, veteran status, sexual orientation, gender identity or expression, or any other protected characteristic under applicable law.</t>
        </is>
      </c>
    </row>
    <row r="22">
      <c r="A22" t="inlineStr">
        <is>
          <t>li-4367192212</t>
        </is>
      </c>
      <c r="B22" t="inlineStr">
        <is>
          <t>ML Engineer, Compiler</t>
        </is>
      </c>
      <c r="C22" t="inlineStr">
        <is>
          <t>Waymo</t>
        </is>
      </c>
      <c r="D22" t="inlineStr">
        <is>
          <t>linkedin</t>
        </is>
      </c>
      <c r="E22" t="inlineStr"/>
      <c r="F22" t="inlineStr"/>
      <c r="G22" t="inlineStr"/>
      <c r="H22" t="inlineStr"/>
      <c r="I22" t="inlineStr">
        <is>
          <t>**About The Company**
 Waymo is a pioneering autonomous driving technology company committed to transforming mobility and enhancing safety on the roads. Established in 2009 as the Google Self\-Driving Car Project, Waymo has evolved into a leader in self\-driving technology with a clear mission to become the world's most trusted driver. The company focuses on developing the Waymo Driver, an advanced autonomous driving system that powers its fully autonomous ride\-hail service and is adaptable to various vehicle platforms and use cases. With a track record of over ten million rider\-only trips and more than 100 million miles driven on public roads across more than 15 states, Waymo continues to innovate and improve the safety and accessibility of autonomous transportation. The company's relentless pursuit of technological excellence aims to save lives and provide equitable mobility solutions worldwide.
**About The Role**
 We are seeking a talented and dedicated Neural Network Compiler Engineer to join our team. In this role, you will be responsible for maximizing the performance of our neural networks by enhancing and extending our production\-grade compiler. You will collaborate closely with hardware architects and model developers to deepen our understanding of our neural network inference platform and develop support for novel features of our high\-performance architecture. Your work will directly impact the efficiency and effectiveness of Waymo’s autonomous driving systems, enabling safer and more reliable autonomous vehicles. The ideal candidate will possess strong technical expertise in compiler development, parallel computing, and machine learning inference, along with a passion for advancing autonomous vehicle technology.
**Qualifications**
* BS degree in Computer Science, Electrical Engineering, or a related field with 3\+ years of industry experience OR
* MS degree in Computer Science, Electrical Engineering, or a related field with 1\+ years of industry experience OR
* PhD degree in Computer Science, Electrical Engineering, or equivalent experience
* At least 1 year of industry and/or academic experience working with compilers and parallel computing
* Experience with ML inference or linear algebra computations in industry or academia
* Proficiency in C\+\+ programming
**Responsibilities**
* Enhance and extend our production\-grade neural network compiler to improve performance and support new features
* Collaborate with hardware architects and model developers to understand and optimize neural network inference platforms
* Implement compiler support for novel features of high\-performance architecture to maximize efficiency
* Analyze and optimize neural network models for inference performance and resource utilization
* Contribute to the development of tools and workflows for neural network compilation and deployment
* Stay current with advancements in compiler technologies, neural network architectures, and machine learning algorithms
**Benefits**
* Competitive salary range of $170,000—$216,000 USD, commensurate with experience and location
* Participation in Waymo’s discretionary annual bonus program and equity incentive plan
* Comprehensive benefits package including health, dental, and vision insurance
* Generous paid time off and flexible work arrangements
* Opportunities for professional growth and development within a pioneering autonomous vehicle company
* A collaborative and innovative work environment focused on safety and technological excellence
 Equal Opportunity
 Waymo is an equal opportunity employer. We celebrate diversity and are committed to creating an inclusive environment for all employees. All qualified applicants will receive consideration for employment without regard to race, color, religion, sex, gender identity, sexual orientation, national origin, age, disability, or any other protected characteristic. We believe that a diverse workforce fosters innovation and strengthens our mission to build safer, smarter transportation solutions.</t>
        </is>
      </c>
    </row>
    <row r="23">
      <c r="A23" t="inlineStr">
        <is>
          <t>li-4367198270</t>
        </is>
      </c>
      <c r="B23" t="inlineStr">
        <is>
          <t>Senior AI/ML Engineer - Remote</t>
        </is>
      </c>
      <c r="C23" t="inlineStr">
        <is>
          <t>Optum</t>
        </is>
      </c>
      <c r="D23" t="inlineStr">
        <is>
          <t>linkedin</t>
        </is>
      </c>
      <c r="E23" t="inlineStr"/>
      <c r="F23" t="inlineStr"/>
      <c r="G23" t="inlineStr">
        <is>
          <t>Atlanta, GA</t>
        </is>
      </c>
      <c r="H23" t="inlineStr"/>
      <c r="I23"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and implement AI and machine learning strategies to drive healthcare solutions, build and test machine learning and deep learning models
* Implement and design novel machine learning, deep learning, and generative AI approaches inspired by relevant literature
* Build robust machine learning pipelines to support production processes
* Process and transform source data to be used in machine learning pipelines, leveraging cloud computing
* Collaborate with cross\-functional teams to determine applicability of AI to business problems
* Design, plan, and prioritize experiments
* Communicate findings with business stakeholders and collaborate to develop solutions that meet customer needs
* Develop code and model documentation and assist with model governance approvals
* Closely collaborate with the Responsible Use of AI (RUAI) team to ensure that the delivered solutions are compliant with the company policies and standards. Develop code and documentation to assist with model governance
* Clearly document and following best coding practices with Python packages, etc. along with the use of GitHub
* Create and present presentations in the form of presentations and written documents of analysis results to Optum AI and business leaders
 You'll be rewarded and recognized for your performance in an environment that will challenge you and give you clear direction on what it takes to succeed in your role as well as provide development for other roles you may be interested in.
**Required Qualifications**
* PhD in computer science or a related quantitative field
* 5\+ years of machine learning and data science experience
* 3\+ years of experience with Python, classical ML methods and deep learning (i.e. PyTorch or Tensorflow)
* 2\+ years of experience leading projects with solid technical communication skills, including demonstrated technical leadership
* 2\+ years of hands\-on experience with NLP approaches such as text embedding and text classification, using and evaluating LLMs/generative AI models, RAGs, etc.
* Experience with distributed training of GenAI models
* Demonstrated research publications in top\-tier AI conferences (preferably healthcare\-focused)
* Conducted independent research study leading to novel architecture/optimize technique, related to LLMs and SLMs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24">
      <c r="A24" t="inlineStr">
        <is>
          <t>li-4344662344</t>
        </is>
      </c>
      <c r="B24" t="inlineStr">
        <is>
          <t>Senior ML/AI Engineer - Developer Experience</t>
        </is>
      </c>
      <c r="C24" t="inlineStr">
        <is>
          <t>General Motors</t>
        </is>
      </c>
      <c r="D24" t="inlineStr">
        <is>
          <t>linkedin</t>
        </is>
      </c>
      <c r="E24" t="inlineStr"/>
      <c r="F24" t="inlineStr"/>
      <c r="G24" t="inlineStr">
        <is>
          <t>Warren, MI</t>
        </is>
      </c>
      <c r="H24" t="inlineStr"/>
      <c r="I24"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$108,420 to $161,500\.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5">
      <c r="A25" t="inlineStr">
        <is>
          <t>li-4367324689</t>
        </is>
      </c>
      <c r="B25" t="inlineStr">
        <is>
          <t>Sr AI/ML Engineer</t>
        </is>
      </c>
      <c r="C25" t="inlineStr">
        <is>
          <t>Phaxis</t>
        </is>
      </c>
      <c r="D25" t="inlineStr">
        <is>
          <t>linkedin</t>
        </is>
      </c>
      <c r="E25" t="inlineStr"/>
      <c r="F25" t="inlineStr"/>
      <c r="G25" t="inlineStr">
        <is>
          <t>New York, NY</t>
        </is>
      </c>
      <c r="H25" t="inlineStr"/>
      <c r="I25" t="inlineStr">
        <is>
          <t>**Salary is 175k to 200k \+ bonus
 5 days in\-office**
**Must Have Qualifications:**
 \- Master's degree is required.
 \- 5\+ years of experience.
 \- Must have Decision Tree, XG Boost.
 \- Tree Models, RAG and LLM.
 \- Strong experience in AI/ML algorithms, such as classification, forecasting, and uplift modeling, with expertise in applying machine learning and deep learning techniques to real\-world problems.
 \- Proficient in Python or R for advanced analytics.
 \- Analyze, clean, and integrate large, diverse data sets, and transforming them into actionable insights.
 \- Translate complex AI/ML findings into clear, impactful business recommendations for cross\-functional teams. \- Cloud (Azure preferred and open to AWS or other Cloud providers).
**Day\-to\-Day Responsibilities:**
 \- Design, develop, and deploy scalable AI/ML solutions that improve business outcomes.
 \- Analyze large datasets to identify trends and opportunities for AI/ML\-driven optimizations.
 \- Communicate complex AI/ML findings to business leaders, providing actionable insights and recommendations for strategic decision\-making.
 \- Continuously improve AI/ML models by testing, evaluating, and fine\-tuning algorithms to ensure optimal performance and alignment with business goals.</t>
        </is>
      </c>
    </row>
    <row r="26">
      <c r="A26" t="inlineStr">
        <is>
          <t>li-4358196515</t>
        </is>
      </c>
      <c r="B26" t="inlineStr">
        <is>
          <t>AI Engineer - Robotics</t>
        </is>
      </c>
      <c r="C26" t="inlineStr">
        <is>
          <t>Harrison Clarke</t>
        </is>
      </c>
      <c r="D26" t="inlineStr">
        <is>
          <t>linkedin</t>
        </is>
      </c>
      <c r="E26" t="inlineStr"/>
      <c r="F26" t="inlineStr"/>
      <c r="G26" t="inlineStr"/>
      <c r="H26" t="inlineStr"/>
      <c r="I26" t="inlineStr">
        <is>
          <t>Build the models that turn vision and language into real\-world action. Your research will ship onto physical robots and get tested in messy, adversarial environments, not just in a notebook.
**Why This Role Exists** 
 A well\-funded, early\-stage robotics and ML team is building a foundation model for embodied autonomy in mission\-critical settings. They are past “cool demo” territory and are now scaling training, evaluation, and deployment so fleets of varying robots can perceive, plan, and coordinate under real operational constraints. In 12–18 months, success looks like robust policies and world models running reliably on hardware, sim\-to\-real transfer that holds up in the field, and a research pipeline that consistently produces deployable improvements.
**What You Will Actually Be Doing** 
* You will
 ***lead research that improves embodied agent capability***
 , spanning reinforcement learning, imitation learning, and/or vision\-language\-action modelling.
* You will
 ***build and benchmark large\-scale models***
 for perception, decision\-making, and control across simulation and real robots.
* You will
 ***push sim\-to\-real transfer and continual learning***
 so behaviours generalize across domains, terrains, sensors, and platforms.
* You will
 ***develop memory and long\-horizon autonomy primitives***
 , enabling agents to operate coherently over extended missions and shifting objectives.
* You will
 ***partner tightly with robotics and systems engineers***
 to integrate research into production\-grade stacks, including evaluation, deployment, and observability.
* You will
 ***support field tests and data collection***
 to close the loop between research insight and real performance.
**This Will Suit You If** 
* You like
 ***research that turns into working systems***
 , fast.
* You enjoy
 ***unstructured problems***
 where the right answer is not in a paper, and constraints are real.
* You are comfortable in a
 ***high\-ownership startup environment***
 . Context\-switching, moving quickly, and setting standards as you go.
* You care about
 ***rigour and repeatability***
 , not heroics. Clean experiments, strong baselines, honest conclusions.
* You want your work to matter in a
 ***mission\-critical domain***
 , with clear stakes and rapid feedback.
**What You Need To Have** 
* ***PhD in CS, Robotics, ML (or equivalent industry research track record)***
 with a strong publication history.
* ***Deep expertise in one or more***
 \*\*: RL, imitation learning, vision\-language models, sim\-to\-real, world modelling, agentic AI, embodied autonomy.
* ***Hands\-on experience building and evaluating embodied agents***
 across simulation and physical systems.
* ***Strong Python***
 \*\* and proficiency in \*\*
 ***PyTorch, JAX, or TensorFlow***
 .
* Proven ability to \*\*
 ***take an idea from concept to a deployed prototype***
 , including evaluation design and iteration.
**Optional, but nice if you have** 
* ***Multi\-agent coordination***
 and swarm behaviors.
* ***ROS, real\-time control loops, embedded or edge inference***
 constraints.
* Experience integrating ML with
 ***physical robotic platforms***
 and high\-dimensional sensor streams.
* Background shipping in
 ***aerospace, defense, or other high\-reliability environments***
 .
**Who You Will Be Joining** 
 A small, senior team in the South Bay building an embodied autonomy platform from the ground up. They are early\-stage, heavily backed, and operating at the intersection of cutting\-edge ML research and real\-world robotics, with direct access to leadership and a culture that prioritises pace, clarity, and shipping.
**Location** 
 South Bay, CA. This is an
 ***on\-site role***
 due to hardware access and frequent integration work. Relocation support is available.</t>
        </is>
      </c>
    </row>
    <row r="27">
      <c r="A27" t="inlineStr">
        <is>
          <t>li-4367339617</t>
        </is>
      </c>
      <c r="B27" t="inlineStr">
        <is>
          <t>Agentic Gen AI Engineer</t>
        </is>
      </c>
      <c r="C27" t="inlineStr">
        <is>
          <t>Capgemini</t>
        </is>
      </c>
      <c r="D27" t="inlineStr">
        <is>
          <t>linkedin</t>
        </is>
      </c>
      <c r="E27" t="inlineStr"/>
      <c r="F27" t="inlineStr"/>
      <c r="G27" t="inlineStr">
        <is>
          <t>New York, United States</t>
        </is>
      </c>
      <c r="H27" t="inlineStr"/>
      <c r="I2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**Title \- Agentic Gen AI Engineer**
**Location \- NY/NJ**
 We are seeking a skilled Agentic AI Engineer with a passion for staying at the forefront of emerging technologies with an ability to quickly grasp complex scientific literature and thoughtfully implement innovative techniques in realworld applications, Deep enthusiasm for agentic AI and demonstrated expertise in applying it creatively and effectively across diverse domains.
 Extensive technical breadth spanning frontend and backend development large language models LLMs machine learning retrievalaugmented generation RAG and agentic AI solutions
 Proven experience designing developing integrating deploying and maintaining sophisticated AIdriven systems at scale
**Required Qualifications**
 Agentic AI Construction Building agentic AI multinode decision models that include things like retrieval augmented generation RAG semantic search state graphsagentic memory calling APIs
 Agentic AI Guidance Adding guardrails human in the loop multiagent work flows reflection citing sources response verification and other methodologies to increase the accuracy of agentic responses and prevent hallucinations
**Technology Stack ::** 
 Experience building with LangChainLangGraphLangSmithGoogle GeminiOpenAIs API OpenAIs SwarmAgentsSDK vector databases finetuning SageWorks BedRock Docker
 AI Centered Coding Workflow Experience conducting research systems architecting analyzing code troubleshooting and writing code with LLMs Cursor AI Copilot etcAbility to Present Proof of Concepts Well frontend backend devops experience to craft proof of concepts for agentic AI solutions
**Nice to Have**
 Strong knowledge of fullstack development for AIdriven applications
 Familiarity with Docker Kubernetes and DevOps methodologies
 Background in AI research and experimentation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get in touch with your recruiting contact.
 Click the following link for more information on your rights as an Applicant http://www.capgemini.com/resources/equal\-employment\-opportunity\-is\-the\-law
**Salary Transparency Disclaimer**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$ 103330 \- $ 128656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is>
      </c>
    </row>
    <row r="28">
      <c r="A28" t="inlineStr">
        <is>
          <t>li-4366895186</t>
        </is>
      </c>
      <c r="B28" t="inlineStr">
        <is>
          <t>Staff Machine Learning Engineer, AI Product and Platform</t>
        </is>
      </c>
      <c r="C28" t="inlineStr">
        <is>
          <t>BetterUp</t>
        </is>
      </c>
      <c r="D28" t="inlineStr">
        <is>
          <t>linkedin</t>
        </is>
      </c>
      <c r="E28" t="inlineStr"/>
      <c r="F28" t="inlineStr"/>
      <c r="G28" t="inlineStr">
        <is>
          <t>San Francisco, CA</t>
        </is>
      </c>
      <c r="H28" t="inlineStr"/>
      <c r="I28"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29">
      <c r="A29" t="inlineStr">
        <is>
          <t>li-4356537440</t>
        </is>
      </c>
      <c r="B29" t="inlineStr">
        <is>
          <t>Associate Generative AI Engineer</t>
        </is>
      </c>
      <c r="C29" t="inlineStr">
        <is>
          <t>IntePros</t>
        </is>
      </c>
      <c r="D29" t="inlineStr">
        <is>
          <t>linkedin</t>
        </is>
      </c>
      <c r="E29" t="inlineStr"/>
      <c r="F29" t="inlineStr"/>
      <c r="G29" t="inlineStr">
        <is>
          <t>Philadelphia, PA</t>
        </is>
      </c>
      <c r="H29" t="inlineStr"/>
      <c r="I29" t="inlineStr">
        <is>
          <t>**Location:** 
 Wayne, PA (Hybrid preferred)
**Schedule:** 
 40 hours/week
**Type:** 
 Contract\-to\-Hire
**About The Role**
 Radian is seeking an Associate Generative AI Engineer to help design, build, and deploy enterprise\-grade Generative AI solutions across a growing portfolio of business use cases. This role offers hands\-on experience with production LLM applications, agentic AI systems, and AWS\-based AI architectures, with a clear path to long\-term growth.
 This position is ideal for an engineer who has foundational experience with modern AI/ML development and wants to deepen their expertise in LLMs, Retrieval\-Augmented Generation (RAG), and intelligent automation within a real\-world enterprise environment.
**What You’ll Do**
* Design, develop, and deploy Generative AI solutions using leading LLMs such as GPT, Claude, and Gemini
* Build and integrate AI\-driven applications within the AWS ecosystem, leveraging AI/ML services for model usage, governance, and scalability
* Contribute to the development of agentic AI systems that enable reasoning, planning, and automated task execution
* Develop use cases including:
+ Document processing and summarization
+ Retrieval\-Augmented Generation (RAG) solutions
+ Intelligent workflows and reasoning pipelines
* Implement and support RAG frameworks and vector databases
* Write clean, scalable code primarily in Python, with some development in Node.js
* Optimize and fine\-tune models and AI workflows for performance, cost\-efficiency, and reliability
* Troubleshoot AI model behaviors, integrations, and production issues
* Collaborate with Program Managers, engineers, and external consulting partners on AI initiatives
* Participate in Agile ceremonies and contribute to iterative solution delivery
* Document AI architectures, workflows, and technical implementations
* Communicate technical concepts and AI capabilities to non\-technical stakeholders
**Required Qualifications**
* 2\+ years of experience building or integrating Generative AI or AI/ML solutions
* Hands\-on experience working with Large Language Models (LLMs)
* Experience developing solutions within the AWS cloud environment
* Strong proficiency in Python
* Working knowledge of Node.js
* Experience with RAG architectures and vector databases
* Understanding of AI application design, data pipelines, and model integration patterns
* Ability to work in a fast\-paced, collaborative Agile environment
**Preferred Qualifications**
* Experience in financial services, insurance, or regulated industries
* Exposure to large\-scale system modernization or claims platform transformation initiatives
* Familiarity with agentic AI or autonomous AI workflows
* Experience with AI\-assisted development tools (e.g., GitHub Copilot)
* Experience working with external vendors or consulting partners
**Work Environment**
* Hybrid preferred, candidates within commuting distance to Wayne, PA with occasional onsite presence
* Remote candidates considered if able to work EST hours
* Standard 40\-hour work week, with occasional additional hours based on project needs</t>
        </is>
      </c>
    </row>
    <row r="30">
      <c r="A30" t="inlineStr">
        <is>
          <t>li-4335888171</t>
        </is>
      </c>
      <c r="B30" t="inlineStr">
        <is>
          <t>Senior AI Engineer</t>
        </is>
      </c>
      <c r="C30" t="inlineStr">
        <is>
          <t>Morrison Foerster</t>
        </is>
      </c>
      <c r="D30" t="inlineStr">
        <is>
          <t>linkedin</t>
        </is>
      </c>
      <c r="E30" t="inlineStr"/>
      <c r="F30" t="inlineStr"/>
      <c r="G30" t="inlineStr">
        <is>
          <t>New York, NY</t>
        </is>
      </c>
      <c r="H30" t="inlineStr"/>
      <c r="I30" t="inlineStr">
        <is>
          <t>**Overview**
**At MoFo, we couldn’t write our own success story without yours.** 
**Ready to write your story?**
 Join MoFo as a
 **SENIOR AI ENGINEER** 
 on our Information Technology Team!
 This role can be based in Boston, New York or Washington, D.C.
 https://www.mofo.com/offices
**About The Role**
 The Senior AI Engineer, aligned with department and firmwide objectives and priorities and under the direction of the Director of Data Science Analytics, designs, integrates, operates, and continuously improves the Firm’s generative\-AI platform built on third\-party providers (e.g., ChatGPT Enterprise). The role also leads structured evaluations of additional providers (e.g., Harvey, Legora). Focus is on building reliable, secure, and compliant services that connect these providers to Firm systems (ServiceNow, Salesforce, SharePoint/OneDrive, iManage, Workday, Microsoft 365\), along with custom GPTs and enterprise connectors. Success is measured by developer and attorney adoption, measurable productivity gains, service reliability, and adherence to Responsible AI and client obligations.
**Platform Engineering \&amp; Integration**
* Co\-own the strategy, roadmap, and daily operations of the Firm’s generative\-AI platform in partnership with the Director of Data Science Analytics.
* Design, implement, document, and maintain scalable, secure REST/GraphQL services and SDKs that wrap third\-party LLMs and expose agentic and RAG functionality for internal developers.
* Integrate AI services with enterprise platforms including ServiceNow, Salesforce, SharePoint/OneDrive, iManage Cloud, Workday, and Microsoft 365/Copilot \&amp; Copilot Studio.
* Build and operate Model Context Protocol (MCP)\-compliant tools and servers; define resource schemas, capability negotiation, and authentication/authorization patterns.
* Maintain vector and embedding stores (e.g., Azure AI Search, pgvector, Pinecone) and RAG pipelines; tune chunking, metadata enrichment, and re\-ranking for legal\-grade accuracy.
* Provide reference implementations, SDK snippets, and quick\-start examples to accelerate adoption by IT and development teams.
**ChatGPT Enterprise: Custom GPTs \&amp; Connectors**
* Partner with attorneys, Knowledge Management, and business staff to identify high\-value use cases; co\-design custom GPTs with clear instructions, approved knowledge sources, and guardrails.
* Build and maintain custom connectors (Actions/OpenAPI and enterprise connectors) to systems such as ServiceNow, Salesforce, iManage, SharePoint/Graph, and internal APIs.
* Establish governance for GPTs, including naming, versioning, review workflows, RBAC/workspace scoping, and data partitioning; manage release channels and deprecations.
* Develop evaluation and safety checks (offline test sets, red\-team prompts, accuracy/latency/cost KPIs) and instrument usage analytics with feedback loops.
* Deliver templates, prompts, and “starter GPTs”; run enablement sessions and office hours for safe self\-service by attorneys and staff.
* Maintain runbooks and support processes for GPT incidents, drift, and provider updates.
**Third\-Party AI Platform Evaluation \&amp; Selection**
* Lead structured evaluations and bake\-offs against ChatGPT Enterprise baselines, defining decision criteria with AI/KM Consultants, Information Security, Governance, Risk, Procurement, and Compliance teams.
* Design representative test suites (accuracy, hallucination rate, retrieval fidelity, tool\-use reliability, latency, throughput, cost) and implement automated evaluation harnesses.
* Support Information Security in performing security and privacy due diligence (SOC 2/ISO mappings, encryption, retention, auditability, incident response), and align with client guidelines.
* Assess interoperability (MCP support, Actions/OpenAPI, webhooks, SSO/RBAC, logging/observability) and integration effort with Firm systems and RAG pipelines.
* Build proofs of concept with attorneys and staff, document ROI and risk, and recommend go/no\-go and migration plans.
* Produce decision memos detailing evaluation criteria, results, mitigations, financial impacts, and vendor lock\-in strategies.
**Safety, Security, and Compliance**
* Implement policy and technical controls for privacy, confidentiality, privilege, and data residency in coordination with Information Security and Governance.
* Build guardrails against prompt injection, data exfiltration, and PII exposure; ensure auditability and eDiscovery readiness.
* Manage vendor diligence, provider SLAs, roadmap feedback, and incident escalation.
* Implement observability (structured logs, tracing, metrics, audit trails) and automated regressions and canary testing for APIs, GPTs, and connectors.
**Productization \&amp; Change Management**
* Evaluate and prototype new AI use cases for feasibility, risk, and ROI; productionize successful pilots.
* Lead enablement for developers and non\-technical users through training, style guides, API contracts, and prompt engineering best practices.
* Contribute to Firm Responsible AI standards, guidance, and communications with technical and non\-technical stakeholders.
**About You**
* Bachelor’s degree in Computer Science, Software Engineering, Data Science, or a related field required; Master’s preferred.
* 8\+ years of professional experience in software or AI engineering, including at least 3 years building LLM\-powered applications.
* Deep experience with cloud and DevOps technologies (Docker/Kubernetes, CI/CD, IaC) and one or more major cloud AI stacks (Azure strongly preferred).
* Strong working knowledge of retrieval systems, vector databases, embeddings, and agent frameworks such as Semantic Kernel or LangChain.
* Proven experience with ChatGPT Enterprise, custom GPT design, and secure tool integration.
**Domain And Compliance (Preferred)**
* Experience in legal or other highly regulated industries with familiarity in confidentiality, privilege, retention, and client OCGs.
* Exposure to Microsoft 365 Copilot, Copilot Studio, Microsoft Graph connectors, and Teams/SharePoint extensibility.
* Understanding of SOC 2 and ISO 27001 controls, DLP, eDiscovery, and data\-classification best practices.
**Teamwork And Applied Skills**
* Strong ownership mindset with the ability to drive initiatives from inception to completion.
* Excellent organizational and project management skills, balancing multiple priorities under deadlines.
* Exceptional analytical and communication skills with the ability to simplify complex ideas for diverse audiences.
* High attention to detail, proactive problem\-solving approach, and strong technical aptitude.
* Collaborative team player who thrives in a dynamic, cross\-functional environment.
* Demonstrated commitment to client service excellence and continuous improvement.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The application deadline is* 
*May 13, 2026\.*
*New York salary range: $140k to $195k*
*Boston, Washington, D.C. salary range: $133k to $186k*
 For questions regarding this position, please e\-mail jobs@mofo.com</t>
        </is>
      </c>
    </row>
    <row r="31">
      <c r="A31" t="inlineStr">
        <is>
          <t>li-4367330016</t>
        </is>
      </c>
      <c r="B31" t="inlineStr">
        <is>
          <t>Senior Generative &amp; Agentic AI Engineer</t>
        </is>
      </c>
      <c r="C31" t="inlineStr">
        <is>
          <t>CriticalRiver Inc.</t>
        </is>
      </c>
      <c r="D31" t="inlineStr">
        <is>
          <t>linkedin</t>
        </is>
      </c>
      <c r="E31" t="inlineStr"/>
      <c r="F31" t="inlineStr"/>
      <c r="G31" t="inlineStr">
        <is>
          <t>Pleasanton, CA</t>
        </is>
      </c>
      <c r="H31" t="inlineStr"/>
      <c r="I31" t="inlineStr">
        <is>
          <t>**CriticalRiver Inc. \| Full\-Time** 
**Pleasanton, CA (Hybrid work)** 
 CriticalRiver is seeking a
 **Generative \&amp; Agentic AI Engineer** 
 to lead the design and delivery of next\-generation AI solutions for our global clients. In this role, you’ll define AI strategy, architect intelligent systems, and mentor a team building real\-world generative and agentic AI applications.
**What you will do:** 
* Define and drive the strategy for generative and agentic AI initiatives
* Architect and build multi\-agent systems, RAG pipelines, and custom LLM solutions
* Lead and mentor a high\-performing AI engineering team
* Hands\-on development, fine\-tuning, and deployment of AI models and agents
* Evaluate and implement AI platforms and frameworks (LangGraph, LlamaIndex, Hugging Face, OpenAI, Google Vertex AI, Azure AI, Claude)
**What you will bring:** 
* Senior/lead experience in AI/ML with strong focus on NLP and LLMs
* Hands\-on expertise in generative AI, agent orchestration, prompt engineering, guardrails, and RAG
* Experience building autonomous or multi\-agent systems (LangGraph, CrewAI, ADK, or similar)
* Strong Python skills and experience with PyTorch/TensorFlow
* Ability to prototype AI\-driven business use cases using tools like Cursor, Copilot, Claude Code, Bolt, or V0
* Strong leadership and communication skills
**Nice to Have** 
* Experience with international (US/EU) clients
* Cloud GenAI experience (Google Gemini, AWS Bedrock, Azure OpenAI)
* Open\-source contributions or published AI work</t>
        </is>
      </c>
    </row>
    <row r="32">
      <c r="A32" t="inlineStr">
        <is>
          <t>li-4362740925</t>
        </is>
      </c>
      <c r="B32" t="inlineStr">
        <is>
          <t>Generative &amp; Agentic AI Engineer</t>
        </is>
      </c>
      <c r="C32" t="inlineStr">
        <is>
          <t>Babel Street</t>
        </is>
      </c>
      <c r="D32" t="inlineStr">
        <is>
          <t>linkedin</t>
        </is>
      </c>
      <c r="E32" t="inlineStr"/>
      <c r="F32" t="inlineStr"/>
      <c r="G32" t="inlineStr">
        <is>
          <t>Reston, VA</t>
        </is>
      </c>
      <c r="H32" t="inlineStr"/>
      <c r="I32" t="inlineStr">
        <is>
          <t>Babel Street is the trusted technology partner for the world’s most advanced identity intelligence and risk operations. We deliver advanced AI and data analytics solutions providing unmatched, analysis\-ready data regardless of language, proactive risk identification, 360\-degree insights, high\-speed automation, and seamless integration into existing systems. Babel Street empowers government and commercial organizations to transform high\-stakes identity and risk operations into a strategic advantage. The actionable insights we deliver safeguard lives and protect critical assets around the world. Babel Street is headquartered in Reston, Virginia, with regional offices in Boston, MA and Cleveland, OH, and international offices in Australia, Canada, Israel, Japan, and the U.K. For more information, visit www.babelstreet.com.
**Role Summary**
 As an Engineer on the Generative \&amp; Agentic AI team, you will play a hands\-on role in building, deploying, and operating AI capabilities that power Babel Street’s intelligence applications. You will work closely with senior AI leaders, product teams, and engineers to implement generative and agentic AI solutions that support investigative, analytical, and operational workflows across the platform.
 This is an execution\-focused role for an engineer with strong foundations in machine learning and generative AI who is excited to work on real\-world, mission\-driven applications. You will contribute directly to LLM and SLM pipelines, retrieval and grounding systems, agent workflows, and AI\-enabled features—while learning how to deliver AI that is safe, reliable, cost\-efficient, and production\-ready.
 This is a hybrid role to be based out of either our Reston, VA/Washington DC office or our Somerville MA office.
**ROLE FOCUS**
**This Role Spans Three Practical Execution Areas**
**Generative AI \&amp; Model Development**
 You will help implement and operate LLM\- and SLM\-based systems, contributing to prompt development, fine\-tuning, evaluation, and inference optimization. You will support retrieval\-augmented generation (RAG) pipelines, embeddings, and grounding techniques to ensure AI outputs are accurate, explainable, and aligned with intelligence use cases.
**Agentic AI \&amp; Workflow Automation**
 You will assist in building and integrating agent\-based workflows that automate analytical tasks, connect platform services, and support intelligence applications. This includes implementing agent logic, tool\-use patterns, and basic orchestration under the guidance of senior engineers.
**AI Engineering \&amp; Production Delivery**
 You will help productionize AI capabilities using modern AI SDLC tools and practices, contributing to evaluation, testing, telemetry, and guardrails that reduce hallucinations and ensure safe behavior. You will work within established governance frameworks to ensure AI features are measurable, reliable, and cost\-aware.
**Key Responsibilities**
* Implement and maintain LLM and SLM pipelines, including prompt engineering, inference, and evaluation.
* Support RAG pipelines, embeddings, and retrieval systems used in intelligence applications.
* Assist in building agent workflows that automate analytical or operational tasks.
* Write clean, maintainable code (Python or others) to support AI services and integrations.
* Contribute to AI evaluation, testing, and hallucination\-mitigation techniques.
* Use AI\-assisted development tools (e.g., Copilot, Cursor) to improve development velocity and quality.
* Collaborate with Product and Engineering teams to integrate AI capabilities into user\-facing workflows.
* Follow established AI governance, safety, and cost\-optimization practices.
**Qualifications**
**Required**
* 5\+ years of experience in software engineering, machine learning, or applied AI roles.
* Hands\-on experience working with LLMs and/or SLMs, including prompting, inference, or fine\-tuning.
* Experience building or contributing to RAG pipelines, embeddings, or retrieval systems.
* Familiarity with agent\-based systems or workflow automation (academic, professional, or open\-source).
* Strong programming skills in Python; experience with common libraries (PyTorch, TensorFlow, etc.).
* Solid foundation in machine learning concepts (training, evaluation, overfitting, metrics).
* Experience using or contributing to modern AI/ML tooling and workflows (ML pipelines, evaluation scripts, model serving).
* Ability to work in a collaborative, fast\-moving, mission\-driven environment.
**Preferred**
* Experience applying AI to intelligence, investigative, analytical, or risk\-related applications.
* Familiarity with vector databases, graph databases, or knowledge graphs.
**EDUCATION**
 Bachelor’s degree in Computer Science, Engineering, Data Science, or a related technical field required.
 Advanced degree is a plus but not required.
**Benefits At Babel Street (just To Name a Few...)**
* Health Benefits: Babel Street covers 85\-100% monthly premium costs for Medical, Dental, Vision, Life \&amp; Disability insurances – for you and your family!
* Retirement Plans: Babel Street offers both a Traditional and Roth 401(K) with a very competitive match.
* Unlimited Flexible Leave: We trust our employees to manage their own time and balance their personal and work lives.
* Holidays: Babel Street provides employees with 12 paid Federal Holidays
* Tuition Reimbursement: We are committed to investing in our employees. One way we do that is with our Tuition Reimbursement Program for continuing education.
*Babel Street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Further, Babel Street will not discriminate against applicants for inquiring about, discussing or disclosing their pay or, in certain circumstances, the pay of their co‐worker, Pay Transparency Nondiscrimination.* 
*In addition, Babel Street's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**Range For This Position Based On Qualifications And Experience**
 $140,000 \- $180,000 USD</t>
        </is>
      </c>
    </row>
    <row r="33">
      <c r="A33" t="inlineStr">
        <is>
          <t>li-4314088323</t>
        </is>
      </c>
      <c r="B33" t="inlineStr">
        <is>
          <t>Senior Machine Learning Engineer, Fraud Detection</t>
        </is>
      </c>
      <c r="C33" t="inlineStr">
        <is>
          <t>Crunchyroll</t>
        </is>
      </c>
      <c r="D33" t="inlineStr">
        <is>
          <t>linkedin</t>
        </is>
      </c>
      <c r="E33" t="inlineStr"/>
      <c r="F33" t="inlineStr"/>
      <c r="G33" t="inlineStr">
        <is>
          <t>San Francisco, CA</t>
        </is>
      </c>
      <c r="H33" t="inlineStr"/>
      <c r="I33"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In the role of senior machine learning engineer, you will report to the director of data science and machine learning in the Center for Data and Insights, working from Los Angeles or San Francisco area in California.
 In this Machine Learning Engineer role focused on Algorithm Development and End\-to\-End Production at our VOD streaming company, you will lead the creation and deployment of scalable ML models to detect account sharing fraud, drawing from user behavior data like geolocation, concurrent sessions, and device profiles. This position is essential for collaborating with data scientists, product analysts, and data engineers, translating research prototypes into production systems that enhance detection accuracy while minimizing user disruption, aligning with proven strategies from streaming giants to boost subscriber growth.
**Core Areas of Responsibility**
* Design and implement machine learning algorithms, including anomaly detection models, to identify unauthorized account sharing in real\-time.
* Develop end\-to\-end ML pipelines for data preprocessing, model training, evaluation, and deployment using cloud platforms.
* Optimize models for performance, scalability, and efficiency to handle high\-volume streaming data.
* Integrate ML solutions with existing systems via APIs and establish monitoring for model drift and retraining.
* Collaborate on A/B testing and iteration to refine algorithms based on feedback and evolving evasion tactics.
**About You**
* Experience: You bring 5\+ years of hands\-on experience in ML engineering, with a track record in fraud or anomaly detection systems, ideally in online, consumer facing products and services.
* Technical Skills: Expert in Python and frameworks like TensorFlow, PyTorch, or XGBoost, with proficiency in MLOps tools such as MLflow, Docker, and cloud services like AWS SageMaker, Databricks MLFlow, etc. Experience with cloud computing infra and tooling such as AWS/GCP.
* Cross\-Functional Collaborations: Experienced in working with data scientists, engineers, and product teams to deploy models that support business goals like revenue optimization.
* Communication Skills: Strong ability to document technical processes and explain algorithm decisions to diverse stakeholders for seamless integration.
* Education Background: Possess a master's degree in computer science, machine learning, or a related quantitative field, with certifications in cloud ML being a plus.
* Communication Skills: Excellent verbal and written communication skills, with the ability to convey complex technical concepts to non\-technical stakeholders.
**Educational Background:** 
 Graduate degree (MS or PhD) in Computer Science, Statistics, or a related field.
**About The Team**
 Our team is composed of passionate Machine Learning Engineers and Data Scientists who have already made a significant impact across our product offerings, content strategy, and user engagement metrics. As we expand our scope, our team is poised to become the cornerstone of innovation and growth across various business verticals within the company. We are dedicated to leveraging advanced machine learning techniques to continue transforming how users interact with and enjoy our offering of video contents and all other services.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$185,000—$230,000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34">
      <c r="A34" t="inlineStr">
        <is>
          <t>li-4367339053</t>
        </is>
      </c>
      <c r="B34" t="inlineStr">
        <is>
          <t>Scientific AI and ML Engineer</t>
        </is>
      </c>
      <c r="C34" t="inlineStr">
        <is>
          <t>Booz Allen Hamilton</t>
        </is>
      </c>
      <c r="D34" t="inlineStr">
        <is>
          <t>linkedin</t>
        </is>
      </c>
      <c r="E34" t="inlineStr"/>
      <c r="F34" t="inlineStr"/>
      <c r="G34" t="inlineStr">
        <is>
          <t>Atlanta, GA</t>
        </is>
      </c>
      <c r="H34" t="inlineStr"/>
      <c r="I34" t="inlineStr">
        <is>
          <t>**Job Number: R0233065**
 Scientific AI and ML Engineer
**The Opportunity:**
 Are you looking for an opportunity to make a difference and help build innovative systems that will have a positive impact on how scientific systems are delivered? What if you could find a position that is tailor\-made for your mix of science, AI, ML, and engineering skills? Scientific AI and ML engineers play a critical role in advancing research and operational innovation through cutting\-edge applications of AI and ML. That’s why we need an experienced AI and ML engineer like you to help us design and develop solutions that combine domain expertise, scientific rigor, and ML techniques to deliver actionable insights and support mission\-critical operations.
 As a Scientific AI and ML Engineer on our team, you’ll apply your deep technical expertise to create innovative AI and ML algorithms, frameworks, and tools to address complex scientific challenges. You’ll collaborate with a multidisciplinary Agile development team to develop, validate, and optimize AI and ML models and workflows. Whether it’s designing novel algorithms, enabling automation of AI workflows, or scaling solutions in a cloud environment, you’ll have the opportunity to pioneer new approaches while improving scientific outcomes. As a critical member of the team, you’ll identify opportunities for leveraging AI and ML to solve real\-world problems, guide efforts to mitigate risks, optimize resources, and improve lives.
 Work with us to apply the power of AI and ML to solve scientific problems at the intersection of health and technology, and protect America from health, safety, and security threats.
**What You’ll Work On:**
* Develop and optimize novel AI and ML algorithms tailored to scientific challenges, integrating domain knowledge to ensure results are actionable and relevant.
* Design, validate, and deploy end\-to\-end AI and ML workflows in cloud environments to address complex analytical needs across the organization.
* Collaborate with cross\-functional teams to design efficient frameworks for data preparation, feature engineering, model selection, and outcome interpretation across data sources.
* Build tools and infrastructure to enable seamless experimentation, rapid model iteration, and reproducibility of scientific AI and ML experiments.
* Scale AI and ML solutions using advanced techniques such as distributed computing, cloud environments, including Azure and Databricks, and containerized deployments.
* Implement automated pipelines for training, validating, and deploying models into production with rigorous monitoring and evaluation processes.
* Develop containerized applications and APIs for exposing AI and ML model capabilities, ensuring accessibility and interpretability for stakeholders.
* Identify and introduce state\-of\-the\-art AI and ML techniques and tools such as explainable AI (XAI), reinforcement learning, and probabilistic modeling, to enhance research outcomes and operational decision\-making.
* Support collaboration with data scientists, researchers, and engineers to bridge the gap between foundational AI and ML research and deployed, impactful applications.
 Join us. The world can’t wait.
**You Have:**
* 5\+ years of experience across data science, AI, and data engineering with ownership of end\-to\-end analytical or ML solutions
* 5\+ years of experience in bioinformatics or computational biology, including analysis and processing of biological and imaging data such as FASTQ, BAM/CRAM, VCF, or DICOM
* 3\+ years of experience designing and deploying AI and ML solutions, including model training, evaluation, and production
* 3\+ years of experience designing cloud architectures for data\-intensive or AI applications on AWS, Azure, or Google Cloud
* Experience with cloud\-based AI platforms, including Databricks, AWS SageMaker, or Azure ML
* Knowledge of Python or R for data analysis, modeling, and pipeline development
* Ability to translate complex biological questions into analytical approaches and apply existing methods to novel datasets
* Ability to work independently, lead technical initiatives, and deliver in a fast\-paced, evolving environment
* Ability to obtain and maintain a Public Trust or Suitability/Fitness determination based on client requirements
* Bachelor’s degree in a Science field
**Nice If You Have:**
* Experience with PySpark or SparkR
* Experience with Kubernetes or another container management system for managing containerized AI and ML workloads
* Experience designing and implementing automated, reproducible data and ML pipelines in a cloud environment
* Experience with version control tools, including Git
* Knowledge of AI model explainability, ethical AI, or advanced deep learning frameworks such as TensorFlow or PyTorch
* Master's degree in CS, Bioinformatics, Computational Biology, or a related Science or technical field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5">
      <c r="A35" t="inlineStr">
        <is>
          <t>li-4367332084</t>
        </is>
      </c>
      <c r="B35" t="inlineStr">
        <is>
          <t>Scientific AI and ML Engineer</t>
        </is>
      </c>
      <c r="C35" t="inlineStr">
        <is>
          <t>Booz Allen Hamilton</t>
        </is>
      </c>
      <c r="D35" t="inlineStr">
        <is>
          <t>linkedin</t>
        </is>
      </c>
      <c r="E35" t="inlineStr"/>
      <c r="F35" t="inlineStr"/>
      <c r="G35" t="inlineStr">
        <is>
          <t>Bethesda, MD</t>
        </is>
      </c>
      <c r="H35" t="inlineStr"/>
      <c r="I35" t="inlineStr">
        <is>
          <t>**Job Number: R0233065**
 Scientific AI and ML Engineer
**The Opportunity:**
 Are you looking for an opportunity to make a difference and help build innovative systems that will have a positive impact on how scientific systems are delivered? What if you could find a position that is tailor\-made for your mix of science, AI, ML, and engineering skills? Scientific AI and ML engineers play a critical role in advancing research and operational innovation through cutting\-edge applications of AI and ML. That’s why we need an experienced AI and ML engineer like you to help us design and develop solutions that combine domain expertise, scientific rigor, and ML techniques to deliver actionable insights and support mission\-critical operations.
 As a Scientific AI and ML Engineer on our team, you’ll apply your deep technical expertise to create innovative AI and ML algorithms, frameworks, and tools to address complex scientific challenges. You’ll collaborate with a multidisciplinary Agile development team to develop, validate, and optimize AI and ML models and workflows. Whether it’s designing novel algorithms, enabling automation of AI workflows, or scaling solutions in a cloud environment, you’ll have the opportunity to pioneer new approaches while improving scientific outcomes. As a critical member of the team, you’ll identify opportunities for leveraging AI and ML to solve real\-world problems, guide efforts to mitigate risks, optimize resources, and improve lives.
 Work with us to apply the power of AI and ML to solve scientific problems at the intersection of health and technology, and protect America from health, safety, and security threats.
**What You’ll Work On:**
* Develop and optimize novel AI and ML algorithms tailored to scientific challenges, integrating domain knowledge to ensure results are actionable and relevant.
* Design, validate, and deploy end\-to\-end AI and ML workflows in cloud environments to address complex analytical needs across the organization.
* Collaborate with cross\-functional teams to design efficient frameworks for data preparation, feature engineering, model selection, and outcome interpretation across data sources.
* Build tools and infrastructure to enable seamless experimentation, rapid model iteration, and reproducibility of scientific AI and ML experiments.
* Scale AI and ML solutions using advanced techniques such as distributed computing, cloud environments, including Azure and Databricks, and containerized deployments.
* Implement automated pipelines for training, validating, and deploying models into production with rigorous monitoring and evaluation processes.
* Develop containerized applications and APIs for exposing AI and ML model capabilities, ensuring accessibility and interpretability for stakeholders.
* Identify and introduce state\-of\-the\-art AI and ML techniques and tools such as explainable AI (XAI), reinforcement learning, and probabilistic modeling, to enhance research outcomes and operational decision\-making.
* Support collaboration with data scientists, researchers, and engineers to bridge the gap between foundational AI and ML research and deployed, impactful applications.
 Join us. The world can’t wait.
**You Have:**
* 5\+ years of experience across data science, AI, and data engineering with ownership of end\-to\-end analytical or ML solutions
* 5\+ years of experience in bioinformatics or computational biology, including analysis and processing of biological and imaging data such as FASTQ, BAM/CRAM, VCF, or DICOM
* 3\+ years of experience designing and deploying AI and ML solutions, including model training, evaluation, and production
* 3\+ years of experience designing cloud architectures for data\-intensive or AI applications on AWS, Azure, or Google Cloud
* Experience with cloud\-based AI platforms, including Databricks, AWS SageMaker, or Azure ML
* Knowledge of Python or R for data analysis, modeling, and pipeline development
* Ability to translate complex biological questions into analytical approaches and apply existing methods to novel datasets
* Ability to work independently, lead technical initiatives, and deliver in a fast\-paced, evolving environment
* Ability to obtain and maintain a Public Trust or Suitability/Fitness determination based on client requirements
* Bachelor’s degree in a Science field
**Nice If You Have:**
* Experience with PySpark or SparkR
* Experience with Kubernetes or another container management system for managing containerized AI and ML workloads
* Experience designing and implementing automated, reproducible data and ML pipelines in a cloud environment
* Experience with version control tools, including Git
* Knowledge of AI model explainability, ethical AI, or advanced deep learning frameworks such as TensorFlow or PyTorch
* Master's degree in CS, Bioinformatics, Computational Biology, or a related Science or technical field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6">
      <c r="A36" t="inlineStr">
        <is>
          <t>li-4366895950</t>
        </is>
      </c>
      <c r="B36" t="inlineStr">
        <is>
          <t>AI / ML Engineer</t>
        </is>
      </c>
      <c r="C36" t="inlineStr">
        <is>
          <t>Jobs via Dice</t>
        </is>
      </c>
      <c r="D36" t="inlineStr">
        <is>
          <t>linkedin</t>
        </is>
      </c>
      <c r="E36" t="inlineStr"/>
      <c r="F36" t="inlineStr"/>
      <c r="G36" t="inlineStr">
        <is>
          <t>San Francisco, CA</t>
        </is>
      </c>
      <c r="H36" t="inlineStr"/>
      <c r="I36" t="inlineStr">
        <is>
          <t>Dice is the leading career destination for tech experts at every stage of their careers. Our client, Aroha Technologies, is seeking the following. Apply via Dice today!
**AI / ML Engineer**
**Job Description:**
**AI Engineer:**
***Required Skills \&amp; Experience:***
* 3\-5 years of professional experience in an AI or Machine Learning engineering role.
* Hands\-on experience with LLM frameworks and tools like LangChain , LlamaIndex etc
* Expertise in Python and its data science ecosystem (e.g., Pandas, NumPy, Scikit\-learn).
* Proven experience with one or more deep learning frameworks, such as TensorFlow or PyTorch.
* Hands\-on experience with a major cloud platform (AWS, Azure, or Google Cloud Platform) for training and deploying machine learning models. (Google Cloud Platform Preferred)
* Experience with generative AI and Large Language Models (LLMs).
* Proficiency in data analysis, statistical modeling, and machine learning theory.
* Experience with containerization technologies (e.g., Docker) and deploying models as APIs.
* Excellent communication skills and a proven ability to collaborate effectively in a team environment.
***Preferred Qualifications:***
* Experience deploying models using API frameworks such as FastAPI or Flask.
* Knowledge of MLOps principles and tools for CI/CD, model monitoring, and lifecycle management.
* A portfolio of projects or contributions to open\-source AI/ML libraries.</t>
        </is>
      </c>
    </row>
    <row r="37">
      <c r="A37" t="inlineStr">
        <is>
          <t>li-4367307111</t>
        </is>
      </c>
      <c r="B37" t="inlineStr">
        <is>
          <t>Lead Machine Learning Engineer</t>
        </is>
      </c>
      <c r="C37" t="inlineStr">
        <is>
          <t>Capital One</t>
        </is>
      </c>
      <c r="D37" t="inlineStr">
        <is>
          <t>linkedin</t>
        </is>
      </c>
      <c r="E37" t="inlineStr"/>
      <c r="F37" t="inlineStr"/>
      <c r="G37" t="inlineStr">
        <is>
          <t>McLean, VA</t>
        </is>
      </c>
      <c r="H37" t="inlineStr"/>
      <c r="I37" t="inlineStr">
        <is>
          <t>Capital One's Digital Commerce \&amp; Innovation organization is seeking a Lead Machine Learning Engineer with a passion for AI to join its Velocity Black by Capital One team. This Director will build and lead exceptional software engineering teams to reimagine concierge for the digital age. They must have the ability to attract and recruit the industry’s best talent, and simultaneously have the technical chops to ensure that we build compelling, customer\-focused solutions in an iterative methodology.
 As a candidate for this role, you’re able to seamlessly switch from diving deep into technology with engineers to driving high\-level, strategic discussions. You are a naturally curious technologist and stay on top of emerging trends, including prototyping of nascent technologies. You are not afraid to question any existing processes and solutions, yet you display a keen sense of business value proposition and focus on the right priorities. At Capital One, you will help leverage the transformative power of emerging AI capabilities to reimagine how we serve our customers and businesses who have come to love the products and services we build.
 Velocity Black by Capital One harnesses the power of artificial intelligence, the warmth of human experts and the convenience of the latest interfaces to help high\-performance people actualize the full potential of their lives. By harnessing 24/7 chat, AI, and mobile payments, we help our customers do more and be more in the digital age. From access to the hottest restaurants to guaranteed upgrades at the world’s finest resorts. Make a custom request through the app and you will be chatting to our team within 1 minute, 24/7/365\. The service we offer and build upon is unlike anything ever built before, and our product is rapidly evolving. Velocity Black is our core product, built in React Native and offering exclusive access and unbeatable word\-wide service across Travel, Experiences, Luxury Goods and Dining. Our internal and bespoke request management platform, Gravity, is built with React and Node.js micro services, virtually augmenting our expert customer service agents with AI, delivering the unrivalled personal service our members expect and love.
****In this role, you will:****
* Design, build and deliver meaningful consumer products powered by the latest technology with a focus on applied AI for web and mobile
* Need to wear the ‘Product hat’ with deep empathy for the customer
* Partner with a cross\-functional team of engineers, research scientists, technical program managers, and product managers to evolve how our customers interact with Capital One
* Work within and across teams to design, develop, test, implement, and support technical solutions across a full\-stack of development tools and technologies
* Lead the craftsmanship, availability, resilience, and scalability of your solutions
****The Ideal Candidate:****
* You are deeply technical. You possess a strong foundation in engineering, and your passion for consumer technology and AI enables you to identify and act on user experience optimization opportunities that others miss. (KEEP)
* You are familiar with Large Language Models (LLMs) and AI integration optimization techniques to improve the performance — scalability, cost, latency, throughput — of large scale production AI systems (KEEP)
* You have experience integrating solutions into a complex web service \&amp; mobile application ecosystem
* Emphasis on building maintainable, well\-tested and resilient solutions.
* Passion for staying abreast of the latest research, and an ability to intuitively understand highly technical publications and judiciously apply novel techniques in production.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8">
      <c r="A38" t="inlineStr">
        <is>
          <t>li-4365908495</t>
        </is>
      </c>
      <c r="B38" t="inlineStr">
        <is>
          <t>Senior AI Engineer</t>
        </is>
      </c>
      <c r="C38" t="inlineStr">
        <is>
          <t>Jobs via Dice</t>
        </is>
      </c>
      <c r="D38" t="inlineStr">
        <is>
          <t>linkedin</t>
        </is>
      </c>
      <c r="E38" t="inlineStr"/>
      <c r="F38" t="inlineStr"/>
      <c r="G38" t="inlineStr">
        <is>
          <t>Redmond, WA</t>
        </is>
      </c>
      <c r="H38" t="inlineStr"/>
      <c r="I38" t="inlineStr">
        <is>
          <t>**Overview**
 Microsoft Dynamics 365 is a suite of easy\-to\-learn and easy\-to\-use business solutions tailored to any market, designed for any business size, and dedicated to growing business through happy customers. The Customer Service Applications Team delivers business applications for Connected Customer Care for Contact Centers. We are building the next generation of our applications with cutting edge AI technology and AI Agentic development to deliver high value, complete, and predictive application scenarios across all devices and form factors.
 As an
 **Senior AI Engineer** 
 in the Microsoft Dynamics Customer Experience Applications team, you will contribute to the design and implementation of intelligent solutions within Dynamics 365 by applying both
 **software engineering** 
 and
 **AI skills** 
 . You'll work closely with senior engineers, business stakeholders, and partners to help build scalable, production\-ready systems that leverage AI to address real\-world business challenges.
 In this role, you are expected to demonstrate strong
 **software engineering fundamentals \-** 
 including coding, testing, and deployment \- while integrating and optimizing AI models and frameworks. You will contribute to delivering solutions that are reliable, impactful, and innovative, with mentorship and guidance from more senior team members.
 We innovate and collaborate closely with our partners and customers in a very agile environment. If the opportunity to collaborate with a diverse engineering team, on enabling end\-to\-end business scenarios using cutting\-edge technologies and to solve challenging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Envision, Design, implement, test, deploy, maintain, and improve our software components and services
* Develop highly usable, scalable application capabilities, integrating AI models and enhancing existing features to meet evolving customer needs.
* Optimize AI model performance and reliability in production environments, including retraining, evaluation, and continuous monitoring.
* Embrace and use state\-of\-the\-art new technologies
* Participate in technical discussions and bring new ideas on the table
* Own quality of your code and fully leverage AI development tools to accelerate development
* Work with Product Managers, Architects and UX Designers to design and specify new features from the engineering standpoint
* Develop software that empowers customers to optimize their business processes
* Work with key customers to enable faster adoption and meet their business goals
* Contribute to the positive, solution focused and creative team spirit
* Support less experienced team members in their progress and development
 Throughout your tasks, you will work closely with Program Managers and other Software Engineers to optimize design, quality and functionality as Microsoft places a premium on the ability to work well in a team environment.
**Qualifications**
**Required Qualifications:**
* Bachelor's Degree in Computer Science or related technical field AND 4\+ years technical engineering experience with coding in languages including, but not limited to, C, C\+\+, C\#, Java, JavaScript, or Python
+ OR equivalent experience.
* Expert knowledge on building responsive and engaging front end and scalable backend.
* 3\+ years of experience with GenAI, LLMs, or agentic systems.
* Experience with design and implementation of enterprise\-scale services.
* Experienced in architecting, building, and maintaining UX component libraries that adhere to modern web standards.
* Solid Experience in AI Agentic development and leveraging AI Development.
* Excellent verbal, written, and cross\-team collaboration skills are essential to succeed in this role.
* A solid team player and collaborator, across time zones and diverse stakeholder groups.
* Passion for improving software quality and engineering excellence.
* Experience in developing, debugging, and supporting code in object\-oriented languages and database querying languages.
* Experience with building infrastructure using Microsoft Azure technology like Service Fabric, App Service, Docker.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professional software development with at least one of the following C\#/C\+\+/Java
* 8\+ years of professional experience building cloud applications focused on front end development using technologies like React/JavaScript/TypeScript/CSS/HTML
* Experience delivering Dynamics 365 and/or Power Platform solutions.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li-4367011101</t>
        </is>
      </c>
      <c r="B39" t="inlineStr">
        <is>
          <t>Hybrid: Senior AI/ML Engineer (F2F must - NY/GA)</t>
        </is>
      </c>
      <c r="C39" t="inlineStr">
        <is>
          <t>Jobs via Dice</t>
        </is>
      </c>
      <c r="D39" t="inlineStr">
        <is>
          <t>linkedin</t>
        </is>
      </c>
      <c r="E39" t="inlineStr"/>
      <c r="F39" t="inlineStr"/>
      <c r="G39" t="inlineStr">
        <is>
          <t>New York, NY</t>
        </is>
      </c>
      <c r="H39" t="inlineStr"/>
      <c r="I39" t="inlineStr">
        <is>
          <t>Dice is the leading career destination for tech experts at every stage of their careers. Our client, Script2IT, is seeking the following. Apply via Dice today!
 Position: Senior AI/ML Engineer
 Location: NYC/GA
 Duration: 12 Months
 In person interviews are must
 Mandatory Skills:
* Model development \&amp; deployment
* REST API integration for ML models
 Preferred Skills:
* Experience with NLP, deep learning
* Cloud ML platforms (AWS SageMaker, Azure AI)</t>
        </is>
      </c>
    </row>
    <row r="40">
      <c r="A40" t="inlineStr">
        <is>
          <t>li-4367337795</t>
        </is>
      </c>
      <c r="B40" t="inlineStr">
        <is>
          <t>Staff/Sr. Staff AI Engineer Systems Architect - R10220768</t>
        </is>
      </c>
      <c r="C40" t="inlineStr">
        <is>
          <t>Northrop Grumman</t>
        </is>
      </c>
      <c r="D40" t="inlineStr">
        <is>
          <t>linkedin</t>
        </is>
      </c>
      <c r="E40" t="inlineStr"/>
      <c r="F40" t="inlineStr"/>
      <c r="G40" t="inlineStr">
        <is>
          <t>Falls Church, VA</t>
        </is>
      </c>
      <c r="H40" t="inlineStr"/>
      <c r="I40"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hiring a Chief AI Architect within the Insights \&amp; Intelligence (i2\) organization to define and drive our enterprise\-standard AI architecture and roadmap. This Chief AI Architect will report to the AI Platforms and i2 Operations Director and be remote and/or hybrid supporting the Falls Church, VA office.
 Insights \&amp; Intelligence (i2\) is reimagining decision making at Northrop Grumman and driving our data, analytics \&amp; AI transformation. As part of our Chief Information \&amp; Digital Office (CIDO), i2 works with all enterprise domains and businesses.
 As the Chief AI Architect, you will define and drive the AI architectural roadmap to include evaluation of emerging generative and agentic AI technologies, selection of open source \&amp; proprietary models and frameworks, and contribution to the end\-to\-end design and deployment of AI solutions across the enterprise. You will bring your deep understanding of AI capabilities and limitations, hands\-on software engineering expertise, and knowledge of the aerospace and defense industry together into a comprehensive AI architectural vision.
 You will be curious, innovative, and proactive, looking ahead to address the technical challenges and business needs of tomorrow. You will champion the adoption of AI by example, leveraging AI in your everyday work to boost your own productivity.
*This role can be filled at the Staff (T05\) or Senior Staff (T06\) level depending on the qualifications below.*
**Responsibilities Include (but Are Not Limited To) The Following**
* Define the enterprise standard generative AI and agentic AI architecture through the analysis and selection of solutions and frameworks that are scalable, secure, adaptable and maintainable
* Enable a hybrid cloud/on\-prem architecture that fulfills unclassified and classified AI needs balanced with affordability and flexibility
* Stay abreast of the latest research and technology in the AI market
* Advise technical teams on AI architecture and design within enterprise platforms
* Develop strong relationships with key CIDO and AI stakeholders to ensure that critical business needs are understood and addressed within the architectural roadmap
* Define standards and processes for AI architectural reviews, model evaluation, and solution testing
* Demonstrate thought leadership by advising senior executives and technical leadership on AI strategy, ROI, and risk
**Basic Qualifications**
* Staff level: Must have at least 12 years of relevant experience with bachelor’s degree in computer science, Engineering, Data Science, or a related field; 10 years with Masters; or 8 years with PhD
* Senior Staff level: Must have at least 14 Years of relevant experience with bachelor’s degree in computer science, Engineering, Data Science, or a related field; 12 Years with Masters; or 10 Years with PhD
* Must have At least 3 years focused on generative and agentic AI
* Must have a proven track record of architecture, deployment, and operation of large‑scale AI systems
* Must have demonstrated experience with machine learning, NLP, RAG, and data platforms
* Must have demonstrated proficiency in relevant programming languages (e.g., Python, Java) and AI/ML frameworks
* Must have demonstrated ability to evaluate and integrate open‑source AI projects (e.g., LangChain, Llama‑Index, Hugging Face, Ray, OpenAI SDKs)
* Must have hands\-on experience with cloud native AI services (e.g., AWS Sagemaker, Azure OpenAI Service, etc.)
* Must have proven ability to translate complex AI concepts into clear opportunities, risks, and outcomes for non\-technical audiences
**Preferred Qualifications**
* Active Top Secret/SCI Security Clearance
* Recognized cloud certifications (e.g., AWS Certified Solutions Architect, Azure Solutions Architect, etc.)
* Demonstrated technical knowledge of MCP servers and applications within Agentic AI use cases
* Familiarity with model development or MLOps frameworks and tools
* Familiarity with the latest GPU hardware for model development and hosting
* Awareness of cybersecurity considerations for Generative and Agentic AI deployments
* Demonstrated experience transitioning AI prototypes/pilots into production
* Proven contributions to open\-source AI projects
* Proven experience developing and/or deploying AI/ML solutions within classified and/or air\-gapped environments
* Proven track record of setting process and technical standards and driving team adoption and accountability
 Primary Level Salary Range: $194,700\.00 \- $292,100\.00
 Secondary Level Salary Range: $212,100\.00 \- $318,100\.00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1">
      <c r="A41" t="inlineStr">
        <is>
          <t>li-4367336756</t>
        </is>
      </c>
      <c r="B41" t="inlineStr">
        <is>
          <t>Staff/Sr. Staff AI Engineer Systems Architect - R10220768-2</t>
        </is>
      </c>
      <c r="C41" t="inlineStr">
        <is>
          <t>Northrop Grumman</t>
        </is>
      </c>
      <c r="D41" t="inlineStr">
        <is>
          <t>linkedin</t>
        </is>
      </c>
      <c r="E41" t="inlineStr"/>
      <c r="F41" t="inlineStr"/>
      <c r="G41" t="inlineStr">
        <is>
          <t>Fore Store, VA</t>
        </is>
      </c>
      <c r="H41" t="inlineStr"/>
      <c r="I41"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hiring a Chief AI Architect within the Insights \&amp; Intelligence (i2\) organization to define and drive our enterprise\-standard AI architecture and roadmap. This Chief AI Architect will report to the AI Platforms and i2 Operations Director and be remote and/or hybrid supporting the Falls Church, VA office.
 Insights \&amp; Intelligence (i2\) is reimagining decision making at Northrop Grumman and driving our data, analytics \&amp; AI transformation. As part of our Chief Information \&amp; Digital Office (CIDO), i2 works with all enterprise domains and businesses.
 As the Chief AI Architect, you will define and drive the AI architectural roadmap to include evaluation of emerging generative and agentic AI technologies, selection of open source \&amp; proprietary models and frameworks, and contribution to the end\-to\-end design and deployment of AI solutions across the enterprise. You will bring your deep understanding of AI capabilities and limitations, hands\-on software engineering expertise, and knowledge of the aerospace and defense industry together into a comprehensive AI architectural vision.
 You will be curious, innovative, and proactive, looking ahead to address the technical challenges and business needs of tomorrow. You will champion the adoption of AI by example, leveraging AI in your everyday work to boost your own productivity.
*This role can be filled at the Staff (T05\) or Senior Staff (T06\) level depending on the qualifications below.*
**Responsibilities Include (but Are Not Limited To) The Following**
* Define the enterprise standard generative AI and agentic AI architecture through the analysis and selection of solutions and frameworks that are scalable, secure, adaptable and maintainable
* Enable a hybrid cloud/on\-prem architecture that fulfills unclassified and classified AI needs balanced with affordability and flexibility
* Stay abreast of the latest research and technology in the AI market
* Advise technical teams on AI architecture and design within enterprise platforms
* Develop strong relationships with key CIDO and AI stakeholders to ensure that critical business needs are understood and addressed within the architectural roadmap
* Define standards and processes for AI architectural reviews, model evaluation, and solution testing
* Demonstrate thought leadership by advising senior executives and technical leadership on AI strategy, ROI, and risk
**Basic Qualifications**
* Staff level: Must have at least 12 years of relevant experience with bachelor’s degree in computer science, Engineering, Data Science, or a related field; 10 years with Masters; or 8 years with PhD
* Senior Staff level: Must have at least 14 Years of relevant experience with bachelor’s degree in computer science, Engineering, Data Science, or a related field; 12 Years with Masters; or 10 Years with PhD
* Must have At least 3 years focused on generative and agentic AI
* Must have a proven track record of architecture, deployment, and operation of large‑scale AI systems
* Must have demonstrated experience with machine learning, NLP, RAG, and data platforms
* Must have demonstrated proficiency in relevant programming languages (e.g., Python, Java) and AI/ML frameworks
* Must have demonstrated ability to evaluate and integrate open‑source AI projects (e.g., LangChain, Llama‑Index, Hugging Face, Ray, OpenAI SDKs)
* Must have hands\-on experience with cloud native AI services (e.g., AWS Sagemaker, Azure OpenAI Service, etc.)
* Must have proven ability to translate complex AI concepts into clear opportunities, risks, and outcomes for non\-technical audiences
**Preferred Qualifications**
* Active Top Secret/SCI Security Clearance
* Recognized cloud certifications (e.g., AWS Certified Solutions Architect, Azure Solutions Architect, etc.)
* Demonstrated technical knowledge of MCP servers and applications within Agentic AI use cases
* Familiarity with model development or MLOps frameworks and tools
* Familiarity with the latest GPU hardware for model development and hosting
* Awareness of cybersecurity considerations for Generative and Agentic AI deployments
* Demonstrated experience transitioning AI prototypes/pilots into production
* Proven contributions to open\-source AI projects
* Proven experience developing and/or deploying AI/ML solutions within classified and/or air\-gapped environments
* Proven track record of setting process and technical standards and driving team adoption and accountability
 Primary Level Salary Range: $194,700\.00 \- $292,100\.00
 Secondary Level Salary Range: $212,100\.00 \- $318,100\.00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2">
      <c r="A42" t="inlineStr">
        <is>
          <t>li-4359383246</t>
        </is>
      </c>
      <c r="B42" t="inlineStr">
        <is>
          <t>Applied Scientist [Short Term Assignment]</t>
        </is>
      </c>
      <c r="C42" t="inlineStr">
        <is>
          <t>Alto Pharmacy</t>
        </is>
      </c>
      <c r="D42" t="inlineStr">
        <is>
          <t>linkedin</t>
        </is>
      </c>
      <c r="E42">
        <f>HYPERLINK("https://www.linkedin.com/jobs/view/4359383246", "https://www.linkedin.com/jobs/view/4359383246")</f>
        <v/>
      </c>
      <c r="F42">
        <f>HYPERLINK("https://alto.wd1.myworkdayjobs.com/en-US/Alto_External_Career_Site/job/Remote\u002d\u002d-Texas/Applied-Scientist\u002d\u002dShort-Term-Assignment-_R200547?source=LinkedIn&amp;urlHash=DjYK", "https://alto.wd1.myworkdayjobs.com/en-US/Alto_External_Career_Site/job/Remote\u002d\u002d-Texas/Applied-Scientist\u002d\u002dShort-Term-Assignment-_R200547?source=LinkedIn&amp;urlHash=DjYK")</f>
        <v/>
      </c>
      <c r="G42" t="inlineStr">
        <is>
          <t>Texas, United States</t>
        </is>
      </c>
      <c r="H42" t="inlineStr"/>
      <c r="I42" t="inlineStr">
        <is>
          <t>**Job Summary**
 About Fuze Health
 At Fuze Health, we put patients first and tirelessly address the most pressing needs in healthcare. We empower millions to digitally connect with care providers, essential health resources and needed treatments – and enable care providers, employers, health plans and life sciences companies to meaningfully enhance quality, outcomes and value. We are dedicated to helping our partners evolve and modernize to meet emerging patient and marketplace needs.
 Fuze Health’s foundation is built upon the strategic combination of several proven, technology\-powered innovators in the digital health, diagnostics, and pharmacy sectors. Our growing portfolio brings together the capabilities of industry leaders including LetsGetChecked, Truepill, and Alto Pharmacy, to create a distinctive, unified force in healthcare. Together, we have the shared vision, advanced capabilities and talented teams to deliver next\-generation solutions that patients and healthcare partners need today and into the future.
 To achieve our vision, we are expanding our Data Science \&amp; Analytics team to further transform the pharmacy experience for patients and providers. Our Data Science team partners closely with Product and Engineering to solve the most complex and high\-impact problems in healthcare technology—driving breakthroughs in prescription processing efficiency, operational optimization, and dispensing accuracy. As a Applied Scientist, you will lead the end\-to\-end development of advanced machine learning solutions, guiding initiatives from ideation through production, and mentoring peers across the organization. Your deep expertise in NLP, large language models, and machine learning systems will accelerate innovation and shape the future of pharmacy operations.
 \-Short Term Assignments are Expected to Last No Longer Than 6 months\-
**Job Description**
 What You’ll Do
* Lead the design, development, deployment, and scaling of advanced ML models leveraging NLP, generative AI, and reinforcement learning to improve prescription and fulfillment workflows.
* Identify and prioritize high\-impact opportunities for ML and automation, collaborating with product, engineering, and operations leadership.
* Drive innovation in operational efficiency through algorithmic optimization, experimentation, and applied research.
* Partner with cross\-functional teams—product managers, engineers, data scientists, and pharmacists—to translate business challenges into data\-driven solutions.
* Establish and advocate for best practices in experimentation, model evaluation, and responsible AI within the Data Science organization.
* Mentor and provide technical guidance to Applied Scientists and Data Scientists across projects.
* Communicate technical findings and recommendations clearly to executives and non\-technical stakeholders to influence data\-driven decision\-making.
**Minimum Qualifications**
 A Bit About You
* Master’s or PhD in a quantitative field such as Computer Science, Mathematics, Engineering, or a related discipline.
* 6\+ years of experience as an Applied Scientist, Machine Learning Engineer, or Data Scientist, with a proven record of delivering ML/AI models to production.
* Demonstrated experience applying machine learning and statistical modeling techniques to complex real\-world problems with measurable business impact.
* Advanced proficiency in Python and SQL, with experience in ML frameworks (e.g., PyTorch, TensorFlow, Hugging Face).
* Strong analytical mindset with the ability to break down ambiguous problems into actionable solutions.
* Excellent communication skills with the ability to distill complex technical ideas into clear business insights.
**Preferred Qualifications**
* Deep experience in NLP, LLMs, Generative AI, and/or Reinforcement Learning.
* Experience in healthcare, pharmaceuticals, supply chain, or logistics optimization.
* Expertise in building and maintaining production\-grade ML pipelines using cloud platforms such as AWS, GCP, or Azure (e.g., Kubeflow, Vertex AI, SageMaker).
* Demonstrated ability to lead cross\-functional initiatives, influence strategy, and mentor junior scientists.
**Additional Information**
 Additional Physical Job Requirements
 Physical requirements for this role include the ability to work at a computer terminal with monitor, keyboard and mouse for extended periods of time, stoop, bend, and reach for equipment and supplies, make frequent repetitive motions required to operate a computer that include the wrists, hands and fingers, and lift, carry, push, pull, and move light objects up to 20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Alto’s policy to provide reasonable accommodation to enable qualified individuals with disabilities to perform essential job functions, unless such accommodation would cause an undue hardship.*
 Salary and Benefits
 Base Range: $ $136,000\.00$170,000\.00
 Commission Eligible: No
 Travel: No
 Location Requirement: Employment at Alto is limited to individuals residing in the following states: Arizona, Arkansas, California, Colorado, Florida, Kansas, Maryland, Missouri, Nevada, New Jersey, New York, North Carolina, Oregon, Pennsylvania, South Carolina, Tennessee, Texas, Washington (WA), and Wisconsin.
 Employment Authorization Requirement: Applicants must be authorized to work for any employer in the U.S. At this time, Alto is unable to sponsor or take over sponsorship of an employment Visa.
 Benefits: Full\-time employee benefits include: dental, vision, and multiple group medical plans to choose from, a 401(k) retirement savings plan, group life insurance, accidental death and dismemberment (AD\&amp;D) insurance, flexible spending account (FSA) and health savings account (HSA), commuter benefits, employer\-paid short\-term (STD) and long\-term disability (LTD) insurance, and additional supplemental insurance plans (spouse life insurance, legal insurance, an employee assistance program, and a fertility medication discount program). Employees are also provided flexible vacation time, accrued paid sick time, 11 paid holidays (seven for Pharmacy and Care team members), and eight weeks of paid parental leave for eligible employees.
 Application deadline: January 12, 2026
*Alto Pharmacy is an Equal Opportunity Employer. All qualified applicants will receive consideration for employment without regard to race, color, national origin, religion, sex, gender identity, sexual orientation, age, disability, veteran status, or any other legally protected basis. If you have a disability and require reasonable accommodation during any portion of the application or hiring process, please contact us at CandidateHelp@alto.com.*
*Alto Pharmacy considers qualified applicants with arrest or conviction records for employment and conducts background checks consistent with applicable law, including the California, Los Angeles County, San Francisco, and New York City Fair Chance laws. We are an E\-Verify participating company.*
*Alto Pharmacy recruiters and hiring managers may use automated decision\-making tools to assist with identifying candidates who match the stated job requirements, and to what extent. These tools are designed to help ensure fairness in all aspects of the hiring process by providing recruiters and hiring managers with data\-backed insights based on information provided in your resume, including work experience, education, and other skills. If you have any questions or would like to request an alternative process, please contact us at* 
*CandidateHelp@alto.com* 
*. To learn about Alto Pharmacy's privacy practices including compliance with applicable privacy laws, please* 
*click here* 
*.*</t>
        </is>
      </c>
    </row>
    <row r="43">
      <c r="A43" t="inlineStr">
        <is>
          <t>li-4367386587</t>
        </is>
      </c>
      <c r="B43" t="inlineStr">
        <is>
          <t>Applied Scientist, Stores Ads Science</t>
        </is>
      </c>
      <c r="C43" t="inlineStr">
        <is>
          <t>Amazon</t>
        </is>
      </c>
      <c r="D43" t="inlineStr">
        <is>
          <t>linkedin</t>
        </is>
      </c>
      <c r="E43">
        <f>HYPERLINK("https://www.linkedin.com/jobs/view/4367386587", "https://www.linkedin.com/jobs/view/4367386587")</f>
        <v/>
      </c>
      <c r="F43" t="inlineStr"/>
      <c r="G43" t="inlineStr">
        <is>
          <t>Seattle, WA</t>
        </is>
      </c>
      <c r="H43" t="inlineStr"/>
      <c r="I43" t="inlineStr">
        <is>
          <t>**Description**
 Amazon Stores Ads Science team is looking for a Senior Applied Scientist to help translate state\-of\-the\-art causal inference and machine learning research into production solutions. The individual will have the opportunity to shape the technical and strategic vision of a highly ambiguous problem space at the intersection of Amazon’s Stores and Advertising businesses, and deliver measurable business impacts via cross\-team and cross\-functional collaboration.
 Amazon is investing heavily in building a world\-class advertising business. Our advertising products are strategically important to Amazon’s Retail and Marketplace businesses for driving the long\-term growth. The mission of the Stores Ads Science team is to identify opportunities to jointly optimize Amazon’s Stores and Advertising business, by enhancing the usage of advertising signals in Stores’ decision\-making and vice versa to drive the long\-term economic value to shoppers, sellers/vendors, and Amazon. Some of our work include measuring ads impact and shopping content incrementality to improve shopper experience, developing the science of explaining seller/vendor inter\-related decisions between Stores and Ads (e.g.: pricing, Sponsored Ads participation) to optimize fees and incentives, and making Stores’ traffic acquisition strategies aware of shoppers’ and advertisers’ onsite advertising behavior.
 We partner closely with tech and product teams across Stores and Advertising, and are constantly advancing experimentation methodology to accelerate science development and quantify business impacts. We are highly motivated, collaborative, and fun\-loving with an entrepreneurial spirit and bias for action.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A3169664</t>
        </is>
      </c>
    </row>
    <row r="44">
      <c r="A44" t="inlineStr">
        <is>
          <t>li-4358488564</t>
        </is>
      </c>
      <c r="B44" t="inlineStr">
        <is>
          <t>Principal Applied Scientist</t>
        </is>
      </c>
      <c r="C44" t="inlineStr">
        <is>
          <t>Microsoft</t>
        </is>
      </c>
      <c r="D44" t="inlineStr">
        <is>
          <t>linkedin</t>
        </is>
      </c>
      <c r="E44">
        <f>HYPERLINK("https://www.linkedin.com/jobs/view/4358488564", "https://www.linkedin.com/jobs/view/4358488564")</f>
        <v/>
      </c>
      <c r="F44" t="inlineStr"/>
      <c r="G44" t="inlineStr">
        <is>
          <t>Redmond, WA</t>
        </is>
      </c>
      <c r="H44" t="inlineStr"/>
      <c r="I44" t="inlineStr">
        <is>
          <t>**Overview**
 Joining the CoreAI organization at Microsoft means becoming part of the team that builds the end\-to\-end AI stack powering Azure’s innovation. As a Principal Applied Scientist on the GenAI Infra and Solutions team within CoreAI, you will help develop the AI infrastructure that accelerates the creation of agentic AI systems across Microsoft. This role is dedicated to advancing scientific methods and scalable infrastructure for training agentic models to achieve frontier\-level performance. You will contribute to LLMs, SLMs, and agentic models using both proprietary and open\-source frameworks, all aimed at delivering reliable, enterprise\-grade agentic workflows.
 We are seeking a curious, independent, adaptable problem\-solver who thrives on continuous learning, embraces changing priorities, and is motivated by creating meaningful impact. Candidates must be self\-driven, able to write efficient code, debug complex training jobs, document findings, and demonstrate a track record in these fields. In addition, we value an agile, startup\-style mindset \- someone who can iterate quickly, pivot when needed, and collaborate effectively in fast\-paced, dynamic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Write efficient, production\-quality code and debug complex training jobs
* Build and maintain training pipelines and architectures across both proprietary and open\-source frameworks
* Collaborate effectively within interdisciplinary teams and communicate complex research concepts in clear, actionable ways
* Document findings and insights to enable effective cross\-team collaboration and knowledge sharing
* Drive innovations that power flagship Microsoft products and services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Computer Science, Electrical or Computer Engineering, or related field AND 5\+ year(s) related experience (e.g., statistics, predictive analytics, research) OR Master's Degree Computer Science, Electrical or Computer Engineering, or related field AND 7\+ years related experience (e.g., statistics, predictive analytics, research)
* 5\+ years of coding experience in Python and experience with ML frameworks such as PyTorch and Triton
* 3\+ years experience of large\-scale model training for LLMs, SLMs, and agentic models
* 3\+ years of proven ability to design and scale training infrastructure and pipelines in production environments
* Experience with agent training frameworks
* Leadership and influence with the ability to lead projects and influence others across teams and disciplines
* Hands\-on experience with large\-scale distributed training and/or serving with demonstrated ability to dive deep into complex systems, troubleshoot unconventional issues, and craft innovative solutions under real\-world constraints
* Extensive experience with large\-scale training, model inference, reinforcement learning, and reasoning models
* Demonstrated ability to work in cross\-functional teams and collaborate effectively with researchers, product managers, and other engineers to deliver complex ML solutions
* Startup\-style mindset: agile, solution\-oriented, and self\-driven
 \#coreai
 \#aiplatform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5">
      <c r="A45" t="inlineStr">
        <is>
          <t>li-4367368176</t>
        </is>
      </c>
      <c r="B45" t="inlineStr">
        <is>
          <t>Associate Machine Learning Engineer</t>
        </is>
      </c>
      <c r="C45" t="inlineStr">
        <is>
          <t>Tubi</t>
        </is>
      </c>
      <c r="D45" t="inlineStr">
        <is>
          <t>linkedin</t>
        </is>
      </c>
      <c r="E45">
        <f>HYPERLINK("https://www.linkedin.com/jobs/view/4367368176", "https://www.linkedin.com/jobs/view/4367368176")</f>
        <v/>
      </c>
      <c r="F45" t="inlineStr"/>
      <c r="G45" t="inlineStr"/>
      <c r="H45" t="inlineStr"/>
      <c r="I45" t="inlineStr">
        <is>
          <t>**About the Role:**
 The Tubi Builder’s Program is designed for early\-career professionals in Product, Engineering, Machine Learning, Design and Data Science who are passionate about building products that impact millions of users. Over the course of the program, participants will rotate through different machine learning teams \- such as user recommendations and ranking, content understanding, and search ranking \- to develop a well\-rounded technical foundation. Builders gain hands\-on experience across multiple areas of machine learning engineering teams in a fast\-paced tech environment.
 As a associate machine learning engineer, you will contribute to real\-world projects, solve complex technical challenges, and collaborate with experienced engineers, product managers, and data scientists.
 This program is ideal for candidates who are curious, adaptable, and excited to work across multiple machine learning and artificial intelligence domains while developing expertise in cutting\-edge technology.
**What You'll Do:**
 Throughout the program, you will:
* Rotate across three machine learning engineering teams, gaining exposure to different technical disciplines
* Build and deploy high\-impact robust ML pipelines, including data extraction, feature development, model training, testing, and deployment
* Ship production ML systems and features that impact millions of real users
* Leverage cutting\-edge AI technologies to build technical solutions at scale
* Define success metrics and evaluate impact via offline and online experiments
* Monitor, evaluate, and optimize the performance of deployed models
* Work closely with Product, Engineering, and Data Science teams to align on product requirements, set expectations, and deliver machine learning\-driven solutions that improve user engagement
* Participate in mentorship, technical training, and networking events throughout the program
* Engage in engineering\-wide initiatives to improve processes and technical standards
**Qualifications:**
**Minimum Requirements:**
* Master’s or PhD degree in Computer Science or a related field with emphasis on Machine Learning
* Strong coding proficiency in at least one programming language (e.g., Python, Java, C\+\+, Go)
* Solid understanding of computer science fundamentals, algorithms, and system design
* Demonstrated understanding and interest in machine learning engineering
* Passion for problem\-solving, collaboration, and building scalable systems
* Strong communication skills and ability to work in a team\-oriented environment
**Preferred Qualifications:**
* Work Experience: Up to three years of combined professional experience, including internships
* Professional experience (e.g. internship, research assistantship or work experience) in some software engineering areas (infrastructure, machine learning, or front\-end development)
* Familiarity with cloud platforms (AWS, GCP, Azure) and DevOps tools.
* Experience with machine learning
* Demonstrated curiosity and interest in an engineering area through research, past jobs, open\-source contributions, or side projects
**Program Eligibility Requirements:**
* GPA Requirement: Minimum 3\.0 GPA
* Application Deadline: 2/15/2026
* Program Timeline: Minimum 18 month commitment, starting Aug 2026, after which successful participants will have the opportunity to transition into non\-rotational full\-time roles
* Work Schedule: Full\-time, hybrid in San Francisco with office day requirements
* Work Authorization: Must have U.S. work authorization; we are unable to sponsor visas for this program.
* Committed and available to work for the entire 18 month length of the program
**About the Program:**
 Our Machine Learning Engineering Rotational Program is structured to accelerate the careers of early\-stage engineers by providing them with hands\-on experience in multiple technical domains. Through structured rotations, mentorship, and targeted development, participants will gain technical depth and breadth, preparing them for a non\-rotational engineering role.
 By the end of the program, you will:
* Have experience across multiple machine learning engineering disciplines.
* Develop technical and leadership skills.
* Build a strong professional network within the organization.
 Pursuant to state and local pay disclosure requirements, the pay range for this role, with final offer amount dependent on education, skills, experience, and location is is listed annually below. This role is also eligible for an annual discretionary bonus, long\-term incentive plan, and various benefits including medical/dental/vision, insurance, a 401(k) plan, paid time off and other benefits in accordance with applicable plan documents.
 High cost labor markets such as but not limited to Los Angeles, New York City, and San Francisco
 $140,000—$170,000 USD
 Tubi is a division of Fox Corporation, and the FOX Employee Benefits summarized here, covers the majority of all US employee benefits. The following distinctions below outline the differences between the Tubi and FOX benefits:
* For US\-based non\-exempt Tubi employees, the FOX Employee Benefits summary accurately captures the Vacation and Sick Time.
* For all salaried/exempt employees, in lieu of the FOX Vacation policy, Tubi offers a Flexible Time off Policy to manage all personal matters.
* For all full\-time, regular employees, in lieu of FOX Paid Parental Leave, Tubi offers a generous Parental Leave Program, which allows parents twelve (12\) weeks of paid bonding leave within the first year of birth, adoption, surrogacy, or foster placement of a child in addition to applicable government leave program(s) and FOX’s short\-term disability policy. This time is 100% paid through a combination of any applicable state, city, and federal leaves and wage\-replacement programs in addition to contributions made by Tubi.
* For all full\-time, regular employees, Tubi offers a monthly wellness reimbursement.
 About Tubi:
 Boldly built for every fandom, Tubi is a free streaming service that entertains over 100 million monthly active users. Tubi offers the world's largest collection of Hollywood movies and TV shows, thousands of creator\-led stories and hundreds of Tubi Originals made for the most passionate fans. Headquartered in San Francisco and founded in 2014, Tubi is part of Tubi Media Group, a division of Fox Corporation.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row>
    <row r="46">
      <c r="A46" t="inlineStr">
        <is>
          <t>li-4367048717</t>
        </is>
      </c>
      <c r="B46" t="inlineStr">
        <is>
          <t>ML Engineer</t>
        </is>
      </c>
      <c r="C46" t="inlineStr">
        <is>
          <t>Bucket Robotics</t>
        </is>
      </c>
      <c r="D46" t="inlineStr">
        <is>
          <t>linkedin</t>
        </is>
      </c>
      <c r="E46">
        <f>HYPERLINK("https://www.linkedin.com/jobs/view/4367048717", "https://www.linkedin.com/jobs/view/4367048717")</f>
        <v/>
      </c>
      <c r="F46" t="inlineStr"/>
      <c r="G46" t="inlineStr">
        <is>
          <t>San Francisco, CA</t>
        </is>
      </c>
      <c r="H46" t="inlineStr"/>
      <c r="I46" t="inlineStr">
        <is>
          <t>Role Overview
 Bucket Robotics is hiring a
 **Machine Learning Engineer** 
 to push the frontier of CAD\-native computer vision for manufacturing. You’ll work on the core ML systems that turn 3D geometry and synthetic data into reliable, production\-grade vision models deployed on factory floors.
 This role is perfect for someone who gets genuinely excited about new research ideas, enjoys deep analytical thinking, and wants to see those ideas survive contact with reality—edge deployment, distribution shift, weird lighting, and all.
 You’ll operate at the boundary between research and production: exploring new approaches, validating them rigorously, and shipping the ones that work.
**Responsibilities**
* Design, train, and evaluate computer vision and ML models for inspection and perception
* Develop novel approaches for learning from CAD, synthetic data, and limited real\-world data
* Run rigorous experiments to understand model behavior, failure modes, and tradeoffs
* Improve model robustness across lighting, materials, viewpoints, and manufacturing variation
* Optimize models for edge deployment (latency, memory, reliability)
* Collaborate closely with engineering to integrate models into production systems
* Build evaluation frameworks and metrics that reflect real\-world manufacturing requirements
* Stay current with cutting\-edge research and proactively test promising ideas
**Required Qualifications**
* 3\+ years experience developing ML systems in research or production environments
* Strong foundation in machine learning fundamentals and statistical reasoning
* Hands\-on experience training deep learning models (e.g. PyTorch)
* Strong Python skills and comfort working in experimental codebases
* Enjoys deep problem\-solving, experimentation, and analytical thinking
* Comfortable operating in ambiguity and iterating quickly
**Preferred Qualifications**
* Experience in computer vision, 3D vision, or geometry\-aware ML
* Familiarity with synthetic data generation, simulation, or domain randomization
* Experience deploying models to edge or resource\-constrained environments
* Background in robotics, manufacturing, or physical\-world ML systems
* Authored technical reports, blog posts, or peer\-reviewed research
* Previous startup or early\-stage company experience
 What We Offer
* Competitive salary \&amp; meaningful equity – help define the core ML systems of the company
* Comprehensive benefits – health, dental, and vision insurance
* Professional development budget – conferences, courses, and research exploration
* A chance to work on hard problems – ML that has to work in the real world, not just benchmarks
 Our Values
* Innovation First: We push the boundaries of what's possible in ML and advanced manufacturing
* Ownership Mentality: We take responsibility and act like founders
* Collaborative Spirit: We work together to solve complex challenges
* Continuous Learning: We're always growing and improving
 Bucket Robotics is an equal opportunity employer. We celebrate diversity and are committed to creating an inclusive environment for all employees.</t>
        </is>
      </c>
    </row>
    <row r="47">
      <c r="A47" t="inlineStr">
        <is>
          <t>li-4367052308</t>
        </is>
      </c>
      <c r="B47" t="inlineStr">
        <is>
          <t>Artificial Intelligence/ Machine Learning Engineer Level 1</t>
        </is>
      </c>
      <c r="C47" t="inlineStr">
        <is>
          <t>Nyla Technology Solutions</t>
        </is>
      </c>
      <c r="D47" t="inlineStr">
        <is>
          <t>linkedin</t>
        </is>
      </c>
      <c r="E47">
        <f>HYPERLINK("https://www.linkedin.com/jobs/view/4367052308", "https://www.linkedin.com/jobs/view/4367052308")</f>
        <v/>
      </c>
      <c r="F47" t="inlineStr"/>
      <c r="G47" t="inlineStr">
        <is>
          <t>Annapolis Junction, MD</t>
        </is>
      </c>
      <c r="H47" t="inlineStr"/>
      <c r="I47" t="inlineStr">
        <is>
          <t>**Job Description**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The Level 1 Artificial Intelligence/Machine Learning (AI/Ml) Engineer shall possess the following capabilities: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The annual base salary range for this role is $148,000\-$175,000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
 ,
**Required Skills**
 2 years experience in applied machine learning in programs and contracts of similar scope, type, and complexity is required. A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
**About Nyla Technology Solutions**
 Nyla Technology Solutions delivers exceptional Artificial Intelligence (AI), Data Science, and Software Engineering services for the U.S. Government. Nyla embraces a forward\-thinking and bold approach at every turn, earning us a solid reputation of technical trendsetters within the industry. We have a passion for developing solutions that have a quick and immediate impact on mission. Headquartered in Columbia, Maryland, our customers love how we tackle their most challenging problems and get things done.
 If you have the unique experience and expertise we are seeking, along with the desire and determination to invest your time and energy as a part of Nyla’s team,
 Taking Care of All of You
 Nyla provides a top\-of\-market compensation and benefits package. And through our unique Nyla FLEX program, we custom tailor these benefits to best fit your lifestyle.
 The Nyla FLEX benefit program is designed to offer you flexibility in the 3 biggest areas of your life: your pay, your leave, and your schedule.
 PAY \- Nyla starts with 4 weeks of Annual Leave plus 11 holidays and an additional day of Annual Leave for each year you’re at the company. You have the flexibility to cash out your annual leave hours, opt out of other Nyla benefits, and/or arrange for additional hours on contract\* (over 40 hrs/week). There’s even an option to earn 1\.3 times your hourly rate once you work over 1880 hours on contract!
 LEAVE \- Want to spend more time with the family? Want more time to travel the world? You can BUY additional annual leave for a total of 6 weeks of annual leave. That’s up to 240 hours of leave plus 11 holidays! That’s not even including paid anniversary leave!
 SCHEDULE \- Does the traditional 40\-hour workweek no longer fit your lifestyle? With Nyla FLEX, you have the freedom to scale down to 30\-32 hours while still enjoying the top\-notch Nyla benefits you know and love. It's flexibility that works for you without compromising the perks!
 WHAT ABOUT OTHER BENEFITS? Nyla’s health care (medical, dental, and vision) is 100% covered by the company. We provide 10% 401k matching \- with full vesting day 1! Our Professional Development offers $5,000 per year to be used towards fees, tuition, or time off for your continued growth. We even have a student loan repayment program and we provide 8 hours of volunteering annually so you can support your community, making your world a better place.
 To learn more about Nyla's culture and our exceptional benefit packages click here.
 Nyla is an equal opportunity employer.</t>
        </is>
      </c>
    </row>
    <row r="48">
      <c r="A48" t="inlineStr">
        <is>
          <t>li-4351995584</t>
        </is>
      </c>
      <c r="B48" t="inlineStr">
        <is>
          <t>Machine Learning Engineer II</t>
        </is>
      </c>
      <c r="C48" t="inlineStr">
        <is>
          <t>Attentive</t>
        </is>
      </c>
      <c r="D48" t="inlineStr">
        <is>
          <t>linkedin</t>
        </is>
      </c>
      <c r="E48">
        <f>HYPERLINK("https://www.linkedin.com/jobs/view/4351995584", "https://www.linkedin.com/jobs/view/4351995584")</f>
        <v/>
      </c>
      <c r="F48" t="inlineStr"/>
      <c r="G48" t="inlineStr">
        <is>
          <t>San Francisco, CA</t>
        </is>
      </c>
      <c r="H48" t="inlineStr"/>
      <c r="I48"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$212,000 \- 280,000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49">
      <c r="A49" t="inlineStr">
        <is>
          <t>li-4352083016</t>
        </is>
      </c>
      <c r="B49" t="inlineStr">
        <is>
          <t>Machine Learning Engineer II</t>
        </is>
      </c>
      <c r="C49" t="inlineStr">
        <is>
          <t>Attentive</t>
        </is>
      </c>
      <c r="D49" t="inlineStr">
        <is>
          <t>linkedin</t>
        </is>
      </c>
      <c r="E49">
        <f>HYPERLINK("https://www.linkedin.com/jobs/view/4352083016", "https://www.linkedin.com/jobs/view/4352083016")</f>
        <v/>
      </c>
      <c r="F49" t="inlineStr"/>
      <c r="G49" t="inlineStr">
        <is>
          <t>New York, NY</t>
        </is>
      </c>
      <c r="H49" t="inlineStr"/>
      <c r="I49"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 from health \&amp; wellness to equity, to help you bring your best self to work.
**For US based applicants:
 \- The US base salary range for this full\-time position is $212,000 \- 280,000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50">
      <c r="A50" t="inlineStr">
        <is>
          <t>li-4367181244</t>
        </is>
      </c>
      <c r="B50" t="inlineStr">
        <is>
          <t>Machine Learning Engineer</t>
        </is>
      </c>
      <c r="C50" t="inlineStr">
        <is>
          <t>Upstart</t>
        </is>
      </c>
      <c r="D50" t="inlineStr">
        <is>
          <t>linkedin</t>
        </is>
      </c>
      <c r="E50">
        <f>HYPERLINK("https://www.linkedin.com/jobs/view/4367181244", "https://www.linkedin.com/jobs/view/4367181244")</f>
        <v/>
      </c>
      <c r="F50" t="inlineStr"/>
      <c r="G50" t="inlineStr"/>
      <c r="H50" t="inlineStr"/>
      <c r="I50" t="inlineStr">
        <is>
          <t>**About Upstart** 
 At Upstart, we’re driven by a mission to radically reduce the cost and complexity of borrowing for all Americans. Our innovative approach combines creativity, experimentation, and advanced artificial intelligence to reshape access to credit, empowering millions to move forward financially with clarity and confidence. As a leading AI lending marketplace, we collaborate with banks and credit unions to expand access to affordable credit through technology that’s both highly intelligent and deeply human. Our platform performs over one million predictions per borrower utilizing more than 1,800 signals, enabling smarter and fairer lending decisions for our customers. Beyond the numbers, our work creates meaningful impact, helping individuals achieve their financial goals and improve their lives.
 Our organization is proudly digital\-first, offering flexibility for employees to work remotely from anywhere they thrive, while maintaining a strong culture of in\-person connection through team onsite sessions, planning events, and activities that foster creativity and trust. With offices in Columbus, Austin, the Bay Area, and New York City (opening Summer 2026\), we support our team members’ diverse work preferences. If you are passionate about solving meaningful problems, eager to innovate with purpose, and motivated by work that truly makes a difference, Upstart welcomes your application.
**About The Role** 
 We are seeking a highly skilled Staff Applied Machine Learning Engineer specializing in LLM applications to join our newly formed Applied LLM team. This team is pivotal in building foundational infrastructure that democratizes access to generative AI across all product and engineering functions within Upstart. The role involves working at the intersection of machine learning, product development, and engineering to bring the power of large language models and generative AI into Upstart’s core products. You will collaborate closely with researchers, product managers, platform engineers, and designers to develop and deploy intelligent features that enhance user experience and expand system capabilities. Your expertise will guide the technical architecture and implementation strategies to ensure scalable, trustworthy, and high\-performing ML systems that meet safety, fairness, and compliance standards. This position offers locations in San Mateo, Columbus, Austin, and remote options, with the team operating within East/West Coast time zones and engaging in quarterly on\-site collaboration sessions.
**Qualifications** 
* 6\+ years of software engineering experience, including 2\+ years working directly on ML\-driven products or intelligent systems
* Proven ability to lead complex initiatives across engineering, product, and research teams
* Strong backend development skills in Python, with experience using frameworks such as FastAPI or Flask
* Experience with cloud\-native tooling including Kubernetes, Docker, and Terraform
* Hands\-on experience integrating LLMs or ML models into production environments, including APIs and user\-facing applications
* Excellent communication skills and a collaborative, product\-oriented mindset
* Ability to design robust systems considering latency, user impact, and scalability
 Preferred qualifications include experience with GenAI or LLM\-powered features using frameworks like LangChain, LlamaIndex, or OpenAI APIs, familiarity with retrieval\-augmented generation (RAG), vector search technologies such as FAISS or Pinecone, real\-time inference patterns, full\-stack development skills (including React), strong prompt engineering intuition, and experience with explainability, user trust, or compliance considerations in ML applications. A track record of influencing architectural or product decisions at a team or organizational level is also highly valued.
**Responsibilities** 
* Design and develop user\-facing ML features utilizing LLMs and generative AI to unlock new product functionalities
* Partner with product, design, and research teams to prototype and deliver impactful ML\-powered experiences
* Own the technical architecture and deployment strategy for applied ML systems, ensuring optimal balance of latency, observability, and iteration speed
* Build scalable services and APIs that deliver model outputs in trustworthy and intuitive ways to users
* Collaborate with platform, infrastructure, legal, and compliance teams to ensure ML deployments adhere to safety, fairness, and regulatory standards
* Establish and promote best practices for prompt design, model evaluation, and experimentation across the organization
**Benefits** 
* Competitive salary with target bonuses and equity grants
* Generous 401(k) plan with Upstart matching $2 for every $1 contributed, up to $15,000 annually
* Employee Stock Purchase Plan with discounted stock options
* Affordable medical, dental, and vision coverage, with Upstart covering 90% to 100% of costs depending on the plan
* Health Savings Account contributions for eligible plans
* Income protection benefits including company\-paid life, AD\&amp;D, and short\- and long\-term disability insurance, with options for supplemental coverage
* Paid time off, sick leave, company holidays, and paid family and parental leave
* Family\-centered benefits supporting fertility, parenthood, and caregiving through partnerships like Carrot and Cleo
* Mental health and life resources via Employee Assistance Program (EAP)
* Financial wellness tools and a dedicated financial concierge service
* Annual wellness and productivity allowances to support personal development and work needs
* Team events, onsite perks, catered lunches, and micro\-kitchens at our physical offices
 Equal Opportunity
 Upstart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51">
      <c r="A51" t="inlineStr">
        <is>
          <t>li-4367390271</t>
        </is>
      </c>
      <c r="B51" t="inlineStr">
        <is>
          <t>AI Machine Learning Engineer II (Full Time) United States</t>
        </is>
      </c>
      <c r="C51" t="inlineStr">
        <is>
          <t>Cisco</t>
        </is>
      </c>
      <c r="D51" t="inlineStr">
        <is>
          <t>linkedin</t>
        </is>
      </c>
      <c r="E51">
        <f>HYPERLINK("https://www.linkedin.com/jobs/view/4367390271", "https://www.linkedin.com/jobs/view/4367390271")</f>
        <v/>
      </c>
      <c r="F51" t="inlineStr"/>
      <c r="G51" t="inlineStr">
        <is>
          <t>San Francisco, CA</t>
        </is>
      </c>
      <c r="H51" t="inlineStr"/>
      <c r="I51"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2">
      <c r="A52" t="inlineStr">
        <is>
          <t>li-4367367020</t>
        </is>
      </c>
      <c r="B52" t="inlineStr">
        <is>
          <t>Senior AI Engineer With Python</t>
        </is>
      </c>
      <c r="C52" t="inlineStr">
        <is>
          <t>PETADATA</t>
        </is>
      </c>
      <c r="D52" t="inlineStr">
        <is>
          <t>linkedin</t>
        </is>
      </c>
      <c r="E52">
        <f>HYPERLINK("https://www.linkedin.com/jobs/view/4367367020", "https://www.linkedin.com/jobs/view/4367367020")</f>
        <v/>
      </c>
      <c r="F52" t="inlineStr"/>
      <c r="G52" t="inlineStr">
        <is>
          <t>Albany, NY</t>
        </is>
      </c>
      <c r="H52" t="inlineStr"/>
      <c r="I52" t="inlineStr">
        <is>
          <t>**Position: Senior AI Engineer With Python**
**Location:Albany, NY (Onsite/Remote)**
**Experience: 10\+ Years**
**Work type: C2C only**
**Visa Type: H1\-B, GC and US Citizen**
**Job Summary**
**PETADATA is seeking a highly experienced AI Engineer with strong Python expertise to design, develop, and deploy advanced Artificial Intelligence and Machine Learning solutions. The ideal candidate will have deep hands\-on experience across the AI lifecycle—from data engineering and model development to production deployment and optimization at scale.**
**Roles \&amp; Responsibilities**
* Design, develop, and deploy AI/ML models using Python for real\-world business problems
* Architect end\-to\-end AI solutions including data pipelines, model training, evaluation, and deployment
* Work with large\-scale structured and unstructured datasets
* Develop and optimize deep learning, NLP, computer vision, and predictive models
* Build scalable AI systems using cloud platforms (AWS, Azure, or GCP)
* Collaborate with data scientists, product managers, and engineering teams
* Implement MLOps practices including CI/CD, model versioning, monitoring, and retraining
* Ensure model performance, scalability, security, and compliance
* Mentor junior engineers and provide technical leadership
* Stay updated with the latest AI research, tools, and industry trends.
**Required Qualifications**
* 10\+ years of experience in software engineering with strong focus on AI/ML
* Expert\-level Python programming
* Strong experience with Machine Learning frameworks: TensorFlow, PyTorch, Keras, Scikit\-learn
* Solid understanding of: Machine Learning algorithms Deep Learning architectures NLP and/or Computer Vision
* Experience with data processing frameworks (Pandas, NumPy, Spark)
* Strong SQL and data modeling knowledge
* Hands\-on experience with REST APIs, microservices, and model serving
* Proficiency in cloud services (AWS / Azure / GCP)
* Experience with Docker, Kubernetes, and containerized deployments
* Familiarity with MLOps tools (MLflow, Kubeflow, Airflow, SageMaker, etc.)
* Strong problem\-solving, communication, and leadership skills.
**Educational Qualification**
**Bachelor's/Master’s or PhD in Computer Science, AI, Data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keshini@petadata.co**
**After carefully reviewing your experience and skills one of our HR team members will contact you on the next steps.**</t>
        </is>
      </c>
    </row>
    <row r="53">
      <c r="A53" t="inlineStr">
        <is>
          <t>li-4367388364</t>
        </is>
      </c>
      <c r="B53" t="inlineStr">
        <is>
          <t>AI Machine Learning Engineer II (Full Time) United States</t>
        </is>
      </c>
      <c r="C53" t="inlineStr">
        <is>
          <t>Cisco</t>
        </is>
      </c>
      <c r="D53" t="inlineStr">
        <is>
          <t>linkedin</t>
        </is>
      </c>
      <c r="E53">
        <f>HYPERLINK("https://www.linkedin.com/jobs/view/4367388364", "https://www.linkedin.com/jobs/view/4367388364")</f>
        <v/>
      </c>
      <c r="F53">
        <f>HYPERLINK("https://careers.cisco.com/global/en/job/CISCISGLOBAL2001899EXTERNALENGLOBAL/AI-Machine-Learning-Engineer-II-Full-Time-United-States?utm_source=linkedin&amp;utm_medium=phenom-feeds&amp;urlHash=VtXl", "https://careers.cisco.com/global/en/job/CISCISGLOBAL2001899EXTERNALENGLOBAL/AI-Machine-Learning-Engineer-II-Full-Time-United-States?utm_source=linkedin&amp;utm_medium=phenom-feeds&amp;urlHash=VtXl")</f>
        <v/>
      </c>
      <c r="G53" t="inlineStr">
        <is>
          <t>San Jose, CA</t>
        </is>
      </c>
      <c r="H53" t="inlineStr"/>
      <c r="I5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4">
      <c r="A54" t="inlineStr">
        <is>
          <t>li-4367380433</t>
        </is>
      </c>
      <c r="B54" t="inlineStr">
        <is>
          <t>AI Machine Learning Engineer II (Full Time) United States</t>
        </is>
      </c>
      <c r="C54" t="inlineStr">
        <is>
          <t>Cisco</t>
        </is>
      </c>
      <c r="D54" t="inlineStr">
        <is>
          <t>linkedin</t>
        </is>
      </c>
      <c r="E54">
        <f>HYPERLINK("https://www.linkedin.com/jobs/view/4367380433", "https://www.linkedin.com/jobs/view/4367380433")</f>
        <v/>
      </c>
      <c r="F54">
        <f>HYPERLINK("https://careers.cisco.com/global/en/job/CISCISGLOBAL2001899EXTERNALENGLOBAL/AI-Machine-Learning-Engineer-II-Full-Time-United-States?utm_source=linkedin&amp;utm_medium=phenom-feeds&amp;urlHash=VtXl", "https://careers.cisco.com/global/en/job/CISCISGLOBAL2001899EXTERNALENGLOBAL/AI-Machine-Learning-Engineer-II-Full-Time-United-States?utm_source=linkedin&amp;utm_medium=phenom-feeds&amp;urlHash=VtXl")</f>
        <v/>
      </c>
      <c r="G54" t="inlineStr">
        <is>
          <t>Austin, TX</t>
        </is>
      </c>
      <c r="H54" t="inlineStr"/>
      <c r="I5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5">
      <c r="A55" t="inlineStr">
        <is>
          <t>li-4331551219</t>
        </is>
      </c>
      <c r="B55" t="inlineStr">
        <is>
          <t>Senior Machine Learning Engineer</t>
        </is>
      </c>
      <c r="C55" t="inlineStr">
        <is>
          <t>Conviva</t>
        </is>
      </c>
      <c r="D55" t="inlineStr">
        <is>
          <t>linkedin</t>
        </is>
      </c>
      <c r="E55">
        <f>HYPERLINK("https://www.linkedin.com/jobs/view/4331551219", "https://www.linkedin.com/jobs/view/4331551219")</f>
        <v/>
      </c>
      <c r="F55" t="inlineStr"/>
      <c r="G55" t="inlineStr">
        <is>
          <t>Foster City, CA</t>
        </is>
      </c>
      <c r="H55" t="inlineStr"/>
      <c r="I55" t="inlineStr">
        <is>
          <t>**Conviva is the intelligence layer for digital businesses, turning every consumer interaction into outcome\-based intelligence—linking engagement patterns across AI agents, apps, websites, and streaming video to real results such as purchases, bookings, and resolved support requests. Powered by its patented Time\-State Technology®, the Conviva® Operational Data Platform delivers real\-time insights and automation that help leading enterprises grow, improve satisfaction, and build lasting trust.**
 As a
 **Senior Machine Learning Engineer** 
 , you will play a key role in advancing our AI initiatives and contributing to the development of our Real\-Time Performance Analytics Platform. You will work across a broad range of ML technologies to create innovative, customer\-focused solutions.
 In this role, you’ll collaborate closely with vertical product teams to design and deploy ML models directly within product pipelines. You’ll work with other team members to build scalable ML tooling and infrastructure, combining research, product integration, and data development.
**What Success Will Look Like**
* Design, develop, and deploy machine learning models that power AI\-based features across a large\-scale data analytics platform.
* Own ML systems end\-to\-end, from data ingestion and feature engineering to training, deployment, monitoring, and iteration in production environments.
* Build and maintain ML infrastructure and MLOps pipelines for scalable, repeatable model development and deployment.
* Collaborate with infrastructure and backend engineers and product teams to ensure ML solutions are aligned with platform performance and user needs.
* Continuously evaluate model performance using robust testing, monitoring, and alerting systems for data and model drift.
* Identify opportunities to improve system robustness and proactively detect data, device, or user level anomalies through intelligent alert mechanisms.
* Drive technical decisions, code quality, and best practices for ML engineering within a small, high\-impact team.
**Who You Are And What You've Done**
* PhD in Computer Science, Machine Learning, or a related technical field; OR a Master’s degree in Computer Science or Machine Learning with 2\+ years of experience in machine learning engineering or a related field.
* Proven track record of owning the ML lifecycle: data pipelines, model training, validation, deployment, monitoring, and optimization.
* Strong software engineering background with 5\+ years of experience and proficiency in modern languages like Python, Rust, Java, or Scala.
* Experience with big data frameworks (e.g., RAY, Spark, Flink) and ML infrastructure (e.g., MLflow, Kubeflow, or custom pipelines).
* Strong cross\-functional collaboration skills and a bias toward proactive problem\-solving, continuous improvement, and system\-level thinking.
**What Would Make You Stand Out (Bonus Points)**
* Experience with real\-time data processing and analytics.
* Familiarity with time series analysis and forecasting techniques.
* Background in building AI\-powered alerts, anomaly detection, or similar AI driven applications.
* Familiarity with cloud\-based ML deployment and MLOps best practices.
* This position will be based in our Foster City, CA office.
*The expected salary range for this full\-time position is $180,000 \- $220,000 \+ equity \+ benefits. The actual level and compensation are determined by several factors, such as your qualifications, professional background, and relevant experience.*
**To learn more about how Conviva can help improve the performance and outcomes of your digital services, visit www.conviva.com**</t>
        </is>
      </c>
    </row>
    <row r="56">
      <c r="A56" t="inlineStr">
        <is>
          <t>li-4367367602</t>
        </is>
      </c>
      <c r="B56" t="inlineStr">
        <is>
          <t>AI Engineer (Agent Systems &amp; LLMs)</t>
        </is>
      </c>
      <c r="C56" t="inlineStr">
        <is>
          <t>GenBio AI</t>
        </is>
      </c>
      <c r="D56" t="inlineStr">
        <is>
          <t>linkedin</t>
        </is>
      </c>
      <c r="E56">
        <f>HYPERLINK("https://www.linkedin.com/jobs/view/4367367602", "https://www.linkedin.com/jobs/view/4367367602")</f>
        <v/>
      </c>
      <c r="F56" t="inlineStr"/>
      <c r="G56" t="inlineStr">
        <is>
          <t>Palo Alto, CA</t>
        </is>
      </c>
      <c r="H56" t="inlineStr"/>
      <c r="I56" t="inlineStr">
        <is>
          <t>GenBio AI develops multiscale foundation models to decode and simulate human biology. Our team is accelerating towards an ambitious future where scientists can unlock humanity's biggest challenges in drug discovery, healthcare, and fundamental research with AIDO (AI\-Driven Digital Organism): a unified framework for predicting, simulating, and programming biology across all scales. The foundation of this vision begins today as we engineer the virtual cell to model and simulate the fundamental unit of life.
 This vision has brought together a talent\-dense group of product\-minded researchers and engineers dedicated to bringing it to reality. Our team prides itself on our strong engineering culture and highly interdisciplinary and collaborative approach. We are based in Palo Alto, with satellite offices in Paris and Abu Dhabi.
 Your job will be to build AI scientists that conduct autonomous biomedical research with GenBio’s virtual instruments and simulators. If successful, your contributions will enable rapidly designing and orchestrating end\-to\-end biological simulation studies for drug design, healthcare, and biotechnology development.
**Responsibilities**
* Applied Agent Development: Build and deploy applied AI agents specifically tailored for complex workflows in software engineering, data science, and scientific discovery
* Build Agent Environments: Architect fast, secure, and performant environments for AI code execution using tools like Kubernetes, gVisor, and Modal
* Evaluation \&amp; Benchmarking: Design and implement rigorous evaluation frameworks to hillclimb agent performance, reliability, and reasoning capabilities
* Inference \&amp; Optimization: Optimize LLM inference pipelines and manage fine\-tuning workflows to ensure models are scalable and low\-latency in production
* Research Engineering: Translate experimental research concepts into robust, shippable product features, maintaining high engineering standards throughout the process
* Automate Everything
**Qualifications**
* Education \&amp; Experience: M.S. or Ph.D. in computer science, machine learning, or related discipline, or equivalent practical experience
* Agentic Systems Experience: Proven experience building applied AI agents or complex LLM\-driven applications, with a focus on tool use, code generation, and long\-horizon planning and execution
* Deep Technical Understanding: Deep knowledge of LLM inference, fine\-tuning techniques, and the modern AI infrastructure stack
* Infrastructure Mastery: Proficiency with containerization and secure sandboxing technologies (Kubernetes, gVisor) and serverless execution platforms (Modal)
* 0\-to\-1 Mindset: Experience bootstrapping products in fast\-paced startup environments; you are comfortable building from scratch with high autonomy
* Interdisciplinary Communication: Excellence in both engineering and research communication, with the ability to articulate complex technical challenges to a diverse team
 Join us as we embark on this journey to redefine the future of biology and medicine.
 We are an equal opportunity employer. We celebrate diversity and are committed to creating an inclusive environment for all employees. GenBio AI participates in the U.S. Department of Homeland Security’s E\-Verify program to confirm the employment eligibility of all newly hired employees. For more information on E\-Verify, please visit www.e\-verify.gov.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li-4331920455</t>
        </is>
      </c>
      <c r="B57" t="inlineStr">
        <is>
          <t>AI Engineer</t>
        </is>
      </c>
      <c r="C57" t="inlineStr">
        <is>
          <t>Medpace</t>
        </is>
      </c>
      <c r="D57" t="inlineStr">
        <is>
          <t>linkedin</t>
        </is>
      </c>
      <c r="E57">
        <f>HYPERLINK("https://www.linkedin.com/jobs/view/4331920455", "https://www.linkedin.com/jobs/view/4331920455")</f>
        <v/>
      </c>
      <c r="F57" t="inlineStr"/>
      <c r="G57" t="inlineStr">
        <is>
          <t>Cincinnati, OH</t>
        </is>
      </c>
      <c r="H57" t="inlineStr"/>
      <c r="I57" t="inlineStr">
        <is>
          <t>Do you have a passion for Artificial Intelligence (AI) and are looking to make a difference in how the latest clinical trials progress into the market?
 Do you have a background in data science and/or computer science with experience working with AI tools for interactive AI applications across various IT systems?
 If so, we have an exciting opportunity for you at Medpace.
 We are currently seeking a professional with experience with artificial intelligence (AI) tools such as NLP, LLM, IA etc. This professional will be programming and fine\-tuning various AI tools and helping IT teams to implement them into new applications.
 This professional will work collaboratively across the organization with multiple teams to improve the efficiency of company processes and provide insights and assistance to users.
**Responsibilities**
* Design, implement, and deploy machine learning models and systems to solve complex problems and drive business outcomes;
* Research, develop, and implement machine learning algorithms and models for tasks such as classification, regression, clustering, anomaly detection, and recommendation systems;
* Research, develop, and implement AI tools such as NLP, LLM, and IA;
* Collect, preprocess, and curate large datasets required for training generative models;
* Experiment with different machine learning techniques and algorithms, including supervised, unsupervised, semi\-supervised, reinforcement, and deep learning;
* Design and optimize machine learning pipelines and workflows, incorporating techniques for data cleaning, feature engineering, model selection, and hyperparameter tuning; and
* Develop scalable and efficient machine learning infrastructure and systems for training, testing, and deploying models in production environments.
**Qualifications**
* Bachelor’s degree or higher in Artificial Intelligence, Computer or Data Science, or related field. Master’s degree preferred;
* Proven experience implementing and fine\-tuning Large Language Models or interactive AI applications (\&gt;1 year post\-graduate experience);
* Technical proficiency in programming languages and frameworks commonly used in NLP and AI (e.g., Python, TensorFlow, PyTorch);
* Preferably several years of experience working with different AI capabilities and showcasing your passion both at work and outside work in the utilization of AI;
* Excellent communication skills to collaborate effectively with cross\-functional teams;
* A passion for staying up\-to\-date with the latest advancements in NLP and AI technologies; and
* Analytical thinker with great attention to detail.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58">
      <c r="A58" t="inlineStr">
        <is>
          <t>li-4367383467</t>
        </is>
      </c>
      <c r="B58" t="inlineStr">
        <is>
          <t>AI Machine Learning Engineer II (Full Time) United States</t>
        </is>
      </c>
      <c r="C58" t="inlineStr">
        <is>
          <t>Cisco</t>
        </is>
      </c>
      <c r="D58" t="inlineStr">
        <is>
          <t>linkedin</t>
        </is>
      </c>
      <c r="E58">
        <f>HYPERLINK("https://www.linkedin.com/jobs/view/4367383467", "https://www.linkedin.com/jobs/view/4367383467")</f>
        <v/>
      </c>
      <c r="F58">
        <f>HYPERLINK("https://careers.cisco.com/global/en/job/CISCISGLOBAL2001899EXTERNALENGLOBAL/AI-Machine-Learning-Engineer-II-Full-Time-United-States?utm_source=linkedin&amp;utm_medium=phenom-feeds&amp;urlHash=VtXl", "https://careers.cisco.com/global/en/job/CISCISGLOBAL2001899EXTERNALENGLOBAL/AI-Machine-Learning-Engineer-II-Full-Time-United-States?utm_source=linkedin&amp;utm_medium=phenom-feeds&amp;urlHash=VtXl")</f>
        <v/>
      </c>
      <c r="G58" t="inlineStr">
        <is>
          <t>Atlanta, GA</t>
        </is>
      </c>
      <c r="H58" t="inlineStr"/>
      <c r="I58"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59">
      <c r="A59" t="inlineStr">
        <is>
          <t>li-4367372558</t>
        </is>
      </c>
      <c r="B59" t="inlineStr">
        <is>
          <t>AI Machine Learning Engineer II (Full Time) United States</t>
        </is>
      </c>
      <c r="C59" t="inlineStr">
        <is>
          <t>Cisco</t>
        </is>
      </c>
      <c r="D59" t="inlineStr">
        <is>
          <t>linkedin</t>
        </is>
      </c>
      <c r="E59">
        <f>HYPERLINK("https://www.linkedin.com/jobs/view/4367372558", "https://www.linkedin.com/jobs/view/4367372558")</f>
        <v/>
      </c>
      <c r="F59">
        <f>HYPERLINK("https://careers.cisco.com/global/en/job/CISCISGLOBAL2001899EXTERNALENGLOBAL/AI-Machine-Learning-Engineer-II-Full-Time-United-States?utm_source=linkedin&amp;utm_medium=phenom-feeds&amp;urlHash=VtXl", "https://careers.cisco.com/global/en/job/CISCISGLOBAL2001899EXTERNALENGLOBAL/AI-Machine-Learning-Engineer-II-Full-Time-United-States?utm_source=linkedin&amp;utm_medium=phenom-feeds&amp;urlHash=VtXl")</f>
        <v/>
      </c>
      <c r="G59" t="inlineStr">
        <is>
          <t>Triangle, NC</t>
        </is>
      </c>
      <c r="H59" t="inlineStr"/>
      <c r="I59"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You will join a dynamic engineering team, building AI/ML solutions and collaborating closely with various teams, including platform, security, release engineering, and support, to deliver the product. You will also contribute to ensuring the product's smooth operation.
**Your Impact**
 In this role, you will be responsible for developing and implementing applications based on generative large language models, such as GPT\-4, Claude, Llama, and their derivatives, ensuring they meet business requirements. Your duties will include optimizing these generative AI applications for optimal performance, scalability, and reliability. You will engage in red teaming activities to validate the robustness and precision of the applications. Staying up\-to\-date with the latest advancements in AI and machine learning is expected, as is suggesting how new technologies might be implemented. Additionally, you will design and develop APIs to facilitate interactions with AI models. Addressing and resolving any issues that arise from AI applications will be an integral part of your responsibilities.
* Collaborates with cross\-functional teams to capture, preprocess, and load data for model training, and participates in model architecture discussions.
* Develops, customizes, and fine\-tunes machine learning models and their layers to address business needs and reduce complexity.
* Conducts model training using predefined optimization techniques, including hyperparameter tuning, to ensure models align with problem statements.
* Evaluates model performance using standard metrics and contributes to end\-to\-end automation and deployment efforts.
* Writes high\-quality, production\-ready code for platform\-based deployment, supports embedded engineering teams in deploying models, and ensures models meet business objectives.
**Minimum Qualifications**
* Completion within the past 3 years, or current enrollment with expected completion within 12 months, of a Bachelors \+ 2 years of relevant experience or Master’s degree program \+ 0 years of relevant experience. Relevant fields include: Computer Science, Data Science, Statistics, Mathematics, Engineering, or a related program
* Deep understanding of various machine learning algorithms, including supervised learning (classification, regression), unsupervised learning (clustering, dimensionality reduction), or semi\-supervised learning.
**Preferred Qualifications**
* Proficient in deploying and scaling ML models using cloud services such as AWS, Google Cloud Platform, and Azure.
* Experienced with CI/CD pipelines, containerization (Docker), orchestration (Kubernetes), and ML model monitoring tools.
* Knowledgeable in big data technologies including Hadoop, Spark, and Kafka.
* Skilled in Go/Java for backend development and integration with data science applications.
* Demonstrated background in machine learning, generative AI, and time series analytics through coursework, research, publications, or industry experience, and effective collaboration with cross\-functional teams to deliver production\-ready ML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
**Non\-Metro New York State \&amp; Washington State**
 $109,900\.00 \- $181,600\.00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0">
      <c r="A60" t="inlineStr">
        <is>
          <t>li-4367041169</t>
        </is>
      </c>
      <c r="B60" t="inlineStr">
        <is>
          <t>AI Engineer</t>
        </is>
      </c>
      <c r="C60" t="inlineStr">
        <is>
          <t>Kiewit</t>
        </is>
      </c>
      <c r="D60" t="inlineStr">
        <is>
          <t>linkedin</t>
        </is>
      </c>
      <c r="E60">
        <f>HYPERLINK("https://www.linkedin.com/jobs/view/4367041169", "https://www.linkedin.com/jobs/view/4367041169")</f>
        <v/>
      </c>
      <c r="F60" t="inlineStr"/>
      <c r="G60" t="inlineStr">
        <is>
          <t>Lenexa, KS</t>
        </is>
      </c>
      <c r="H60" t="inlineStr"/>
      <c r="I60" t="inlineStr">
        <is>
          <t>**Requisition ID:** 
 179547
**Job Level:** 
 Mid Level
**Home District/Group:** 
 DHO Information Technology Group
**Department:** 
 Technology Group
**Market:** 
 Corporate Home Office
**Employment Type:** 
 Full Time
**Position Overview**
 Kiewit is seeking an AI Engineer to help design, develop, and operate intelligent AI systems that support complex enterprise workflows across the organization. This role focuses on building scalable, reliable, and
 secure AI\-enabled services that integrate with internal platforms, data systems, and user\-facing applications.
 This role is primarily backend\-focused, with approximately
 **70% of time spent on backend systems and services** 
 and
 **30% of time contributing to frontend and user interface work** 
 . The ideal candidate has strong experience delivering backend services in cloud environments and is comfortable working with modern AI architectures, including agent\-based systems, workflows, and retrieval\-augmented generation (RAG).
 **The engineer will work closely with product managers and software teams** 
 to deliver AI\-enabled capabilities into production environments.
**District Overview**
 Kiewit Technology Group builds solutions to enable and support our company's expansive operations. Our mission is to deliver project schedule and cost certainty by employing technology designed by and for the construction industry. Our team utilizes systems and tools that manage every part of Kiewit's business and the project lifecycle to improve planning and day\-to\-day execution in the field. We give our people real\-time data to make faster, smarter decisions.
**Location**
 This is a full time in office role. This candidate can work from our LaVista, NE or Lenexa, KS office.
**Responsibilities**
* Design, develop, and deploy AI\-enabled services and agent\-based workflows
* Build and maintain API\-driven backend services supporting AI\-powered applications
* Contribute to frontend components and user interfaces as needed to support AI workflows
* Implement multi\-step AI workflows capable of tool usage, data retrieval, and external system integration
* Integrate AI systems with enterprise data platforms and business systems
* Develop and maintain observability, logging, and monitoring for AI services
* Collaborate with cross\-functional teams to translate business needs into scalable technical solutions
* Ensure solutions meet security, compliance, and governance standards
* Participate in architectural reviews and contribute to platform standards and best practices
**Technologies \&amp; Platforms**
* Programming Languages \&amp; Frameworks: Node.js (JavaScript / TypeScript), RESTful APIs
* AI Systems \&amp; Workflows: LLMs, MCPs, agent\-based workflows, Retrieval\-Augmented Generation (RAG)
* Data \&amp; Storage: SQL, relational data modeling, PostgreSQL, Azure SQL
* Cloud \&amp; Execution Platforms: Azure Container Apps, Docker, containerized services; Vercel Sandboxes or similar isolated execution environments
* Workflow Orchestration: Azure Functions Durable Task Scheduler, Vercel Workflows, or similar orchestration frameworks
* Developer Tooling: Cursor IDE or similar IDEs with agentic coding capabilities, Git\-based workflows
**Qualifications**
* Bachelor’s degree in Computer Science, Engineering, or a related field (or equivalent experience)
* 3\+ years of professional software engineering experience
* Experience building and operating backend APIs and services
* Hands\-on experience with MCPs and AI workflows
* Experience designing and operating containerized services, including Docker and container sandboxing
* Hands\-on experience with Retrieval\-Augmented Generation (RAG) systems
* Proficiency with SQL and relational database design
* Experience developing and deploying cloud\-native applications in production environments
**Preferred Qualifications**
* Experience designing or operating agent\-based AI systems in enterprise environments
* Experience with PostgreSQL
* Prompt engineering experience
* Familiarity with Claude Agent SDK, Anthropic tooling, or similar agent frameworks
* Experience with LangFuse or other AI observability and tracing platforms
* Experience using Node.js ORMs such as Prisma or Drizzle
* Experience building APIs with Express, Fastify, or similar Node\-based frameworks
* Experience contributing to frontend and UI development for AI\-enabled applications
* Familiarity with React and modern frontend development practices
* Experience using Shadcn UI or similar component libraries
* Knowledge of DevOps practices and CI/CD pipelines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61">
      <c r="A61" t="inlineStr">
        <is>
          <t>li-4367377812</t>
        </is>
      </c>
      <c r="B61" t="inlineStr">
        <is>
          <t>AI Engineer</t>
        </is>
      </c>
      <c r="C61" t="inlineStr">
        <is>
          <t>Hiya Inc.</t>
        </is>
      </c>
      <c r="D61" t="inlineStr">
        <is>
          <t>linkedin</t>
        </is>
      </c>
      <c r="E61">
        <f>HYPERLINK("https://www.linkedin.com/jobs/view/4367377812", "https://www.linkedin.com/jobs/view/4367377812")</f>
        <v/>
      </c>
      <c r="F61" t="inlineStr"/>
      <c r="G61" t="inlineStr"/>
      <c r="H61" t="inlineStr"/>
      <c r="I61" t="inlineStr">
        <is>
          <t>**About Us**
 At Hiya, we're making calls safe, useful, and human again.
 Voice is the most human form of communication, yet it's become one of the least trusted. Spam, scams, and AI manipulation have eroded what was once a simple way to connect.
 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
 This is a pivotal moment for voice. As new threats and technologies accelerate, so does demand for trusted voice communication. Hiya is growing 40%\+ year over year, expanding globally, and defining what voice becomes next.
 Join us. You won't just work on what voice is today, you'll shape what it becomes tomorrow: smarter, safer, and genuinely worth answering again.
**About The Position**
 AI Engineers are responsible for developing and integrating AI solutions into Hiya’s products, focusing on rapid iteration, prompt engineering, and practical application. You'll fine\-tune and optimize foundation models, craft sophisticated multi\-agent systems, and invent novel solutions to power the next generation of voice intelligence.
**What You’ll Do**
* Integrate AI solutions into existing products and workflows
* Collaborate with cross\-functional teams to understand business requirements and translate them into technical solutions
* Conduct model evaluations, prompt engineering, and fine\-tuning of large language models (LLMs)
* Implement and manage AI orchestration, including agent\-based systems
* Participate in the design and implementation of AI\-powered applications and interfaces
* Help shape the technical direction and best practices for LLM application development
* Stay at the forefront of AI research and incorporate state\-of\-the\-art techniques
**What You’ll Need To Succeed**
* Proficiency in programming languages such as Python, JavaScript, or TypeScript
* Experience working with foundational model APIs and pre\-trained open source models
* Strong understanding of machine learning workflows, including model evaluations and LLM fine\-tuning
* Familiarity with AI orchestration and agent\-based systems and best practices (LangChain, AutoGen, n8n)
* Excellent problem\-solving skills and the ability to work independently and collaboratively.
* Strong communication skills and the ability to translate technical concepts to non\-technical stakeholders
 The person in this role must embody Hiya’s key values of
 **Serving** 
 our customers,
 **Doing** 
 rather than observing,
 **Improving** 
 ourselves and our business,
 **Owning** 
 and holding ourselves accountable for success, and
 **Leading** 
 by showing up with a point of view, engaging in open discussion, listening respectfully to others opinions and committing to decisions.
**You will have a fast start if you have experience:**
* Experience with cloud platforms such as AWS, Google Cloud, or Azure
* Knowledge of Kubernetes and containerization technologies
* Experience with data science and ML engineering
* Familiarity with retrieval\-augmented generation (RAG)
*The requirements listed in the job descriptions are guidelines. You don’t have to satisfy every requirement or meet every qualification listed. If your skills are transferable we would still love to hear from you.*
**More Details**
 The salary range for this role is between $134,000\-$262,000\. When determining compensation, a number of factors will be considered: skills, experience, job scope, location, and competitive compensation market data.
* Start Date: Immediately
* Status: Full\-time
* Type: Hybrid
* Location: Seattle, WA
* Travel Requirements:
* Department: Engineering
* Reports to: VP of Engineering
**Benefits**
* Equity compensation
* 401K program with 3% match through Fidelity Investments
* Self managed vacation plan
* Paid Holidays
* Medical, dental, and vision for the employee and 50% coverage for dependents
* Flexible spending, health savings accounts and Pretax dependent day care savings plan
* Paid parental leave
* Voluntary Life and AD\&amp;D, and Accident insurance options
* Employer\-paid life insurance
* Employer\-paid long\-term disability coverage (in qualifying states)
* Donation Matching for a charity of your choice (up to $1,000/ year)
* $1,000/year reimbursement in Professional Development funds
 This position is based in Seattle, WA, USA.
 We are building a team with a variety of perspectives, identities, and professional experiences. We evaluate great candidates through a business lens and we strongly believe that diversity and unique perspectives make our company stronger, more dynamic, and a great place to build a career.
 Our team has won various awards over the last 4 years from Built\-in Seattle and Seattle Business Week to \#86 on Deloitte Technology Fast 500 and Forbes \#1 Startup Employer. Here at Hiya, we are a people\-centric company focused on helping each and every one of our employees grow both personally and professionally. We feel that creating a team culture of support and empowerment to challenge the status quo results in an energized and passionate team that is continuously challenged and passionate about the work they are doing. You'll love working here if you are looking for an innovative challenge that is disrupting an industry. Come join us!</t>
        </is>
      </c>
    </row>
    <row r="62">
      <c r="A62" t="inlineStr">
        <is>
          <t>li-4367377805</t>
        </is>
      </c>
      <c r="B62" t="inlineStr">
        <is>
          <t>AI Engineer</t>
        </is>
      </c>
      <c r="C62" t="inlineStr">
        <is>
          <t>Hiya Inc.</t>
        </is>
      </c>
      <c r="D62" t="inlineStr">
        <is>
          <t>linkedin</t>
        </is>
      </c>
      <c r="E62">
        <f>HYPERLINK("https://www.linkedin.com/jobs/view/4367377805", "https://www.linkedin.com/jobs/view/4367377805")</f>
        <v/>
      </c>
      <c r="F62">
        <f>HYPERLINK("https://jobs.ashbyhq.com/hiya/5d361735-05a7-4c95-9299-9c59ba9cdd94?utm_source=mvv6reBORK&amp;urlHash=lhL8", "https://jobs.ashbyhq.com/hiya/5d361735-05a7-4c95-9299-9c59ba9cdd94?utm_source=mvv6reBORK&amp;urlHash=lhL8")</f>
        <v/>
      </c>
      <c r="G62" t="inlineStr"/>
      <c r="H62" t="inlineStr"/>
      <c r="I62" t="inlineStr">
        <is>
          <t>**About Us**
 At Hiya, we're making calls safe, useful, and human again.
 Voice is the most human form of communication, yet it's become one of the least trusted. Spam, scams, and AI manipulation have eroded what was once a simple way to connect.
 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
 This is a pivotal moment for voice. As new threats and technologies accelerate, so does demand for trusted voice communication. Hiya is growing 40%\+ year over year, expanding globally, and defining what voice becomes next.
 Join us. You won't just work on what voice is today, you'll shape what it becomes tomorrow: smarter, safer, and genuinely worth answering again.
**About The Position**
 AI Engineers are responsible for developing and integrating AI solutions into Hiya’s products, focusing on rapid iteration, prompt engineering, and practical application. You'll fine\-tune and optimize foundation models, craft sophisticated multi\-agent systems, and invent novel solutions to power the next generation of voice intelligence.
**What You’ll Do**
* Integrate AI solutions into existing products and workflows
* Collaborate with cross\-functional teams to understand business requirements and translate them into technical solutions
* Conduct model evaluations, prompt engineering, and fine\-tuning of large language models (LLMs)
* Implement and manage AI orchestration, including agent\-based systems
* Participate in the design and implementation of AI\-powered applications and interfaces
* Help shape the technical direction and best practices for LLM application development
* Stay at the forefront of AI research and incorporate state\-of\-the\-art techniques
**What You’ll Need To Succeed**
* Proficiency in programming languages such as Python, JavaScript, or TypeScript
* Experience working with foundational model APIs and pre\-trained open source models
* Strong understanding of machine learning workflows, including model evaluations and LLM fine\-tuning
* Familiarity with AI orchestration and agent\-based systems and best practices (LangChain, AutoGen, n8n)
* Excellent problem\-solving skills and the ability to work independently and collaboratively.
* Strong communication skills and the ability to translate technical concepts to non\-technical stakeholders
 The person in this role must embody Hiya’s key values of
 **Serving** 
 our customers,
 **Doing** 
 rather than observing,
 **Improving** 
 ourselves and our business,
 **Owning** 
 and holding ourselves accountable for success, and
 **Leading** 
 by showing up with a point of view, engaging in open discussion, listening respectfully to others opinions and committing to decisions.
**You will have a fast start if you have experience:**
* Experience with cloud platforms such as AWS, Google Cloud, or Azure
* Knowledge of Kubernetes and containerization technologies
* Experience with data science and ML engineering
* Familiarity with retrieval\-augmented generation (RAG)
*The requirements listed in the job descriptions are guidelines. You don’t have to satisfy every requirement or meet every qualification listed. If your skills are transferable we would still love to hear from you.*
**More Details**
 The salary range for this role is between $134,000\-$262,000\. When determining compensation, a number of factors will be considered: skills, experience, job scope, location, and competitive compensation market data.
* Start Date: Immediately
* Status: Full\-time
* Type: Hybrid
* Location: Seattle, WA
* Travel Requirements:
* Department: Engineering
* Reports to: VP of Engineering
**Benefits**
* Equity compensation
* 401K program with 3% match through Fidelity Investments
* Self managed vacation plan
* Paid Holidays
* Medical, dental, and vision for the employee and 50% coverage for dependents
* Flexible spending, health savings accounts and Pretax dependent day care savings plan
* Paid parental leave
* Voluntary Life and AD\&amp;D, and Accident insurance options
* Employer\-paid life insurance
* Employer\-paid long\-term disability coverage (in qualifying states)
* Donation Matching for a charity of your choice (up to $1,000/ year)
* $1,000/year reimbursement in Professional Development funds
 This position is based in Seattle, WA, USA.
 We are building a team with a variety of perspectives, identities, and professional experiences. We evaluate great candidates through a business lens and we strongly believe that diversity and unique perspectives make our company stronger, more dynamic, and a great place to build a career.
 Our team has won various awards over the last 4 years from Built\-in Seattle and Seattle Business Week to \#86 on Deloitte Technology Fast 500 and Forbes \#1 Startup Employer. Here at Hiya, we are a people\-centric company focused on helping each and every one of our employees grow both personally and professionally. We feel that creating a team culture of support and empowerment to challenge the status quo results in an energized and passionate team that is continuously challenged and passionate about the work they are doing. You'll love working here if you are looking for an innovative challenge that is disrupting an industry. Come join us!</t>
        </is>
      </c>
    </row>
    <row r="63">
      <c r="A63" t="inlineStr">
        <is>
          <t>li-4367345145</t>
        </is>
      </c>
      <c r="B63" t="inlineStr">
        <is>
          <t>Machine Learning Engineer - Automated Chromatography Analysis</t>
        </is>
      </c>
      <c r="C63" t="inlineStr">
        <is>
          <t>Eurofins Environment Testing (USA)</t>
        </is>
      </c>
      <c r="D63" t="inlineStr">
        <is>
          <t>linkedin</t>
        </is>
      </c>
      <c r="E63">
        <f>HYPERLINK("https://www.linkedin.com/jobs/view/4367345145", "https://www.linkedin.com/jobs/view/4367345145")</f>
        <v/>
      </c>
      <c r="F63" t="inlineStr"/>
      <c r="G63" t="inlineStr">
        <is>
          <t>Houston, TX</t>
        </is>
      </c>
      <c r="H63" t="inlineStr"/>
      <c r="I63"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We are seeking a Machine Learning (ML) Expert with experience in chemical data processing to drive AI innovations in analytical chemistry. You will design and deploy Machine Learning solutions for GC\-MS, and HPLC\-MS, data, working alongside scientists and engineers to extract valuable insights from complex datasets.
**Job Duties**
* Develop AI/ML models for processing mass spectrometry and chromatography data
* Build software solutions to automate chemical data analysis and interpretation
* Integrate ML algorithms into analytical pipelines for chemical property prediction and anomaly detection
* Optimize data structures for high\-throughput chemical analysis
* Collaborate with data scientists
* Troubleshoot complex technical issues and optimize software performance
* Additional duties as assigned
**Qualifications**
**Basic Minimum Qualifications:**
* MSc or PhD in Machine Learning, Data Science, Chemistry, or a related field
* Strong programming skills in Python (Pandas, Scikit\-learn, PyTorch, TensorFlow)
* Experience with, GC\-MS, HPLC\-MS and handling large chemical datasets
* Familiarity with cloud\-based AI solutions (AWS, Azure, GCP)
* Authorization to work in the United States without restriction or sponsorship
**Ideal Candidate Will Have**
* Experience with Docker, Kubernetes, CI/CD for scalable Machine Learning deployment
* Knowledge of computational chemistry and cheminformatics
* Background in pharmaceutical or industrial chemical analysis
****Additional Information****
 Professional working proficiency in English is a requirement, including the ability to read, write and speak in English.
 As a Eurofins employee, you will become part of a company that has received national recognition as a great place to work. We offer excellent full\-time benefits including comprehensive medical coverage, life and disability insurance, 401(k) with company match, paid holidays, paid time off, and dental and vision options.
**We support your development!** 
 Do you feel you don’t match 100% of the requirements? Don’t hesitate to apply anyway! Eurofins companies are committed to supporting your career development.
**We embrace diversity!** 
 Eurofins network of companies believe in strength and innovation through diversity, being an Equal Opportunity Employer.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also count on our dedicated carbon reduction team to help us to achieve this goal!
 Find out more in our career page: https://careers.eurofins.com/
**Eurofins USA Environment Testing is a Disabled and Veteran Equal Employment Opportunity employer.**</t>
        </is>
      </c>
    </row>
    <row r="64">
      <c r="A64" t="inlineStr">
        <is>
          <t>li-4356637778</t>
        </is>
      </c>
      <c r="B64" t="inlineStr">
        <is>
          <t>AI Engineer</t>
        </is>
      </c>
      <c r="C64" t="inlineStr">
        <is>
          <t>Avesta Computer Services</t>
        </is>
      </c>
      <c r="D64" t="inlineStr">
        <is>
          <t>linkedin</t>
        </is>
      </c>
      <c r="E64">
        <f>HYPERLINK("https://www.linkedin.com/jobs/view/4356637778", "https://www.linkedin.com/jobs/view/4356637778")</f>
        <v/>
      </c>
      <c r="F64" t="inlineStr"/>
      <c r="G64" t="inlineStr">
        <is>
          <t>Fremont, CA</t>
        </is>
      </c>
      <c r="H64" t="inlineStr"/>
      <c r="I64" t="inlineStr">
        <is>
          <t>**Customer** 
 \- Our customer offers an enterprise grade, Agentic\-AI solution/platform to help customers de\-risk, optimize and rationalize their entire application portfolio, based on deep actionable insights.
**Job Title** 
 \-
 **AI Engineer** 
**Location** 
 \- Fremont, California, United States
**Type** 
 \- Fulltime
**H1 Sponsorship is available** 
 As an
 **AI Engineer** 
 , you’ll help build the next generation of
 **intelligent Agents** 
 that power this platform — autonomous systems that reason, collaborate, and deliver actionable insights across complex enterprise environments. You’ll work at the frontier of applied AI — blending model engineering, orchestration, and product thinking to make AI truly useful and reliable in enterprise contexts.
**What You’ll Do** 
* Design, build, and scale intelligent
 **multi\-agent systems** 
 that can autonomously perform complex reasoning, analysis, and decision\-support tasks.
* Architect and optimize
 **AI workflows** 
 that combine LLMs, tools, and retrieval mechanisms into reliable, explainable, and repeatable outcomes.
* Develop
 **evaluation and control frameworks** 
 to ensure agent accuracy, traceability, and performance in dynamic enterprise settings.
* Collaborate closely with product, engineering, and customer teams to translate business problems into scalable AI capabilities.
* Continuously refine agent behavior and orchestration through experimentation, system\-level tuning, and real\-world feedback.
**Who You Are** 
* 3–6 years of experience in applied AI, machine learning, or software systems engineering.
* **Hands\-on experience with LLM frameworks and agentic architectures (LangChain, LlamaIndex, AutoGen, or similar).**
* Strong software fundamentals in Python, APIs, and data handling — you can design systems, not just models.
* Deep curiosity about how AI can simulate reasoning, collaboration, and autonomy within real business ecosystems.
* Thrive in high\-context, high\-velocity environments where your work shapes the core intelligence of the company</t>
        </is>
      </c>
    </row>
    <row r="65">
      <c r="A65" t="inlineStr">
        <is>
          <t>li-4359980196</t>
        </is>
      </c>
      <c r="B65" t="inlineStr">
        <is>
          <t>Lead Machine Learning Engineer</t>
        </is>
      </c>
      <c r="C65" t="inlineStr">
        <is>
          <t>interos.ai</t>
        </is>
      </c>
      <c r="D65" t="inlineStr">
        <is>
          <t>linkedin</t>
        </is>
      </c>
      <c r="E65">
        <f>HYPERLINK("https://www.linkedin.com/jobs/view/4359980196", "https://www.linkedin.com/jobs/view/4359980196")</f>
        <v/>
      </c>
      <c r="F65">
        <f>HYPERLINK("https://www.interos.ai/careers/?gnk=job&amp;gni=8a7887a19b137669019ba45ea21d15e5&amp;gns=LinkedIn%2BLimited&amp;urlHash=_vNe", "https://www.interos.ai/careers/?gnk=job&amp;gni=8a7887a19b137669019ba45ea21d15e5&amp;gns=LinkedIn%2BLimited&amp;urlHash=_vNe")</f>
        <v/>
      </c>
      <c r="G65" t="inlineStr"/>
      <c r="H65" t="inlineStr"/>
      <c r="I65" t="inlineStr">
        <is>
          <t>**Role:** 
 Lead Machine Learning Engineer
**About interos.ai** 
 : Interos is the supply chain risk intelligence company – building the most trusted and transparent supply chains in the world. Our pioneering discovery and monitoring intelligence spans the lifecycle of supply chain risk, enabling faster and more informed threat mitigation. As the world’s first, and only, automated supplier intelligence platform, we continuously map and monitor extended supply chains at speed and scale to protect organizations from regulatory fines, unethical labor, cyber\-attacks, and other systemic vulnerabilities. Interos serves a variety of commercial, government, and public sector customers around the world including a host of Global Fortune 500 companies and members of the Five Eyes nations. www.interos.ai
**About the role** 
 : We are seeking an experienced Senior Principal/Principal Machine Learning Engineer who will serve as a technical architect for our ML team. This role is critical in defining the tooling strategy, staying ahead of industry trends, and ensuring our AI\-driven solutions seamlessly integrate deeply within Intero’s product. You will be responsible for evaluating and selecting AI frameworks, orchestrating agent workflows, and leveraging LLMs, automation frameworks and enterprise AI technologies to design and develop scalable, reliable and trusted AI agents.
**What you will do:**
* Develop AI\-powered agents that integrate deeply into Interos.ai product experience
* Understanding of AI Lifecycle: Comprehensive knowledge of the AI system lifecycle, including problem definition, data acquisition, model training, system integration, and validation
* Evaluate, select, and integrate AI tools, frameworks, and platforms to ensure scalability, efficiency, and compliance
* Stay up to date with advancements in AI, LLMs, RAG, autonomous agents and orchestration frameworks to drive innovation
* Define best practices for agent design, security, and governance in AI\-driven enterprise applications.
* Work with product, engineering, and data science teams to design and implement AI\-based automation solutions.
* Identify new opportunities to embed AI into the Interos.ai platform.
* Establish monitoring, feedback loops, and continuous learning mechanisms to improve agent performance over time.
**What you bring:**
* 8\+ years of experience in Software development.
* 5\+ years of experience in AI, machine learning, with a focus on enterprise applications.
* Deep understanding of LLMs, AI agents, and orchestration frameworks (e.g., LangGraph)
* Experience with enterprise\-grade AI architectures, API integration, and large\-scale automation.
* Proficiency in Python, cloud services (AWS), and AI model deployment.
* Strong problem\-solving skills and the ability to translate business needs into AI\-powered solutions.
* Experience in data privacy, security, and compliance for AI in enterprise environments
* Experience in Data lakes such as Snowflake and Databricks.
**Bonus points for:**
* Masters/Doctorate degree in a relevant field, such as Computer Science, Mathematics, or Engineering.
* Experience developing and deploying machine learning solutions using large\-scale datasets, including specification design, data collection and labeling, model development, validation, deployment, and ongoing monitoring.
* Hands\-on experience with vector databases, retrieval\-augmented generation (RAG), and fine\-tuning LLMs.
* Experience with fine\-tuning models including identifying and curating datasets as well as experimenting with models for iterative improvement
**What We Offer:**
* Comprehensive health, dental \&amp; vision insurance
* 401(k) with employer match
* Flexible Time Off (FTO) \+ 10 paid holidays
* Wellness perks including onsite gym \+ Peloton room (HQ)
* Career growth opportunities in a fast\-scaling company
* Employee referral bonuses and recognition programs
**Compensation**
* Base Salary Range: $200,000 \- $240,000 USD (depending on experience and location)
* Variable Compensation: Performance\-based annual bonus
* Equity: Stock options included as part of total compensation package
 We believe in rewarding great work with competitive, transparent compensation. Final offer will be based on skills, experience, and geographic location.
**Work Environment, Location and Travel:**
 This is a remote\-first role open to candidates legally authorized to work in the United States. Employees may optionally work from our Arlington, VA HQ. This position may require up to minimal travel.
**Equal Opportunity Employer**
 Interos.ai is proud to be an Equal Opportunity Employer. We celebrate diversity and are committed to creating an inclusive environment for all employees — regardless of race, religion, gender identity, sexual orientation, age, disability, or veteran status.
**Accessibility \&amp; Accommodations**
 We are committed to providing reasonable accommodations for candidates throughout the hiring process. If you need assistance, please contact us at hr@interos.ai.</t>
        </is>
      </c>
    </row>
    <row r="66">
      <c r="A66" t="inlineStr">
        <is>
          <t>li-4341954730</t>
        </is>
      </c>
      <c r="B66" t="inlineStr">
        <is>
          <t>Staff Machine Learning Engineer</t>
        </is>
      </c>
      <c r="C66" t="inlineStr">
        <is>
          <t>Tonal</t>
        </is>
      </c>
      <c r="D66" t="inlineStr">
        <is>
          <t>linkedin</t>
        </is>
      </c>
      <c r="E66">
        <f>HYPERLINK("https://www.linkedin.com/jobs/view/4341954730", "https://www.linkedin.com/jobs/view/4341954730")</f>
        <v/>
      </c>
      <c r="F66">
        <f>HYPERLINK("https://tonal.com/pages/careers?ashby_jid=84464c02-a746-4548-8ba1-ed3fa51b4665&amp;utm_source=brDVkpkEaX&amp;urlHash=Hu0O", "https://tonal.com/pages/careers?ashby_jid=84464c02-a746-4548-8ba1-ed3fa51b4665&amp;utm_source=brDVkpkEaX&amp;urlHash=Hu0O")</f>
        <v/>
      </c>
      <c r="G66" t="inlineStr">
        <is>
          <t>San Francisco, CA</t>
        </is>
      </c>
      <c r="H66" t="inlineStr"/>
      <c r="I66" t="inlineStr">
        <is>
          <t>**Who We Are**
 Tonal is the world’s first all in one home gym with a simply stunning design. It has completely revolutionized the fitness journey, with adaptive weight and coaching cues powered by advanced AI technology. We’ve united a diverse team of experts and decades of research to reinvent strength training, making it more efficient, more effective, and more engaging.
 With this in mind, we want to bring that same innovative approach to the workplace. At Tonal, we continue our shift of emphasis by growing our instrumental team. We collectively weave our knowledge and creativity, as we redefine the future of fitness, and Power Progress for our members.
**Overview**
 Tonal is looking for a Staff Machine Learning Engineer to help expand Tonal’s intelligence across movements, training modalities, and member goals. You’ll be joining a high impact team at the intersection of machine learning, biomechanics, and product engineering. You will be responsible for building intelligent systems that adapt workouts, enhance coaching, and personalize progression using the largest strength training dataset in the world.
 With millions of workouts collected across diverse users and enriched by data from cameras, cable sensors, and external trackers, Tonal has a one of a kind platform for real world AI. You will help transform this data into production grade models and systems that deliver real time insights, predictions, and feedback to our members.
**What You Will Do**
* Design, implement, and optimize machine learning training pipelines and model serving infrastructure for real time applications
* Develop algorithms and ML models that enable personalized training, adaptive coaching, and performance prediction
* Fine tune and evaluate transformer based or self supervised learning models using Tonal’s multimodal dataset
* Build data driven systems that measure training effectiveness, effort, and progression beyond traditional weight based metrics
* Prototype, train, and deploy ML models that run efficiently at scale or on device
* Collaborate cross functionally with Exercise Science, Product, and Software teams to deliver intelligent features that improve the member experience
* Contribute to the development of automated tools for experimentation, model validation, and continuous retraining
* Write high quality, maintainable Python code and work closely with backend engineers to integrate models into Tonal’s production systems
* Mentor teammates and help shape Tonal’s growing AI and ML best practices
**Who You Are**
* A self driven AI or ML Engineer passionate about bringing applied machine learning into real world, user facing products
* 7 plus years of experience in software engineering or applied ML, or 5 plus with a Master’s degree, or PhD with 3 plus years of experience
* Strong coding skills in Python and experience with frameworks such as PyTorch, TensorFlow, or JAX
* Experienced in ML training, evaluation, and deployment workflows such as Sagemaker, MLFlow, Databricks, or similar
* Deep understanding of time series modeling, human motion, or sensor based learning from devices such as force transducers, position encoders, IMUs, or cameras
* Familiar with MLOps best practices and scalable model training pipelines
* Strong communicator who can collaborate with scientists, product managers, and engineers
* Track record of delivering performant ML systems from prototype to production
**Extra Credit**
* Experience fine tuning large transformer or multimodal models
* Experience deploying models to real time or edge environments such as on device inference
* Experience with GoLang, Kotlin or Flutter
* Experience with distributed training, mixed precision optimization, or model compression
* Interest in fitness, digital health, or intelligent training systems
* Background in biomechanics, kinesiology, or human performance analytics
 At Tonal, we believe that the unique and varied lived experiences of our teammates contribute to our overall strength. We don’t just appreciate differences, we celebrate them, and we always seek people that represent a wide variety of backgrounds. We’re dedicated to adding new perspectives to the team and designing employee experiences that contribute to your growth as much as you do to ours. If your experience aligns with what we’re looking for (even if you don’t check every single box), send us your application. We would love to hear from you!
 Tonal is committed to meeting the diverse needs of people with disabilities in a timely manner that is consistent with the principles of independence, dignity, integration, and equality of opportunity. Should you have any accommodation requests, please reach out to us via our confidential email, accessibility@tonal.com. All requests will be addressed and responded to in accordance with Tonal’s Accessibility Policy and local legislation.
 Compensation Range: $200K \- $235K</t>
        </is>
      </c>
    </row>
    <row r="67">
      <c r="A67" t="inlineStr">
        <is>
          <t>li-4367040320</t>
        </is>
      </c>
      <c r="B67" t="inlineStr">
        <is>
          <t>Senior Data &amp; ML Engineer, MLOps</t>
        </is>
      </c>
      <c r="C67" t="inlineStr">
        <is>
          <t>Corebridge Financial</t>
        </is>
      </c>
      <c r="D67" t="inlineStr">
        <is>
          <t>linkedin</t>
        </is>
      </c>
      <c r="E67">
        <f>HYPERLINK("https://www.linkedin.com/jobs/view/4367040320", "https://www.linkedin.com/jobs/view/4367040320")</f>
        <v/>
      </c>
      <c r="F67">
        <f>HYPERLINK("https://corebridgefinancial.wd1.myworkdayjobs.com/CorebridgeFinancial/job/TX-Houston/Senior-Data\u002d\u002d-ML-Engineer\u002d\u002dMLOps_JR2600057-1?source=Linkedin&amp;urlHash=jOKQ", "https://corebridgefinancial.wd1.myworkdayjobs.com/CorebridgeFinancial/job/TX-Houston/Senior-Data\u002d\u002d-ML-Engineer\u002d\u002dMLOps_JR2600057-1?source=Linkedin&amp;urlHash=jOKQ")</f>
        <v/>
      </c>
      <c r="G67" t="inlineStr">
        <is>
          <t>Houston, TX</t>
        </is>
      </c>
      <c r="H67" t="inlineStr"/>
      <c r="I67"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
****About The Role****
 We are seeking a highly skilled and motivated Senior Data and ML Engineer with a strong focus on MLOps to join our Data Platform Engineering team, focusing on developing and implementing robust Data Engineering and Machine Learning Operations (MLOps) practices. In this role, you will play a critical part in designing, building, and maintaining scalable and reliable infrastructure for the entire Machine learning and GenAI lifecycle, from experimentation to production deployment and monitoring. You will work with cutting\-edge cloud technologies, specifically leveraging the power of AWS SageMaker, Amazon Bedrock, and Snowflake Data Platform to drive innovation in the financial services sector.
****Responsibilities****
* Design and Implement ML Pipelines: Lead the design, Build, and maintenance of end\-to\-end automated MLops pipelines for continuous testing,  training and deployment of ML models.
* Optimize ML Workloads: Optimize AI/ML workloads and build scalable systems using a variety of AWS services, including Amazon SageMaker (for model development, training, and deployment), Amazon Bedrock (for integrating generative AI and large language models), S3, Lambda, and others.
* Manage Data Integration: Collaborate with data scientists and data engineers to design and implement ETL/ELT processes to structure and format data into suitable data warehouses or data lakes for analysis and model training.
* Monitoring and Maintenance: Implement comprehensive monitoring, logging, and alerting for production AI/ML systems to track performance, resource utilization, error rates, and troubleshoot issues as they arise.
* Collaboration \&amp; Governance: Work closely with cross\-functional teams, including data scientists, Data engineers, and business analysts, to translate business requirements into technical solutions. Ensure adherence to data governance, security, and compliance principles.
****Skills And Qualifications****
* Bachelor’s or Master's degree in Computer Science, Engineering, Data science, or a related technical field.
* 15\+ years of IT experience with 10\+ years of experience in Data Engineering, ML engineering, or MLOps role.
* Proven experience using cloud technologies, with significant hands\-on experience in AWS Data \&amp; AI services and Snowflake Data platform.
* Strong background and experience in leveraging MLOps platforms (MLflow, Kubeflow, Sagemaker) and ML CI/CD workflows to manage the ML lifecycle.
* Proficiency in programming languages like Python or PySpark.
* Strong Hands on experience with Amazon SageMaker for ML and  Amazon Bedrock for generative AI solutions.
* Hands\-on experience with ETL/ELT frameworks (e.g., Apache NiFi, Airflow, Talend, dbt, AWS Glue)
* Expertise in big data technologies (e.g., Hadoop, Spark, Kafka, Databricks) and Cloud data warehouses ( Snowflake, Redshift,BigQuery)
* Strong problem\-solving abilities and a passion for  working with cutting\-edge technologies
* Excellent communication and collaboration skills to effectively work within a cross\-functional team.
****Compensation****
 The anticipated salary range for this position is $135,000 to $190,000 at the commencement of employment for the Jersey City, NJ area.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or Jersey City, NJ office and is subject to our hybrid working policy, which gives colleagues the benefits of working both in an office and remotely.
**Estimated Travel**
 May include up to 25%.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68">
      <c r="A68" t="inlineStr">
        <is>
          <t>li-4367040321</t>
        </is>
      </c>
      <c r="B68" t="inlineStr">
        <is>
          <t>Senior Data &amp; ML Engineer, MLOps</t>
        </is>
      </c>
      <c r="C68" t="inlineStr">
        <is>
          <t>Corebridge Financial</t>
        </is>
      </c>
      <c r="D68" t="inlineStr">
        <is>
          <t>linkedin</t>
        </is>
      </c>
      <c r="E68">
        <f>HYPERLINK("https://www.linkedin.com/jobs/view/4367040321", "https://www.linkedin.com/jobs/view/4367040321")</f>
        <v/>
      </c>
      <c r="F68" t="inlineStr"/>
      <c r="G68" t="inlineStr">
        <is>
          <t>Jersey City, NJ</t>
        </is>
      </c>
      <c r="H68" t="inlineStr"/>
      <c r="I68"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
****About The Role****
 We are seeking a highly skilled and motivated Senior Data and ML Engineer with a strong focus on MLOps to join our Data Platform Engineering team, focusing on developing and implementing robust Data Engineering and Machine Learning Operations (MLOps) practices. In this role, you will play a critical part in designing, building, and maintaining scalable and reliable infrastructure for the entire Machine learning and GenAI lifecycle, from experimentation to production deployment and monitoring. You will work with cutting\-edge cloud technologies, specifically leveraging the power of AWS SageMaker, Amazon Bedrock, and Snowflake Data Platform to drive innovation in the financial services sector.
****Responsibilities****
* Design and Implement ML Pipelines: Lead the design, Build, and maintenance of end\-to\-end automated MLops pipelines for continuous testing,  training and deployment of ML models.
* Optimize ML Workloads: Optimize AI/ML workloads and build scalable systems using a variety of AWS services, including Amazon SageMaker (for model development, training, and deployment), Amazon Bedrock (for integrating generative AI and large language models), S3, Lambda, and others.
* Manage Data Integration: Collaborate with data scientists and data engineers to design and implement ETL/ELT processes to structure and format data into suitable data warehouses or data lakes for analysis and model training.
* Monitoring and Maintenance: Implement comprehensive monitoring, logging, and alerting for production AI/ML systems to track performance, resource utilization, error rates, and troubleshoot issues as they arise.
* Collaboration \&amp; Governance: Work closely with cross\-functional teams, including data scientists, Data engineers, and business analysts, to translate business requirements into technical solutions. Ensure adherence to data governance, security, and compliance principles.
****Skills And Qualifications****
* Bachelor’s or Master's degree in Computer Science, Engineering, Data science, or a related technical field.
* 15\+ years of IT experience with 10\+ years of experience in Data Engineering, ML engineering, or MLOps role.
* Proven experience using cloud technologies, with significant hands\-on experience in AWS Data \&amp; AI services and Snowflake Data platform.
* Strong background and experience in leveraging MLOps platforms (MLflow, Kubeflow, Sagemaker) and ML CI/CD workflows to manage the ML lifecycle.
* Proficiency in programming languages like Python or PySpark.
* Strong Hands on experience with Amazon SageMaker for ML and  Amazon Bedrock for generative AI solutions.
* Hands\-on experience with ETL/ELT frameworks (e.g., Apache NiFi, Airflow, Talend, dbt, AWS Glue)
* Expertise in big data technologies (e.g., Hadoop, Spark, Kafka, Databricks) and Cloud data warehouses ( Snowflake, Redshift,BigQuery)
* Strong problem\-solving abilities and a passion for  working with cutting\-edge technologies
* Excellent communication and collaboration skills to effectively work within a cross\-functional team.
****Compensation****
 The anticipated salary range for this position is $135,000 to $190,000 at the commencement of employment for the Jersey City, NJ area.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or Jersey City, NJ office and is subject to our hybrid working policy, which gives colleagues the benefits of working both in an office and remotely.
**Estimated Travel**
 May include up to 25%.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IT \- Information Technology
 Estimated Travel Percentage (%): No Travel
 Relocation Provided: No
 American General Life Insurance Company</t>
        </is>
      </c>
    </row>
    <row r="69">
      <c r="A69" t="inlineStr">
        <is>
          <t>li-4289369347</t>
        </is>
      </c>
      <c r="B69" t="inlineStr">
        <is>
          <t>Principal/Senior Principal Machine Learning Engineer, AI Enablement</t>
        </is>
      </c>
      <c r="C69" t="inlineStr">
        <is>
          <t>Genentech</t>
        </is>
      </c>
      <c r="D69" t="inlineStr">
        <is>
          <t>linkedin</t>
        </is>
      </c>
      <c r="E69">
        <f>HYPERLINK("https://www.linkedin.com/jobs/view/4289369347", "https://www.linkedin.com/jobs/view/4289369347")</f>
        <v/>
      </c>
      <c r="F69" t="inlineStr"/>
      <c r="G69" t="inlineStr">
        <is>
          <t>South San Francisco, CA</t>
        </is>
      </c>
      <c r="H69" t="inlineStr"/>
      <c r="I69" t="inlineStr">
        <is>
          <t>The Position
 We advance science so that we all have more time with the people we love.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organizations at Genentech (gRED) and Pharma (pRED) have demonstrated how these technologies accelerate R\&amp;D, leveraging data and novel computational models to drive impact. Seamless data sharing and access to models across gRED and pRED are essential to maximizing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Within the CoE organization, the Data and Digital Catalyst (DDC) organization drives the modernization of our computational and data ecosystems and integration of digital technologies across Research and Early Development to enable our stakeholders, power data\-driven science and accelerate decision\-making.
 The Engineering \- AI Enablement group within DDC is accountable for… enabling AI! We do this across the board with our scientific and computational partners based on their goals. We help embed our AI strategy across our research organizations by providing employees with the tools and support needed to adopt AI into our daily work—helping us work smarter and enhancing our day\-to\-day work. We also build and deploy AI based solutions that reshape and transform business processes in order to unlock value at scale and optimise workflows. We also work on scaling up model training and inference, evaluating the quality of AI/ML models and output, and building impactful applications which accelerate the scientists doing the critical work of drug discovery and development. Partnering with colleagues to build, deploy and evolve a modern tech stack and utilities to enable our AI/ML and agentic efforts will be a key foundation to our success. Our aim is for everyone who can benefit from AI/ML to be able to leverage that utility where and when they need it, from data analysis to literature search to documentation writing. We are aiming for AI/ML to be an everyday utility. The team is cross\-functional, impact driven, independent, and constantly evolving to meet the scientific needs.
**The Opportunity:**
 As a machine learning engineer in AI Enablement, you will be working closely with folks that span the gamut from Computational Scientists, Research Scientists, AI/ML experts, Product leaders, DevOps, and everyone in between. You'll build, own, and constantly improve scalable AI/ML based systems that unlock the potential of our diverse scientific data, accelerating the discovery and development of life\-changing treatments for patients.
* Design, develop, and test robust, scalable, and maintainable AI/ML facing scientific web applications and backend systems.
* Build tools to evaluate AI/ML model performance and establish new ways to understand AI quality.
* Partner with product managers and scientists to understand user needs, shape requirements, and translate them into actionable technical specifications.
* Develop and maintain systems for collecting, structuring, and storing diverse scientific data that support advanced analytics, machine learning, and other data\-driven initiatives.
* Implement, adopt, or evaluate new AI/ML algorithms and analytical techniques
* Contribute to architectural decisions, code reviews, and the evolution of our development processes.
* Be willing to span the stack and contribute where needed, even outside of your core area of expertise.
* Stay up\-to\-date with emerging technologies and industry best practices and adopt a culture of continuous learning, collaboration, and curiosity.
**Who You Are:**
* Master’s or Ph.D. in Computer Science or similar technical field and 6\+ years of professional experience in machine learning engineering roles (Principal Machine Learning Engineer); 12\+ years (Senior Principal Machine Learning Engineer).
* Strong proficiency with AI/ML frameworks, libraries, and toolsets.
* Expert knowledge of statistics, machine learning theory, and algorithms.
* Strong knowledge of ML performance optimization, GPU best practices.
* Experience with kubernetes, relational databases, NoSQL databases, or data lakes, and experience working on cloud\-native architectures in public clouds (ideally AWS).
* Proven understanding and application of engineering best practices.
* Excellent communication skills and ability to build trusted partnerships with internal and external collaborators.
* Ability to quickly acquire new technologies and programming languages and a passion for continuous learning.
**Preferred But Not Required:**
* Experience with imaging or biological data and processes is a strong plus.
* Experience working with scientists or in a research environment is advantageous.
* Experience with workflow automation, GenAI, and/or agents is a plus.
 This position requires onsite work 3 days per week.
 The expected salary range for this position based on the primary location of California is $176,400\.00\-$327,600\.00 (Princial MLE) and $199,700\-370,900 (Senior Principal MLE).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Relocation benefits are available for this posting.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70">
      <c r="A70" t="inlineStr">
        <is>
          <t>li-4367366363</t>
        </is>
      </c>
      <c r="B70" t="inlineStr">
        <is>
          <t>Sr AI/ML Engineer Remote - Eastern Time Zone</t>
        </is>
      </c>
      <c r="C70" t="inlineStr">
        <is>
          <t>Optum</t>
        </is>
      </c>
      <c r="D70" t="inlineStr">
        <is>
          <t>linkedin</t>
        </is>
      </c>
      <c r="E70">
        <f>HYPERLINK("https://www.linkedin.com/jobs/view/4367366363", "https://www.linkedin.com/jobs/view/4367366363")</f>
        <v/>
      </c>
      <c r="F70">
        <f>HYPERLINK("https://careers.unitedhealthgroup.com/job/22926442/sr-ai-ml-engineer-remote-eastern-time-zone-eden-prairie-mn/?src=JB-22455&amp;utm_source=linkedin.com&amp;utm_medium=job_posting&amp;urlHash=ReVy", "https://careers.unitedhealthgroup.com/job/22926442/sr-ai-ml-engineer-remote-eastern-time-zone-eden-prairie-mn/?src=JB-22455&amp;utm_source=linkedin.com&amp;utm_medium=job_posting&amp;urlHash=ReVy")</f>
        <v/>
      </c>
      <c r="G70" t="inlineStr">
        <is>
          <t>Eden Prairie, MN</t>
        </is>
      </c>
      <c r="H70" t="inlineStr"/>
      <c r="I7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
 We are seeking a highly skilled and innovative AI/ML Engineer with deep expertise in Generative AI technologies to develop and deploy cutting\-edge solutions within the Pharmacy domain. The ideal candidate will have hands\-on experience with Large Language Models (LLMs), Retrieval\-Augmented Generation (RAG), Agentic AI, and frameworks such as LangGraph and LangChain. Solid proficiency in Python and experience with deep learning frameworks like TensorFlow, PyTorch, or Keras are essential.
 This role will involve close collaboration with Pharmacy Operations and Capability teams. On the Operations side, you'll engage directly with Pharmacists to understand and solve real\-world challenges. On the Capability side, you'll work with Capability leaders to identify problem areas and co\-design AI/ML solutions. You'll also contribute to broader initiatives in Pharmacy Modernization, aligning with organizational goals to leverage emerging AI technologies for reducing manual work, accelerating delivery, and improving Net Promoter Score (NPS).
 You'll enjoy the flexibility to work remotely \* from anywhere within the U.S. as you take on some tough challenges. For all hires in the Minneapolis or Washington, D.C. area, you will be required to work in the office a minimum of four days per week.
**Primary Responsibilities**
* Design, develop, and deploy AI/ML models using GenAI technologies (LLMs, RAG, Agentic AI)
* Utilize frameworks such as LangGraph, LangChain, TensorFlow, PyTorch, or Keras for model development
* Build models that generate new data samples, patterns, or content based on existing inputs
* Deploy AI/ML solutions in production environments, preferably on cloud platforms like Azure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Ensure code quality and security by identifying and resolving vulnerabilities
* Maintain solid programming practices with a focus on Python
* Work Eastern Time Zone hours to support collaboration across a global team
* Participate in on\-call rotations as scheduled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or equivalent experience in Computer Science, Data Science, or related field
* 7\+ years of industry or academic experience in AI/ML or Data Science
* 4\+ years of hands\-on experience with Python and version control tools like GitHub
* 4\+ years of experience with deep learning frameworks (e.g., PyTorch, TensorFlow)
* 3\+ years of experience deploying AI/ML solutions in production environments
* Experience with Git management and CI/CD best practices
* Experience in designing high\-level cloud architecture and solution designs for AI/ML solutions
* Experience of AI/ML projects deployed in Production
* Not a research focused role, but more of a AI/ML product development role.
**Preferred Qualifications**
* Certifications in AI/ML or related technologies
* Familiarity with cloud platforms (Azure, AWS, Google Cloud)
* Knowledge of UAIS and MLRB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71">
      <c r="A71" t="inlineStr">
        <is>
          <t>li-4358549451</t>
        </is>
      </c>
      <c r="B71" t="inlineStr">
        <is>
          <t>Senior Machine Learning Engineer, Ranking - Quora (Remote)</t>
        </is>
      </c>
      <c r="C71" t="inlineStr">
        <is>
          <t>Quora</t>
        </is>
      </c>
      <c r="D71" t="inlineStr">
        <is>
          <t>linkedin</t>
        </is>
      </c>
      <c r="E71">
        <f>HYPERLINK("https://www.linkedin.com/jobs/view/4358549451", "https://www.linkedin.com/jobs/view/4358549451")</f>
        <v/>
      </c>
      <c r="F71" t="inlineStr"/>
      <c r="G71" t="inlineStr"/>
      <c r="H71" t="inlineStr"/>
      <c r="I71"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As a remote\-first company, our engineers have a high degree of flexibility and autonomy. Everyone on the engineering team has a significant impact on our product and our company. We are looking for an experienced Machine Learning engineer to join our growing distribution team, working on recommendation systems such as feed, notifications, and Quora’s famous digest emails and A2A. At Quora, we use machine learning in almost every part of the product and recommendation systems play an important role in connecting users with content.
 As a ranking modeling expert, you will have a unique opportunity to have high impact by advancing our ranking model and by applying latest machine learning techniques. You will also play a key role in developing methodologies that our other developers will build on top of.
**Responsibilities**
* Improve our existing machine learning ranking models using your core coding skills and ML knowledge
* Identify new opportunities to apply machine learning to different parts of the Quora product
* Work with other machine learning engineers to implement algorithms and systems efficiently
* Take end\-to\-end ownership of machine learning systems \- data pipelines, candidate extraction, feature engineering, model training, as well as integration into our production systems
**Minimum Requirements**
* Availability for meetings and impromptu communication during Quora's “coordination hours" (Mon\-Fri: 9am\-3pm Pacific Time)
* 3\+ years of professional experience working on recommendation models
* Good understanding of mathematical foundations of machine learning algorithms
* Previous experience building end\-to\-end machine learning systems.
* Good communication and interpersonal skills
* BS, MS, or PhD in Computer Science, Engineering, or a related technical field
**Preferred Requirements**
* 5\+ years of experience writing Python or C\+\+ code
* Experience with leading large\-scale multi\-engineer projects
* Flexible and positive team player with outstanding interpersonal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$189,507 \- $274,603 USD \+ equity \+ benefits.
* Canada candidates only: For Toronto and Vancouver based applicants, the salary range is $248,526 \- $288,100 CAD \+ equity \+ benefits. For all other locations in Canada, the salary range is $231,958 \- $268,893 CAD \+ equity \+ benefits.
 We are an equal opportunity employer and value diversity at our company. We do not discriminate on the basis of race, religion, color, national origin, gender, sexual orientation, age, marital status, veteran status, or disability status.
 Please note: AI technology may assist in sorting applications and recording interview notes, but all decisions are made by a member of our team.</t>
        </is>
      </c>
    </row>
    <row r="72">
      <c r="A72" t="inlineStr">
        <is>
          <t>li-4367043658</t>
        </is>
      </c>
      <c r="B72" t="inlineStr">
        <is>
          <t>AI/ML Engineer</t>
        </is>
      </c>
      <c r="C72" t="inlineStr">
        <is>
          <t>Jobs via Dice</t>
        </is>
      </c>
      <c r="D72" t="inlineStr">
        <is>
          <t>linkedin</t>
        </is>
      </c>
      <c r="E72">
        <f>HYPERLINK("https://www.linkedin.com/jobs/view/4367043658", "https://www.linkedin.com/jobs/view/4367043658")</f>
        <v/>
      </c>
      <c r="F72">
        <f>HYPERLINK("https://click.appcast.io/t/4jRhXh9fD6HpAAdZSeRd-07waJjej_H-H3Nv-eNHFvY=&amp;urlHash=WboR", "https://click.appcast.io/t/4jRhXh9fD6HpAAdZSeRd-07waJjej_H-H3Nv-eNHFvY=&amp;urlHash=WboR")</f>
        <v/>
      </c>
      <c r="G72" t="inlineStr">
        <is>
          <t>Atlanta, GA</t>
        </is>
      </c>
      <c r="H72" t="inlineStr"/>
      <c r="I72"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Design, develop, and deploy machine learning models and AI algorithms
* Analyze large datasets to extract insights and build predictive systems
* Build and optimize supervised, unsupervised, and deep learning models
* Implement NLP, Computer Vision, or Recommendation Systems (as per project)
* Train, evaluate, and fine\-tune ML models for performance and scalability
* Deploy models using APIs, cloud platforms, or MLOps pipelines
* Collaborate with data scientists, software engineers, and product teams
* Monitor model performance and retrain models when required
* Document model architecture, experiments, and results
**Required Skills**
* Strong knowledge of Machine Learning \&amp; AI concepts
* Programming experience in Python (preferred) or R
* Hands\-on experience with TensorFlow, PyTorch, Scikit\-learn
* Good understanding of Statistics, Probability, Linear Algebra
* Experience with Data preprocessing, feature engineering
* Knowledge of SQL / NoSQL databases
* Familiarity with REST APIs
* Experience with Git / version control
**Preferred Skills**
* Experience with Deep Learning, NLP, or Computer Vision
* Knowledge of Cloud platforms (AWS, Azure, Google Cloud Platform)
* Experience with MLOps tools (MLflow, Kubeflow, Airflow)
* Familiarity with Docker, Kubernetes
* Understanding of Big Data tools (Spark, Hadoop)
**Education \&amp; Experience**
* Bachelor s or Master s degree in Computer Science, Data Science, AI, or related field
* 5\+ years of experience in Machine Learning / AI development (depending on role level)</t>
        </is>
      </c>
    </row>
    <row r="73">
      <c r="A73" t="inlineStr">
        <is>
          <t>li-4367040287</t>
        </is>
      </c>
      <c r="B73" t="inlineStr">
        <is>
          <t>Staff Machine Learning Engineer</t>
        </is>
      </c>
      <c r="C73" t="inlineStr">
        <is>
          <t>GEICO</t>
        </is>
      </c>
      <c r="D73" t="inlineStr">
        <is>
          <t>linkedin</t>
        </is>
      </c>
      <c r="E73">
        <f>HYPERLINK("https://www.linkedin.com/jobs/view/4367040287", "https://www.linkedin.com/jobs/view/4367040287")</f>
        <v/>
      </c>
      <c r="F73" t="inlineStr"/>
      <c r="G73" t="inlineStr">
        <is>
          <t>Chevy Chase, MD</t>
        </is>
      </c>
      <c r="H73" t="inlineStr"/>
      <c r="I7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**Staff Machine Learning Engineer**
**Overview:** 
 As a Staff Machine Learning Engineer, you will be the overall tech lead of a
 *single* 
 AI/Machine Learning team, responsible for the tech design and tech health of the team. You will build and architect scalable and reliable AIML solutions that align with the company's tech paved path and stakeholder requirements. This role requires a minimum of 6 years of relevant experience.
**Key Responsibilities**
**System development** 
 : Architect scalable and reliable AIML solutions that align with the company's tech paved path and stakeholder requirements.
**Establish ML Best Practice:** 
 Develop and implement Software Development Lifecycle (SDLC) best practices for machine learning projects, ensuring scalable, secure, and reliable systems from model development to production deployment. Expected to stay hands\-on coding about 70% of the time.
**Product Leadership \&amp; Feature Backlogs** 
 : Define the product roadmap for machine learning solutions and establish feature backlogs. Prioritize key ML features in collaboration with product managers, aligning them with business objectives and technical feasibility.
**Optimize Model Performance and Reliability** 
 Debug and troubleshoot model performance issues, track key metrics, and continuously enhance model reliability, speed, and efficiency in production environments.
**End\-to\-End Model Lifecycle Management:** 
 Own the complete lifecycle of ML models, including monitoring, retraining, finetuning and managing versions of models to ensure they continue to meet business needs over time.
**Leadership and Mentorship:** 
 Guide and mentor machine learning engineers, promote best practices in software engineering, model development, and deployment. Lead technical decision\-making processes and foster collaboration within the team.
**Minimal Qualifications**
* Bachelor’s degree in Machine Learning, Computer Science, Statistics, Mathematics, or a related field; an advanced degree (master’s or Ph.D.) is highly desirable
* At least 6 years of hands\-on experience in machine learning and software engineering.
* Technical Skills:
* Deep proficiency in programming languages such as Python, Java, or similar, with a strong emphasis on coding excellence.
* Proficiency in AIML frameworks such as TensorFlow, PyTorch, Scikit\-learn, Langchain, langraph, etc.
* Experience with SQL, Spark, and scripting languages such as Python for data processing and model development.
* Expertise in cloud platforms (AWS, Azure, GCP) and containerization technologies such as Docker, as well as orchestration tools like Kubernetes.
* Proven experience in deploying machine learning systems in a production environment, ensuring scalability, reliability, and high availability.
* Core Engineering Skills:
* Extensive experience with object\-oriented design (OOD), design patterns, and writing clean, maintainable code.
* Solid understanding of distributed systems and the challenges associated with scaling machine learning models in production.
* Expertise in implementing MLOps practices, including setting up continuous integration (CI), continuous delivery (CD), automated testing, and deployment pipelines for machine learning models.
* Strong understanding of system architecture, performance optimization, and the ability to design fault\-tolerant systems that handle large\-scale data and high\-volume requests.
* Experience designing, building, and maintaining ETL pipelines, streamlining data collection, transformation, and storage for model development.
* Proficient in containerizing applications using Docker and managing deployment and scaling using Kubernetes or similar orchestrators.
* Experience setting up monitoring and logging systems for tracking model performance in production environments and ensuring efficient resource utilization.
**Preferred** 
**Qualifications** 
**:**
* 3 years interfacing directly with internal business stakeholders and/or external stakeholders on AIML initiatives
* Working experience with cloud provider solutions such as Azure and AWS
* Experience utilizing both open source (e.g. llama, Qwen, Mistral) and proprietary (e.g. GPT, Claude) LLMs for appropriate tasks
* Experience with tools that power LLM\-based AI agents: eval frameworks, agent tooling, RAG pipelines, prompt engineering, etc.
* Experience building LLM\-based AI agent workflows via both no code/low code and traditional high\-code development environments
* Experience in ideating, integrating, and designing applications and frontends using React or similar.
 If you are passionate about pushing the boundaries of machine learning technology, thrive in a hands\-on technical leadership role, and enjoy solving complex, large\-scale problems, we encourage you to apply.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4">
      <c r="A74" t="inlineStr">
        <is>
          <t>li-4343365144</t>
        </is>
      </c>
      <c r="B74" t="inlineStr">
        <is>
          <t>Founding AI Engineer</t>
        </is>
      </c>
      <c r="C74" t="inlineStr">
        <is>
          <t>Harnham</t>
        </is>
      </c>
      <c r="D74" t="inlineStr">
        <is>
          <t>linkedin</t>
        </is>
      </c>
      <c r="E74">
        <f>HYPERLINK("https://www.linkedin.com/jobs/view/4343365144", "https://www.linkedin.com/jobs/view/4343365144")</f>
        <v/>
      </c>
      <c r="F74" t="inlineStr"/>
      <c r="G74" t="inlineStr">
        <is>
          <t>Tempe, AZ</t>
        </is>
      </c>
      <c r="H74" t="inlineStr"/>
      <c r="I74" t="inlineStr">
        <is>
          <t>**Founding AI Engineer** 
**Hybrid: 3 days in office/ 2 days work from home** 
**Tempe, AZ** 
**$130,000 \- $180,000 Base Salary \+ Bonus** 
 A fast\-growing, tech\-forward real estate and operations company is expanding its engineering organization and launching a new AI Engineering function. They’re modernizing core internal applications and building AI\-enabled products that directly support business operations across multiple markets. If you enjoy working with modern tech, solving real operational challenges, and building products end\-to\-end, this is a great opportunity to make a visible impact.
**About the Role** 
 This team is building AI\-enabled internal applications on a modern platform, leveraging GenAI and emerging technologies to improve workflows, automate manual processes, and evolve complex business systems. This is a full\-stack engineering role where you’ll design, build, and ship production applications, not just prototypes.
 You’ll work closely with engineering teams, business stakeholders, and platform specialists to rebuild and enhance a business\-critical application using a new AI\-driven architecture. Projects typically run 6–8 months and offer a chance to own development end\-to\-end.
**What You’ll Do** 
* Build full\-stack applications that leverage GenAI capabilities to optimize and automate business processes
* Develop APIs, backend services, and UI components using Python or Node.js/TypeScript
* Work across a modern platform stack that includes a knowledge layer, RAG tooling, and cloud infrastructure
* Collaborate with cross\-functional partners in engineering, data, operations, and product to understand needs and translate them into technical solutions
* Learn and adopt new tools (including platform\-specific technologies) to accelerate development
* Participate in architecture discussions, technical problem\-solving, and shaping how the company uses AI internally
* Contribute to migrating a key internal application from a legacy system to a new AI\-enabled platform
**What They’re Looking For** 
* Strong full\-stack engineering background (ideally 5\+ years)
* Proficiency in Python and experience building backend applications
* Experience with APIs, web applications, and cloud\-based development
* Exposure to GenAI, RAG concepts, or AI\-enabled application development (professional or side projects)
* Familiarity with databases (SQL or NoSQL)
* Ability to work with ambiguity, learn new tools quickly, and contribute ideas
* Excellent communication skills and comfort working cross\-functionally
* Ability to influence, push back respectfully, and collaborate with business stakeholders
**Nice to Have** 
* Node.js/TypeScript
* AWS experience
* Prior exposure to RAG platforms or ontology\-driven architectures
* Experience with internal business applications or workflow automation
* Palantir foundary experience / exposure
**Why This Opportunity Stands Out** 
* Join a newly forming AI Engineering group with significant visibility
* Work with a modern tech stack and emerging AI tools
* Build real, production AI applications
* A supportive, learning\-oriented environment with opportunities to grow
* Meaningful problems to solve across an operationally complex business</t>
        </is>
      </c>
    </row>
    <row r="75">
      <c r="A75" t="inlineStr">
        <is>
          <t>li-4367324985</t>
        </is>
      </c>
      <c r="B75" t="inlineStr">
        <is>
          <t>AI Engineer</t>
        </is>
      </c>
      <c r="C75" t="inlineStr">
        <is>
          <t>Apex Systems</t>
        </is>
      </c>
      <c r="D75" t="inlineStr">
        <is>
          <t>linkedin</t>
        </is>
      </c>
      <c r="E75">
        <f>HYPERLINK("https://www.linkedin.com/jobs/view/4367324985", "https://www.linkedin.com/jobs/view/4367324985")</f>
        <v/>
      </c>
      <c r="F75" t="inlineStr"/>
      <c r="G75" t="inlineStr">
        <is>
          <t>Washington, DC</t>
        </is>
      </c>
      <c r="H75" t="inlineStr"/>
      <c r="I75" t="inlineStr">
        <is>
          <t>**Job\#: 3020200**
**Job Description:**
**AI ENGINEER**
**Fully Remote**
**Must be eligible to obtain a Public Trust**
**About The Role**
 Our Human Resources Tech Services (HRTS) team is seeking an AI Engineer to support modernization efforts across HR systems. This role focuses on leveraging AI and automation to enhance recruitment, employee engagement, performance management, and data‑driven HR decision‑making.
**Key Responsibilities**
* Assess the current HRTS application landscape and identify gaps and opportunities for AI and automation.
* Recommend system enhancements, integration improvements, and software update strategies.
* Develop AI models and algorithms tailored to HR use cases.
* Produce clear project documentation including plans, schedules, and progress updates.
* Collaborate closely with technical teams, HR stakeholders, and business partners.
* Apply prior experience as an AI Engineer or similar role (minimum four years).
* Utilize technologies such as Oracle Forms/Reports, SAP ERP, WebSphere, Tomcat, Java, Python, and GitHub.
**Required Experience**
* 3–5 years of experience in software development with a focus on AI, analytics support, and technical leadership.
* Demonstrated success building and supporting AI solutions in enterprise environments.
**Education**
* Bachelor’s degree in a related field preferred.
* If no degree, an additional 4 years of relevant work experience is required.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76">
      <c r="A76" t="inlineStr">
        <is>
          <t>li-4367047576</t>
        </is>
      </c>
      <c r="B76" t="inlineStr">
        <is>
          <t>AI/ML Engineer</t>
        </is>
      </c>
      <c r="C76" t="inlineStr">
        <is>
          <t>Jobs via Dice</t>
        </is>
      </c>
      <c r="D76" t="inlineStr">
        <is>
          <t>linkedin</t>
        </is>
      </c>
      <c r="E76">
        <f>HYPERLINK("https://www.linkedin.com/jobs/view/4367047576", "https://www.linkedin.com/jobs/view/4367047576")</f>
        <v/>
      </c>
      <c r="F76" t="inlineStr"/>
      <c r="G76" t="inlineStr">
        <is>
          <t>Eagle Mountain, UT</t>
        </is>
      </c>
      <c r="H76" t="inlineStr"/>
      <c r="I76" t="inlineStr">
        <is>
          <t>Dice is the leading career destination for tech experts at every stage of their careers. Our client, INSPYR Solutions, is seeking the following. Apply via Dice today!
 Title: AI/ML Engineer
 Location: Lehi, UT (Hybrid: 4 days onsite / 1 day remote)
 Duration: Long Term Contract
 Work Requirements: , Holders or Authorized to Work in the U.S.
 \*\*Currently, this position is not open to H\-1B sponsorship for candidates or candidates requiring visa sponsorship due to the clients request\*\*
 We are building next\-generation smart home intelligence. We are seeking a highly skilled Staff AI Engineer to design and deploy multimodal computer vision and vision\-language systems that power image and video captioning, person and object re\-identification, and customizable security event detection. This role spans the full machine learning lifecycle from data pipelines and model development to deployment on edge devices and cloud platforms.
**Key Responsibilities**
* Design, train, fine\-tune, and deploy computer vision and multimodal models for image captioning, video description, object and person re\-identification, and security event detection.
* Develop vision\-language and embedding\-based systems using architectures such as transformers, CLIP, BLIP, contrastive learning frameworks, and deep metric learning models.
* Build and maintain scalable data pipelines for image and video collection, annotation, curation, augmentation, and quality validation.
* Develop discriminative embedding models and tracking pipelines that enable cross\-camera and cross\-session identity continuity.
* Implement action recognition and behavior detection models to identify security\-relevant activities and support customizable user\-defined detection rules.
* Integrate AI models into edge devices and cloud services while optimizing for latency, accuracy, power consumption, and reliability.
* Collaborate with embedded, backend, frontend, product, and UX teams to deliver production\-ready AI capabilities.
* Design and maintain evaluation frameworks using automated metrics and human review to measure accuracy, robustness, and real\-world performance.
* Monitor deployed models for drift, bias, false positives, and system performance, and continuously iterate based on feedback and telemetry.
* Implement privacy\-conscious and ethical AI practices including on\-device inference, data minimization, and secure handling of sensitive visual data.
**Required Qualifications**
* Bachelor's or Master's degree in Computer Science, Electrical Engineering, Data Science, Machine Learning, or a related field.
* Three or more years of hands\-on experience building production machine learning or computer vision systems.
* Strong foundation in deep learning, computer vision, and machine learning including CNNs, transformers, metric learning, and representation learning.
* Experience working with image and video datasets, annotation workflows, and large\-scale training pipelines.
* Proficiency in Python and experience using frameworks such as PyTorch or TensorFlow.
* Experience deploying models into production environments including cloud services and edge or embedded platforms.
* Strong problem\-solving skills and ability to communicate technical concepts clearly to cross\-functional stakeholders.
**Preferred Qualifications**
* Experience with multimodal models, vision\-language systems, and retrieval\-based architectures.
* Familiarity with vector databases and similarity search for embedding storage and retrieval.
* Experience optimizing models for real\-time inference including quantization, pruning, and hardware acceleration.
* Knowledge of privacy\-preserving machine learning techniques such as federated learning or differential privacy.
* Experience with multimedia processing pipelines and tools such as FFmpeg, GStreamer, CVAT, or Label Studio.
* Exposure to sensor fusion techniques combining vision with audio or other modalities.
* Background in accessibility, content moderation, or user experience driven AI applications.
**Our benefits package includes:**
* Comprehensive medical benefits
* Competitive pay
* 401(k)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t>
        </is>
      </c>
    </row>
    <row r="77">
      <c r="A77" t="inlineStr">
        <is>
          <t>li-4367033845</t>
        </is>
      </c>
      <c r="B77" t="inlineStr">
        <is>
          <t>AI Engineer</t>
        </is>
      </c>
      <c r="C77" t="inlineStr">
        <is>
          <t>Jobs via Dice</t>
        </is>
      </c>
      <c r="D77" t="inlineStr">
        <is>
          <t>linkedin</t>
        </is>
      </c>
      <c r="E77">
        <f>HYPERLINK("https://www.linkedin.com/jobs/view/4367033845", "https://www.linkedin.com/jobs/view/4367033845")</f>
        <v/>
      </c>
      <c r="F77">
        <f>HYPERLINK("https://click.appcast.io/t/VWxx_NZiLytIqheKRtpQpu0Sm05YwnIysyTBEvYMMdw=&amp;urlHash=gpx_", "https://click.appcast.io/t/VWxx_NZiLytIqheKRtpQpu0Sm05YwnIysyTBEvYMMdw=&amp;urlHash=gpx_")</f>
        <v/>
      </c>
      <c r="G77" t="inlineStr"/>
      <c r="H77" t="inlineStr"/>
      <c r="I77"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**AI Engineer** 
 for a Full\-Time position.
****Job Overview:****
 The CIO Human Resources Tech Services (HRTS) team is focused on leveraging technology to optimize HR business functions, including recruitment, employee engagement, performance management, and data analytics. The integration of AI technologies is essential to streamline these processes and provide data\-driven insights.
**Key Responsibilities**
* Conduct a thorough assessment of the current HRTS applications landscape and document existing gaps and opportunities for AI and automation
* Propose solutions and recommendations for system enhancements, including software updates, integrations, and process improvements
* Generate AI models and algorithms for HR\-related use cases
* Develop project documentation, including project plans, timelines, and progress reports
* Communicate effectively with team members, stakeholders, and business partners
****Required Experience and Skills****
* Four (4\) years of proven work experience as an AI Engineer or in a similar role
* Minimum of 3\-5 years of experience in software development leveraging AI, analytics support, and leadership responsibilities
* Hands\-on knowledge of the following technologies:
+ Oracle Forms/Reports
+ SAP ERP
+ WebSphere
+ Apache Tomcat
+ Java
+ Python
+ GitHub
****Educational Requirements****
* A four\-year degree from an accredited college or university in a relevant field is preferred
* If the resource does not have a relevant college degree, an additional four (4\) years of relevant work experience is required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 Employer. Employment is contingent upon successful completion of a background investigation.
 **Learn More** 
 about our Benefits and Culture!
 \#NAI \#DICE</t>
        </is>
      </c>
    </row>
    <row r="78">
      <c r="A78" t="inlineStr">
        <is>
          <t>li-4330972209</t>
        </is>
      </c>
      <c r="B78" t="inlineStr">
        <is>
          <t>Director, Tech Lead - AI Engineer</t>
        </is>
      </c>
      <c r="C78" t="inlineStr">
        <is>
          <t>Prudential Financial</t>
        </is>
      </c>
      <c r="D78" t="inlineStr">
        <is>
          <t>linkedin</t>
        </is>
      </c>
      <c r="E78">
        <f>HYPERLINK("https://www.linkedin.com/jobs/view/4330972209", "https://www.linkedin.com/jobs/view/4330972209")</f>
        <v/>
      </c>
      <c r="F78" t="inlineStr"/>
      <c r="G78" t="inlineStr">
        <is>
          <t>Newark, NJ</t>
        </is>
      </c>
      <c r="H78" t="inlineStr"/>
      <c r="I78" t="inlineStr">
        <is>
          <t>**Job Classification**
 Technology \- Engineering \&amp; Cloud
 The Engineering team is seeking a Senior Level candidate to lead the adoption and enablement of Claude Code and AI\-powered development tools across Prudential. This exciting position will offer a qualified individual the opportunity to lead a team of engineers who are passionate about leveraging cutting\-edge AI technology to transform the software development lifecycle and enhance developer productivity.
 We are looking for someone who is self\-motivated, has a passion for emerging AI technologies, strong presentation skills, and a desire to drive organizational change through innovative tooling and best practices.
 The successful candidate will work on defining, building, and maintaining a comprehensive Claude Code ecosystem that includes custom plugins, skills, sub\-agents, and slash commands. They will also be responsible for keeping the organization at the forefront of AI trends in the SDLC space.
 This position requires an individual with strong analytical, programming, problem\-solving, organizational, technical, and communication skills who must be able to work on complex projects with minimal guidance while effectively communicating progress to leadership and stakeholders.
**What You Will Do**
* Demonstrate leadership experience managing teams focused on developer tooling, automation, and AI\-powered development platforms
* Effectively lead a team responsible for architecting, building, maintaining, and supporting Claude Code plugins, skills, sub\-agents, and custom commands
* Manage a highly technical Agile Delivery Team focused on AI tooling and developer experience
* Strong experience with AI development tools, prompt engineering, and LLM integration patterns
* Deliver end\-to\-end solutions using innovative approaches to integrate AI capabilities into the SDLC
* Design and implement custom Claude Code extensions including:
* MCP (Model Context Protocol) servers and integrations
* Custom skills for specialized workflows
* Sub\-agents for autonomous task completion
* Slash commands for streamlined developer workflows
* Work with internal and external stakeholders to continuously improve upon AI tooling capabilities and develop technology roadmaps
**Evangelization and Training**
* Create and deliver compelling presentations to leadership and stakeholders on Claude Code adoption metrics, ROI, and strategic initiatives
* Run regular office hours to support developers and answer questions about Claude Code capabilities
* Develop comprehensive training materials including documentation, tutorials, video content, and hands\-on workshops
* Evangelize AI best practices and trends in the SDLC space including AI\-assisted development, prompt engineering, autonomous agents, and workflow automation
* Build a community of practice around AI\-powered development tools within Prudential
**Innovation and Trend Monitoring**
* Stay current with the latest AI trends, tools, and best practices in software development
* Evaluate emerging AI technologies and their potential application to Prudential's development workflows
* Assess and evaluate MCP servers and integrations for security, reliability, and enterprise fit
* Identify opportunities to leverage AI for improving code quality, security, testing, and deployment processes
* Drive continuous innovation in how development teams leverage AI capabilities
**Governance and Best Practices**
* Establish security and compliance guidelines for AI tool usage
* Define standards for prompt engineering, agent development, and integration patterns
* Implement metrics and monitoring to track adoption, usage patterns, and productivity gains
* Work with InfoSec and compliance teams to ensure AI tool usage meets enterprise requirements
**What You Bring**
* At least 5 \- 8 years of experience working in technology and 2 \- 4 years of technical leadership experience
* Extensive development/automation experience in an enterprise environment, either through 1st person implementation or driving a team that achieved such outcomes
* Demonstrated experience with AI/LLM tools and platforms (Claude, ChatGPT, Copilot, or similar)
* Strong programming background in multiple languages (Python, JavaScript/TypeScript, Java, etc.)
* Fluency with Agile Delivery methodologies
* Proven ability to create technical training content and deliver presentations to diverse audiences
* Experience running office hours, workshops, or technical enablement sessions
* Strong written and verbal communication skills with ability to influence at all organizational levels
**Technical Skills**
* Hands\-on experience with Claude Code or similar AI development tools
* Strong technical troubleshooting and problem\-solving skills
* Knowledge of the Model Context Protocol (MCP) and building MCP servers
* Experience evaluating and integrating MCP servers from various sources
* Familiarity with AI agent frameworks and autonomous agent development
* Understanding of prompt engineering principles and best practices
* Experience with DevOps, CI/CD pipelines, and development automation
* Knowledge of VS Code extensions, IDE integrations, or developer tooling
**Soft Skills**
* Ability to process new concepts and technologies quickly; has an appetite for learning in the fast\-moving AI space
* Ability to communicate complex technical concepts clearly to non\-technical audiences
* A problem\-solving mindset with skills and attributes to find the most appropriate solutions that bring desired change/outcomes
* Exceptional presentation and communication skills; comfortable presenting to executive leadership
* Patient and empathetic when teaching and enabling others
* A passion to provide world\-class developer experience and customer service
* Self\-directed with ability to work independently while also being a strong collaborator
* Bachelor's or Master's degree in Computer Science/Information Systems or related technical field
**Bonus Qualifications**
* Previous experience as a software engineer or developer advocate
* Experience building developer tools, IDE extensions, or CLI applications
* Background in machine learning, NLP, or AI/ML engineering
* Knowledge of Site Reliability Engineering (SRE) capabilities like observability, monitoring, and error budgeting
* Experience with enterprise\-scale tool adoption and change management initiatives
* Contributions to open\-source AI or developer tooling projects
* Speaking experience at technical conferences or meetups
* Experience creating video tutorials or technical content for developer audiences
 Success Metrics
**Success In This Role Will Be Measured By**
* Claude Code adoption rates across Prudential development teams
* Number and quality of custom plugins, skills, and commands developed
* Developer satisfaction scores and productivity improvements
* Quality and reach of training materials and office hours participation
* Stakeholder feedback on presentations and communications
* Innovation in applying AI to solve real development challenges
 \*\*Join us in shaping the future of software development at Prudential through the power of AI!\*\*
**What We Offer You**
 Prudential is required by state specific laws to include the salary range for this role when hiring a resident in applicable locations. The salary range for this role is from $171,500\.00 to $257,300\.00\. Specific pricing for the role may vary within the above range based on many factors including geographic location, candidate experience, and skills.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2026-01-30T03:10:43Z</dcterms:created>
  <dcterms:modified xsi:type="dcterms:W3CDTF">2026-01-30T03:10:43Z</dcterms:modified>
</cp:coreProperties>
</file>