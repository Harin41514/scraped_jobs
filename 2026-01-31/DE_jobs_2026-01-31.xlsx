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in-2df60ee61906668a</t>
        </is>
      </c>
      <c r="B2" t="inlineStr">
        <is>
          <t>Data engineer</t>
        </is>
      </c>
      <c r="C2" t="inlineStr">
        <is>
          <t>Stacklogy</t>
        </is>
      </c>
      <c r="D2" t="inlineStr">
        <is>
          <t>indeed</t>
        </is>
      </c>
      <c r="E2" t="inlineStr"/>
      <c r="F2" t="inlineStr"/>
      <c r="G2" t="inlineStr">
        <is>
          <t>US</t>
        </is>
      </c>
      <c r="H2" s="2" t="n">
        <v>46052</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in-e7bf61bcde408011</t>
        </is>
      </c>
      <c r="B3" t="inlineStr">
        <is>
          <t>Data Engineer, Global Planning, Amazon Leo</t>
        </is>
      </c>
      <c r="C3" t="inlineStr">
        <is>
          <t>Amazon.com</t>
        </is>
      </c>
      <c r="D3" t="inlineStr">
        <is>
          <t>indeed</t>
        </is>
      </c>
      <c r="E3" t="inlineStr"/>
      <c r="F3" t="inlineStr"/>
      <c r="G3" t="inlineStr">
        <is>
          <t>Bellevue, WA, US</t>
        </is>
      </c>
      <c r="H3" s="2" t="n">
        <v>46037</v>
      </c>
      <c r="I3"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4">
      <c r="A4" t="inlineStr">
        <is>
          <t>in-bc3b83d810e01f74</t>
        </is>
      </c>
      <c r="B4" t="inlineStr">
        <is>
          <t>Data Engineer, Global Planning, Amazon Leo</t>
        </is>
      </c>
      <c r="C4" t="inlineStr">
        <is>
          <t>Amazon.com</t>
        </is>
      </c>
      <c r="D4" t="inlineStr">
        <is>
          <t>indeed</t>
        </is>
      </c>
      <c r="E4" t="inlineStr"/>
      <c r="F4" t="inlineStr"/>
      <c r="G4" t="inlineStr">
        <is>
          <t>Arlington, VA, US</t>
        </is>
      </c>
      <c r="H4" s="2" t="n">
        <v>46037</v>
      </c>
      <c r="I4" t="inlineStr">
        <is>
          <t>**DESCRIPTION**
---------------
Amazon Leo is an initiative to increase global broadband access through a constellation of 3,236 satellites in low Earth orbit.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We are looking for a Data Engineer in Leo's Global Planning team to build enterprise\-grade data infrastructure and data assets that will support Leo's Demand Science \&amp; Forecasting models and capacity planning \&amp; simulation systems. You will be responsible to design and implement Data Architecture, using latest AWS services and to develop production level ETL pipelines from external and internal sources / APIs. This role will be instrumental in helping Leo execute on its business plans globally and requires high level of operational excellence with a relentless focus on delivering results.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Amazon Leo Global Planning team designs and builds systems that support forecasting, management and optimization of Leo's demand, bandwidth capacity and physical inventory across customer segments and channels, worldwide.**BASIC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\- 132,100\.00 \- 178,800\.00 USD annually  
USA, WA, Bellevue \- 132,100\.00 \- 178,800\.00 USD annually</t>
        </is>
      </c>
    </row>
    <row r="5">
      <c r="A5" t="inlineStr">
        <is>
          <t>in-0e94d647bba5401f</t>
        </is>
      </c>
      <c r="B5" t="inlineStr">
        <is>
          <t>Data Engineer, Denied Party Screening, AWS Compliance &amp; Security Assurance</t>
        </is>
      </c>
      <c r="C5" t="inlineStr">
        <is>
          <t>Amazon.com</t>
        </is>
      </c>
      <c r="D5" t="inlineStr">
        <is>
          <t>indeed</t>
        </is>
      </c>
      <c r="E5" t="inlineStr"/>
      <c r="F5" t="inlineStr"/>
      <c r="G5" t="inlineStr">
        <is>
          <t>Dallas, TX, US</t>
        </is>
      </c>
      <c r="H5" s="2" t="n">
        <v>46029</v>
      </c>
      <c r="I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6">
      <c r="A6" t="inlineStr">
        <is>
          <t>in-d2f761fb3a1aa3a0</t>
        </is>
      </c>
      <c r="B6" t="inlineStr">
        <is>
          <t>Data Engineer, Denied Party Screening, AWS Compliance &amp; Security Assurance</t>
        </is>
      </c>
      <c r="C6" t="inlineStr">
        <is>
          <t>Amazon.com</t>
        </is>
      </c>
      <c r="D6" t="inlineStr">
        <is>
          <t>indeed</t>
        </is>
      </c>
      <c r="E6" t="inlineStr"/>
      <c r="F6" t="inlineStr"/>
      <c r="G6" t="inlineStr">
        <is>
          <t>Seattle, WA, US</t>
        </is>
      </c>
      <c r="H6" s="2" t="n">
        <v>46029</v>
      </c>
      <c r="I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7">
      <c r="A7" t="inlineStr">
        <is>
          <t>in-ae2d1ecf259633ce</t>
        </is>
      </c>
      <c r="B7" t="inlineStr">
        <is>
          <t>Data Engineer</t>
        </is>
      </c>
      <c r="C7" t="inlineStr">
        <is>
          <t>Amazon.com</t>
        </is>
      </c>
      <c r="D7" t="inlineStr">
        <is>
          <t>indeed</t>
        </is>
      </c>
      <c r="E7" t="inlineStr"/>
      <c r="F7" t="inlineStr"/>
      <c r="G7" t="inlineStr">
        <is>
          <t>San Francisco, CA, US</t>
        </is>
      </c>
      <c r="H7" s="2" t="n">
        <v>46001</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in-e5457e36672de512</t>
        </is>
      </c>
      <c r="B8" t="inlineStr">
        <is>
          <t>Data Engineer</t>
        </is>
      </c>
      <c r="C8" t="inlineStr">
        <is>
          <t>Amazon.com</t>
        </is>
      </c>
      <c r="D8" t="inlineStr">
        <is>
          <t>indeed</t>
        </is>
      </c>
      <c r="E8" t="inlineStr"/>
      <c r="F8" t="inlineStr"/>
      <c r="G8" t="inlineStr">
        <is>
          <t>Seattle, WA, US</t>
        </is>
      </c>
      <c r="H8" s="2" t="n">
        <v>46001</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in-f9ac6ef5110b24b5</t>
        </is>
      </c>
      <c r="B9" t="inlineStr">
        <is>
          <t>Delivery Consultant - Data Engineer, Data and Machine Learning, WWPS US Federal</t>
        </is>
      </c>
      <c r="C9" t="inlineStr">
        <is>
          <t>Amazon Web Services</t>
        </is>
      </c>
      <c r="D9" t="inlineStr">
        <is>
          <t>indeed</t>
        </is>
      </c>
      <c r="E9" t="inlineStr"/>
      <c r="F9" t="inlineStr"/>
      <c r="G9" t="inlineStr">
        <is>
          <t>Arlington, VA, US</t>
        </is>
      </c>
      <c r="H9" s="2" t="n">
        <v>45991</v>
      </c>
      <c r="I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in-df38729f20856db0</t>
        </is>
      </c>
      <c r="B10" t="inlineStr">
        <is>
          <t>Delivery Consultant - Data Engineer, Data and Machine Learning, WWPS US Federal</t>
        </is>
      </c>
      <c r="C10" t="inlineStr">
        <is>
          <t>Amazon Web Services</t>
        </is>
      </c>
      <c r="D10" t="inlineStr">
        <is>
          <t>indeed</t>
        </is>
      </c>
      <c r="E10" t="inlineStr"/>
      <c r="F10" t="inlineStr"/>
      <c r="G10" t="inlineStr">
        <is>
          <t>Herndon, VA, US</t>
        </is>
      </c>
      <c r="H10" s="2" t="n">
        <v>45991</v>
      </c>
      <c r="I1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in-8ce95ebc6f8b837b</t>
        </is>
      </c>
      <c r="B11" t="inlineStr">
        <is>
          <t>SCM Analytics Engineer</t>
        </is>
      </c>
      <c r="C11" t="inlineStr">
        <is>
          <t>Southern Glazer’s Wine &amp; Spirits</t>
        </is>
      </c>
      <c r="D11" t="inlineStr">
        <is>
          <t>indeed</t>
        </is>
      </c>
      <c r="E11">
        <f>HYPERLINK("https://www.indeed.com/viewjob?jk=8ce95ebc6f8b837b", "https://www.indeed.com/viewjob?jk=8ce95ebc6f8b837b")</f>
        <v/>
      </c>
      <c r="F11">
        <f>HYPERLINK("https://recruiting.southernglazers.com/job/Miami-SCM-Analytics-Engineer-FL-33169/1313956400/?feedId=364800&amp;utm_source=Indeed&amp;utm_campaign=SWS_Indeed", "https://recruiting.southernglazers.com/job/Miami-SCM-Analytics-Engineer-FL-33169/1313956400/?feedId=364800&amp;utm_source=Indeed&amp;utm_campaign=SWS_Indeed")</f>
        <v/>
      </c>
      <c r="G11" t="inlineStr">
        <is>
          <t>Miami, FL, US</t>
        </is>
      </c>
      <c r="H11" s="3" t="n">
        <v>46052</v>
      </c>
      <c r="I11" t="inlineStr">
        <is>
          <t>**What You Need To Know**
-------------------------
Shape a remarkable future with us. Build a career working for an industry leader that truly invests in their people – and equips them with leading technology, continuous learning, and the ability to bring their best selves to work. As the premier wine and spirits distributor, Southern Glazer’s isn't just one of Forbes’ Top Private Companies; it's a family\-owned business with deep roots dating back to 1933\.
The reputation of Southern Glazer’s is well\-established, and it's no surprise that we are regularly recognized for our culture. Southern Glazer’s has been recognized by Newsweek as one of America’s Greatest Workplaces for Inclusion and Diversity, as well as for Women and Parents and Families. These accolades speak volumes about our commitment to creating a supportive and inclusive culture of belonging for all employees.
As a full\-time employee, you can choose from a wide\-ranging menu of our Top Shelf Benefits, including comprehensive medical and prescription drug coverage, dental and vision plans, tax\-saving Flexible Spending Accounts, disability coverage, life insurance plans, and a 401(k) plan. We also offer tuition assistance, a wellness program, parental leave, vacation accrual, paid sick leave, and more.
By joining Southern Glazer’s, you would be part of a team that values excellence, innovation, and community. This is more than just a job – it's an opportunity to build the future of beverage distribution and grow with a company that truly cares about its people.
 **Must be eligible to work as a full\-time employee in the US without sponsorship.**
**Overview**
------------
The SCM Analytics Developer will partner with functional members of Supply Chain to understand the current and future business requirements. They will be responsible for gathering data across various sources, analyzing it, and providing insights used for informed decision\-making. They will ensure the appropriate use of analytical tools so that analysis and reporting are accurate, timely, thorough, and professional. They will also optimize existing data processes and resources, setting clear goals and benchmarks for improvement, development, and effective management of sound business practices.
**Primary Responsibilities**
----------------------------
* Develop reporting on SAP Business Objects, Tableau Dashboards, and create Excel refreshable files through Open Database Connectivity (ODBC) connections and Power Queries
* Automate processes using Amazon Web Services (AWS), including Step Functions, EventBridge, Simple Storage Service (S3\) Buckets, and AWS Glue. Additionally, leveraged SharePoint Site services—such as lists and workflows—integrated through Power Automate
* Maintain data quality through identifying issues, removing duplicates, data cleansing, and enriching data quality
* Develop, design, and manage efficient processes, tabular reports, list reports, score cards, dynamic models, and dashboards that effectively monitor various key performance indicators (KPI)s and assist the supply chain business teams
* Apply the appropriate use of analytical tools to optimize reporting for current business requirements and create new processes and solutions for future business requirements
* Provide mentoring and support to other analysts to assist in their development surrounding data, processes, reporting, and utilizing self\-service tools
* Assist with timely, accurate, pertinent information and analysis, as well as aid in monitoring, evaluating, and improving performance and related metrics of the Supply Chain
**Additional Primary Responsibilities**
---------------------------------------
* Support the long\-term vision of the supply chain through the effective implementation of data reporting
* Ability to understand and translate data into business insights
* Summarize analysis and findings for users
* Ability to join data from multiple systems and sources through the use of Excel, SQL, Python, AWS services, and other components
* Ability to mine large sets of data analytics and insights
* Perform other job\-related duties as assigned
**Minimum Qualifications**
--------------------------
* Bachelor’s Degree and three years of experience or equivalent education and related experience
* Experience in data preparation, blending, discovery, and visualization using modern BI \&amp; Analytics tools such as AWS services like Step Functions, Glue, Sage Maker, and other components, SAP Business Objects, Tableau, Alteryx, and Excel
* Expert knowledge in Excel, including pivot tables, Power Queries, vlookup, and other advanced formulas
* Intermediate knowledge of SQL (Joins, Stored Procedures, Views, Jobs, and Troubleshooting)
* Experience developing, improving, and streamlining processes and reporting
* Thorough analytical, investigative, and problem\-solving skills
* Timeliness, accuracy, and professionalism
**Physical Demands**
--------------------
* Physical demands include a considerable amount of time sitting and typing/keyboarding, using a computer (e.g., keyboard, mouse, and monitor), or a mobile device
* Physical demands with activity or condition may occasionally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\#LI\-JL1
 *If you have any questions or concerns about whether this posting complies/adheres with local pay transparency requirements, please contact the SGWS talent acquisition team at NationalTA@sgws.com*</t>
        </is>
      </c>
    </row>
    <row r="12">
      <c r="A12" t="inlineStr">
        <is>
          <t>in-26b4b869298e3758</t>
        </is>
      </c>
      <c r="B12" t="inlineStr">
        <is>
          <t>Cost Allocation Data Engineer</t>
        </is>
      </c>
      <c r="C12" t="inlineStr">
        <is>
          <t>Inabia Software &amp; Consulting Inc.</t>
        </is>
      </c>
      <c r="D12" t="inlineStr">
        <is>
          <t>indeed</t>
        </is>
      </c>
      <c r="E12">
        <f>HYPERLINK("https://www.indeed.com/viewjob?jk=26b4b869298e3758", "https://www.indeed.com/viewjob?jk=26b4b869298e3758")</f>
        <v/>
      </c>
      <c r="F12">
        <f>HYPERLINK("https://inabia.applytojob.com/apply/30zGpi4z55/Cost-Allocation-Data-Engineer?source=INDE&amp;~", "https://inabia.applytojob.com/apply/30zGpi4z55/Cost-Allocation-Data-Engineer?source=INDE&amp;~")</f>
        <v/>
      </c>
      <c r="G12" t="inlineStr">
        <is>
          <t>Remote, US</t>
        </is>
      </c>
      <c r="H12" s="3" t="n">
        <v>46052</v>
      </c>
      <c r="I12" t="inlineStr">
        <is>
          <t>**Cost Allocation Data Engineer*** Location: US Remote
* Compensation: Up to $55/hour \- W2
* Work Authorization: U.S. Citizen or Green Card only (no sponsorship available)
**Why This Role Matters**  
This is not a standard data engineering role.  
As a Cost Allocation Data Engineer, you will sit at the intersection of cloud economics, financial modeling, and data engineering, building the core allocation logic that enables show back and chargeback across complex cloud environments. Your work will directly influence how business leaders understand, govern, and optimize cloud spend.  
This is the most business\-logic\-intensive engineering role on the team, ideal for someone who thrives on translating financial concepts into scalable, auditable data models.  
**What You’ll Do**  
Core Engineering Responsibilities  
You will design and build the data foundations that power cost transparency and accountability:* Design and implement a cost allocation rule engine supporting:
	+ Tag\-based attribution
	+ Account/subscription\-based mappings
	+ Custom business\-defined allocation rules
* Build amortization models for upfront cloud commitments:
	+ 1\-year and 3\-year reservations
	+ Prepaid and committed\-use discounts
* Implement shared cost distribution models, including:
	+ Proportional allocation
	+ Even split
	+ Fixed\-coefficient weighting
* Create attribution logic for untagged costs, leveraging:
	+ Account ownership
	+ Usage heuristics
	+ Business metadata
* Develop budget vs. actual variance models to support cost governance
* Design forecasting input models using historical trends and seasonality
* Ensure all models align with accounting principles, including:
	+ Period alignment
	+ Matching principle
	+ Accrual and amortization logic
**What You Bring**  
Experience* 5–7 years of hands\-on data engineering experience
* Proven experience building chargeback and/or showback systems
* Strong exposure to cloud cost allocation in enterprise environments
* Prior work supporting FinOps, Finance, or Cost Management teams is highly preferred
Technical Expertise* Expert\-level SQL (complex joins, window functions, performance tuning)
* Strong dimensional data modeling skills (facts, dimensions, slowly changing dimensions)
* Experience with modern data modeling tools such as:
	+ dbt
	+ LookML
	+ or equivalent frameworks
* Deep understanding of FinOps cost allocation methodologies
* Solid grasp of financial accounting concepts, including:
	+ Amortization
	+ Accruals
	+ Budgeting and variance analysis
**What Sets You Apart*** You think in business rules, not just pipelines
* You can explain financial models clearly to both engineers and finance stakeholders
* You build data models that are:
	+ Auditable
	+ Explainable
	+ Scalable
* You’ve worked in environments where cost transparency directly impacts executive decisions
**Why Join*** Work on high\-visibility, mission\-critical financial data models
* Fully remote U.S.\-based role
* Collaborate with senior FinOps, Finance, and Engineering leaders
* Opportunity to shape the foundation of enterprise cloud cost governance
30zGpi4z55</t>
        </is>
      </c>
    </row>
    <row r="13">
      <c r="A13" t="inlineStr">
        <is>
          <t>in-573e05ba7fe7c5bd</t>
        </is>
      </c>
      <c r="B13" t="inlineStr">
        <is>
          <t>BI Data Engineer III</t>
        </is>
      </c>
      <c r="C13" t="inlineStr">
        <is>
          <t>McLane Company</t>
        </is>
      </c>
      <c r="D13" t="inlineStr">
        <is>
          <t>indeed</t>
        </is>
      </c>
      <c r="E13">
        <f>HYPERLINK("https://www.indeed.com/viewjob?jk=573e05ba7fe7c5bd", "https://www.indeed.com/viewjob?jk=573e05ba7fe7c5bd")</f>
        <v/>
      </c>
      <c r="F13">
        <f>HYPERLINK("https://click.appcast.io/t/-FIEY5yHMX7BqSBK1cuTbpjXwESlQNC_CK5O1UsU_l0=", "https://click.appcast.io/t/-FIEY5yHMX7BqSBK1cuTbpjXwESlQNC_CK5O1UsU_l0=")</f>
        <v/>
      </c>
      <c r="G13" t="inlineStr">
        <is>
          <t>Temple, TX, US</t>
        </is>
      </c>
      <c r="H13" s="3" t="n">
        <v>46052</v>
      </c>
      <c r="I13" t="inlineStr">
        <is>
          <t>**Moving America forward \- together.**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The Data Engineer III is a hybrid remote position which will require the candidate to report and work from the office three days a week. Therefore, interested candidates should be within a 50\-minute radius from Temple, TX.  
**Position Overview:**  
Develop and maintain data processing software. Responsibilities include creating and optimizing data infrastructure, clean, prepare, and optimizes data for further analysis and modelling. Designs, develops, optimizes, and maintains data architecture and pipelines that adhere to Data Pipeline (i.e., ELT) principles and business goals. Lead complex data engineering projects and provide strategic guidance.  
**Benefits you can count on:**  
* Day 1 Benefits: medical, dental, and vision insurance, FSA/HSA, and company\-paid life insurance
* Paid holidays, earn vacation time, and sick leave accrual from day one.
* 401(k) Profit Sharing Plan after 90 days.
* Additional benefits: pet insurance, maternity/paternity leave, employee assistance programs, discount programs, tuition reimbursement program, and more!
**Essential Job Functions/Principal Accountabilities:**  
* Designs, develops, optimizes, and maintains data architecture and pipelines that adhere to ELT principles and business goals.
* Solves complex data problems to delivers insights that helps business achieve its goals.
* Architect and implement end\-to\-end data solutions.
* Define data engineering best practices and standards.
* Mentor junior engineers and collaborate with cross\-functional teams.
* Creates data products for engineer, analyst, and data scientist team members to accelerate their productivity.
* Engineer effective features for modelling in close collaboration with data scientists and businesses.
* Leads the evaluation, implementation and deployment of emerging tools and process for analytics data engineering to improve productivity and quality.
* Partners with machine learning engineers, BI, and solutions architects to develop technical architectures for strategic enterprise projects and initiatives.
* Fosters a culture of sharing, re\-use, design for scale stability, and operational efficiency of data and analytical solutions.
* Advises, consults, mentors, and coach other data and analytic professionals on data standards and practices.
* Develops and delivers communication and education plans on analytic data engineering capabilities, standards, and processes.
* Understands machine learning, data science, computer vision, artificial intelligence, statistics, and/or applied mathematics as necessary to conduct role effectively.
* Performs other duties as assigned.
**Minimum Skills \&amp; Qualifications:**  
* Bachelor's degree in computer science, statistics, engineering, or a related field.
* 7 plus years of experience required.
* Deep understanding of distributed computing, data architecture, and scalability.
* Strong critical thinking skills and ability to address big data challenges.
* Leadership and project management abilities.
* Proficiency in designing and maintaining data warehouses and/or data lakes with big data technologies such as Spark/Databricks, or distributed databases, like Redshift and Snowflake, and experience with housing, accessing, and transforming data in a variety of relational databases.  
Proficiency in building data pipelines and deploying/maintaining them following modern DE best practices (e.g., DBT, Airflow, Spark, Python OSS Data Ecosystem).
* Proficiency in Software Engineering fundamentals and software development tooling (e.g., Git, CI/CD, JIRA) and familiarity with the Linux operating system and the Bash/Z shell.
* Proficiency with cloud database technologies (e.g., Azure) and developing solutions on cloud computing services and infrastructure in the data and analytics space.
* Basic familiarity with BI tools (e.g., Alteryx, Tableau, Power BI, Looker).
* Expertise in ELT and data analysis, SQL primarily.
* Conceptual knowledge of data and analytics, such as dimensional modelling, reporting tools, data governance, and structured and unstructured data.
**Working Conditions:**  
* Office environment
Candidates may be subject to a background check and drug screen, in accordance with applicable laws.
All applicants will receive consideration for employment without regard to age, race, color, religion, sex, sexual orientation, gender identity, national origin, disability, or status as a protected veteran.
For our complete EEO and Pay Transparency statement, please visit https://www.mclaneco.com/legal/employment/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li-4361294764</t>
        </is>
      </c>
      <c r="B2" t="inlineStr">
        <is>
          <t>Data Engineer I</t>
        </is>
      </c>
      <c r="C2" t="inlineStr">
        <is>
          <t>Cox Automotive Inc.</t>
        </is>
      </c>
      <c r="D2" t="inlineStr">
        <is>
          <t>linkedin</t>
        </is>
      </c>
      <c r="E2" t="inlineStr"/>
      <c r="F2" t="inlineStr"/>
      <c r="G2" t="inlineStr">
        <is>
          <t>Austin, TX</t>
        </is>
      </c>
      <c r="H2" t="inlineStr"/>
      <c r="I2"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3">
      <c r="A3" t="inlineStr">
        <is>
          <t>li-4367946284</t>
        </is>
      </c>
      <c r="B3" t="inlineStr">
        <is>
          <t>Data Engineer</t>
        </is>
      </c>
      <c r="C3" t="inlineStr">
        <is>
          <t>Best Job Tool</t>
        </is>
      </c>
      <c r="D3" t="inlineStr">
        <is>
          <t>linkedin</t>
        </is>
      </c>
      <c r="E3" t="inlineStr"/>
      <c r="F3" t="inlineStr"/>
      <c r="G3" t="inlineStr"/>
      <c r="H3" t="inlineStr"/>
      <c r="I3" t="inlineStr">
        <is>
          <t>**About The Company**
 HLS Trading is a dynamic and innovative organization dedicated to providing exceptional trading solutions across various sectors. With a strong commitment to excellence, integrity, and customer satisfaction, we have established ourselves as a trusted leader in the industry. Our company values foster a collaborative environment where creativity and professionalism thrive, enabling us to deliver top\-quality services and products to our clients worldwide. We continuously strive to expand our capabilities and stay ahead of market trends, ensuring sustainable growth and success for our team members and stakeholders.
**About The Role**
 We are seeking a highly motivated and detail\-oriented professional to join our team in the role of Trading Analyst. In this position, you will play a pivotal role in analyzing market trends, evaluating trading opportunities, and supporting our trading operations. The ideal candidate will possess strong analytical skills, a deep understanding of financial markets, and the ability to make data\-driven decisions. This role offers an excellent opportunity to work in a fast\-paced environment, collaborate with experienced professionals, and contribute to the strategic growth of HLS Trading. You will be responsible for monitoring market movements, preparing detailed reports, and providing insights that influence trading strategies.
**Qualifications**
 The ideal candidate should have a bachelor’s degree in Finance, Economics, Business Administration, or a related field. A minimum of 2\-3 years of experience in trading, financial analysis, or a similar role is preferred. Strong proficiency in financial software and tools such as MS Excel, Bloomberg, or other trading platforms is essential. Excellent analytical and problem\-solving skills, along with the ability to interpret complex data, are critical for success. Candidates should demonstrate strong communication skills, attention to detail, and the ability to work effectively under pressure. A proactive mindset and a passion for financial markets are highly valued.
**Responsibilities**
 As a Trading Analyst at HLS Trading, your primary responsibilities will include analyzing market data to identify trading opportunities, assessing risk factors, and supporting the execution of trading strategies. You will monitor market news and economic indicators to anticipate market movements and advise the trading team accordingly. Preparing comprehensive reports and presentations for internal stakeholders will be a key part of your role. Additionally, you will collaborate with traders, risk managers, and other departments to ensure seamless trading operations. Maintaining accurate records of trades and market analysis, adhering to compliance standards, and continuously updating your knowledge of market trends are also vital components of your responsibilities.
**Benefits**
 HLS Trading offers a competitive compensation package along with comprehensive benefits including health insurance, retirement plans, and paid time off. We provide ongoing professional development opportunities, including training programs and industry certifications, to support your career growth. Our work environment promotes work\-life balance, with flexible working arrangements and a supportive team culture. Additionally, employees have access to various wellness programs and resources aimed at fostering a healthy and productive workplace. We believe in recognizing and rewarding our employees’ contributions, ensuring a motivating and engaging work experience.
 Equal Opportunity
 HLS Trading is an equal opportunity employer. We are committed to creating an inclusive environment where all employees and applicants are treated with respect and fairness. We do not discriminate based on race, ethnicity, gender, age, disability, sexual orientation, religion, or any other protected characteristic. Our goal is to foster diversity and inclusion within our workforce, recognizing that different perspectives and backgrounds contribute to our overall success and innovation.</t>
        </is>
      </c>
    </row>
    <row r="4">
      <c r="A4" t="inlineStr">
        <is>
          <t>li-4367955289</t>
        </is>
      </c>
      <c r="B4" t="inlineStr">
        <is>
          <t>Data Engineer</t>
        </is>
      </c>
      <c r="C4" t="inlineStr">
        <is>
          <t>Intuitive Machines</t>
        </is>
      </c>
      <c r="D4" t="inlineStr">
        <is>
          <t>linkedin</t>
        </is>
      </c>
      <c r="E4" t="inlineStr"/>
      <c r="F4" t="inlineStr"/>
      <c r="G4" t="inlineStr">
        <is>
          <t>Houston, TX</t>
        </is>
      </c>
      <c r="H4" t="inlineStr"/>
      <c r="I4" t="inlineStr">
        <is>
          <t>Bay Area, CA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multiple NASA lunar missions in development and additional private missions on our manifest, we pride ourselves in supporting NASA, our customers, and the nation in paving the way to return humans to the surface of the Moon. Our world\-class team includes experts in all aspects of spacecraft subsystems design, development, and test, on\-orbit operations, and safety.
**About The Position**
 Intuitive Machines is seeking an experienced Data Engineer to lead the aggregation, integration, and administration of data across our enterprise manufacturing technology stack. This role can be based at our Bay Area facility or remotely in the US. This position will play a pivotal role in unifying data from our critical manufacturing systems—including CREO, TeamCenter, Solumina, SAP, and IFS—to enable analytics, reporting, and operational insights that drive spacecraft manufacturing excellence.
 We're looking for a hands\-on expert who can design and implement data pipelines, establish database operational standards, optimize enterprise system performance, and ensure data integrity across our manufacturing ecosystem. If you have deep expertise in PLM, MES, and ERP systems, with a strong background in database administration and data engineering, we want to hear from you.
**Responsibilities**
 Data Integration and Pipeline Development
* Design and implement data aggregation pipelines from CREO,TeamCenter,Solumina, SAP, and IFS into centralized data repositories.
* Establishdata integration standards, processes, and documentation for enterprise manufacturing systems.
* Develop ETL/ELT workflows to enable real\-time and batch data synchronization across platforms.
 Database Administration
* Administer and optimized databases supporting TeamCenter,Solumina, SAP, and IFS environments.
* Manage database performance tuning, backup and recovery procedures, and disaster recovery planning.
* Monitor database health, implement security controls, and ensure high availability of manufacturing systems.
 Enterprise Manufacturing Systems Support
* Serve as technical DBA for PLM (TeamCenter), MES (Solumina), and ERP (SAP, IFS) platforms.
* Configure and maintaindatabase connections, user access controls, and system integrations.
* Collaborate with application administrators to support system upgrades, patches, and migrations.
 Data Architecture and Governance
* Design data models and schemas that support manufacturing analytics and business intelligence initiatives.
* Establish data quality standards, validation rules, and master data management practices.
* Implement data governance aligned with aerospace manufacturing compliance requirements (AS9100, ITAR, etc.).
 Analytics and Reporting Infrastructure
* Build data warehouses or data lakes to enable cross\-system reporting and analytics.
* Create data marts optimized for manufacturing KPIs, production metrics, and supply chain visibility.
* Partner with business analysts and engineering teams to define reporting requirements and deliver actionable insights.
 Monitoring and Continuous Improvement
* Implement monitoring and alerting for data pipeline health and database performance.
* Continually evaluate data infrastructure for modernization, automation, and scalability improvements.
* Document technical procedures, runbooks, and system architecture diagrams.
**General Requirements**
* Must be a US Citizen or US Permanent Resident (ITAR requirement)
* Bachelor's Degree in Computer Science, Data Engineering, Information Systems, or related field. Four additional years of experience may be substituted for a degree.
* Minimum of 5 years of hands\-on experience in data engineering or database administration roles.
* Experience with PLM systems (TeamCenter, Windchill, or similar) and understanding of CAD data structures.
* Experience with MES platforms (Solumina,Camstar, or similar) and manufacturing execution workflows.
* Experience with ERP systems (SAP, IFS, Oracle EBS, or similar) and enterprise data models.
* Proficiency in SQL and database technologies (Oracle, SQL Server, PostgreSQL).
* Experience with ETL tools (Informatica, Talend, SSIS, or similar) or custom data pipeline development.
* Experience in scripting languages (Python, PowerShell, or similar) for data automation.
**Preferred Qualifications**
* Experience in aerospace, defense, or highly regulated manufacturing environments.
* Knowledge of CREO Parametric and its data management integration withTeamCenter.
* Experience with cloud data platforms (AWS Redshift/Glue, Azure Synapse, Snowflake, or Databricks).
* Familiarity with data visualization tools (Tableau, Power BI, or similar).
* Understanding of manufacturing data standards (MTConnect, ISA\-95, or similar).
* Experience with Agile development methodologies and DevOps practices for data infrastructure.
* Professional certifications such as Oracle DBA, Microsoft Certified: Azure Data Engineer Associate, AWS Certified Database – Specialty, or similar.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row>
    <row r="5">
      <c r="A5" t="inlineStr">
        <is>
          <t>li-4367937428</t>
        </is>
      </c>
      <c r="B5" t="inlineStr">
        <is>
          <t>Data Engineer</t>
        </is>
      </c>
      <c r="C5" t="inlineStr">
        <is>
          <t>Hirenza</t>
        </is>
      </c>
      <c r="D5" t="inlineStr">
        <is>
          <t>linkedin</t>
        </is>
      </c>
      <c r="E5" t="inlineStr"/>
      <c r="F5" t="inlineStr"/>
      <c r="G5" t="inlineStr"/>
      <c r="H5" t="inlineStr"/>
      <c r="I5" t="inlineStr">
        <is>
          <t>**About The Company**
 Ernst \&amp; Young Oman is a leading professional services firm dedicated to providing innovative solutions and strategic insights to clients across various industries. As part of the global Ernst \&amp; Young network, we leverage extensive industry expertise, cutting\-edge technology, and a commitment to excellence to help organizations navigate complex business challenges. Our firm values integrity, collaboration, and a client\-centric approach, fostering a dynamic environment where professionals can grow and make a meaningful impact.
**About The Role**
 We are seeking a highly motivated and detail\-oriented professional to join our team in Oman. The successful candidate will play a vital role in delivering high\-quality services to our clients, supporting project execution, and contributing to the growth of our practice. This position offers an excellent opportunity to work with a diverse portfolio of clients, develop your expertise in a collaborative environment, and advance your career within a globally recognized organization. The role requires strong analytical skills, effective communication, and a proactive attitude to meet the evolving needs of our clients and the firm.
**Qualifications**
* Bachelor’s degree in Accounting, Finance, Business Administration, or a related field. A professional qualification such as CPA, ACCA, or CFA is preferred.
* Minimum of 3\-5 years of relevant experience in assurance, advisory, or consulting services.
* Strong understanding of local and international accounting standards and regulatory requirements.
* Excellent analytical, problem\-solving, and organizational skills.
* Effective communication skills, both written and verbal, with the ability to present complex information clearly.
* Proficiency in MS Office Suite and familiarity with relevant audit or consulting software.
* Ability to work independently and as part of a team, managing multiple priorities in a fast\-paced environment.
**Responsibilities**
* Conduct comprehensive audits and assurance engagements in accordance with applicable standards and client requirements.
* Assist in the preparation of financial statements, reports, and documentation to ensure accuracy and compliance.
* Identify areas for process improvement and provide actionable recommendations to clients.
* Collaborate with team members and clients to gather information, analyze data, and develop strategic insights.
* Maintain up\-to\-date knowledge of industry trends, regulatory changes, and best practices to enhance service delivery.
* Support senior team members in business development activities, including proposal writing and client presentations.
* Ensure all work is completed within agreed timelines and adheres to quality standards.
**Benefits**
 Ernst \&amp; Young Oman offers a competitive compensation package complemented by a comprehensive benefits program. Employees enjoy health insurance coverage, paid leave, and opportunities for professional development through training programs and certifications. We foster a collaborative and inclusive work environment that encourages innovation, continuous learning, and career progression. Additionally, our firm provides flexible working arrangements and wellness initiatives aimed at promoting work\-life balance and overall well\-being.
 Equal Opportunity
 Ernst \&amp; Young Oman is committed to creating an inclusive workplace where diversity is valued and all employees are treated with respect and fairness. We provide equal employment opportunities regardless of race, gender, age, religion, disability, or background. Our recruitment and employment practices are designed to foster a culture of fairness and opportunity for all, ensuring that every individual can contribute to and thrive within our organization.</t>
        </is>
      </c>
    </row>
    <row r="6">
      <c r="A6" t="inlineStr">
        <is>
          <t>li-4367595322</t>
        </is>
      </c>
      <c r="B6" t="inlineStr">
        <is>
          <t>Data Engineer</t>
        </is>
      </c>
      <c r="C6" t="inlineStr">
        <is>
          <t>NavMD</t>
        </is>
      </c>
      <c r="D6" t="inlineStr">
        <is>
          <t>linkedin</t>
        </is>
      </c>
      <c r="E6" t="inlineStr"/>
      <c r="F6" t="inlineStr"/>
      <c r="G6" t="inlineStr">
        <is>
          <t>Overland Park, KS</t>
        </is>
      </c>
      <c r="H6" t="inlineStr"/>
      <c r="I6" t="inlineStr">
        <is>
          <t>**Build data that actually matters. We are looking for a Data Engineer who enjoys working with real\-world datasets, solving data quality challenges, and turning messy files into reliable, trusted insights. This role sits at the heart of our analytics platform and plays a critical role in validating, testing, and processing recurring healthcare data feeds that power smarter decisions for employers and advisors.** 
**If you are detail\-oriented, fluent in SQL, and enjoy collaborating across teams to ensure data integrity, this role is for you.** 
**What You Will Do** 
* Process recurring data files (daily, weekly, monthly) using Excel for initial review and preprocessing
* Write and optimize SQL queries to validate, test, and analyze data across multiple systems and databases
* Design and implement data validation checks to identify discrepancies, anomalies, and trends
* Partner with cross\-functional teams to understand data requirements and ensure quality standards are met
* Improve and scale data processing pipelines for efficiency and performance
* Troubleshoot data issues and deliver timely, practical solutions
* Document workflows, validation logic, and data processes to support consistency and scalability
* Take on additional responsibilities as business needs evolve
**What You Bring** 
* Proven experience as a Data Engineer or in a similar data\-focused role
* Strong SQL skills, including complex queries for validation and testing
* Experience working with large datasets and recurring file\-based data ingestion
* Understanding of data warehousing concepts and ETL processes
* Familiarity with scripting languages such as Python or R is a plus
* Ability to work independently while collaborating effectively with a team
* Strong analytical mindset and problem\-solving skills
* Clear communication skills for both technical and non\-technical audiences
**Education and Experience** 
* Bachelor’s degree in Computer Science, Engineering, Information Systems, or a related field preferred
* Minimum of 3 years of relevant data experience required; 5\+ years preferred
* Role may be leveled as Engineer I, II, or III based on experience and capability</t>
        </is>
      </c>
    </row>
    <row r="7">
      <c r="A7" t="inlineStr">
        <is>
          <t>li-4351841491</t>
        </is>
      </c>
      <c r="B7" t="inlineStr">
        <is>
          <t>Sr Data Engineer - Project Hire</t>
        </is>
      </c>
      <c r="C7" t="inlineStr">
        <is>
          <t>The Walt Disney Company</t>
        </is>
      </c>
      <c r="D7" t="inlineStr">
        <is>
          <t>linkedin</t>
        </is>
      </c>
      <c r="E7" t="inlineStr"/>
      <c r="F7" t="inlineStr"/>
      <c r="G7" t="inlineStr">
        <is>
          <t>Glendale, CA</t>
        </is>
      </c>
      <c r="H7" t="inlineStr"/>
      <c r="I7" t="inlineStr">
        <is>
          <t>This is not a remote role \- you must be in the area or willing to relocate
 Senior Data Engineer
 The Studio Technology group at Walt Disney Studios comprises teams providing scalable, secure, and innovative technology solutions to enable the present and future of cinematic storytelling. The Data Platforms store, analyze, report on, and visualize data and insights for everything from the ﬁnancial engines that keep the Studio running to marketing and consumer applications that touch millions of people, to production data that supports the creation of Disney's wide array of ﬁlms and series.
 As a Senior Data Engineer at The Walt Disney Studios, you will play a pivotal role in the transformation of data into actionable insights. Collaborate with our dynamic team of technologists to develop cutting\-edge data solutions that drive innovation and fuel business growth. Your responsibilities will include managing complex data structures and delivering scalable and efficient data solutions. Your expertise in data engineering will be crucial in optimizing our data\-driven decision\-making processes. If you're passionate about leveraging data to make a tangible impact, we welcome you to join us in shaping the future of our organization.
**Key Responsibilities**
* Contribute to maintaining, updating, and expanding existing Core Data platform data pipelines
* Build tools and services to support data discovery, lineage, governance, and privacy
* Engage with and understand our customers, forming relationships that allow us to understand and prioritize both innovative new offerings and incremental platform improvements
* Collaborate with other software/data engineers and cross\-functional teams
* Tech stack includes Airflow, Spark, Databricks, Delta Lake, Kubernetes and AWS
* Collaborate with product managers, architects, and other engineers to drive the success of the Core Data platform
* Contribute to developing and documenting both internal and external standards and best practices for pipeline configurations, naming conventions, and more
* Ensure high operational efficiency and quality of the Core Data platform datasets to ensure our solutions meet SLAs and project reliability and accuracy to all our stakeholders (Engineering, Data Science, Operations, and Analytics teams)
* Be an active participant and advocate of agile/scrum ceremonies to collaborate and improve processes for our team
* Maintain detailed documentation of your work and changes to support data quality and data governance requirements
**Qualifications**
* Must have 5\+ years of data engineering experience developing large data pipelines
* Must have proficiency in at least one major programming language (e.g. Python, Java, Scala)
* Strong SQL skills and ability to create queries to analyze complex datasets
* Must have hands\-on production environment experience with distributed processing systems such as Spark
* Must have hands\-on production experience with data pipeline orchestration systems such as Airflow for creating and maintaining data pipelines
* Experience with Databricks
* Experience with Snowflake a plus
* Deep Understanding of AWS or other cloud providers as well as infrastructure as code
* Familiarity with Data Modeling techniques and Data Warehousing standard methodologies and practices
* Strong algorithmic problem\-solving expertise
* Excellent written and verbal communication
* Advance understanding of OLTP vs OLAP environments
* Willingness and ability to learn and pick up new skill sets
* Self\-starting problem solver with an eye for detail and excellent analytical and communication skills
* Familiar with Scrum and Agile methodologies
* Bachelor’s Degree in Computer Science, Information Systems equivalent industry experience
 \#DISNEYTECH
 The hiring range for this position in Glendale $141,900\.00 to $190,300\.00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
      <c r="A8" t="inlineStr">
        <is>
          <t>li-4367568610</t>
        </is>
      </c>
      <c r="B8" t="inlineStr">
        <is>
          <t>Analytics Engineer</t>
        </is>
      </c>
      <c r="C8" t="inlineStr">
        <is>
          <t>RemoteHunter</t>
        </is>
      </c>
      <c r="D8" t="inlineStr">
        <is>
          <t>linkedin</t>
        </is>
      </c>
      <c r="E8" t="inlineStr"/>
      <c r="F8" t="inlineStr"/>
      <c r="G8" t="inlineStr"/>
      <c r="H8" t="inlineStr"/>
      <c r="I8"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li-4366531618</t>
        </is>
      </c>
      <c r="B9" t="inlineStr">
        <is>
          <t>Data Engineer</t>
        </is>
      </c>
      <c r="C9" t="inlineStr">
        <is>
          <t>Randstad Digital Americas</t>
        </is>
      </c>
      <c r="D9" t="inlineStr">
        <is>
          <t>linkedin</t>
        </is>
      </c>
      <c r="E9" t="inlineStr"/>
      <c r="F9" t="inlineStr"/>
      <c r="G9" t="inlineStr">
        <is>
          <t>Malvern, PA</t>
        </is>
      </c>
      <c r="H9" t="inlineStr"/>
      <c r="I9" t="inlineStr">
        <is>
          <t>**Job Summary:**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Robust proficiency in writing complex, performant queries
* Experience with analytical datasets and data transformations
 Python
* Solid experience building data pipelines and reusable modules
* Familiarity with data processing libraries and structured code practices
 PySpark
* Hands\-on experience developing PySpark jobs for large\-scale data processing
* Understanding of distributed data processing concepts
 AWS Data Services
* AWS Glue (primary ETL tool \- required)
* Experience working with S3\-based data lakes
* Familiarity with IAM, job scheduling, and monitoring in AWS
 Data Engineering Fundamentals
* ETL/ELT design patterns, Data Modelling Techniques.
* Data quality checks and basic validation frameworks
* Understanding of partitioning, schema evolution, and performance optimization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location: Malvern, Pennsylvania
 job type: Contract
 salary: $51 \- 56 per hour
 work hours: 8am to 5pm
 education: Bachelors
**Responsibilities:**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****Required Skillset:****
**SQL**
* \* Robust proficiency in writing complex, performant queries
* \* Experience with analytical datasets and data transformations
**Python**
* \* Solid experience building data pipelines and reusable modules
* \* Familiarity with data processing libraries and structured code practices
**PySpark**
* \* Hands\-on experience developing PySpark jobs for large\-scale data processing
* \* Understanding of distributed data processing concepts
**AWS Data Services**
* \* AWS Glue (primary ETL tool \- required)
* \* Experience working with S3\-based data lakes
* \* Familiarity with IAM, job scheduling, and monitoring in AWS
**Data Engineering Fundamentals**
* \* ETL/ELT design patterns, Data Modelling Techniques.
* \* Data quality checks and basic validation frameworks
* \* Understanding of partitioning, schema evolution, and performance optimization
****Optional Skillsets:****
* \* Experience with Redshift or any other MPP database.
* \* Knowledge of Iceberg, or other open table formats
* \* Exposure to CI/CD for data pipelines.
* \* Experience supporting event\-based design and systems preferably Kafka.
* \* Familiarity with data governance, lineage, or cataloging tools
 Location: Malvern\-PA
**Qualifications:**
 Role: Data Engineer (Intermediate Level, Preferred Exp\# 8\+ Years)
 Role Summary: The contractor will support the Middle Office Digital Activity team by building, enhancing, and maintaining scalable data products and pipelines on AWS. The role focuses on transforming and delivering reliable datasets using SQL, Python, and PySpark, with AWS Glue as the primary ETL tool.
**Optional Skillsets:**
* Experience with Redshift or any other MPP database.
* Knowledge of Iceberg, or other open table formats
* Exposure to CI/CD for data pipelines.
* Experience supporting event\-based design and systems preferably Kafka.
* Familiarity with data governance, lineage, or cataloging tools
 Location: Malvern\-PA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10">
      <c r="A10" t="inlineStr">
        <is>
          <t>li-4367951261</t>
        </is>
      </c>
      <c r="B10" t="inlineStr">
        <is>
          <t>Sr. Cloud Data Engineer with Data Modelling experience</t>
        </is>
      </c>
      <c r="C10" t="inlineStr">
        <is>
          <t>VeeRteq Solutions LLC</t>
        </is>
      </c>
      <c r="D10" t="inlineStr">
        <is>
          <t>linkedin</t>
        </is>
      </c>
      <c r="E10" t="inlineStr"/>
      <c r="F10" t="inlineStr"/>
      <c r="G10" t="inlineStr">
        <is>
          <t>Boston, MA</t>
        </is>
      </c>
      <c r="H10" t="inlineStr"/>
      <c r="I10" t="inlineStr">
        <is>
          <t>**Job Description**
**Job Title: Sr. Cloud Data Engineer with Data Modelling experience**
 Location: Boston MA
**Experience: \-** 
 8\+ Years
**Location: \-** 
 Remote (EST candidates are highly preferred)
**Duration: \-** 
 C2H with CitiusTech
**What is in it for you?**
 We are seeking a
 **Senior Data \&amp; Cloud Engineer** 
 responsible for building and optimizing AWS\-based data pipelines, SQL\-driven analytics, and scalable integrations to support Life Sciences data workflows in collaboration with cross functional global teams
**Roles And Responsibilities**
 Cloud \&amp; Data Engineering Design, develop, and maintain AWS\-based data engineering pipelines, including ingestion, transformation, and validation workflows.
 Build and optimize data models, DBD components, and SQL\-based processing for Life Sciences datasets. Support secure and scalable integration with other companies tools, APIs, and data\-sharing frameworks.
 Design robust data validation structures to ensure accuracy, completeness, and auditability across all data flows.
 Collaboration \&amp; Stakeholder Interaction Work directly with onsite team members (Mexico/US) for real\-time clarification and delivery coordination.
 Participate in requirement\-gathering sessions and ensure solution alignment with Life Sciences workflows. Quality, Optimization \&amp; Delivery Contribute to API design, ETL optimization, and scalable architecture patterns.
 Assist in documenting workflows, data lineage, dev standards, and deployment procedures. Troubleshoot production issues and implement preventative improvements
 **Educational Qualifications: \-**
 Engineering Degree BE/ME/BTech/MTech/BSc/MSc.
 Technical certification in multiple technologies is desirable.
**Skills: \-**
**Mandatory Skills**
 Experience Level 8\+ years of experience in cloud engineering or data engineering roles.
 AWS Services: Lambda, EC2, S3, Glue, RDS, Redshift, Step Functions (or equivalent combinations).
 DBD (Database Design / Data Build Development): Strong data modelling \&amp; relational design skills.
 SQL Expertise: Advanced querying, performance tuning, and data validation. Experience building cloud\-native ETL pipelines or distributed data systems.
 Understanding of healthcare data (preferred but not mandatory).</t>
        </is>
      </c>
    </row>
    <row r="11">
      <c r="A11" t="inlineStr">
        <is>
          <t>li-4367701102</t>
        </is>
      </c>
      <c r="B11" t="inlineStr">
        <is>
          <t>Senior Data Engineer</t>
        </is>
      </c>
      <c r="C11" t="inlineStr">
        <is>
          <t>RemoteHunter</t>
        </is>
      </c>
      <c r="D11" t="inlineStr">
        <is>
          <t>linkedin</t>
        </is>
      </c>
      <c r="E11" t="inlineStr"/>
      <c r="F11" t="inlineStr"/>
      <c r="G11" t="inlineStr"/>
      <c r="H11" t="inlineStr"/>
      <c r="I11" t="inlineStr">
        <is>
          <t>About the Opportunity:
 The organization is a purpose\-driven fintech company focused on providing clearer credit options to underserved consumers in the U.S. The Data Engineering team builds and maintains analytical data infrastructure and ETL/Reverse ETL pipelines that support the data warehouse. This role involves developing and maintaining data pipelines, promoting software engineering best practices, and collaborating with cross\-functional teams to meet evolving data needs.
 Responsibilities:
 • Design, develop, and maintain high\-performance data pipelines using Python, SQL, dbt, and Snowflake on GCP
 • Improve code quality, test coverage, and maintainability of data pipelines
 • Implement software engineering best practices including code reviews, testing, CI/CD, and documentation
 • Support adoption of data quality tools and practices such as data lineage and automated alerting
 • Research and recommend new technologies and tools to enhance the data platform
 • Contribute to data architecture and design of the data warehouse
 • Collaborate with software engineering teams to define data structures and streamline ingestion
 • Work with data scientists, analysts, and business users to translate data needs into technical requirements
 • Troubleshoot and resolve complex data pipeline issues to ensure data quality and reliability
 • Develop and maintain CI/CD pipelines for data infrastructure
 • Participate in on\-call rotation supporting critical data pipelines
 • Identify and address inefficiencies in data engineering processes
 Requirements:
 • Bachelor''s degree in Computer Science, Engineering, or related field
 • Minimum 2 years experience in data engineering
 • Strong analytical SQL and Python skills
 • Knowledge of software engineering principles including version control, testing, and CI/CD
 • Experience with data warehousing technologies
 • Experience with cloud platforms, preferably Google Cloud Platform (GCP), including Cloud Functions and GCS
 • Proven ability to design and implement reliable, resilient ETL/ELT pipelines
 • Familiarity with Snowflake, dbt, Montecarlo, and Airflow
 • Excellent communication, collaboration, and problem\-solving skills
 Preferred Qualifications:
 • Experience with data governance and data quality frameworks
 • Knowledge of data modeling principles
 • Experience with infrastructure\-as\-code tools such as Terraform or Kubernetes Config Connector
 Benefits \&amp; Perks:
 • Access to training programs and opportunities for advancement
 • Full health, dental, and vision insurance
 • Flexible Spending Accounts for medical and childcare expenses
 • Paid parental leave
 • 401(k) Company Match
 • Generous paid time off
 • Flexible work schedules
 • Subscription to wellness app (Calm)
 • Remote\-friendly work environment
 Compensation:
 • Target Base Salary: 110,000 to 126,000 USD
 • Additional compensation through annual incentive program and equity based on role,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li-4354069576</t>
        </is>
      </c>
      <c r="B12" t="inlineStr">
        <is>
          <t>Data engineer</t>
        </is>
      </c>
      <c r="C12" t="inlineStr">
        <is>
          <t>Jobot</t>
        </is>
      </c>
      <c r="D12" t="inlineStr">
        <is>
          <t>linkedin</t>
        </is>
      </c>
      <c r="E12" t="inlineStr"/>
      <c r="F12" t="inlineStr"/>
      <c r="G12" t="inlineStr">
        <is>
          <t>New York, NY</t>
        </is>
      </c>
      <c r="H12" t="inlineStr"/>
      <c r="I12" t="inlineStr">
        <is>
          <t>Want to learn more about this role and Jobot? Click our Jobot logo and follow our LinkedIn page!
 Job details
**One of the HOTTEST and FASTEST growing companies in the US is adding to their team**
 This Jobot Job is hosted by Adam Bennett
 Are you a fit? Easy Apply now by clicking the "Easy Apply"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GCP, Azure
* Must have experience working with Databricks or Snowflake
* Ideally, have used DBT
 Depending on your level of experience with the above platforms and tools, we can figure out which level to consider you for. If you have the above experience, you can send an email to Adam@jobot.com directly with a resume.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3">
      <c r="A13" t="inlineStr">
        <is>
          <t>li-4354159249</t>
        </is>
      </c>
      <c r="B13" t="inlineStr">
        <is>
          <t>Data Engineer</t>
        </is>
      </c>
      <c r="C13" t="inlineStr">
        <is>
          <t>Jobot</t>
        </is>
      </c>
      <c r="D13" t="inlineStr">
        <is>
          <t>linkedin</t>
        </is>
      </c>
      <c r="E13" t="inlineStr"/>
      <c r="F13" t="inlineStr"/>
      <c r="G13" t="inlineStr">
        <is>
          <t>Birmingham, AL</t>
        </is>
      </c>
      <c r="H13" t="inlineStr"/>
      <c r="I13" t="inlineStr">
        <is>
          <t>Want to learn more about this role and Jobot? Click our Jobot logo and follow our LinkedIn page!
 Job details
 This Jobot Job is hosted by Merwan Zattam
 Are you a fit? Easy Apply now by clicking the "Easy Apply"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4">
      <c r="A14" t="inlineStr">
        <is>
          <t>li-4367934524</t>
        </is>
      </c>
      <c r="B14" t="inlineStr">
        <is>
          <t>AWS Data Engineer : Remote : Fulltime/Contract</t>
        </is>
      </c>
      <c r="C14" t="inlineStr">
        <is>
          <t>TestingXperts</t>
        </is>
      </c>
      <c r="D14" t="inlineStr">
        <is>
          <t>linkedin</t>
        </is>
      </c>
      <c r="E14" t="inlineStr"/>
      <c r="F14" t="inlineStr"/>
      <c r="G14" t="inlineStr">
        <is>
          <t>New York, United States</t>
        </is>
      </c>
      <c r="H14" t="inlineStr"/>
      <c r="I14" t="inlineStr">
        <is>
          <t>**Job Title: AWS Data Engineer**
**Location: Remote(EST time)**
**Type: Fulltime/Contract (Both)**
**Must Have Skills**
 Bigdata distributed systems such as Iceberg, Hadoop, reshift, Hudi, Strong in Spark
 Handson with Shellscript, python and pyspark
 AWS Services \- Glue, lambda, airflow, lake formation, EKS, EC2, SQS, SNS
**Preferred Skills**
 Exp with Bigquery and GCP
 DBT</t>
        </is>
      </c>
    </row>
    <row r="15">
      <c r="A15" t="inlineStr">
        <is>
          <t>li-4367580147</t>
        </is>
      </c>
      <c r="B15" t="inlineStr">
        <is>
          <t>Sr. Analytics Engineer</t>
        </is>
      </c>
      <c r="C15" t="inlineStr">
        <is>
          <t>RemoteHunter</t>
        </is>
      </c>
      <c r="D15" t="inlineStr">
        <is>
          <t>linkedin</t>
        </is>
      </c>
      <c r="E15" t="inlineStr"/>
      <c r="F15" t="inlineStr"/>
      <c r="G15" t="inlineStr"/>
      <c r="H15" t="inlineStr"/>
      <c r="I15" t="inlineStr">
        <is>
          <t>About the Opportunity:
 The organization leads in Real\-Time Care Intelligence solutions aimed at improving outcomes for individuals facing physical and behavioral health challenges. The Senior Analytics Engineer role involves working with the Analytics and Visualization team and internal stakeholders to develop reporting solutions using a unique data pipeline. This position requires creative problem\-solving, cross\-team collaboration, and independent thinking to leverage data and enhance healthcare delivery.
 Responsibilities:
 • Design and manage data pipelines supporting reporting solutions
 • Develop dashboards and reporting features to improve user satisfaction
 • Serve as the technical authority on reporting components of the product suite
 • Foster collaboration across Agile teams and functions to implement solutions
 • Use data and advanced analytics to provide actionable insights to stakeholders
 • Support business\-aligned projects to meet organizational goals
 • Identify repetitive tasks and partner to implement scalable automation
 • Stay informed on emerging AI tools to enhance work within the function
 Requirements:
 • Bachelor’s Degree in a quantitative or technical discipline; advanced degree is a plus
 • 5\+ years of professional experience in data analytics
 • Experience designing user\-friendly analytics solutions with Tableau, Looker, or similar software
 • Proficiency in SQL for data collection, cleaning, and aggregation
 • Solid understanding of database technologies (PostgreSQL, MySQL, DynamoDB) and coding for data collection
 • Knowledge of data warehousing concepts and experience with platforms such as Amazon Redshift
 • Working knowledge of Tableau for creating user\-facing analytics solutions
 • Proficiency with Python, GitHub, and standard development tools
 • Comfort using or learning AI\-supported tools such as ChatGPT or CoPilot
 • Strong analytical and problem\-solving skills with creativity in solution design
 • Ability to thrive in fast\-paced, evolving environments
 • Effective remote work skills with high\-quality virtual interactions
 • Ability to travel periodically for work
 Benefits \&amp; Perks:
 • Opportunity to work with an innovative healthcare technology team
 • Freedom to create within a highly supportive environment
 • Exposure to strategic priorities and learning from top investors and advisors
 • Competitive compensation including health, dental, vision, and other benefits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li-4367709309</t>
        </is>
      </c>
      <c r="B16" t="inlineStr">
        <is>
          <t>Data Engineer Senior Consultant</t>
        </is>
      </c>
      <c r="C16" t="inlineStr">
        <is>
          <t>Clarkston Consulting</t>
        </is>
      </c>
      <c r="D16" t="inlineStr">
        <is>
          <t>linkedin</t>
        </is>
      </c>
      <c r="E16" t="inlineStr"/>
      <c r="F16" t="inlineStr"/>
      <c r="G16" t="inlineStr">
        <is>
          <t>Nashville, TN</t>
        </is>
      </c>
      <c r="H16" t="inlineStr"/>
      <c r="I16" t="inlineStr">
        <is>
          <t>**This job is posted in multiple locations. When not at a client site, consultants work from their home office. Relocation is not required.** 
 Clarkston Consulting is seeking motivated, self\-driven leaders who are energized by team results and interested in joining a firm that values its culture and people as its biggest strengths. Come join us as a Senior Data Engineer, and in this role, you will deliver creative business solutions to our market\-leading clients in the life sciences, consumer products, and retail industries.
 Together, we can find the answers to our clients' most challenging business problems through a combination of our industry expertise, business process knowledge, and consulting excellence.
**What You'll Do** 
 As a Data Engineer Senior Consultant at Clarkston, you will:
* Support our solution architects, software developers, data analysts, and data scientists on data and analytics initiatives
* Serve in a lead capacity on client initiatives
* Ensure optimal data delivery architecture is consistent throughout ongoing projects
* Be self\-directed and comfortable supporting the data needs of multiple teams, systems and products
* Be excited by the prospect of building our company's data engineering capabilities to support our next generation of products and data initiatives
* Lead, grow, and mentor a data engineering team in developing, maintaining, and monitoring data solutions for clients
* Assist in defining client solutions and support managing their delivery
**How You'll Grow** 
 Beyond your day\-to\-day responsibilities, throughout your career at Clarkston you will:
* Have the support and mentorship of your Clarkston colleagues and leaders
* Expand your existing skill set with internal and external professional development opportunities
**Requirements**
*What We're Looking For:* 
 An ideal Data Engineer Senior Consultant candidate will have experience:
* Assembling large, complex data sets that meet functional / non\-functional business requirements
* Identifying, designing, and implementing internal process improvements: automating manual processes, optimizing data delivery, re\-designing infrastructure for greater scalability, etc.
* Leveraging the appropriate infrastructure required for optimal extraction, transformation, and loading of data from a wide variety of data sources using SQL and ‘big data' technologies.
* Building analytics tools that utilize the data pipeline to provide actionable insights into customer acquisition, operational efficiency and other key business performance metrics
* Working with stakeholders \- including the Product, Data, and Design teams \- to assist with data\-related technical issues and support their data infrastructure needs
 Additional Qualifications:
* Hands\-on experience designing, developing, and optimizing data solutions using Microsoft Fabric
* 5\+ years of experience in a Data Engineer role
* Advanced working SQL knowledge and experience working with relational databases,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Knowledge of build processes that support data transformation, data structures, metadata, dependency, and workload management
* Successful history of manipulating, processing and extracting value from large, disconnected datasets
* Working knowledge of message queuing, stream processing, and highly scalable ‘big data' data stores
* Skilled in project management, including managing project plans, timelines, and deliverables
* Experience supporting and working with cross\-functional teams in a dynamic environment
* Demonstrated ability with big data tools including Databricks, Spark, Snowflake, Airflow, and Kafka
* Expertise with Azure or AWS cloud services
* Experience with object\-oriented/object function scripting languages such as Scala, Python, Java, and / or C\+\+
* Graduate degree in Computer Science, Statistics, Informatics, Information Systems or an equivalent field
**Travel Requirement** 
 Travel is an integral part of this role and is estimated to average 30\-50%. This may vary based upon client and project needs. When not traveling, consultants work from their home office. Relocation is not required.
**More About Clarkston** 
 Founded in 1991, Clarkston Consulting delivers technology and management solutions to market leaders in the life sciences, consumer products, and retail industries. At Clarkston, we cultivate success \- for our clients, for our people, and for our firm. We utilize a team approach leveraging our collective expertise and industry knowledge to solve our clients' business challenges.
**AI Statement** 
 Clarkston values thoughtful and responsible AI use for resume writing, interview preparation, and research. However, real\-time use of AI to generate or script answers during interviews \- including video or live conversations \- is strictly prohibited and will lead to disqualification. We seek candidates who show authenticity, good judgment, and genuine engagement throughout the process.
**Benefits**
*Our benefits include:* 
* Comprehensive Health and Wellness Benefits (Medical, Dental, Vision, and more)
* 401k with company contributions
* Paid vacation, personal days, holidays, and sick leave
* Paid Parental Leave and Family Building Benefits (Adoption, Surrogacy, and Infertility Support)
* Life and Disability Insurance
* Training and Professional Development investments, Tuition Assistance, and more
 Visit Careers at Clarkston to learn more about our culture, benefits, and opportunities.
 Clarkston Consulting is an equal opportunity employer. We are committed to ensuring our firm is rich in diverse skills, competencies, strengths, personalities, and culture. We foster an inclusive environment that embraces the unique contributions of our people to further our purpose. Please visit Diversity @ Clarkston to learn more about our diversity initiatives.</t>
        </is>
      </c>
    </row>
    <row r="17">
      <c r="A17" t="inlineStr">
        <is>
          <t>li-4356070290</t>
        </is>
      </c>
      <c r="B17" t="inlineStr">
        <is>
          <t>Senior Data Engineer</t>
        </is>
      </c>
      <c r="C17" t="inlineStr">
        <is>
          <t>Jobot</t>
        </is>
      </c>
      <c r="D17" t="inlineStr">
        <is>
          <t>linkedin</t>
        </is>
      </c>
      <c r="E17" t="inlineStr"/>
      <c r="F17" t="inlineStr"/>
      <c r="G17" t="inlineStr">
        <is>
          <t>Bellevue, WA</t>
        </is>
      </c>
      <c r="H17" t="inlineStr"/>
      <c r="I17" t="inlineStr">
        <is>
          <t>Want to learn more about this role and Jobot? Click our Jobot logo and follow our LinkedIn page!
 Job details
**Senior Data Engineer Needed \- $225K\-$300K \- Supply Chain Software Pioneer**
 This Jobot Job is hosted by Steven Zacharias
 Are you a fit? Easy Apply now by clicking the "Easy Apply" button and sending us your resume.
 Salary $225,000 \- $300,000 per year
**A Bit About Us**
 We are a growing software development firm that's looking for a seasoned Data Engineer!
 If interested, please apply or email me your resume directly at \- Steven.Zacharias@Jobot.com!
****Why join us?****
* $225,000\-$300,000 Base Salary
* Health / Dental / Vision
* 401k w/ employer match
* PTO
**Job Details**
 Scope of Responsibilities
* Data ingestion pipelines for existing and new data sources (both batch and real\-time streaming)
* Experience with all forms of multi\-modal data types
* Monitoring frameworks to protect data quality and consistency
* Data modeling design and data architecture skills to support reporting and analytics requirements
* Experience in the latest generation of data lake architectures, stream and batch processing, and managed cloud services to support scale.
**Qualifications**
* Degree in Computer Science, Mathematics, Statistics, or other data\-intensive discipline with substantive engineering experience.
* 5\+ years demonstrated development experience using SQL, Scala, Spark, Flink, Beam, and/or Python
* 5\+ years demonstrated experience in data management (structured and unstructured) and modern database technologies
* Demonstrated experience developing data pipelines to support machine learning, LLMs or other analytical solutions
* Experience working with multi\-cloud providers such as AWS and Azure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8">
      <c r="A18" t="inlineStr">
        <is>
          <t>li-4283795926</t>
        </is>
      </c>
      <c r="B18" t="inlineStr">
        <is>
          <t>Data Engineer III - Generative AI, Graph modelling</t>
        </is>
      </c>
      <c r="C18" t="inlineStr">
        <is>
          <t>JPMorganChase</t>
        </is>
      </c>
      <c r="D18" t="inlineStr">
        <is>
          <t>linkedin</t>
        </is>
      </c>
      <c r="E18" t="inlineStr"/>
      <c r="F18" t="inlineStr"/>
      <c r="G18" t="inlineStr">
        <is>
          <t>Jersey City, NJ</t>
        </is>
      </c>
      <c r="H18" t="inlineStr"/>
      <c r="I18" t="inlineStr">
        <is>
          <t>**Job Description**
 We have an exciting and rewarding opportunity for you to take your software engineering career to the next level.
 As a Data Engineer III at JPMorgan Chase within the Technology and Data Management team, you will have an exciting and rewarding opportunity to take your software engineering career to the next level. You will be part of a dynamic team, applying your expertise in ontologies and generative AI to design and implement complex AI\-promote solutions. This role offers the chance to collaborate with cross\-functional teams, conduct research on the latest advancements, and provide technical leadership and mentorship, all while contributing to the organization's knowledge management initiatives.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Develop and maintain ontologies to support the organization's knowledge management initiatives.
* Design and implement scalable knowledge bases using knowledge graph technologies.
* Apply generative AI techniques to enhance the organization's data processing and information retrieval capabilities.
* Collaborate with cross\-functional teams to integrate AI\-driven solutions into existing systems and workflows.
* Conduct research and stay updated on the latest advancements in ontologies, knowledge graphs, and generative AI.
* Provide technical leadership and mentorship to junior team members in the areas of ontologies and AI.
* Evaluate and select appropriate tools and technologies for building and maintaining knowledge graphs.
* Ensure the quality, accuracy, and consistency of the knowledge base and its associated ontologies.
**Required Qualifications, Capabilities, And Skills**
* Formal training or certification on ontologies concepts and 3\+ years applied experience
* Expertise in generative AI techniques and their application in real\-world scenarios.
* Strong programming skills in languages such as Python, Java, or similar.
* Familiarity with tools and frameworks like RDF, OWL, SPARQL, and graph databases(Neo4j, Tiger Grpah etc)
* Excellent problem\-solving skills and the ability to work independently and collaboratively.
* Strong communication skills to effectively convey complex technical concepts to non\-technical stakeholders.
**Preferred qualifications, capabilities and skills:**
* Experience with machine learning frameworks and libraries. Knowledge of natural language processing (NLP) and its integration with knowledge graphs.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9">
      <c r="A19" t="inlineStr">
        <is>
          <t>li-4354013304</t>
        </is>
      </c>
      <c r="B19" t="inlineStr">
        <is>
          <t>Senior Data Engineer</t>
        </is>
      </c>
      <c r="C19" t="inlineStr">
        <is>
          <t>Jobot</t>
        </is>
      </c>
      <c r="D19" t="inlineStr">
        <is>
          <t>linkedin</t>
        </is>
      </c>
      <c r="E19" t="inlineStr"/>
      <c r="F19" t="inlineStr"/>
      <c r="G19" t="inlineStr">
        <is>
          <t>Bethesda, MD</t>
        </is>
      </c>
      <c r="H19" t="inlineStr"/>
      <c r="I19" t="inlineStr">
        <is>
          <t>Want to learn more about this role and Jobot? Click our Jobot logo and follow our LinkedIn page!
 Job details
**Work on data driven strategies to apply AI and ML to novel drug discovery, at the forefront of biotech innovation.**
 This Jobot Job is hosted by Charles Simmons
 Are you a fit? Easy Apply now by clicking the "Easy Apply" button and sending us your resume.
 Salary $140,000 \- $180,000 per year
**A Bit About Us**
 Advancements in AI and drug discovery are creating more candidate drugs than the industry can progress because of the high cost and time of clinical trials. Recognizing that this development bottleneck may ultimately limit the number of new medicines that can reach patients, this organization has built technology platforms, processes, and capabilities to accelerate all aspects of drug development and clinical trials. The organization partners, acquires, or in\-licenses drugs from pharma companies, research organizations, and biotechs to develop programs past clinical proof of concept and beyond, ultimately helping to bring new medicines to patients.
****Why join us?****
 You'll play a central role in shaping the company's data platform by contributing to ingestion frameworks, orchestration patterns (using Dagster or alternatives like Prefect or Airflow), and dbt\-based modeling strategies. This is a high\-impact role for an experienced engineer who loves building clean pipelines, understands metadata and observability, and enjoys making data discoverable and trustworthy for analytics, operations, and product use cases.
* Competitive salary and total compensation ranges based on experience
* Work on site in NYC or Boston, or up to 100% from home anywhere in the US.
* Comprehensive health, vision, and dental coverage for individuals and families
**Job Details**
 Job Details
 We are seeking a passionate and talented Senior Data Engineer to join our dynamic team in the scientific industry. The ideal candidate will have a strong background in data engineering and a deep understanding of modern data processing technology stacks. The successful candidate will be responsible for the design, development, testing, and deployment of highly scalable data management systems. This role requires a deep understanding of data architecture, data engineering, data analysis, reporting, and a basic understanding of data science techniques and workflows. The individual in this role must be comfortable working in a fast\-paced and dynamic environment with a high degree of autonomy.
**Responsibilities**
* Design, construct, install, test, and maintain highly scalable data management systems.
* Ensure systems meet business requirements and industry practices.
* Build high\-performance algorithms, prototypes, predictive models, and proof of concepts.
* Research opportunities for data acquisition and new uses for existing data.
* Develop data set processes for data modeling, mining, and production.
* Integrate new data management technologies and software engineering tools into existing structures.
* Create custom software components and analytics applications.
* Install and update disaster recovery procedures.
* Collaborate with data architects, modelers, and IT team members on project goals.
* Employ a variety of languages and tools to marry systems together.
* Recommend ways to improve data reliability, efficiency, and quality.
* Use Dagster or equivalent for creating data pipelines and workflows.
**Qualifications**
* 5\+ years of experience in data engineering or related fields.
* Strong hands\-on experience with Python, SQL, and dbt.
* Proficiency with orchestration tools like Dagster, Prefect, or Airflow.
* Experience building data ingestion pipelines from REST APIs, flat files, and cloud storage (e.g., S3\).
* Familiarity with Snowflake and its ecosystem—warehouses, cost optimization, RBAC, data sharing.
* Clear understanding of metadata, observability, and testing for data pipelines.
* You enjoy partnering with stakeholders and understand the importance of clean, discoverable data.
* Bonus experience working in pharma, healthcare, or regulated data environments.
* Bonus experience working with unstructured data and AI Data Engineering (OCR, NER, vector databases, graph databases)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0">
      <c r="A20" t="inlineStr">
        <is>
          <t>li-4367704199</t>
        </is>
      </c>
      <c r="B20" t="inlineStr">
        <is>
          <t>Spark Data Engineer (Remote)</t>
        </is>
      </c>
      <c r="C20" t="inlineStr">
        <is>
          <t>Zachary Piper Solutions</t>
        </is>
      </c>
      <c r="D20" t="inlineStr">
        <is>
          <t>linkedin</t>
        </is>
      </c>
      <c r="E20" t="inlineStr"/>
      <c r="F20" t="inlineStr"/>
      <c r="G20" t="inlineStr">
        <is>
          <t>Washington, DC</t>
        </is>
      </c>
      <c r="H20" t="inlineStr"/>
      <c r="I20" t="inlineStr">
        <is>
          <t>Zachary Piper Solutions is seeking an
 **Spark Data Engineer (DoD Secret)** 
 to support a variety of federal customer. This role focuses on big data engineering, optimization, and performance tuning using Apache Spark. The ideal candidate will have strong experience in data engineering, SQL query optimization, and distributed computing. Customer\-facing skills and excellent communication are essential for success in this position.
**Work Environment:** 
 Remote \- Full
**Clearance:** 
 Minimum for a DoD Secret but can hold up to TS/SCI
**Responsibilities:**
* Design and implement scalable data pipelines and architectures using Apache Spark.
* Optimize Spark jobs for performance and efficiency across large datasets.
* Collaborate with clients to understand requirements and deliver technical solutions.
* Support data engineering tasks including ETL, data warehousing, and query optimization.
* Assist with integration of Spark\-based solutions into cloud environments (AWS, Azure, GCP).
* Provide technical guidance on best practices for big data processing and analytics.
* Participate in short\- to medium\-term customer engagements, ensuring successful delivery of projects.
**Qualifications:**
* Bachelor’s degree in Computer Science or related field required.
* Minimum 5 years of experience in data engineering and distributed computing.
* Strong expertise in Apache Spark and performance optimization techniques.
* Proficiency in SQL and experience with data warehousing and query tuning.
* Familiarity with Python or Scala programming languages.
* Working knowledge of cloud ecosystems (AWS, Azure, or GCP).
* Excellent communication and customer\-facing skills.
* Ability to manage scope, timelines, and deliverables in technical projects.
**Preferred:**
* Experience with machine learning and data science concepts.
* Familiarity with CI/CD pipelines and MLOps practices.
* Knowledge of Databricks platform and big data architecture design.
**Compensation:**
* Salary Range: $150,000 \- $220,000 (based on experience).
* Benefits: Cigna medical, dental, vision, 401k, up to 20 days paid time off, 11 federal holidays, and sick leave as required by law.
**Application Period: Opens on 01/20/2025 and will be accepted for at least 30 days from the posting date.**
 ﻿</t>
        </is>
      </c>
    </row>
    <row r="21">
      <c r="A21" t="inlineStr">
        <is>
          <t>li-4353601074</t>
        </is>
      </c>
      <c r="B21" t="inlineStr">
        <is>
          <t>Senior Data Engineer</t>
        </is>
      </c>
      <c r="C21" t="inlineStr">
        <is>
          <t>Jobot</t>
        </is>
      </c>
      <c r="D21" t="inlineStr">
        <is>
          <t>linkedin</t>
        </is>
      </c>
      <c r="E21" t="inlineStr"/>
      <c r="F21" t="inlineStr"/>
      <c r="G21" t="inlineStr">
        <is>
          <t>New York, NY</t>
        </is>
      </c>
      <c r="H21" t="inlineStr"/>
      <c r="I21" t="inlineStr">
        <is>
          <t>Want to learn more about this role and Jobot? Click our Jobot logo and follow our LinkedIn page!
 Job details
**Join a World Class Team Operating at the Intersection of Technology, Data, and Digital Products**
 This Jobot Job is hosted by Amanda Preston
 Are you a fit? Easy Apply now by clicking the "Easy Apply"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2">
      <c r="A22" t="inlineStr">
        <is>
          <t>li-4366432581</t>
        </is>
      </c>
      <c r="B22" t="inlineStr">
        <is>
          <t>Big Data Engineer</t>
        </is>
      </c>
      <c r="C22" t="inlineStr">
        <is>
          <t>Jobs via Dice</t>
        </is>
      </c>
      <c r="D22" t="inlineStr">
        <is>
          <t>linkedin</t>
        </is>
      </c>
      <c r="E22" t="inlineStr"/>
      <c r="F22" t="inlineStr"/>
      <c r="G22" t="inlineStr">
        <is>
          <t>Malvern, PA</t>
        </is>
      </c>
      <c r="H22" t="inlineStr"/>
      <c r="I22" t="inlineStr">
        <is>
          <t>**Location:** 
 Malvern, PA
**Salary:** 
 Depends on Experience
**Description:**
**Responsibilities**
* Design, build, and maintain ETL (Extract, Transform, Load) pipelines and database solutions to support real\-time and batch analytics.
* Troubleshoot data processing workflows to ensure consistency, integrity, and reliable delivery of large\-scale, complex data from multiple sources.
* Translate business requirements into technical specifications and well\-structured, maintainable code, including complex programs, ad hoc queries, and analytical reports.
* Collaborate with business partners and technical teams to understand data needs and deliver high\-quality, scalable data solutions.
* Lead all phases of solution development, providing technical guidance, mentoring junior engineers, and presenting technical considerations to stakeholders.
* Assess data quality, perform thorough code testing, and ensure accuracy and reliability of data products.
* Serve as a technical consultant to internal clients, providing data analysis support and best\-practice recommendations.
* Contribute to data engineering standards, tooling, and best practices across the broader data organization.
* Test, validate, and implement new software releases through structured regression testing, partnering with vendors to resolve issues and ensure production readiness.
****Qualifications****
* Minimum 8 years of experience in data analytics, programming, database administration, or data management.
* Bachelor's degree or equivalent combination of education and experience; master's degree preferred.
* Technical expertise in Python and AWS services, including S3, Redshift, Aurora, Athena, and Glue.
* Experience with version control and CI/CD tools such as GitHub, Bitbucket, and Bamboo.
* Familiarity with Agile methodologies, strong communication skills, and a growth\-oriented mindset.
* Preferred experience with DPX blueprint processes, Dremio, Dell Boomi, or Attunity.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23">
      <c r="A23" t="inlineStr">
        <is>
          <t>li-4366564336</t>
        </is>
      </c>
      <c r="B23" t="inlineStr">
        <is>
          <t>Senior Analytics Engineer (Starburst &amp; Airflow)</t>
        </is>
      </c>
      <c r="C23" t="inlineStr">
        <is>
          <t>Jobs via Dice</t>
        </is>
      </c>
      <c r="D23" t="inlineStr">
        <is>
          <t>linkedin</t>
        </is>
      </c>
      <c r="E23" t="inlineStr"/>
      <c r="F23" t="inlineStr"/>
      <c r="G23" t="inlineStr">
        <is>
          <t>Charlotte, NC</t>
        </is>
      </c>
      <c r="H23" t="inlineStr"/>
      <c r="I23" t="inlineStr">
        <is>
          <t>job summary:
**Job Description**
 Starburst
 Design and implement Starburst SQL queries, catalogs, schemas, and connectors.
 Develop data pipelines and federated query solutions across diverse sources (S3, RDBMS etc.).
 Tune and optimize Starburst clusters, catalogs, and worker configurations for performance.
 Airflow Development \&amp; Orchestration
 Design, develop, test, and deploy Airflow DAGs for complex data workflows.
 Implement best practices for Airflow, including task retries, SLAs, scheduling, and monitoring.
 Build custom Airflow operators, hooks, and plugins using Python.
 Data Pipeline Engineering
 Build and maintain data ingestion and transformation pipelines using SQL, Python, and/or Airflow.
 Implement Starburst\-integrated ETL/ELT workflows with distributed compute.
 Ensure pipelines are scalable, fault\-tolerant, and performance\-optimized.
 Implement data quality checks, validation, and lineage tracking.
 Cloud \&amp; Infrastructure Integration
 Work with cloud platforms to integrate Airflow with services such as Netapp S3
 Deploy and manage Airflow environments like Kubernetes.
 Data Governance \&amp; Security
 Implement security policies, row/column\-level security, and data masking.
 Ensure compliance with enterprise governance frameworks.
 Document data lineage, metadata, and catalog configurations
 Preferred: ThoughtSpot Development \&amp; Configuration (Or another BI tool)
 Develop and manage ThoughtSpot worksheets, Liveboards, Answers, and SpotIQ insights.
 Build intuitive, user\-friendly search experiences enabling self\-service analytics.
 Configure data models, relationships, and joins to ensure high\-quality analytical results.
 Implement row\-level and column\-level security policies.
**Required Qualifications**
 3\+ years of hand on Experience with Starburst Enterprise Platform.
 Familiarity with Kubernetes deployments.
 Knowledge of cost governance \&amp; workload isolation in distributed environments.
 3\+ years of experience working with Apache Airflow (core, providers, DAG authoring).
 Strong proficiency in Python.
 Solid understanding of data modeling concepts (star schema, relational modeling).
 Experience integrating BI tools with ELT/ETL pipelines.
 Hands\-on experience with cloud\-based Airflow deployments
 Experience with SQL and relational databases
 Experience with Git and CI/CD frameworks
**Preferred Qualifications**
 Experience with BI tools (Tableau, Power BI, Oracle OAS/OAC) using Starburst as a source.
 location: Charlotte, North Carolina
 job type: Solutions
 salary: $58 \- 68 per hour
 work hours: 9am to 5pm
 education: Bachelors
 responsibilities:
**Job Description**
**Starburst**
* Design and implement Starburst SQL queries , catalogs, schemas, and connectors.
* Develop data pipelines and federated query solutions across diverse sources (S3, RDBMS etc.).
* Tune and optimize Starburst clusters, catalogs, and worker configurations for performance.
**Airflow Development \&amp; Orchestration**
* Design, develop, test, and deploy Airflow DAGs for complex data workflows.
* Implement best practices for Airflow, including task retries, SLAs, scheduling, and monitoring.
* Build custom Airflow operators, hooks, and plugins using Python.
**Data Pipeline Engineering**
* Build and maintain data ingestion and transformation pipelines using SQL, Python, and/or Airflow.
* Implement Starburst\-integrated ETL/ELT workflows with distributed compute.
* Ensure pipelines are scalable, fault\-tolerant, and performance\-optimized.
* Implement data quality checks, validation, and lineage tracking.
**Cloud \&amp; Infrastructure Integration**
* Work with cloud platforms to integrate Airflow with services such as Netapp S3
* Deploy and manage Airflow environments like Kubernetes.
**Data Governance \&amp; Security**
* Implement security policies, row/column\-level security, and data masking.
* Ensure compliance with enterprise governance frameworks.
* Document data lineage, metadata, and catalog configurations
**Preferred: ThoughtSpot Development \&amp; Configuration (Or another BI tool)**
* Develop and manage ThoughtSpot worksheets, Liveboards, Answers, and SpotIQ insights .
* Build intuitive, user\-friendly search experiences enabling self\-service analytics.
* Configure data models, relationships, and joins to ensure high\-quality analytical results.
* Implement row\-level and column\-level security policies.
****Required Qualifications****
* 3\+ years of hand on Experience with Starburst Enterprise Platform .
* Familiarity with Kubernetes deployments.
* Knowledge of cost governance \&amp; workload isolation in distributed environments.
* 3\+ years of experience working with Apache Airflow (core, providers, DAG authoring).
* Strong proficiency in Python .
 Solid understanding of data modeling concepts (star schema, relational modeling).
 Experience integrating BI tools with ELT/ETL pipelines.
* Hands\-on experience with cloud\-based Airflow deployments
* Experience with SQL and relational databases
* Experience with Git and CI/CD frameworks
**Preferred Qualifications**
* Experience with BI tools (Tableau, Power BI, Oracle OAS/OAC) using Starburst as a source.
 qualifications:
**Preferred Qualifications**
 Experience with BI tools (Tableau, Power BI, Oracle OAS/OAC) using Starburst as a source.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4">
      <c r="A24" t="inlineStr">
        <is>
          <t>li-4366528288</t>
        </is>
      </c>
      <c r="B24" t="inlineStr">
        <is>
          <t>Senior Data Engineer</t>
        </is>
      </c>
      <c r="C24" t="inlineStr">
        <is>
          <t>Jobs via Dice</t>
        </is>
      </c>
      <c r="D24" t="inlineStr">
        <is>
          <t>linkedin</t>
        </is>
      </c>
      <c r="E24" t="inlineStr"/>
      <c r="F24" t="inlineStr"/>
      <c r="G24" t="inlineStr">
        <is>
          <t>Charlotte, NC</t>
        </is>
      </c>
      <c r="H24" t="inlineStr"/>
      <c r="I24" t="inlineStr">
        <is>
          <t>**Job Description:**
 Python with Object oriented concepts, PySpark, Problem Solving ability, Effective communication, AWS
 We are currently seeking a Mid level Data Engineer with hands\-on coding experience and a strong background in Python, PySpark, and Object\-oriented programming. The ideal candidate will be responsible for designing, developing, and implementing new features to our existing framework using PySpark and Python. This position requires a deep understanding of data transformation and the ability to create standalone scripts based on given business logic.
 Responsibilities:
 Design, develop and implement new features to our existing framework using PySpark and Python.
 Write efficient and effective standalone scripts in PySpark with transformations as per the defined business logic.
 Use your expertise in Python and Object\-oriented concepts to solve complex problems and implement robust solutions.
 Work closely with the team to understand the requirements and develop solutions that align with the company's objectives.
 Test and debug code to ensure it produces the desired results.
 Document all programming tasks and procedures for future reference and troubleshooting.
 Qualifications:
 Proficient in Python, PySpark, and Object\-oriented programming concepts.
 Proven experience as a Senior Data Engineer or similar role.
 Strong problem\-solving techniques with an ability to troubleshoot complex software issues.
**Experience With AWS Is Preferred, But Not Mandatory.**
 Excellent communication skills, both written and verbal.
 Self\-motivated and able to work independently with minimal supervision</t>
        </is>
      </c>
    </row>
    <row r="25">
      <c r="A25" t="inlineStr">
        <is>
          <t>li-4366470466</t>
        </is>
      </c>
      <c r="B25" t="inlineStr">
        <is>
          <t>Senior Data Engineer</t>
        </is>
      </c>
      <c r="C25" t="inlineStr">
        <is>
          <t>Jobs via Dice</t>
        </is>
      </c>
      <c r="D25" t="inlineStr">
        <is>
          <t>linkedin</t>
        </is>
      </c>
      <c r="E25" t="inlineStr"/>
      <c r="F25" t="inlineStr"/>
      <c r="G25" t="inlineStr">
        <is>
          <t>Cincinnati, OH</t>
        </is>
      </c>
      <c r="H25" t="inlineStr"/>
      <c r="I25" t="inlineStr">
        <is>
          <t>**Description:**
*Onsite in Cincinnati, OH*
 Our client is a large U.S. financial institution headquartered in Cincinnati that operates a broad retail footprint across multiple states. The organization delivers consumer and commercial banking services and continues to modernize its data and technology platforms to support secure, compliant, and scalable growth.
*Due to client requirements, applicants must be willing and able to work on a w2 basis. For our w2 consultants, we offer a great benefits package that includes Medical, Dental, and Vision benefits, 401k with company matching, and life insurance.*
 Rate: $64\.00 to $74\.00/hr. w2
**Responsibilities:**
* Design, develop, and support scalable data solutions, APIs, tools, and processes across traditional and modern data platforms.
* Collaborate with application teams, architecture, infrastructure, information security, and business stakeholders to translate strategies into data\-driven solutions.
* Serve as a technical expert on system and application design, performance, integration, and security issues.
* Conduct research and development on data engineering, architecture, data security, and AI\-readiness topics.
* Build and maintain CI/CD pipelines and self\-service deployment tools to streamline development and operations.
* Evaluate data and software products and document recommendations to improve capabilities.
* Provide support and troubleshooting for data pipelines and platforms, including escalated on\-call coverage for critical incidents.
* Plan and execute modernization initiatives for legacy systems, pipelines, monitoring, and documentation.
* Optimize and automate data pipelines for efficiency, scalability, observability, and performance.
* Leverage GenAI tools to enhance engineering productivity and prepare data for AI and machine learning use cases.
* Manage the full lifecycle of data assets to ensure quality, discoverability, and governance.
* Mentor and provide technical guidance to team members and foster cross\-functional learning.
* Deliver data solutions within Agile teams through close collaboration with product owners and stakeholders.
**Experience Requirements:**
* Business intelligence and data engineering experience.
* Hands\-on experience with dbt for data transformations and modeling.
* Proficiency with Snowflake for data warehousing.
* Advanced SQL development and optimization skills.
* Data visualization experience, preferably Power BI (preferred).
* ServiceNow development experience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26">
      <c r="A26" t="inlineStr">
        <is>
          <t>li-4365939629</t>
        </is>
      </c>
      <c r="B26" t="inlineStr">
        <is>
          <t>Data Engineer Sr.</t>
        </is>
      </c>
      <c r="C26" t="inlineStr">
        <is>
          <t>Jobs via Dice</t>
        </is>
      </c>
      <c r="D26" t="inlineStr">
        <is>
          <t>linkedin</t>
        </is>
      </c>
      <c r="E26" t="inlineStr"/>
      <c r="F26" t="inlineStr"/>
      <c r="G26" t="inlineStr">
        <is>
          <t>Phoenix, AZ</t>
        </is>
      </c>
      <c r="H26" t="inlineStr"/>
      <c r="I26" t="inlineStr">
        <is>
          <t>We offer remote work opportunities (AK, AR, AZ, CO, FL, HI, IA, ID, IL, KS, LA, MD, MN, MO, MT, NE, NV, NM, NC, ND, OK, OR, SC, SD, TN, TX, UT, VA/DC, WA, WI \&amp; WY only).
 Our Department of Defense contract requires ship and a favorably adjudicated DOD background investigation for this position.
 Veterans, Reservists, Guardsmen and military family members are encouraged to apply!
**Job Summary**
 The Senior Data Engineer will be responsible for design and development of ETL. The role will cover full systems development life cycle (SDLC) phases including requirements gathering, data analysis, system design, development, implementation, and post\-implementation support. During the design phase, the role will work closely with Data Architects/Models. The developer will be responsible the ETL movement of data from originating source feeds (files, x12, etc) to target systems (SQL Server, Snowflake) using Data Bricks.
**Education \&amp; Experience**
**Required:**
 Bachelor's Degree in Business Administration, Computer Science, Mathematics, Engineering, or related field with programming and database systems coursework or equivalent database development experience
 U.S. Citizenship
 Must be able to receive a favorable Interim and adjudicated final Department of Defense (DoD) background investigation
 5\+ years of experience in a Data Engineering role
 2\+ years of experience with Azure \* 3\+ years of experience developing data integration related source code in Python, R, SQL, or equivalent
 Experience in ETL with both structured and semi\-structured data
**Experience In Gathering Business Requirements From Cross Functional Teams**
 Experience with SDLC processes and DevOps
**Preferred:**
 2\+ years of experience with Data Bricks preferably within Azure Cloud
 3\+ years of experience with Python
 Experience with Data Governance
 Experience with SQL Server and Snowflake in Azure Cloud
 Experience with x12 data file formats
 Understanding of ANSI and T\-SQL
 Experience with data analysis in the healthcare industry
**Key Responsibilities**
 Collaborates with users, business analysts, developers, database administrators, and project managers on reporting needs.
 Collaborates with data architect to create conceptual, logical, and physical data models for reporting databases.
 Implements changes and provide post\-implementation user support and system support.
 Identifies and advocates beneficial change opportunities.
 Acts as a technical resource for application and data users, data administrators and others.
 Ensures compliance with TriWest HIPAA, privacy and government security policies.
 Performs other duties as assigned.
 Regular and reliable attendance is required.
**Competencies**
**Communication / People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**Information Management:** 
 Ability to manage large amounts of complex information easily, communicates clearly, and draws sound conclusions.
**High Intensity Environment:** 
 Ability to function in a fast\-paced environment with multiple activities occurring simultaneously while maintaining focus and control of workflow.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**Technical Skills:** 
 Strong knowledge of data warehouse design; data modeling; proficiency with SQL; strong experience with data extraction, transformation, and loading (ETL); working knowledge of report and dashboard development; strong knowledge of SQL Server / Snowflake databases; working knowledge of Oracle databases.
**Working Conditions**
**Working Conditions:**
 Works non\-standard hours as required
 Works within a standard office environment, with less than 10% travel
 Extensive computer work with prolonged periods of sitting
**Company Overview**
**Taking Care of Our Nation's Heroes.**
**It's Who We Are. It's What We Do.**
 Do you have a passion for serving those who served?
**Join the TriWest Healthcare Alliance Team! We're On a Mission to Serve !**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$138,000 \- $154,000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27">
      <c r="A27" t="inlineStr">
        <is>
          <t>li-4365946225</t>
        </is>
      </c>
      <c r="B27" t="inlineStr">
        <is>
          <t>Data Engineer Sr.</t>
        </is>
      </c>
      <c r="C27" t="inlineStr">
        <is>
          <t>Jobs via Dice</t>
        </is>
      </c>
      <c r="D27" t="inlineStr">
        <is>
          <t>linkedin</t>
        </is>
      </c>
      <c r="E27" t="inlineStr"/>
      <c r="F27" t="inlineStr"/>
      <c r="G27" t="inlineStr">
        <is>
          <t>Phoenix, AZ</t>
        </is>
      </c>
      <c r="H27" t="inlineStr"/>
      <c r="I27" t="inlineStr">
        <is>
          <t>We offer remote work opportunities (AK, AR, AZ, CO, FL, HI, IA, ID, IL, KS, LA, MD, MN, MO, MT, NE, NV, NM, NC, ND, OK, OR, SC, SD, TN, TX, UT, VA/DC, WA, WI \&amp; WY only).
 Our Department of Defense contract requires ship and a favorably adjudicated DOD background investigation for this position.
 Veterans, Reservists, Guardsmen and military family members are encouraged to apply!
**Job Summary**
 The Senior Data Engineer will be responsible for design and development of ETL. The role will cover full systems development life cycle (SDLC) phases including requirements gathering, data analysis, system design, development, implementation, and post\-implementation support. During the design phase, the role will work closely with Data Architects/Models. The developer will be responsible the ETL movement of data from originating source feeds (files, x12, etc) to target systems (SQL Server, Snowflake) using Data Bricks.
**Education \&amp; Experience**
**Required:**
 Bachelor's Degree in Business Administration, Computer Science, Mathematics, Engineering, or related field with programming and database systems coursework or equivalent database development experience
 U.S. Citizenship
 Must be able to receive a favorable Interim and adjudicated final Department of Defense (DoD) background investigation
 5\+ years of experience in a Data Engineering role
 2\+ years of experience with Azure \* 3\+ years of experience developing data integration related source code in Python, R, SQL, or equivalent
 Experience in ETL with both structured and semi\-structured data
**Experience In Gathering Business Requirements From Cross Functional Teams**
 Experience with SDLC processes and DevOps
**Preferred:**
 2\+ years of experience with Data Bricks preferably within Azure Cloud
 3\+ years of experience with Python
 Experience with Data Governance
 Experience with SQL Server and Snowflake in Azure Cloud
 Experience with x12 data file formats
 Understanding of ANSI and T\-SQL
 Experience with data analysis in the healthcare industry
**Key Responsibilities**
 Collaborates with users, business analysts, developers, database administrators, and project managers on reporting needs.
 Collaborates with data architect to create conceptual, logical, and physical data models for reporting databases.
 Implements changes and provide post\-implementation user support and system support.
 Identifies and advocates beneficial change opportunities.
 Acts as a technical resource for application and data users, data administrators and others.
 Ensures compliance with TriWest HIPAA, privacy and government security policies.
 Performs other duties as assigned.
 Regular and reliable attendance is required.
**Competencies**
**Communication / People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**Information Management:** 
 Ability to manage large amounts of complex information easily, communicates clearly, and draws sound conclusions.
**High Intensity Environment:** 
 Ability to function in a fast\-paced environment with multiple activities occurring simultaneously while maintaining focus and control of workflow.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**Technical Skills:** 
 Strong knowledge of data warehouse design; data modeling; proficiency with SQL; strong experience with data extraction, transformation, and loading (ETL); working knowledge of report and dashboard development; strong knowledge of SQL Server / Snowflake databases; working knowledge of Oracle databases.
**Working Conditions**
**Working Conditions:**
 Works non\-standard hours as required
 Works within a standard office environment, with less than 10% travel
 Extensive computer work with prolonged periods of sitting
 TriWest job postings typically include a salary range,
 **which can vary based on the specific role and location** 
 , but generally this position ranges from around $138,000 to $154,000 per year.
**Company Overview**
**Taking Care of Our Nation's Heroes.**
**It's Who We Are. It's What We Do.**
 Do you have a passion for serving those who served?
**Join the TriWest Healthcare Alliance Team! We're On a Mission to Serve !**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28">
      <c r="A28" t="inlineStr">
        <is>
          <t>li-4366099462</t>
        </is>
      </c>
      <c r="B28" t="inlineStr">
        <is>
          <t>Senior AI Data Engineer</t>
        </is>
      </c>
      <c r="C28" t="inlineStr">
        <is>
          <t>Jobs via Dice</t>
        </is>
      </c>
      <c r="D28" t="inlineStr">
        <is>
          <t>linkedin</t>
        </is>
      </c>
      <c r="E28" t="inlineStr"/>
      <c r="F28" t="inlineStr"/>
      <c r="G28" t="inlineStr">
        <is>
          <t>Charlotte, NC</t>
        </is>
      </c>
      <c r="H28" t="inlineStr"/>
      <c r="I28" t="inlineStr">
        <is>
          <t>RESPONSIBILITIES:
 Kforce has a client that is seeking a Senior AI Data Engineer in Charlotte, NC.
 Key Tasks:
* Design, build, and optimize scalable data pipelines using AWS Glue, Apache Kafka, AWS Lambda, and Step Functions
* Develop and maintain robust data lakes and data warehouses on Amazon S3
* Implement infrastructure as code using CloudFormation Templates (CFT)
* Collaborate with Data Scientists and ML Engineers to integrate AI/ML models into production\-grade data workflows
* Write efficient, reusable, and testable code in Python, SQL, and PySpark
* Ensure data quality, governance, and security across all data platforms
* Monitor and troubleshoot data pipeline performance and reliability
* Participate in architectural discussions and contribute to cloud strategy and best practices
 REQUIREMENTS:
* 10\+ years of experience in Data Engineering with a strong focus on AWS Cloud
* Proficiency in Python, SQL, and PySpark
* Solid understanding of AI/ML concepts and experience integrating models into data pipelines
* Experience with CI/CD tools and DevOps practices in cloud environments
* Strong problem\-solving skills and ability to work in a fast\-paced, collaborative environment
 Hands\-on experience with:
* AWS Glue
* Apache Kafka
* Amazon S3
* AWS Lambda
* AWS Step Functions
* CloudFormation Templates (CFT)
 Preferred Qualifications:
* AWS certifications (e.g., AWS Certified Data Analytics, Solutions Architect)
* Familiarity with containerization (Docker, ECS) and orchestration tools (Airflow, EMR)
* Knowledge of data governance frameworks and compliance standards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9">
      <c r="A29" t="inlineStr">
        <is>
          <t>li-4352297102</t>
        </is>
      </c>
      <c r="B29" t="inlineStr">
        <is>
          <t>Data Engineering Solutions Architect</t>
        </is>
      </c>
      <c r="C29" t="inlineStr">
        <is>
          <t>Jobot</t>
        </is>
      </c>
      <c r="D29" t="inlineStr">
        <is>
          <t>linkedin</t>
        </is>
      </c>
      <c r="E29" t="inlineStr"/>
      <c r="F29" t="inlineStr"/>
      <c r="G29" t="inlineStr">
        <is>
          <t>Austin, TX</t>
        </is>
      </c>
      <c r="H29" t="inlineStr"/>
      <c r="I29" t="inlineStr">
        <is>
          <t>Want to learn more about this role and Jobot? Click our Jobot logo and follow our LinkedIn page!
 Job details
**Join the fastest growing Data engineering solutions company!**
 This Jobot Job is hosted by Adam Bennett
 Are you a fit? Easy Apply now by clicking the "Easy Apply" button and sending us your resume.
 Salary $150,000 \- $220,000 per year
**A Bit About Us**
 This is one of Jobot's best clients, and a company that has been growing by over 100% year over year for the last 7 years. They are continuing to grow!
 This company is focused on offering top tier consulting services to enterprise companies that are trying to better utilize their data.
****Why join us?****
 Join us for the variety of work, the opportunity to interface with some of the top companies in the world, and ability to build creative solutions to challenging problems.
**Job Details**
 Must be a talented data engineer! Ideally you come from some soft of consulting or client facing background, this may include internal customers!
 Hands on engineering experience a must. This includes the following
* Snowflake or Databricks engineering
* Deep understanding of AWS or Azure or GCP
* Code bases written in Python, Scala and or Java
* Most important? Clear and concise communication skills, you must be able to sit in front of a client, and be engaging, and speak with non\-technical stakeholders.
 This company will not be able to sponsor or transfer visas.
 If interested, please apply, or feel free to message Adam@jobot.com directly.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0">
      <c r="A30" t="inlineStr">
        <is>
          <t>li-4352764954</t>
        </is>
      </c>
      <c r="B30" t="inlineStr">
        <is>
          <t>Solutions Architect - (Data Engineering)</t>
        </is>
      </c>
      <c r="C30" t="inlineStr">
        <is>
          <t>Jobot</t>
        </is>
      </c>
      <c r="D30" t="inlineStr">
        <is>
          <t>linkedin</t>
        </is>
      </c>
      <c r="E30" t="inlineStr"/>
      <c r="F30" t="inlineStr"/>
      <c r="G30" t="inlineStr">
        <is>
          <t>Philadelphia, PA</t>
        </is>
      </c>
      <c r="H30" t="inlineStr"/>
      <c r="I30" t="inlineStr">
        <is>
          <t>Want to learn more about this role and Jobot? Click our Jobot logo and follow our LinkedIn page!
 Job details
**Shape the Future of Data \&amp; AI — Architect Solutions That Scale**
 This Jobot Job is hosted by Robert Donohue
 Are you a fit? Easy Apply now by clicking the "Easy Apply" button and sending us your resume.
 Salary $140,000 \- $170,000 per year
**A Bit About Us**
 We’re a global leader in data and AI/ML services and one of the fastest\-growing companies in the modern data stack space. We partner with top cloud platforms like Snowflake, AWS, Azure, GCP,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GCP,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GCP,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GCP)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1">
      <c r="A31" t="inlineStr">
        <is>
          <t>li-4367975068</t>
        </is>
      </c>
      <c r="B31" t="inlineStr">
        <is>
          <t>Data Engineer I</t>
        </is>
      </c>
      <c r="C31" t="inlineStr">
        <is>
          <t>Lensa</t>
        </is>
      </c>
      <c r="D31" t="inlineStr">
        <is>
          <t>linkedin</t>
        </is>
      </c>
      <c r="E31">
        <f>HYPERLINK("https://www.linkedin.com/jobs/view/4367975068", "https://www.linkedin.com/jobs/view/4367975068")</f>
        <v/>
      </c>
      <c r="F31">
        <f>HYPERLINK("https://lensa.com/cgw/6fe955e2f3a94caf95992fcaf57f6435tjo1?jpsi=directemployers&amp;publisher_preference=easier_apply&amp;utm_campaign=Computer%20Occupations&amp;utm_medium=slot&amp;utm_source=linkedin&amp;utm_term=jse&amp;urlHash=9uVw", "https://lensa.com/cgw/6fe955e2f3a94caf95992fcaf57f6435tjo1?jpsi=directemployers&amp;publisher_preference=easier_apply&amp;utm_campaign=Computer%20Occupations&amp;utm_medium=slot&amp;utm_source=linkedin&amp;utm_term=jse&amp;urlHash=9uVw")</f>
        <v/>
      </c>
      <c r="G31" t="inlineStr">
        <is>
          <t>Bellevue, WA</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Manpower Group Inc.. Clicking "Apply Now" or "Read more" on Lensa redirects you to the job board/employer site. Any information collected there is subject to their terms and privacy notice.
 Our client, a leading organization in the technology and data management industry, is seeking a Data Engineer I to join their team. As a Data Engineer I, you will be part of the Data Engineering Support team supporting the delivery program for independent contractors. The ideal candidate will have strong problem\-solving skills, excellent collaboration abilities, and a proactive attitude, which will align successfully in the organization.
**Job Title:** 
 Data Engineer I
**Location:** 
 Bellevue, WA \| Fully onsite
**Pay Range:** 
 $27 per hour
**What's the Job?**
* Support large\-scale data stacks with high data volumes, ensuring smooth operations and data integrity.
* Work closely with data engineers to support data delivery programs and infrastructure.
* Create and maintain data pipelines to facilitate data movement and storage.
* Assist in onboarding data sets into repositories and platforms such as Lit Guard for litigation purposes.
* Utilize SQL, AWS, CLI, and scripting skills to troubleshoot and optimize data workflows.
**What's Needed?**
* Strong experience in SQL and AWS technologies including S3, Athena, and CLI.
* BS in Engineering, Computer Science, or a related field.
* Experience working with large data sets and data pipelines.
* Command line interface experience and scripting skills.
* Nice to have: experience with coding, scripting, Athena, or Hive queries.
**What's in it for me?**
* Opportunity to work on impactful projects supporting independent contractors and data analytics.
* Collaborative team environment with a focus on innovation and growth.
* Engagement in a dynamic industry with potential for professional development.
* Competitive pay rate and weekly pay schedule.
* Access to comprehensive benefits upon completion of waiting period.
**Upon Completion Of Waiting Period, Consultants Are Eligible For**
* Medical and Prescription Drug Plans
* Dental Plan
* Vision Plan
* Health Savings Account
* Health Flexible Spending Account
* Dependent Care Flexible Spending Account
* Supplemental Life Insurance
* Short Term and Long Term Disability Insurance
* Business Travel Insurance
* 401(k), Plus Match
*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
 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
 If you have questions about this posting, please contact support@lensa.com</t>
        </is>
      </c>
    </row>
    <row r="32">
      <c r="A32" t="inlineStr">
        <is>
          <t>li-4367974022</t>
        </is>
      </c>
      <c r="B32" t="inlineStr">
        <is>
          <t>REMOTE- Junior Data Engineer</t>
        </is>
      </c>
      <c r="C32" t="inlineStr">
        <is>
          <t>Lensa</t>
        </is>
      </c>
      <c r="D32" t="inlineStr">
        <is>
          <t>linkedin</t>
        </is>
      </c>
      <c r="E32">
        <f>HYPERLINK("https://www.linkedin.com/jobs/view/4367974022", "https://www.linkedin.com/jobs/view/4367974022")</f>
        <v/>
      </c>
      <c r="F32" t="inlineStr"/>
      <c r="G32" t="inlineStr">
        <is>
          <t>Fort Worth, TX</t>
        </is>
      </c>
      <c r="H32" t="inlineStr"/>
      <c r="I3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33">
      <c r="A33" t="inlineStr">
        <is>
          <t>li-4367719138</t>
        </is>
      </c>
      <c r="B33" t="inlineStr">
        <is>
          <t>Data Analytics Engineer</t>
        </is>
      </c>
      <c r="C33" t="inlineStr">
        <is>
          <t>Grasshopper Bank</t>
        </is>
      </c>
      <c r="D33" t="inlineStr">
        <is>
          <t>linkedin</t>
        </is>
      </c>
      <c r="E33">
        <f>HYPERLINK("https://www.linkedin.com/jobs/view/4367719138", "https://www.linkedin.com/jobs/view/4367719138")</f>
        <v/>
      </c>
      <c r="F33" t="inlineStr"/>
      <c r="G33" t="inlineStr">
        <is>
          <t>New York, NY</t>
        </is>
      </c>
      <c r="H33" t="inlineStr"/>
      <c r="I33" t="inlineStr">
        <is>
          <t>**Department:** 
 Data
**Location:** 
 Remote
**Description**
 Grasshopper Bank is a
 **client\-first** 
 ,
 **digital bank** 
 built for the business and innovation economy, with an obsession for providing leading\-edge technology, solutions\-driven products and superior service through a combination of passionate people and digital resources.
 We are a highly experienced team who pride ourselves on
 **diversity of thought and perspective** 
 . Nationally chartered, our portfolio of products and services range from VC, PE \&amp; Portfolio Companies to SBA Lending, as well as direct SMB and Embedded Banking.
 Our entrepreneurial drive allows us to support the growth and success of a wide range of clients at every stage of their business through
 **inclusive partnership** 
 . We seek out team members who will enable both our organization and our people to grow and thrive through collaboration and acting with
 **integrity and respect.**
 Our focus on
 **cross\-functional teamwork** 
 provides a culture where ideas are valued,
 **accountability is encouraged** 
 , and
 **successes are celebrated** 
 . We welcome all those searching for the opportunity to contribute to banking innovation that influences and supports the emerging digital world of Financial Services.
 Our digital first approach enables our teams the flexibility to work remotely. We have offices in NYC and Boston.
**What You'll Do**
 Reporting to our Director of BI \&amp; Analytics, you will join our data team as a key internal consultant and technical expert. Whether you are a seasoned architect or a rising talent in the analytics space, your primary mission is the same: to move beyond simple reporting and transform complex data into compelling data stories.
 This is a high\-impact role where technical rigor meets design strategy. You will serve as the bridge between our data infrastructure and our stakeholders, owning the end\-to\-end data lifecycle. This includes architecting scalable data models and ELT pipelines, as well as partnering directly with business lines to build polished, intuitive Tableau dashboards.
 If you are a versatile professional who enjoys both writing complex Python/SQL transformation logic and crafting data stories that answer the "so what?" for leadership, we encourage you to apply.
**Responsibilities Include**
**Visualization \&amp; Storytelling**
* Tableau Design: Design and build highly interactive dashboards that guide users through a clear narrative flow. You don’t just display data; you highlight trends, anomalies, and actionable insights.
* UX/UI Strategy: Apply design best practices (layout, color theory, pre\-attentive attributes) to ensure dashboards are intuitive, consistent, and reduce cognitive load.
* Performance Tuning: Proactively monitor and optimize both SQL queries and Tableau workbooks to ensure fast load times and a seamless user experience.
**Data Engineering \&amp; Architecture**
* Data Modeling: Own the design and optimization of dimensional data models (Star Schemas) in BigQuery to create a clean, accessible, and performant "semantic layer" for analytics.
* Pipeline Development: Design, build, and maintain scalable ELT / ETL pipelines (using SQL, Python, and orchestration tools) to transform raw data into analytics\-ready datasets.
* Data Quality \&amp; Governance: Establish and advocate for data integrity by implementing automated testing, validation frameworks, and consistent metric definitions.
**Strategy \&amp; Consultation**
* Internal Consulting: Act as a trusted advisor to stakeholders. Translate vague business questions into strict technical requirements and analytical stories that get to the root of the problem.
* Mentorship: Foster a culture of data literacy by mentoring business users on dashboard interpretation and training junior analysts on SQL best practices.
* Documentation: Maintain clear technical documentation for data lineages, metric definitions, and pipeline logic.
**What You Need**
* Experience: 4\+ years of hands\-on experience in a hybrid data role (Analytics Engineer, Data Engineer, or BI Developer).
* Advanced SQL \&amp; Modeling: Expert\-level proficiency in SQL. You must be comfortable writing complex CTEs / window functions and have a strong grasp of Dimensional Modeling (Kimball methodology).
* Tableau Proficiency: Deep proficiency with Tableau Desktop. You must have experience with advanced calculations (LODs, Parameters, Set Actions) and a strong understanding of layout strategies to guide user attention.
* Python \&amp; Scripting: Strong experience using Python for data manipulation, API calls, and automation scripting.
* Data Storytelling: Proven ability to demonstrate how you have taken a raw dataset and turned it into a clear business recommendation or narrative.
* Modern Data Stack: Experience working within a modern cloud ecosystem (e.g., GCP, AWS, Azure) and cloud data warehouses (BigQuery, Snowflake, Redshift).
* Communication: Excellent verbal and written skills; you can present a dashboard to a stakeholder and clearly articulate the business value.
* Education: Bachelor’s degree in Computer Science, Engineering, Mathematics, Information Systems, Design, or a related field.</t>
        </is>
      </c>
    </row>
    <row r="34">
      <c r="A34" t="inlineStr">
        <is>
          <t>li-4357110801</t>
        </is>
      </c>
      <c r="B34" t="inlineStr">
        <is>
          <t>Data Engineer</t>
        </is>
      </c>
      <c r="C34" t="inlineStr">
        <is>
          <t>Castleton Commodities International</t>
        </is>
      </c>
      <c r="D34" t="inlineStr">
        <is>
          <t>linkedin</t>
        </is>
      </c>
      <c r="E34">
        <f>HYPERLINK("https://www.linkedin.com/jobs/view/4357110801", "https://www.linkedin.com/jobs/view/4357110801")</f>
        <v/>
      </c>
      <c r="F34">
        <f>HYPERLINK("https://osv-cci.wd1.myworkdayjobs.com/CCICareers/job/Houston-TX/Data-Engineer_R1228?source=LinkedIn&amp;urlHash=adRY", "https://osv-cci.wd1.myworkdayjobs.com/CCICareers/job/Houston-TX/Data-Engineer_R1228?source=LinkedIn&amp;urlHash=adRY")</f>
        <v/>
      </c>
      <c r="G34" t="inlineStr">
        <is>
          <t>Houston, TX</t>
        </is>
      </c>
      <c r="H34" t="inlineStr"/>
      <c r="I34" t="inlineStr">
        <is>
          <t>At Castleton Commodities International (CCI), we are redefining how data and technology shape the future of energy trading. Our Data Science \&amp; Technology team is at the forefront of this transformation, developing systems and innovative tools that empower our front\-office teams to better understand market dynamics, forecast prices, and manage risk.
 Our commitment to excellence is reflected in a robust, modern, open\-source technology stack, empowering us to solve complex, high\-impact challenges at scale. From cloud\-native infrastructure to machine learning platforms, real\-time analytics, and proprietary libraries and APIs, we are passionate about using technology to drive innovation and create a competitive edge in global energy commodity trading and investing. Candidates will gain direct exposure to our commercial investment teams, offering a unique opportunity to see how cutting\-edge technology drives strategy and performance in energy markets.
 Our Data Engineering team is integral to our mission, ensuring the seamless ingestion and management of data across our platforms. The Data Engineer will play an integral role as the team implements new data management platforms, creates new data ingestion pipelines, and sources new data sets. The role will assist with all aspects of data – from data architecture design to on\-going data management and will have significant exposure to our Commercial investing teams globally. This position will play an integral role as the firm continues to expand its use of data for advanced analytics and other commercial purposes.
**Responsibilities**
* Execute data architecture and data management projects for both new and existing data sources.
* Help transition existing data sets, databases, and code to a new technology stack.
* Manage end to end data ingestion process and publishing to investing teams.
* Own the process of mapping, standardizing, and normalizing data.
* Ad hoc research on project topics such as vendor trends, usage best practices, big data trends, artificial intelligence, vendors, etc.
* Help transition existing data sets, databases, and code to a new technology stack.
* Assess data loads for tactical errors and build out appropriate workflows, as well as create data quality analysis that identifies larger issues in data.
* Actively manage vendors and capture changes in data input proactively.
* Properly prioritize and resolve data issues based on business usage.
* Assist with managing strategic initiatives around big data projects for the commercial (trading) business.
* Partner with commercial teams to gain understanding of current data flow, data architecture, investment process as well as gather functional requirements.
* Assess gaps in current datasets and remediate.
**Qualifications:**
* Bachelor’s degree in Computer Science, Mathematics, Physics, Business Intelligence, or related field of study.
* 3\+ years of Data Engineering experience specializing in SQL programming, data architecture, and dimension modeling.
* Experience in energy commodities or financial services is nice to have but not required.
* Experience in mapping, standardizing, and normalizing data.
* Experience with ETL/ELT frameworks to write pipelines to load millions/billions of records.
* Advanced skills in writing highly optimized SQL code.
* Experience with relational databases; Snowflake highly preferred.
* Hands\-on experience developing data solutions in Python, Pandas, Numpy, etc.
* Ability to communicate and interact with a wide range of data users – from very technical to non\-technical.
* Team player who is execution focused, with the ability to handle a rapidly changing set of projects. and priorities, while maintaining strong professional presence.
* Ability to work effectively in a fast\-paced, dynamic and high\-intensity environment including an open\-floor plan, with timely responsiveness and the ability to work beyond normal business hours when required.
**Employee Programs \&amp; Benefits:**
 CCI offers competitive benefits and programs to support our employees, their families and local communities. These include:
* Competitive comprehensive medical, dental, retirement and life insurance benefits
* Employee assistance \&amp; wellness programs
* Parental and family leave policies
* CCI in the Community: Each office has a Charity Committee and as a part of this program employees are allocated 2 days annually to volunteer at the selected charities.
* Charitable contribution match program
* Tuition assistance \&amp; reimbursement
* Quarterly Innovation \&amp; Collaboration Awards
* Employee discount program, including access to fitness facilities
* Competitive paid time off
* Continued learning opportunities
 Visit https://www.cci.com/careers/life\-at\-cci/\# to learn more!</t>
        </is>
      </c>
    </row>
    <row r="35">
      <c r="A35" t="inlineStr">
        <is>
          <t>li-4367961118</t>
        </is>
      </c>
      <c r="B35" t="inlineStr">
        <is>
          <t>Data Engineer</t>
        </is>
      </c>
      <c r="C35" t="inlineStr">
        <is>
          <t>Akkodis Group Nordics</t>
        </is>
      </c>
      <c r="D35" t="inlineStr">
        <is>
          <t>linkedin</t>
        </is>
      </c>
      <c r="E35">
        <f>HYPERLINK("https://www.linkedin.com/jobs/view/4367961118", "https://www.linkedin.com/jobs/view/4367961118")</f>
        <v/>
      </c>
      <c r="F35" t="inlineStr"/>
      <c r="G35" t="inlineStr">
        <is>
          <t>Hartford, CT</t>
        </is>
      </c>
      <c r="H35" t="inlineStr"/>
      <c r="I35" t="inlineStr">
        <is>
          <t>Akkodis is seeking a
 **Data Engineer** 
 for a
 **Contract** 
 with a client in
 **Hartford, CT** 
 . Candidate must have strong expertise in PL/SQL, Python (Pandas/NumPy), and Snowflake to support analysis, automation, and ongoing reporting improvements.
**Rate Range:** 
 $37/hour to $49/hour; The rate may be negotiable based on experience, education, geographic location, and other factors.
**Data Engineer Job Responsibilities Include**
* Develop and maintain PL/SQL components, including stored procedures, functions, and technical documentation.
* Perform data analysis, transformation, and optimization activities across Snowflake and Oracle environments.
* Build Python‑based data solutions using Pandas and NumPy to support automation and advanced analytics.
* Support continuous improvement of reporting processes by simplifying, automating, and enabling self‑service capabilities.
* Coordinate with team POCs on migration plans while debugging issues and applying necessary manual fixes.
* Contribute effectively to an Agile setup by participating in ceremonies and following best practices with Git‑based source control.
**Required Qualifications**
* Bachelor’s degree in computer science, Information Technology, or a related discipline.
* Candidate must have 6–8 years of experience in data engineering with strong PL/SQL and Python skills.
* Requires hands‑on expertise in Snowflake, Oracle PL/SQL, and Python (Pandas/NumPy) for development, analysis, and automation.
* Requires proficiency working in Agile environments with experience using Git‑based source control and supporting migration activities.
 If you are interested in this role, then please click APPLY NOW. For other opportunities available at Akkodis, or any questions, feel free to contact me at
 **Shubham.Vasishtha@** 
**akkodisgroup.com.**
**Pay Details:** 
 $37\.00 to $49\.00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36">
      <c r="A36" t="inlineStr">
        <is>
          <t>li-4357003166</t>
        </is>
      </c>
      <c r="B36" t="inlineStr">
        <is>
          <t>Data Engineer - Manufacturing</t>
        </is>
      </c>
      <c r="C36" t="inlineStr">
        <is>
          <t>ChatGPT Jobs</t>
        </is>
      </c>
      <c r="D36" t="inlineStr">
        <is>
          <t>linkedin</t>
        </is>
      </c>
      <c r="E36">
        <f>HYPERLINK("https://www.linkedin.com/jobs/view/4357003166", "https://www.linkedin.com/jobs/view/4357003166")</f>
        <v/>
      </c>
      <c r="F36" t="inlineStr"/>
      <c r="G36" t="inlineStr"/>
      <c r="H36" t="inlineStr"/>
      <c r="I36" t="inlineStr">
        <is>
          <t>**Job Description**
 Data Engineer \- Manufacturing
 Foundation EGI
 Remote Nationwide,
* Remote
* Full\-Time
**Job Description**
 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Key Responsibilities
*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t>
        </is>
      </c>
    </row>
    <row r="37">
      <c r="A37" t="inlineStr">
        <is>
          <t>li-4367967141</t>
        </is>
      </c>
      <c r="B37" t="inlineStr">
        <is>
          <t>Remote Snowflake Data Engineer</t>
        </is>
      </c>
      <c r="C37" t="inlineStr">
        <is>
          <t>Lensa</t>
        </is>
      </c>
      <c r="D37" t="inlineStr">
        <is>
          <t>linkedin</t>
        </is>
      </c>
      <c r="E37">
        <f>HYPERLINK("https://www.linkedin.com/jobs/view/4367967141", "https://www.linkedin.com/jobs/view/4367967141")</f>
        <v/>
      </c>
      <c r="F37">
        <f>HYPERLINK("https://lensa.com/cgw/7166b849059c4122b89b74b8b6ccedcftjo1?jpsi=directemployers_no_redirect&amp;publisher_preference=easier_apply&amp;utm_campaign=Computer%20Occupations&amp;utm_medium=slot&amp;utm_source=linkedin&amp;utm_term=jse&amp;urlHash=0ATN", "https://lensa.com/cgw/7166b849059c4122b89b74b8b6ccedcftjo1?jpsi=directemployers_no_redirect&amp;publisher_preference=easier_apply&amp;utm_campaign=Computer%20Occupations&amp;utm_medium=slot&amp;utm_source=linkedin&amp;utm_term=jse&amp;urlHash=0ATN")</f>
        <v/>
      </c>
      <c r="G37" t="inlineStr">
        <is>
          <t>New York, NY</t>
        </is>
      </c>
      <c r="H37" t="inlineStr"/>
      <c r="I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We are seeking a mid to senior\-level Data Engineer with strong Snowflake and dbt experience to support an Aladdin implementation program. The ideal candidate has a strong background in financial data, modern cloud data platforms, and analytics engineering best practices. Prior Aladdin experience is not required, but is considered a strong plus.
 Key Responsibilities
 Design, develop, and maintain scalable data pipelines using Snowflake as the cloud data warehouse
 Build and manage analytics\-ready data models using dbt, following best practices for modularity, testing, and documentation
 Partner with business and technical stakeholders to translate Aladdin\-related data requirements into robust data models and transformations
 Integrate and normalize data from upstream systems (e.g., investment, accounting, market data, reference data) into Snowflake
 Implement data quality checks, testing frameworks, and performance optimizations across pipelines and models
 Support reporting, analytics, and downstream consumption use cases tied to portfolio, risk, performance, and operational data
 Collaborate with implementation partners and internal teams during design reviews, UAT, and production rollouts
 Contribute to data governance, lineage, and documentation standards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5\-8\+ years of experience in Data Engineering or Analytics Engineering roles
 Strong hands\-on experience with Snowflake (data modeling, performance tuning, cost optimization)
 Strong hands\-on experience with dbt (models, macros, tests, documentation, environments)
 Proficiency in SQL; comfort working with complex, large\-scale datasets
 Experience working in financial services environments (asset management, banking, capital markets, or similar)
 Familiarity with modern data engineering best practices (ELT, version control, CI/CD, data quality)
 Ability to work independently in a contract\-based, delivery\-oriented environment Prior experience supporting Aladdin implementations or integrations
 Exposure to investment data domains (portfolio, positions, transactions, risk, performance, benchmarks)
 Experience working with cloud platforms (AWS, Azure, or GCP)
 Experience collaborating with offshore or distributed delivery teams
 If you have questions about this posting, please contact support@lensa.com</t>
        </is>
      </c>
    </row>
    <row r="38">
      <c r="A38" t="inlineStr">
        <is>
          <t>li-4354069576</t>
        </is>
      </c>
      <c r="B38" t="inlineStr">
        <is>
          <t>Data engineer</t>
        </is>
      </c>
      <c r="C38" t="inlineStr">
        <is>
          <t>Jobot</t>
        </is>
      </c>
      <c r="D38" t="inlineStr">
        <is>
          <t>linkedin</t>
        </is>
      </c>
      <c r="E38">
        <f>HYPERLINK("https://www.linkedin.com/jobs/view/4354069576", "https://www.linkedin.com/jobs/view/4354069576")</f>
        <v/>
      </c>
      <c r="F38" t="inlineStr"/>
      <c r="G38" t="inlineStr">
        <is>
          <t>New York, NY</t>
        </is>
      </c>
      <c r="H38" t="inlineStr"/>
      <c r="I38" t="inlineStr">
        <is>
          <t>Want to learn more about this role and Jobot? Click our Jobot logo and follow our LinkedIn page!
 Job details
**One of the HOTTEST and FASTEST growing companies in the US is adding to their team**
 This Jobot Job is hosted by Adam Bennett
 Are you a fit? Easy Apply now by clicking the "Easy Apply" button and sending us your resume.
 Salary $140,000 \- $170,000 per year
**A Bit About Us**
 We are a data and AI services company that has been growing tremendously over the last 10 years. We anticipate growing 50\+% yoy over the next 5 years and are looking to bring on data engineers who have worked with enterprise customers to build out applications and utilize data in a more efficient way.
****Why join us?****
 Join us for growth! You'll grow in responsibility, skill, and compensation!
 This is 100% remote with light travel that will fluctuate between 0 \- 40% depending on the client engagement.
**Job Details**
 To be considered for this role, you'll need the following
* 5 \- 30 years of data engineering experience
* Must have experience working on one of the major cloud providers, AWS, GCP, Azure
* Must have experience working with Databricks or Snowflake
* Ideally, have used DBT
 Depending on your level of experience with the above platforms and tools, we can figure out which level to consider you for. If you have the above experience, you can send an email to Adam@jobot.com directly with a resume.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9">
      <c r="A39" t="inlineStr">
        <is>
          <t>li-4354159249</t>
        </is>
      </c>
      <c r="B39" t="inlineStr">
        <is>
          <t>Data Engineer</t>
        </is>
      </c>
      <c r="C39" t="inlineStr">
        <is>
          <t>Jobot</t>
        </is>
      </c>
      <c r="D39" t="inlineStr">
        <is>
          <t>linkedin</t>
        </is>
      </c>
      <c r="E39">
        <f>HYPERLINK("https://www.linkedin.com/jobs/view/4354159249", "https://www.linkedin.com/jobs/view/4354159249")</f>
        <v/>
      </c>
      <c r="F39" t="inlineStr"/>
      <c r="G39" t="inlineStr">
        <is>
          <t>Birmingham, AL</t>
        </is>
      </c>
      <c r="H39" t="inlineStr"/>
      <c r="I39" t="inlineStr">
        <is>
          <t>Want to learn more about this role and Jobot? Click our Jobot logo and follow our LinkedIn page!
 Job details
 This Jobot Job is hosted by Merwan Zattam
 Are you a fit? Easy Apply now by clicking the "Easy Apply"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0">
      <c r="A40" t="inlineStr">
        <is>
          <t>li-4356070290</t>
        </is>
      </c>
      <c r="B40" t="inlineStr">
        <is>
          <t>Senior Data Engineer</t>
        </is>
      </c>
      <c r="C40" t="inlineStr">
        <is>
          <t>Jobot</t>
        </is>
      </c>
      <c r="D40" t="inlineStr">
        <is>
          <t>linkedin</t>
        </is>
      </c>
      <c r="E40">
        <f>HYPERLINK("https://www.linkedin.com/jobs/view/4356070290", "https://www.linkedin.com/jobs/view/4356070290")</f>
        <v/>
      </c>
      <c r="F40" t="inlineStr"/>
      <c r="G40" t="inlineStr">
        <is>
          <t>Bellevue, WA</t>
        </is>
      </c>
      <c r="H40" t="inlineStr"/>
      <c r="I40" t="inlineStr">
        <is>
          <t>Want to learn more about this role and Jobot? Click our Jobot logo and follow our LinkedIn page!
 Job details
**Senior Data Engineer Needed \- $225K\-$300K \- Supply Chain Software Pioneer**
 This Jobot Job is hosted by Steven Zacharias
 Are you a fit? Easy Apply now by clicking the "Easy Apply" button and sending us your resume.
 Salary $225,000 \- $300,000 per year
**A Bit About Us**
 We are a growing software development firm that's looking for a seasoned Data Engineer!
 If interested, please apply or email me your resume directly at \- Steven.Zacharias@Jobot.com!
****Why join us?****
* $225,000\-$300,000 Base Salary
* Health / Dental / Vision
* 401k w/ employer match
* PTO
**Job Details**
 Scope of Responsibilities
* Data ingestion pipelines for existing and new data sources (both batch and real\-time streaming)
* Experience with all forms of multi\-modal data types
* Monitoring frameworks to protect data quality and consistency
* Data modeling design and data architecture skills to support reporting and analytics requirements
* Experience in the latest generation of data lake architectures, stream and batch processing, and managed cloud services to support scale.
**Qualifications**
* Degree in Computer Science, Mathematics, Statistics, or other data\-intensive discipline with substantive engineering experience.
* 5\+ years demonstrated development experience using SQL, Scala, Spark, Flink, Beam, and/or Python
* 5\+ years demonstrated experience in data management (structured and unstructured) and modern database technologies
* Demonstrated experience developing data pipelines to support machine learning, LLMs or other analytical solutions
* Experience working with multi\-cloud providers such as AWS and Azure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1">
      <c r="A41" t="inlineStr">
        <is>
          <t>li-4354013304</t>
        </is>
      </c>
      <c r="B41" t="inlineStr">
        <is>
          <t>Senior Data Engineer</t>
        </is>
      </c>
      <c r="C41" t="inlineStr">
        <is>
          <t>Jobot</t>
        </is>
      </c>
      <c r="D41" t="inlineStr">
        <is>
          <t>linkedin</t>
        </is>
      </c>
      <c r="E41">
        <f>HYPERLINK("https://www.linkedin.com/jobs/view/4354013304", "https://www.linkedin.com/jobs/view/4354013304")</f>
        <v/>
      </c>
      <c r="F41" t="inlineStr"/>
      <c r="G41" t="inlineStr">
        <is>
          <t>Bethesda, MD</t>
        </is>
      </c>
      <c r="H41" t="inlineStr"/>
      <c r="I41" t="inlineStr">
        <is>
          <t>Want to learn more about this role and Jobot? Click our Jobot logo and follow our LinkedIn page!
 Job details
**Work on data driven strategies to apply AI and ML to novel drug discovery, at the forefront of biotech innovation.**
 This Jobot Job is hosted by Charles Simmons
 Are you a fit? Easy Apply now by clicking the "Easy Apply" button and sending us your resume.
 Salary $140,000 \- $180,000 per year
**A Bit About Us**
 Advancements in AI and drug discovery are creating more candidate drugs than the industry can progress because of the high cost and time of clinical trials. Recognizing that this development bottleneck may ultimately limit the number of new medicines that can reach patients, this organization has built technology platforms, processes, and capabilities to accelerate all aspects of drug development and clinical trials. The organization partners, acquires, or in\-licenses drugs from pharma companies, research organizations, and biotechs to develop programs past clinical proof of concept and beyond, ultimately helping to bring new medicines to patients.
****Why join us?****
 You'll play a central role in shaping the company's data platform by contributing to ingestion frameworks, orchestration patterns (using Dagster or alternatives like Prefect or Airflow), and dbt\-based modeling strategies. This is a high\-impact role for an experienced engineer who loves building clean pipelines, understands metadata and observability, and enjoys making data discoverable and trustworthy for analytics, operations, and product use cases.
* Competitive salary and total compensation ranges based on experience
* Work on site in NYC or Boston, or up to 100% from home anywhere in the US.
* Comprehensive health, vision, and dental coverage for individuals and families
**Job Details**
 Job Details
 We are seeking a passionate and talented Senior Data Engineer to join our dynamic team in the scientific industry. The ideal candidate will have a strong background in data engineering and a deep understanding of modern data processing technology stacks. The successful candidate will be responsible for the design, development, testing, and deployment of highly scalable data management systems. This role requires a deep understanding of data architecture, data engineering, data analysis, reporting, and a basic understanding of data science techniques and workflows. The individual in this role must be comfortable working in a fast\-paced and dynamic environment with a high degree of autonomy.
**Responsibilities**
* Design, construct, install, test, and maintain highly scalable data management systems.
* Ensure systems meet business requirements and industry practices.
* Build high\-performance algorithms, prototypes, predictive models, and proof of concepts.
* Research opportunities for data acquisition and new uses for existing data.
* Develop data set processes for data modeling, mining, and production.
* Integrate new data management technologies and software engineering tools into existing structures.
* Create custom software components and analytics applications.
* Install and update disaster recovery procedures.
* Collaborate with data architects, modelers, and IT team members on project goals.
* Employ a variety of languages and tools to marry systems together.
* Recommend ways to improve data reliability, efficiency, and quality.
* Use Dagster or equivalent for creating data pipelines and workflows.
**Qualifications**
* 5\+ years of experience in data engineering or related fields.
* Strong hands\-on experience with Python, SQL, and dbt.
* Proficiency with orchestration tools like Dagster, Prefect, or Airflow.
* Experience building data ingestion pipelines from REST APIs, flat files, and cloud storage (e.g., S3\).
* Familiarity with Snowflake and its ecosystem—warehouses, cost optimization, RBAC, data sharing.
* Clear understanding of metadata, observability, and testing for data pipelines.
* You enjoy partnering with stakeholders and understand the importance of clean, discoverable data.
* Bonus experience working in pharma, healthcare, or regulated data environments.
* Bonus experience working with unstructured data and AI Data Engineering (OCR, NER, vector databases, graph databases)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2">
      <c r="A42" t="inlineStr">
        <is>
          <t>li-4353601074</t>
        </is>
      </c>
      <c r="B42" t="inlineStr">
        <is>
          <t>Senior Data Engineer</t>
        </is>
      </c>
      <c r="C42" t="inlineStr">
        <is>
          <t>Jobot</t>
        </is>
      </c>
      <c r="D42" t="inlineStr">
        <is>
          <t>linkedin</t>
        </is>
      </c>
      <c r="E42">
        <f>HYPERLINK("https://www.linkedin.com/jobs/view/4353601074", "https://www.linkedin.com/jobs/view/4353601074")</f>
        <v/>
      </c>
      <c r="F42" t="inlineStr"/>
      <c r="G42" t="inlineStr">
        <is>
          <t>New York, NY</t>
        </is>
      </c>
      <c r="H42" t="inlineStr"/>
      <c r="I42" t="inlineStr">
        <is>
          <t>Want to learn more about this role and Jobot? Click our Jobot logo and follow our LinkedIn page!
 Job details
**Join a World Class Team Operating at the Intersection of Technology, Data, and Digital Products**
 This Jobot Job is hosted by Amanda Preston
 Are you a fit? Easy Apply now by clicking the "Easy Apply" button and sending us your resume.
 Salary $155,000 \- $175,000 per year
**A Bit About Us**
 Competitive salary and comprehensive benefits
 Long\-term stability with continued investment in technology and engineering
 High\-visibility work with real\-world impact
 A collaborative, engineering\-driven culture focused on quality and continuous improvement
****Why join us?****
 Work on data and machine learning platforms operating at significant scale
 Own and influence core systems that power critical business capabilities
 Collaborate with experienced engineers and data scientists in a highly technical environment
 Tackle complex engineering challenges with modern cloud and MLOps tooling
 Enjoy the stability of a mature organization combined with the opportunity to modernize and innovate
**Job Details**
 Senior Data Engineer
 Role Summary
 Join a high\-performing engineering team at a large, global organization operating at the intersection of technology, data, and digital products. We are seeking a highly motivated Senior Data Engineer to lead the architecture, deployment, and operation of next\-generation, data\-driven platforms.
 In this role, you will bridge the gap between Data Science and Production Engineering, ensuring that datasets, machine learning models, and core services are deployed reliably, scalably, and securely in the cloud. This is a high\-impact position requiring deep expertise in data architecture, backend engineering, and the full machine learning lifecycle in production environments.
 Key Responsibilities
 Data Pipeline Design \&amp; Orchestration
 Design, build, and maintain robust data ingestion and transformation pipelines
 Leverage modern orchestration tools to ensure reliable, observable data flows supporting machine learning workloads
 Core Development
 Write clean, efficient, and well\-tested Python code for automation, infrastructure tooling, and service integration
 Develop shared libraries and glue services connecting cloud\-native components
 API \&amp; Service Deployment
 Design, develop, and deploy high\-performance Python APIs (FastAPI / Flask) to serve machine learning predictions and core application logic
 MLOps Pipeline Ownership
 Own end\-to\-end pipelines for continuous training, deployment, versioning, and monitoring of production ML models (e.g., recommendation or personalization systems)
 Infrastructure Management
 Architect and maintain scalable, fault\-tolerant infrastructure using Kubernetes (GKE) within Google Cloud Platform
 Ensure reliability, performance, and cost efficiency across environments
 Collaboration \&amp; Mentorship
 Partner closely with data scientists, software engineers, and platform teams
 Provide technical leadership and mentorship to junior engineers
**Qualifications**
 Must\-Have (Engineering Excellence)
 5\+ years of professional experience in Data Engineering, Software Engineering, or Cloud Engineering
 Deep expertise in Python for application development, data processing, and automation
 Proven experience building and deploying production\-grade backend services and APIs (FastAPI, Flask, or Django)
 Strong SQL skills with experience designing and optimizing schemas for relational and analytical data stores (e.g., BigQuery, Cloud SQL)
 Hands\-on experience with data orchestration tools such as Dagster or Airflow
 Extensive experience designing and operating services within Google Cloud Platform (BigQuery, Pub/Sub, Vertex AI, Compute Engine)
 Expert\-level knowledge of Docker and Kubernetes, including Helm\-based deployments
 Nice\-to\-Have (DevOps \&amp; MLOps)
 Experience with Infrastructure as Code tools such as Terraform or Crossplane
 CI/CD experience using GitHub Actions or similar tooling
 Familiarity with observability stacks (Prometheus, Grafana, Cloud Logging)
 Understanding of cloud security principles and enterprise compliance requirements
 Direct experience supporting production MLOps workflows (model monitoring, drift detection, automated retraining)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3">
      <c r="A43" t="inlineStr">
        <is>
          <t>li-4355690495</t>
        </is>
      </c>
      <c r="B43" t="inlineStr">
        <is>
          <t>Ecommerce Analytics Engineer</t>
        </is>
      </c>
      <c r="C43" t="inlineStr">
        <is>
          <t>Jobot</t>
        </is>
      </c>
      <c r="D43" t="inlineStr">
        <is>
          <t>linkedin</t>
        </is>
      </c>
      <c r="E43">
        <f>HYPERLINK("https://www.linkedin.com/jobs/view/4355690495", "https://www.linkedin.com/jobs/view/4355690495")</f>
        <v/>
      </c>
      <c r="F43" t="inlineStr"/>
      <c r="G43" t="inlineStr">
        <is>
          <t>San Diego, CA</t>
        </is>
      </c>
      <c r="H43" t="inlineStr"/>
      <c r="I43" t="inlineStr">
        <is>
          <t>Want to learn more about this role and Jobot? Click our Jobot logo and follow our LinkedIn page!
 Job details
**Senior Analytics Engineer opportunity available with growing e\-commerce agency! (San Diego, CA) \- send your resume to marcus.curiel@jobot.com**
 This Jobot Job is hosted by Marcus Curiel
 Are you a fit? Easy Apply now by clicking the "Easy Apply" button and sending us your resume.
 Salary $120,000 \- $150,000 per year
**A Bit About Us**
 We are a high\-growth, data\-driven eCommerce partner specializing in helping brands succeed on the world’s largest online marketplaces. Our team of strategists, analysts, and creatives work together to drive measurable performance across advertising, operations, logistics, and content. By combining deep industry knowledge with advanced analytics and proprietary tools, we help our partners unlock sustainable growth and protect their brand equity in an ever\-evolving digital landscape.
 Headquartered in Southern California, our company supports a diverse portfolio of category\-leading brands and is powered by a passionate team dedicated to innovation, transparency, and results.
 We are growing and looking for a Senior Analytics Engineer with DBT experience to join our team!
****Why join us?****
* Multiple medical plan options
* Dental \&amp; vision insurance (including orthodontia and annual exams)
* Pet benefit program with savings on vet care, products, and services
* Paid vacation (accruing up to 120\+ hours/year with rollover and cap)
* Paid holidays annually
* Coverage for spouses/domestic partners and dependents under 26
* Benefits begin on the first of the month after your hire date
**Job Details**
 What you will do as an Ecommerce Data Analytics Engineer is
 Build \&amp; Optimize – Design, develop, and manage advanced data pipelines for inventory tracking, financial reporting, and marketplace performance analytics for internal and client use.
 📊 Drive eCommerce Intelligence – Transform complex inventory data, advertising spend, and sales performance metrics into actionable insights that optimize stock levels, improve margins, and maximize ROI.
 💰 Financial Data Mastery – Build comprehensive financial dashboards, interactive reports, and executive visualizations tracking COGS, profit margins, advertising efficiency (ACOS/TACOS), inventory turns, and Amazon selling metrics..
 📦 Inventory Analytics Leadership – Develop sophisticated models, visualizations, and automated reports for demand forecasting, reorder point optimization, and trend analysis to prevent stockouts and overstock situations.
 📏 Champion eCommerce Data Governance – Develop and uphold data standards specifically for SKU management, financial reconciliation, and marketplace data integrity across the organization.
 🤝 Mentor \&amp; Collaborate – Guide junior team members on ecommerce analytics best practices and foster a high\-performing, collaborative environment.
 💡 Innovate \&amp; Communicate – Identify process improvements in inventory management and financial reporting workflows, stay current on ecommerce industry trends, and clearly present complex financial and operational concepts to all audiences.
 What We're Looking For
 🎓 Bachelor's or Master's degree in Computer Science, Engineering, Finance, or related field (or equivalent experience) with 5\+ years specifically in ecommerce analytics/data engineering with inventory and financial data focus.
 🛒 eCommerce Data Expertise – Proven experience working with marketplace data, inventory management systems, ERP integrations, and financial reporting platforms. Deep understanding of ecommerce KPIs, unit economics, and inventory metrics. Strong background in creating client\-facing dashboards and executive reporting.
 💰 Financial Analytics Background – Strong experience with COGS tracking, margin optimization, advertising spend analysis, and financial reconciliation processes. Familiarity with accounting principles and financial statement analysis. Proven ability to translate financial data into clear visualizations and actionable reports.
 📦 Inventory Management Systems – Hands\-on experience with inventory planning software, demand forecasting tools, warehouse management systems (WMS), and supply chain analytics. Understanding of inventory accounting methods and valuation. Experience building automated inventory reports and performance dashboards.
 🎨 Visualization \&amp; Reporting Expertise – Strong proficiency in data visualization tools (Tableau, Power BI, Looker, or similar) with experience creating compelling dashboards, automated reports, and executive presentations that drive business decisions.
 🐍 Technical Mastery – Expert in SQL and Python (or similar languages) for building scalable, efficient data solutions specifically for ecommerce and financial data pipelines.
 ⚡ dbt \+ BigQuery Expertise – Proven experience using dbt for transformations and deploying solutions on Google BigQuery or similar ( AWS or Azure).
 🏗️ Data Engineering Skills – Strong knowledge of data modeling, warehousing concepts, and ETL/ELT pipelines with specific experience in ecommerce data schemas, marketplace APIs, and financial data integration.
 🔧Familiar with Git, version control, and Agile methodologies.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4">
      <c r="A44" t="inlineStr">
        <is>
          <t>li-4367700766</t>
        </is>
      </c>
      <c r="B44" t="inlineStr">
        <is>
          <t>Data Engineer 2</t>
        </is>
      </c>
      <c r="C44" t="inlineStr">
        <is>
          <t>Jobs via Dice</t>
        </is>
      </c>
      <c r="D44" t="inlineStr">
        <is>
          <t>linkedin</t>
        </is>
      </c>
      <c r="E44">
        <f>HYPERLINK("https://www.linkedin.com/jobs/view/4367700766", "https://www.linkedin.com/jobs/view/4367700766")</f>
        <v/>
      </c>
      <c r="F44" t="inlineStr"/>
      <c r="G44" t="inlineStr">
        <is>
          <t>Redmond, WA</t>
        </is>
      </c>
      <c r="H44" t="inlineStr"/>
      <c r="I44"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Do you love the excitement and learning opportunity to study, analyze, and deal with the most complex threats to digital security in today's world? Do you have the "learner" mindset, are willing to un\-learn previous skills and learn new ones every day? Are you passionate about solving the challenges of security response teams? If yes, then this opportunity is for you.
 The Telemetry Enforcement Engineering team, within Cyber Defense Operations is looking for a Data Engineer to drive the centralization of access and curation of critical security data while applying operational rigor to ensure real\-time availability and accuracy of thousands of mission\-critical data sources. About CDO \- Cyber Defense Operations. An organization led by Microsoft's Chief Information Security Officer enables Microsoft to deliver the most trusted software and services. The CDO vision is to ensure all information and services are protected, secured, and available for appropriate use through innovation and a robust risk \&amp; management framework.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Data\-Driven Analysis \- Analyzes key metrics and key performance indicators (KPIs) and other data sources (e.g., bugs, unhealthy data pipeline) and identifies trends in security issues and escalates appropriately. Recommends improvements and/or metrics to address gaps in measurement.
* Leverages multiple sources of data in conducting and interpreting analysis. Evaluates data sets for anomalies and other patterns.
* Technical Insight: Provides technical insight on incident analysis and management, threat mitigation and an ability to translate into platform requirements, partnering closely with software development teams.
* Operational Rigor: Demonstrates exceptional operational rigor with real\-world experience in cyber security operations, threat mitigation and incident response.
* Stakeholder Management: Manages critical stakeholder calls and meetings (including non\-business hours) while addressing critical security incidents.
* Security Knowledge: Possesses extensive hands\-on knowledge of security concepts including cyber\-attacks, techniques, threat vectors, risk management, and incident management.
* Data Engineering \&amp; Management: Understand and administer data source access, availability, while proactively defining controls \&amp; policies to improve access and availability.
* Participate in oncall rotations/duties
**Other**
* Embody our culture and values.
**Qualifications**
**Required Minimum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 1\+ years of experience in a Data Engineer or Software Engineer role with a focus on cloud\-based big data processing.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**Citizenship \&amp; Citizenship Verification** 
 :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**Additional or Preferred Qualifications:**
* 3\+ years of experience in data engineering
* 3\+ years of hands\-on experience with Microsoft Kusto clusters (KQL), Azure Cosmos DB, Azure Access Control methods
* 3\+ years assisting in tuning and optimizing data source and data pipeline availability rules and alerts.
* 3\+ years collaborating with IT, DevOps, and other teams to remediate vulnerabilities and improve security controls/policies.
* 3\+ year pipeline experience, Synapse/Python
* 3\+ years of experience of DRI/Live site Engagement/Oncall experience
* 8\+ years of security operations work experience, with 5 years of experience collaborating with IR/SOC.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li-4367700780</t>
        </is>
      </c>
      <c r="B45" t="inlineStr">
        <is>
          <t>Data Engineer II</t>
        </is>
      </c>
      <c r="C45" t="inlineStr">
        <is>
          <t>Jobs via Dice</t>
        </is>
      </c>
      <c r="D45" t="inlineStr">
        <is>
          <t>linkedin</t>
        </is>
      </c>
      <c r="E45">
        <f>HYPERLINK("https://www.linkedin.com/jobs/view/4367700780", "https://www.linkedin.com/jobs/view/4367700780")</f>
        <v/>
      </c>
      <c r="F45" t="inlineStr"/>
      <c r="G45" t="inlineStr">
        <is>
          <t>Redmond, WA</t>
        </is>
      </c>
      <c r="H45" t="inlineStr"/>
      <c r="I45" t="inlineStr">
        <is>
          <t>**Overview**
 Microsoft Cloud Operations and Innovation (CO\+I) is the team behind the cloud. Within CO\+I, the Integrated Planning and Execution (IPE) team drives the early\-stage planning and acquisition functions that will enable the cloud of tomorrow. We are seeking a
 **Data Engineer II** 
 that will oversee the long\-term strategy as well as the day\-to\-day operations of the Azure SQL Database architecture with multi\-region replication and failover support. In addition, this role will also require data engineering skills in Azure Data Factory and Fabric, to build and support the development of data and reporting solutions for the people who are powering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oversee the Azure SQL Server architecture that supports business intelligence solutions.
* building data engineering solutions that support planning executives, analysts and program managers along with business decision making across all aspects of the planning functions within the IPE organization.
* Azure SQL Database Administrator, performance tuning and indexing, replication and failover support.
* Be a very experienced SQL developer, in areas such as indexing, partitioning and procedure development.
* Build and maintain Azure Data Factory pipelines to in a business\-production environment.
* Build and maintain success/failure pipeline monitoring through Logic Apps, Azure alerts, and Azure Incident and Change Management (ICM).
* Be familiar with Azure Data Lake Storage (ADLS) Gen2\.Build and maintain Fabric dataflows and other ingestion pipelines through that platform.
* Perform on\-call and backup on\-call duties, rotating with the team on a regular basis, working incidents during this time.
* Work closely with the Business Intelligence team, program managers and stakeholders to gather detailed requirements, prioritize Azure DevOps (ADO) work items, and drive design.
* Collaborate with the Access Control team to ensure compliance and data security.
* Collaborate with multiple engineering teams when building ingestion pipelines.
* Drive continuous improvement through good documentation, adherence to agile methodology, and commitment to measuring success.
* Remain current and up to date on technologies supporting AI through Copilot, proactively participating in efforts to document and promote best practices.
* Embody our culture and values
**Qualifications**
**Required/minimum qualifications**
* Bachelor's Degree in Computer Science, Engineering, Supply Chain, or related field AND 3\+ years experience in technical program/product management, coding, software development/delivery work
+ OR equivalent experience.
* 2\+ years of customer\-facing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position requires verification of citizenship due to citizenship\-based legal restrictions. Specifically, this position supports United States federal, state, and/or local \[or applicable country] government agency customers and is subject to certain citizenship\-based restrictions where required or permitted by applicable law. To meet this legal requirement, and as a condition of employment, the successful candidate's citizenship will be verified with a valid passport.
**Additional Or Preferred Qualifications**
* Bachelor's Degree in Computer Science, Engineering, Supply Chain, or related field AND 5\+ years experience in technical program/product management, coding, software development/delivery work or internship experience
+ OR equivalent experience.
* 3\+ years of customer\-facing experience.
 Customer Solutions Architecture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li-4367598701</t>
        </is>
      </c>
      <c r="B46" t="inlineStr">
        <is>
          <t>Principal Data Engineer (CoreAI)</t>
        </is>
      </c>
      <c r="C46" t="inlineStr">
        <is>
          <t>Jobs via Dice</t>
        </is>
      </c>
      <c r="D46" t="inlineStr">
        <is>
          <t>linkedin</t>
        </is>
      </c>
      <c r="E46">
        <f>HYPERLINK("https://www.linkedin.com/jobs/view/4367598701", "https://www.linkedin.com/jobs/view/4367598701")</f>
        <v/>
      </c>
      <c r="F46">
        <f>HYPERLINK("https://click.appcast.io/t/2CGLfdIIf-N_NmiCR8rnyApkAZ_fsGyFV3nsPQNx_iU=&amp;urlHash=w_VP", "https://click.appcast.io/t/2CGLfdIIf-N_NmiCR8rnyApkAZ_fsGyFV3nsPQNx_iU=&amp;urlHash=w_VP")</f>
        <v/>
      </c>
      <c r="G46" t="inlineStr">
        <is>
          <t>Redmond, WA</t>
        </is>
      </c>
      <c r="H46" t="inlineStr"/>
      <c r="I46" t="inlineStr">
        <is>
          <t>Dice is the leading career destination for tech experts at every stage of their careers. Our client, Microsoft Corporation, is seeking the following. Apply via Dice today!
**Overview**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EngThrive Insights team is responsible for understanding the developer experience. Our mission is to deliver insights that enable Microsoft to be the best place to work as an engineer, where it is fast and easy to do great work.
 In this role, you will serve as one of the leads for the data platform that underpins EngThrive insights. Your responsibilities will include designing and maintaining data pipelines, curating high\-quality datasets, performing in\-depth data analysis, developing dashboards, and building the data and AI infrastructure that supports these capabilities and our missions.
 Success in this position requires versatility across multiple domains, including software engineering and data analytics, as well as a strong passion for, and understanding of, the tools and processes that shape the engineering workflow.
 At Microsoft, our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**Shape the Product Vision:** 
 Define and influence the product roadmap by aligning technical strategy with business goals and customer needs.
**Architect for Scale and Sustainability:** 
 Design and evolve durable, scalable system architectures that balance long\-term maintainability with short\-term delivery needs, making thoughtful engineering trade\-offs.
**Direct Impact:** 
 Leads by example and mentor others to produce extensible and maintainable code used across the platform. Creates and applies metrics to drive the quality and stability of code, as well as appropriate coding patterns and best practices.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**Mentor and Grow Talent:** 
 Support the growth of engineers through mentorship, knowledge sharing, and by enabling long\-term ownership of key systems.
**Champion Customer\-Centric Development:** 
 Engage directly with customers and product teams to capture feedback, understand demand signals, and refine product messaging\-ensuring the voice of the customer shapes product evolution.
**Operational Excellence:** 
 Drive operational excellence in managing and operating large\-scale data systems with a high bar for data quality, stability, security and privacy. Set high standards for reliability and performance.
**Qualifications**
**Required Qualifications:**
* Master's Degree in Computer Science, Math, Software Engineering, Computer Engineering, or related field AND 4\+ years experience in business analytics, data science, software development, data modeling, or data engineering OR Bachelor's Degree in Computer Science, Math, Software Engineering, Computer Engineering, or related field AND 6\+ years experience in business analytics, data science, software development, data modeling, or data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Demonstrated expertise in building, evolving and leading complex data platforms.
* Experience with data visualization technologies such as PowerBI, Tableau, Grafana, or similar.
* 4\+ years of experience working with complex data sets, data pipelines and solving challenging data problems at scale.
* 4\+ years of experience and expertise working with data products such as Microsoft Fabric, Databricks, or similar.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li-4352297102</t>
        </is>
      </c>
      <c r="B47" t="inlineStr">
        <is>
          <t>Data Engineering Solutions Architect</t>
        </is>
      </c>
      <c r="C47" t="inlineStr">
        <is>
          <t>Jobot</t>
        </is>
      </c>
      <c r="D47" t="inlineStr">
        <is>
          <t>linkedin</t>
        </is>
      </c>
      <c r="E47">
        <f>HYPERLINK("https://www.linkedin.com/jobs/view/4352297102", "https://www.linkedin.com/jobs/view/4352297102")</f>
        <v/>
      </c>
      <c r="F47" t="inlineStr"/>
      <c r="G47" t="inlineStr">
        <is>
          <t>Austin, TX</t>
        </is>
      </c>
      <c r="H47" t="inlineStr"/>
      <c r="I47" t="inlineStr">
        <is>
          <t>Want to learn more about this role and Jobot? Click our Jobot logo and follow our LinkedIn page!
 Job details
**Join the fastest growing Data engineering solutions company!**
 This Jobot Job is hosted by Adam Bennett
 Are you a fit? Easy Apply now by clicking the "Easy Apply" button and sending us your resume.
 Salary $150,000 \- $220,000 per year
**A Bit About Us**
 This is one of Jobot's best clients, and a company that has been growing by over 100% year over year for the last 7 years. They are continuing to grow!
 This company is focused on offering top tier consulting services to enterprise companies that are trying to better utilize their data.
****Why join us?****
 Join us for the variety of work, the opportunity to interface with some of the top companies in the world, and ability to build creative solutions to challenging problems.
**Job Details**
 Must be a talented data engineer! Ideally you come from some soft of consulting or client facing background, this may include internal customers!
 Hands on engineering experience a must. This includes the following
* Snowflake or Databricks engineering
* Deep understanding of AWS or Azure or GCP
* Code bases written in Python, Scala and or Java
* Most important? Clear and concise communication skills, you must be able to sit in front of a client, and be engaging, and speak with non\-technical stakeholders.
 This company will not be able to sponsor or transfer visas.
 If interested, please apply, or feel free to message Adam@jobot.com directly.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8">
      <c r="A48" t="inlineStr">
        <is>
          <t>li-4352764954</t>
        </is>
      </c>
      <c r="B48" t="inlineStr">
        <is>
          <t>Solutions Architect - (Data Engineering)</t>
        </is>
      </c>
      <c r="C48" t="inlineStr">
        <is>
          <t>Jobot</t>
        </is>
      </c>
      <c r="D48" t="inlineStr">
        <is>
          <t>linkedin</t>
        </is>
      </c>
      <c r="E48">
        <f>HYPERLINK("https://www.linkedin.com/jobs/view/4352764954", "https://www.linkedin.com/jobs/view/4352764954")</f>
        <v/>
      </c>
      <c r="F48" t="inlineStr"/>
      <c r="G48" t="inlineStr">
        <is>
          <t>Philadelphia, PA</t>
        </is>
      </c>
      <c r="H48" t="inlineStr"/>
      <c r="I48" t="inlineStr">
        <is>
          <t>Want to learn more about this role and Jobot? Click our Jobot logo and follow our LinkedIn page!
 Job details
**Shape the Future of Data \&amp; AI — Architect Solutions That Scale**
 This Jobot Job is hosted by Robert Donohue
 Are you a fit? Easy Apply now by clicking the "Easy Apply" button and sending us your resume.
 Salary $140,000 \- $170,000 per year
**A Bit About Us**
 We’re a global leader in data and AI/ML services and one of the fastest\-growing companies in the modern data stack space. We partner with top cloud platforms like Snowflake, AWS, Azure, GCP,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GCP,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GCP,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GCP)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2026-02-01T04:36:52Z</dcterms:created>
  <dcterms:modified xsi:type="dcterms:W3CDTF">2026-02-01T04:36:52Z</dcterms:modified>
</cp:coreProperties>
</file>