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in-462ce44166a26961</t>
        </is>
      </c>
      <c r="B2" t="inlineStr">
        <is>
          <t>Sr. Applied Scientist, Amazon Ads</t>
        </is>
      </c>
      <c r="C2" t="inlineStr">
        <is>
          <t>Amazon.com</t>
        </is>
      </c>
      <c r="D2" t="inlineStr">
        <is>
          <t>indeed</t>
        </is>
      </c>
      <c r="E2" t="inlineStr"/>
      <c r="F2" t="inlineStr"/>
      <c r="G2" t="inlineStr">
        <is>
          <t>Corvallis, OR, US</t>
        </is>
      </c>
      <c r="H2" s="2" t="n">
        <v>45998</v>
      </c>
      <c r="I2"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3">
      <c r="A3" t="inlineStr">
        <is>
          <t>in-17b1f05fa506bf1c</t>
        </is>
      </c>
      <c r="B3" t="inlineStr">
        <is>
          <t>Sr. Applied Scientist, Amazon Ads</t>
        </is>
      </c>
      <c r="C3" t="inlineStr">
        <is>
          <t>Amazon.com</t>
        </is>
      </c>
      <c r="D3" t="inlineStr">
        <is>
          <t>indeed</t>
        </is>
      </c>
      <c r="E3" t="inlineStr"/>
      <c r="F3" t="inlineStr"/>
      <c r="G3" t="inlineStr">
        <is>
          <t>New York, NY, US</t>
        </is>
      </c>
      <c r="H3" s="2" t="n">
        <v>45998</v>
      </c>
      <c r="I3"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4">
      <c r="A4" t="inlineStr">
        <is>
          <t>in-133197eb6e9c3680</t>
        </is>
      </c>
      <c r="B4" t="inlineStr">
        <is>
          <t>Sr. Applied Scientist, Amazon Ads</t>
        </is>
      </c>
      <c r="C4" t="inlineStr">
        <is>
          <t>Amazon.com</t>
        </is>
      </c>
      <c r="D4" t="inlineStr">
        <is>
          <t>indeed</t>
        </is>
      </c>
      <c r="E4" t="inlineStr"/>
      <c r="F4" t="inlineStr"/>
      <c r="G4" t="inlineStr">
        <is>
          <t>Palo Alto, CA, US</t>
        </is>
      </c>
      <c r="H4" s="2" t="n">
        <v>45998</v>
      </c>
      <c r="I4"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5">
      <c r="A5" t="inlineStr">
        <is>
          <t>in-5ae5c6d9c3d42b19</t>
        </is>
      </c>
      <c r="B5" t="inlineStr">
        <is>
          <t>Sr. Applied Scientist, Amazon Ads</t>
        </is>
      </c>
      <c r="C5" t="inlineStr">
        <is>
          <t>Amazon.com</t>
        </is>
      </c>
      <c r="D5" t="inlineStr">
        <is>
          <t>indeed</t>
        </is>
      </c>
      <c r="E5" t="inlineStr"/>
      <c r="F5" t="inlineStr"/>
      <c r="G5" t="inlineStr">
        <is>
          <t>Seattle, WA, US</t>
        </is>
      </c>
      <c r="H5" s="2" t="n">
        <v>45998</v>
      </c>
      <c r="I5"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6">
      <c r="A6" t="inlineStr">
        <is>
          <t>in-2d5357bfcc77acd5</t>
        </is>
      </c>
      <c r="B6" t="inlineStr">
        <is>
          <t>Sr. Applied Scientist, Amazon Ads</t>
        </is>
      </c>
      <c r="C6" t="inlineStr">
        <is>
          <t>Amazon.com</t>
        </is>
      </c>
      <c r="D6" t="inlineStr">
        <is>
          <t>indeed</t>
        </is>
      </c>
      <c r="E6" t="inlineStr"/>
      <c r="F6" t="inlineStr"/>
      <c r="G6" t="inlineStr">
        <is>
          <t>Boston, MA, US</t>
        </is>
      </c>
      <c r="H6" s="2" t="n">
        <v>45998</v>
      </c>
      <c r="I6"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7">
      <c r="A7" t="inlineStr">
        <is>
          <t>in-ab0c84c58d79eeb4</t>
        </is>
      </c>
      <c r="B7" t="inlineStr">
        <is>
          <t>Sr. Applied Scientist, Amazon Ads</t>
        </is>
      </c>
      <c r="C7" t="inlineStr">
        <is>
          <t>Amazon.com</t>
        </is>
      </c>
      <c r="D7" t="inlineStr">
        <is>
          <t>indeed</t>
        </is>
      </c>
      <c r="E7" t="inlineStr"/>
      <c r="F7" t="inlineStr"/>
      <c r="G7" t="inlineStr">
        <is>
          <t>Boulder, CO, US</t>
        </is>
      </c>
      <c r="H7" s="2" t="n">
        <v>45998</v>
      </c>
      <c r="I7"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
      <c r="A8" t="inlineStr">
        <is>
          <t>in-a6d43efb871d8d07</t>
        </is>
      </c>
      <c r="B8" t="inlineStr">
        <is>
          <t>Sr. Applied Scientist, Amazon Ads</t>
        </is>
      </c>
      <c r="C8" t="inlineStr">
        <is>
          <t>Amazon.com</t>
        </is>
      </c>
      <c r="D8" t="inlineStr">
        <is>
          <t>indeed</t>
        </is>
      </c>
      <c r="E8" t="inlineStr"/>
      <c r="F8" t="inlineStr"/>
      <c r="G8" t="inlineStr">
        <is>
          <t>Tukwila, WA, US</t>
        </is>
      </c>
      <c r="H8" s="2" t="n">
        <v>45998</v>
      </c>
      <c r="I8"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
      <c r="A9" t="inlineStr">
        <is>
          <t>in-b9d1e5fff629134f</t>
        </is>
      </c>
      <c r="B9" t="inlineStr">
        <is>
          <t>Sr. Applied Scientist, Amazon Ads</t>
        </is>
      </c>
      <c r="C9" t="inlineStr">
        <is>
          <t>Amazon.com</t>
        </is>
      </c>
      <c r="D9" t="inlineStr">
        <is>
          <t>indeed</t>
        </is>
      </c>
      <c r="E9" t="inlineStr"/>
      <c r="F9" t="inlineStr"/>
      <c r="G9" t="inlineStr">
        <is>
          <t>Sunnyvale, CA, US</t>
        </is>
      </c>
      <c r="H9" s="2" t="n">
        <v>45998</v>
      </c>
      <c r="I9"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0">
      <c r="A10" t="inlineStr">
        <is>
          <t>in-d1a77deb0cca9d2e</t>
        </is>
      </c>
      <c r="B10" t="inlineStr">
        <is>
          <t>Sr. Applied Scientist, Amazon Ads</t>
        </is>
      </c>
      <c r="C10" t="inlineStr">
        <is>
          <t>Amazon.com</t>
        </is>
      </c>
      <c r="D10" t="inlineStr">
        <is>
          <t>indeed</t>
        </is>
      </c>
      <c r="E10" t="inlineStr"/>
      <c r="F10" t="inlineStr"/>
      <c r="G10" t="inlineStr">
        <is>
          <t>Brooklyn, NY, US</t>
        </is>
      </c>
      <c r="H10" s="2" t="n">
        <v>45998</v>
      </c>
      <c r="I10"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1">
      <c r="A11" t="inlineStr">
        <is>
          <t>in-f9d3f08cce770b14</t>
        </is>
      </c>
      <c r="B11" t="inlineStr">
        <is>
          <t>Sr. Applied Scientist, Amazon Ads</t>
        </is>
      </c>
      <c r="C11" t="inlineStr">
        <is>
          <t>Amazon.com</t>
        </is>
      </c>
      <c r="D11" t="inlineStr">
        <is>
          <t>indeed</t>
        </is>
      </c>
      <c r="E11" t="inlineStr"/>
      <c r="F11" t="inlineStr"/>
      <c r="G11" t="inlineStr">
        <is>
          <t>Santa Monica, CA, US</t>
        </is>
      </c>
      <c r="H11" s="2" t="n">
        <v>45998</v>
      </c>
      <c r="I11" t="inlineStr">
        <is>
          <t>**DESCRIPTION**
---------------
Application deadline: Applications will be accepted on an ongoing basis  
Amazon Ads is re\-imagining advertising through cutting\-edge generative artificial intelligence (AI) technologies. We combine human creativity with AI to transform every aspect of the advertising life cycle—from ad creation and optimization to performance analysis and customer insights. Our solutions help advertisers grow their brands while enabling millions of customers to discover and purchase products through delightful experiences. We deliver billions of ad impressions and millions of clicks daily, breaking fresh ground in product and technical innovations. If you're energized by solving complex challenges and pushing the boundaries of what's possible with AI, join us in shaping the future of advertising.  
Why you’ll love this role:
This role offers unprecedented breadth in ML applications and access to extensive computational resources and rich datasets that will enable you to build truly innovative solutions. You'll work on projects that span the full advertising life cycle, from sophisticated ranking algorithms and real\-time bidding systems to creative optimization and measurement solutions.  
You'll work alongside talented engineers, scientists, and product leaders in a culture that encourages innovation, experimentation, and bias for action, and you’ll directly influence business strategy through your scientific expertise. What makes this role unique is the combination of scientific rigor with real\-world impact. You’ll re\-imagine advertising through the lens of advanced ML while solving problems that balance the needs of advertisers, customers, and Amazon's business objectives.  
Your impact and career growth:
Amazon Ads is investing heavily in AI and ML capabilities, creating opportunities for scientists to innovate and make their marks. Your work will directly impact millions. Whether you see yourself growing as an individual contributor or moving into people management, there are clear paths for career progression. This role combines scientific leadership, organizational ability, technical strength, and business understanding. You'll have opportunities to lead technical initiatives, mentor other scientists, and collaborate with senior leadership to shape the future of advertising technology. Most importantly, you'll be part of a community that values scientific excellence and encourages you to push the boundaries of what's possible with AI.  
Watch two Applied Scientists at Amazon Ads talk about their work:  
https://www.youtube.com/watch?v\=vvHsURsIPEA  
Learn more about Amazon Ads:  
https://advertising.amazon.com/  
Key job responsibilities  
As a Senior Applied Scientist in Amazon Ads, you will:  
* Research and implement cutting\-edge ML approaches, including applications of generative AI and large language models
* Develop and deploy innovative ML solutions spanning multiple disciplines – from ranking and personalization to natural language processing, computer vision, recommender systems, and large language models
* Drive end\-to\-end projects that tackle ambiguous problems at massive scale, often working with petabytes of data
\- Build and optimize models that balance multiple stakeholder needs \- helping customers discover relevant products while enabling advertisers to achieve their goals efficiently  
* Build ML models, perform proof\-of\-concept, experiment, optimize, and deploy your models into production, working closely with cross\-functional teams including engineers, product managers, and other scientists
* Design and run A/B experiments to validate hypotheses, gather insights from large\-scale data analysis, and measure business impact
* Develop scalable, efficient processes for model development, validation, and deployment that optimize traffic monetization while maintaining customer experience
**BASIC QUALIFICATIONS**
------------------------
* 5\+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12">
      <c r="A12" t="inlineStr">
        <is>
          <t>in-12ac3a4affc0c920</t>
        </is>
      </c>
      <c r="B12" t="inlineStr">
        <is>
          <t>Principal Applied Scientist, Amazon Special Projects</t>
        </is>
      </c>
      <c r="C12" t="inlineStr">
        <is>
          <t>Amazon.com</t>
        </is>
      </c>
      <c r="D12" t="inlineStr">
        <is>
          <t>indeed</t>
        </is>
      </c>
      <c r="E12" t="inlineStr"/>
      <c r="F12" t="inlineStr"/>
      <c r="G12" t="inlineStr">
        <is>
          <t>Boston, MA, US</t>
        </is>
      </c>
      <c r="H12" s="2" t="n">
        <v>45982</v>
      </c>
      <c r="I1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in-da099156f46cbadb</t>
        </is>
      </c>
      <c r="B13" t="inlineStr">
        <is>
          <t>Principal Applied Scientist, Amazon Special Projects</t>
        </is>
      </c>
      <c r="C13" t="inlineStr">
        <is>
          <t>Amazon.com</t>
        </is>
      </c>
      <c r="D13" t="inlineStr">
        <is>
          <t>indeed</t>
        </is>
      </c>
      <c r="E13" t="inlineStr"/>
      <c r="F13" t="inlineStr"/>
      <c r="G13" t="inlineStr">
        <is>
          <t>Seattle, WA, US</t>
        </is>
      </c>
      <c r="H13" s="2" t="n">
        <v>45982</v>
      </c>
      <c r="I13"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We are seeking a Principal Applied Scientist working on machine learning applications in life sciences. This role combines scientific leadership with hands\-on innovation, driving solutions from exploratory research through production\-ready solutions deployment, while maintaining high scientific standards. You will work with Amazon's large\-scale computing resources to accelerate advances in machine learning applications.  
Key job responsibilities  
* Lead ML for life science efforts using computational design approaches and ML\-based tools.
* Guide teams in applying SOTA ML methods, experimentation design, and modeling approaches.
* Transform complex real world problems into scientific challenges and allocate resources effectively.
* Review requirements, conduct technical architecture reviews, and make informed judgments around technical and business tradeoffs.
* Provide mentorship to Applied Scientists, Research Scientists and Data Scientists while maintaining scientific rigor.
* Collaborate with cross functional teams.
**BASIC QUALIFICATIONS**
------------------------
* Deep expertise in machine learning, with broad knowledge across biology and life science.
* Strong understanding of scientific methodologies and experimental design.
* Ability to develop production\-level code and systems.
* Track record of working with cross\-functional scientific teams and fostering collaboration.
* 10\+ years of relevant, broad research experience after a PhD degree in computer science, computational biology or relevant field .
**PREFERRED QUALIFICATIONS**
----------------------------
* Experience with deep learning frameworks (PyTorch, TensorFlow).
* Familiarity with high\-performance computing environments.
* Experience with ML for science and structural biology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in-1f23268539b27ad2</t>
        </is>
      </c>
      <c r="B14" t="inlineStr">
        <is>
          <t>Applied Scientist II, SPB Advertiser Guidance</t>
        </is>
      </c>
      <c r="C14" t="inlineStr">
        <is>
          <t>Amazon.com</t>
        </is>
      </c>
      <c r="D14" t="inlineStr">
        <is>
          <t>indeed</t>
        </is>
      </c>
      <c r="E14" t="inlineStr"/>
      <c r="F14" t="inlineStr"/>
      <c r="G14" t="inlineStr">
        <is>
          <t>Palo Alto, CA, US</t>
        </is>
      </c>
      <c r="H14" s="2" t="n">
        <v>45980</v>
      </c>
      <c r="I1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in-bf4abec462c94fd9</t>
        </is>
      </c>
      <c r="B15" t="inlineStr">
        <is>
          <t>Sr. Applied Scientist, AGI Foundations</t>
        </is>
      </c>
      <c r="C15" t="inlineStr">
        <is>
          <t>Amazon.com</t>
        </is>
      </c>
      <c r="D15" t="inlineStr">
        <is>
          <t>indeed</t>
        </is>
      </c>
      <c r="E15" t="inlineStr"/>
      <c r="F15" t="inlineStr"/>
      <c r="G15" t="inlineStr">
        <is>
          <t>New York, NY, US</t>
        </is>
      </c>
      <c r="H15" s="2" t="n">
        <v>45978</v>
      </c>
      <c r="I1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in-161c3eccf29eb4b7</t>
        </is>
      </c>
      <c r="B16" t="inlineStr">
        <is>
          <t>Sr. Applied Scientist, AGI Foundations</t>
        </is>
      </c>
      <c r="C16" t="inlineStr">
        <is>
          <t>Amazon.com</t>
        </is>
      </c>
      <c r="D16" t="inlineStr">
        <is>
          <t>indeed</t>
        </is>
      </c>
      <c r="E16" t="inlineStr"/>
      <c r="F16" t="inlineStr"/>
      <c r="G16" t="inlineStr">
        <is>
          <t>Boston, MA, US</t>
        </is>
      </c>
      <c r="H16" s="2" t="n">
        <v>45978</v>
      </c>
      <c r="I16"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in-bf3595364e8a3e91</t>
        </is>
      </c>
      <c r="B17" t="inlineStr">
        <is>
          <t>Sr. Applied Scientist, AGI Foundations</t>
        </is>
      </c>
      <c r="C17" t="inlineStr">
        <is>
          <t>Amazon.com</t>
        </is>
      </c>
      <c r="D17" t="inlineStr">
        <is>
          <t>indeed</t>
        </is>
      </c>
      <c r="E17" t="inlineStr"/>
      <c r="F17" t="inlineStr"/>
      <c r="G17" t="inlineStr">
        <is>
          <t>Sunnyvale, CA, US</t>
        </is>
      </c>
      <c r="H17" s="2" t="n">
        <v>45978</v>
      </c>
      <c r="I17"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in-92bb3f8390d96174</t>
        </is>
      </c>
      <c r="B18" t="inlineStr">
        <is>
          <t>Sr. Applied Scientist, AGI Foundations</t>
        </is>
      </c>
      <c r="C18" t="inlineStr">
        <is>
          <t>Amazon.com</t>
        </is>
      </c>
      <c r="D18" t="inlineStr">
        <is>
          <t>indeed</t>
        </is>
      </c>
      <c r="E18" t="inlineStr"/>
      <c r="F18" t="inlineStr"/>
      <c r="G18" t="inlineStr">
        <is>
          <t>Bellevue, WA, US</t>
        </is>
      </c>
      <c r="H18" s="2" t="n">
        <v>45978</v>
      </c>
      <c r="I18"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(PT, SFT, RL)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the following areas: algorithms and data structures, parallel and distributed computing, Reinforcement Learning State of the Art algorithms and Agentic AI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in-13a0f40cebad5126</t>
        </is>
      </c>
      <c r="B19" t="inlineStr">
        <is>
          <t>Sr. Applied Scientist, AGI Foundations</t>
        </is>
      </c>
      <c r="C19" t="inlineStr">
        <is>
          <t>Amazon.com</t>
        </is>
      </c>
      <c r="D19" t="inlineStr">
        <is>
          <t>indeed</t>
        </is>
      </c>
      <c r="E19" t="inlineStr"/>
      <c r="F19" t="inlineStr"/>
      <c r="G19" t="inlineStr">
        <is>
          <t>New York, NY, US</t>
        </is>
      </c>
      <c r="H19" s="2" t="n">
        <v>45963</v>
      </c>
      <c r="I19"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in-7c7e354aa1ac6bdf</t>
        </is>
      </c>
      <c r="B20" t="inlineStr">
        <is>
          <t>Sr. Applied Scientist, AGI Foundations</t>
        </is>
      </c>
      <c r="C20" t="inlineStr">
        <is>
          <t>Amazon.com</t>
        </is>
      </c>
      <c r="D20" t="inlineStr">
        <is>
          <t>indeed</t>
        </is>
      </c>
      <c r="E20" t="inlineStr"/>
      <c r="F20" t="inlineStr"/>
      <c r="G20" t="inlineStr">
        <is>
          <t>Boston, MA, US</t>
        </is>
      </c>
      <c r="H20" s="2" t="n">
        <v>45963</v>
      </c>
      <c r="I20"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in-e22bf53056a09783</t>
        </is>
      </c>
      <c r="B21" t="inlineStr">
        <is>
          <t>Sr. Applied Scientist, AGI Foundations</t>
        </is>
      </c>
      <c r="C21" t="inlineStr">
        <is>
          <t>Amazon.com</t>
        </is>
      </c>
      <c r="D21" t="inlineStr">
        <is>
          <t>indeed</t>
        </is>
      </c>
      <c r="E21" t="inlineStr"/>
      <c r="F21" t="inlineStr"/>
      <c r="G21" t="inlineStr">
        <is>
          <t>Bellevue, WA, US</t>
        </is>
      </c>
      <c r="H21" s="2" t="n">
        <v>45963</v>
      </c>
      <c r="I21"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in-6da2f85d01ef462a</t>
        </is>
      </c>
      <c r="B22" t="inlineStr">
        <is>
          <t>Applied Scientist</t>
        </is>
      </c>
      <c r="C22" t="inlineStr">
        <is>
          <t>Amazon.com</t>
        </is>
      </c>
      <c r="D22" t="inlineStr">
        <is>
          <t>indeed</t>
        </is>
      </c>
      <c r="E22" t="inlineStr"/>
      <c r="F22" t="inlineStr"/>
      <c r="G22" t="inlineStr">
        <is>
          <t>New York, NY, US</t>
        </is>
      </c>
      <c r="H22" s="2" t="n">
        <v>45939</v>
      </c>
      <c r="I22"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in-a8d7b4cc4c79c9e7</t>
        </is>
      </c>
      <c r="B23" t="inlineStr">
        <is>
          <t>Sr. Applied Scientist, SPB Advertiser Guidance</t>
        </is>
      </c>
      <c r="C23" t="inlineStr">
        <is>
          <t>Amazon.com</t>
        </is>
      </c>
      <c r="D23" t="inlineStr">
        <is>
          <t>indeed</t>
        </is>
      </c>
      <c r="E23" t="inlineStr"/>
      <c r="F23" t="inlineStr"/>
      <c r="G23" t="inlineStr">
        <is>
          <t>New York, NY, US</t>
        </is>
      </c>
      <c r="H23" s="2" t="n">
        <v>45939</v>
      </c>
      <c r="I23"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in-91a596e2f510fd91</t>
        </is>
      </c>
      <c r="B24" t="inlineStr">
        <is>
          <t>Applied Scientist</t>
        </is>
      </c>
      <c r="C24" t="inlineStr">
        <is>
          <t>Amazon.com</t>
        </is>
      </c>
      <c r="D24" t="inlineStr">
        <is>
          <t>indeed</t>
        </is>
      </c>
      <c r="E24" t="inlineStr"/>
      <c r="F24" t="inlineStr"/>
      <c r="G24" t="inlineStr">
        <is>
          <t>Palo Alto, CA, US</t>
        </is>
      </c>
      <c r="H24" s="2" t="n">
        <v>45939</v>
      </c>
      <c r="I24"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in-f02c03cb46326d6c</t>
        </is>
      </c>
      <c r="B25" t="inlineStr">
        <is>
          <t>Sr. Applied Scientist, SPB Advertiser Guidance</t>
        </is>
      </c>
      <c r="C25" t="inlineStr">
        <is>
          <t>Amazon.com</t>
        </is>
      </c>
      <c r="D25" t="inlineStr">
        <is>
          <t>indeed</t>
        </is>
      </c>
      <c r="E25" t="inlineStr"/>
      <c r="F25" t="inlineStr"/>
      <c r="G25" t="inlineStr">
        <is>
          <t>Palo Alto, CA, US</t>
        </is>
      </c>
      <c r="H25" s="2" t="n">
        <v>45939</v>
      </c>
      <c r="I25"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in-6d6779abcb7499f3</t>
        </is>
      </c>
      <c r="B26" t="inlineStr">
        <is>
          <t>Applied Scientist II, Prime Video - Personalization and Discovery Science, Personalization and Discovery Science</t>
        </is>
      </c>
      <c r="C26" t="inlineStr">
        <is>
          <t>Amazon.com</t>
        </is>
      </c>
      <c r="D26" t="inlineStr">
        <is>
          <t>indeed</t>
        </is>
      </c>
      <c r="E26" t="inlineStr"/>
      <c r="F26" t="inlineStr"/>
      <c r="G26" t="inlineStr">
        <is>
          <t>Seattle, WA, US</t>
        </is>
      </c>
      <c r="H26" s="2" t="n">
        <v>45930</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in-66d147aea9c89a0d</t>
        </is>
      </c>
      <c r="B27" t="inlineStr">
        <is>
          <t>Applied Scientist II, Prime Video - Personalization and Discovery Science, Personalization and Discovery Science</t>
        </is>
      </c>
      <c r="C27" t="inlineStr">
        <is>
          <t>Amazon.com</t>
        </is>
      </c>
      <c r="D27" t="inlineStr">
        <is>
          <t>indeed</t>
        </is>
      </c>
      <c r="E27" t="inlineStr"/>
      <c r="F27" t="inlineStr"/>
      <c r="G27" t="inlineStr">
        <is>
          <t>New York, NY, US</t>
        </is>
      </c>
      <c r="H27" s="2" t="n">
        <v>45930</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in-79976041abc3d734</t>
        </is>
      </c>
      <c r="B28" t="inlineStr">
        <is>
          <t>Applied Scientist II, Prime Video - Personalization and Discovery Science, Personalization and Discovery Science</t>
        </is>
      </c>
      <c r="C28" t="inlineStr">
        <is>
          <t>Amazon.com</t>
        </is>
      </c>
      <c r="D28" t="inlineStr">
        <is>
          <t>indeed</t>
        </is>
      </c>
      <c r="E28" t="inlineStr"/>
      <c r="F28" t="inlineStr"/>
      <c r="G28" t="inlineStr">
        <is>
          <t>Sunnyvale, CA, US</t>
        </is>
      </c>
      <c r="H28" s="2" t="n">
        <v>45930</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in-8cc95d3e8259e2ba</t>
        </is>
      </c>
      <c r="B29" t="inlineStr">
        <is>
          <t>Sr. Applied Scientist, Prime Video - Personalization and Discovery Science</t>
        </is>
      </c>
      <c r="C29" t="inlineStr">
        <is>
          <t>Amazon.com</t>
        </is>
      </c>
      <c r="D29" t="inlineStr">
        <is>
          <t>indeed</t>
        </is>
      </c>
      <c r="E29" t="inlineStr"/>
      <c r="F29" t="inlineStr"/>
      <c r="G29" t="inlineStr">
        <is>
          <t>Sunnyvale, CA, US</t>
        </is>
      </c>
      <c r="H29" s="2" t="n">
        <v>45881</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in-4882c3ef79466b72</t>
        </is>
      </c>
      <c r="B30" t="inlineStr">
        <is>
          <t>Sr. Applied Scientist, Prime Video - Personalization and Discovery Science</t>
        </is>
      </c>
      <c r="C30" t="inlineStr">
        <is>
          <t>Amazon.com</t>
        </is>
      </c>
      <c r="D30" t="inlineStr">
        <is>
          <t>indeed</t>
        </is>
      </c>
      <c r="E30" t="inlineStr"/>
      <c r="F30" t="inlineStr"/>
      <c r="G30" t="inlineStr">
        <is>
          <t>Seattle, WA, US</t>
        </is>
      </c>
      <c r="H30" s="2" t="n">
        <v>45881</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in-55f9155cfd581a6d</t>
        </is>
      </c>
      <c r="B31" t="inlineStr">
        <is>
          <t>Applied Scientist II, Prime Video - Personalization and Discovery Science</t>
        </is>
      </c>
      <c r="C31" t="inlineStr">
        <is>
          <t>Amazon.com</t>
        </is>
      </c>
      <c r="D31" t="inlineStr">
        <is>
          <t>indeed</t>
        </is>
      </c>
      <c r="E31" t="inlineStr"/>
      <c r="F31" t="inlineStr"/>
      <c r="G31" t="inlineStr">
        <is>
          <t>Seattle, WA, US</t>
        </is>
      </c>
      <c r="H31" s="2" t="n">
        <v>45881</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in-09adaaf15ee52bbc</t>
        </is>
      </c>
      <c r="B32" t="inlineStr">
        <is>
          <t>Applied Scientist II, Prime Video - Personalization and Discovery Science</t>
        </is>
      </c>
      <c r="C32" t="inlineStr">
        <is>
          <t>Amazon.com</t>
        </is>
      </c>
      <c r="D32" t="inlineStr">
        <is>
          <t>indeed</t>
        </is>
      </c>
      <c r="E32" t="inlineStr"/>
      <c r="F32" t="inlineStr"/>
      <c r="G32" t="inlineStr">
        <is>
          <t>New York, NY, US</t>
        </is>
      </c>
      <c r="H32" s="2" t="n">
        <v>45881</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in-97490cf6750b9dcf</t>
        </is>
      </c>
      <c r="B33" t="inlineStr">
        <is>
          <t>Sr. Applied Scientist, Prime Video - Personalization and Discovery Science</t>
        </is>
      </c>
      <c r="C33" t="inlineStr">
        <is>
          <t>Amazon.com</t>
        </is>
      </c>
      <c r="D33" t="inlineStr">
        <is>
          <t>indeed</t>
        </is>
      </c>
      <c r="E33" t="inlineStr"/>
      <c r="F33" t="inlineStr"/>
      <c r="G33" t="inlineStr">
        <is>
          <t>New York, NY, US</t>
        </is>
      </c>
      <c r="H33" s="2" t="n">
        <v>45881</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in-951010dce214a83b</t>
        </is>
      </c>
      <c r="B34" t="inlineStr">
        <is>
          <t>Applied Scientist II, Prime Video - Personalization and Discovery Science</t>
        </is>
      </c>
      <c r="C34" t="inlineStr">
        <is>
          <t>Amazon.com</t>
        </is>
      </c>
      <c r="D34" t="inlineStr">
        <is>
          <t>indeed</t>
        </is>
      </c>
      <c r="E34" t="inlineStr"/>
      <c r="F34" t="inlineStr"/>
      <c r="G34" t="inlineStr">
        <is>
          <t>Sunnyvale, CA, US</t>
        </is>
      </c>
      <c r="H34" s="2" t="n">
        <v>45881</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in-2ba4425e59df95d0</t>
        </is>
      </c>
      <c r="B35" t="inlineStr">
        <is>
          <t>Applied Scientist, Prime Video - Personalization and Discovery Science</t>
        </is>
      </c>
      <c r="C35" t="inlineStr">
        <is>
          <t>Amazon.com</t>
        </is>
      </c>
      <c r="D35" t="inlineStr">
        <is>
          <t>indeed</t>
        </is>
      </c>
      <c r="E35" t="inlineStr"/>
      <c r="F35" t="inlineStr"/>
      <c r="G35" t="inlineStr">
        <is>
          <t>New York, NY, US</t>
        </is>
      </c>
      <c r="H35" s="2" t="n">
        <v>45845</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in-e9a920702aed3d7a</t>
        </is>
      </c>
      <c r="B36" t="inlineStr">
        <is>
          <t>Applied Scientist, Prime Video - Personalization and Discovery Science</t>
        </is>
      </c>
      <c r="C36" t="inlineStr">
        <is>
          <t>Amazon.com</t>
        </is>
      </c>
      <c r="D36" t="inlineStr">
        <is>
          <t>indeed</t>
        </is>
      </c>
      <c r="E36" t="inlineStr"/>
      <c r="F36" t="inlineStr"/>
      <c r="G36" t="inlineStr">
        <is>
          <t>Seattle, WA, US</t>
        </is>
      </c>
      <c r="H36" s="2" t="n">
        <v>45845</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in-9c9a2a0ccf3f3379</t>
        </is>
      </c>
      <c r="B37" t="inlineStr">
        <is>
          <t>Applied Scientist, Prime Video - Personalization and Discovery Science</t>
        </is>
      </c>
      <c r="C37" t="inlineStr">
        <is>
          <t>Amazon.com</t>
        </is>
      </c>
      <c r="D37" t="inlineStr">
        <is>
          <t>indeed</t>
        </is>
      </c>
      <c r="E37" t="inlineStr"/>
      <c r="F37" t="inlineStr"/>
      <c r="G37" t="inlineStr">
        <is>
          <t>Sunnyvale, CA, US</t>
        </is>
      </c>
      <c r="H37" s="2" t="n">
        <v>45845</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in-a14450eb8f2fadf8</t>
        </is>
      </c>
      <c r="B38" t="inlineStr">
        <is>
          <t>Senior ML Data Scientist - Marketplace, Apple Ads</t>
        </is>
      </c>
      <c r="C38" t="inlineStr">
        <is>
          <t>Apple</t>
        </is>
      </c>
      <c r="D38" t="inlineStr">
        <is>
          <t>indeed</t>
        </is>
      </c>
      <c r="E38" t="inlineStr"/>
      <c r="F38" t="inlineStr"/>
      <c r="G38" t="inlineStr">
        <is>
          <t>Cupertino, CA, US</t>
        </is>
      </c>
      <c r="H38" s="2" t="n">
        <v>46052</v>
      </c>
      <c r="I38" t="inlineStr">
        <is>
          <t>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team.","responsibilities":"Support Marketplace Product, Engineering, and the Executive Team with analyses, and data products to improve product performance, deepen customer insight and deliver business impact.  
Empower the product and algorithm engineering team with insights to advise and fulfill their strategic objectives and goals.  
Quantify the impact of marketplace initiatives on advertiser impact, and business performance.  
Design experiments that help define opportunities for pricing, matching, and prediction models leading to improved marketplace performance, and positive advertiser impact.  
Monitor usage metrics and provide business\-based explanations for large scale trends and patterns in advertiser lifecycle behavior.  
Develop reusable models and data products working closely with Data Engineering team to ensure scalability of models and products in production.  
Lead business analytics projects through all phases, including defining investigations, exploring data, conducting analysis, interpreting, and presenting results for customers  
**Preferred Qualifications**  
4\+ years of recent experience in a data science role.  
Experience in the mobile advertising industry or related field.  
Familiarity with job orchestration frameworks such as Airflow.  
Demonstrated ability to build visualizations, dashboards and enable broader consumption of insights and tools for investigations.  
Post\-Bachelor's degree in Data Science, Applied Mathematics, Statistics, Computer Science or relevant field/experience  
**Minimum Qualifications**  
2\+ years of recent experience in a data science role.  
Programming skills in Python and SQL, and familiarity with machine learning, such as scikit\-learn, xgboost, PyTorch, SciPy is necessary.  
Familiar with statistical analysis methods, most notably regression analysis, causal inference, statistical learning and A/B and quasi\-experimentation methods.  
Demonstrated experience in applying statistics and machine learning to generate clear actionable insights.  
Comfortable with a variety of data stores such as Hadoop, and Snowflake, familiar with distributed analytics engines such as Spark/PySpark.  
Possess exceptional communication skills to communicate analyses in a clear and effective manner to technical audience and executive leadership.  
Demonstrated ability to partner with engineering, meet the data needs of the business, finding creative analytical solutions and develop initial prototypes to address messy business problems.  
Proven ability to operate comfortably and optimally in a fast\-paced and constantly evolving environment.  
Bachelor's degree in Data Science, Applied Mathematics, Statistics, Computer Science or relevant field/experience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39">
      <c r="A39" t="inlineStr">
        <is>
          <t>in-fb84e988faf3c07b</t>
        </is>
      </c>
      <c r="B39" t="inlineStr">
        <is>
          <t>Applied Scientist, Denied Party Screening, AWS Compliance &amp; Security Assurance</t>
        </is>
      </c>
      <c r="C39" t="inlineStr">
        <is>
          <t>Amazon.com</t>
        </is>
      </c>
      <c r="D39" t="inlineStr">
        <is>
          <t>indeed</t>
        </is>
      </c>
      <c r="E39" t="inlineStr"/>
      <c r="F39" t="inlineStr"/>
      <c r="G39" t="inlineStr">
        <is>
          <t>Seattle, WA, US</t>
        </is>
      </c>
      <c r="H39" s="2" t="n">
        <v>46027</v>
      </c>
      <c r="I39"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40">
      <c r="A40" t="inlineStr">
        <is>
          <t>in-7a80d8ec26a86f09</t>
        </is>
      </c>
      <c r="B40" t="inlineStr">
        <is>
          <t>Applied Scientist, Denied Party Screening, AWS Compliance &amp; Security Assurance</t>
        </is>
      </c>
      <c r="C40" t="inlineStr">
        <is>
          <t>Amazon.com</t>
        </is>
      </c>
      <c r="D40" t="inlineStr">
        <is>
          <t>indeed</t>
        </is>
      </c>
      <c r="E40" t="inlineStr"/>
      <c r="F40" t="inlineStr"/>
      <c r="G40" t="inlineStr">
        <is>
          <t>Dallas, TX, US</t>
        </is>
      </c>
      <c r="H40" s="2" t="n">
        <v>46027</v>
      </c>
      <c r="I40" t="inlineStr">
        <is>
          <t>**DESCRIPTION**
---------------
At Amazon, security is central to maintaining customer trust and delivering delightful customer experiences. Our mission is to prevent denied entities from transacting with Amazon businesses. We build automatic mechanisms to detect and prevent prohibited transactions with denied entities using a diverse set of algorithms and machine learning techniques. We screen over a billion events every day and develop algorithms which are able to scale and detect suspicious entities . We are still Day 1 and have an exciting road map to build Machine Learning (ML) and Generative AI (LLM) powered detection and resolution systems to help scale Amazon for years to come.
We are seeking an Applied Scientist to join our team and help tackle challenging problems at the forefront of machine learning and artificial intelligence. Working closely with a multidisciplinary team of engineers, data scientists, and domain experts, you will play a crucial role in defining cutting\-edge ML/AI\-powered customer experiences and solutions. If you have an entrepreneurial mindset, the technical depth to deliver impactful results, and a passion for innovation, we want to hear from you.
Key job responsibilities  
In this role, you will:
* Drive the research, design, and development of novel ML/AI models and systems to power critical products and services
* Collaborate cross\-functionally to deeply understand business requirements, customer needs, and technical constraints
* Rapidly prototype, test, and iterate on ML/AI solutions, iterating quickly based on data and feedback
• Communicate complex technical concepts to technical and non\-technical stakeholders • Mentor and grow a team of talented ML scientists and engineers
* Stay up\-to\-date on the latest advancements in AI/ML and identify opportunities to apply emerging techniques
A day in the life  
* Starting the day by reviewing the latest model performance metrics and identifying areas for improvement
* Brainstorming new architectures and approaches with your cross\-functional team during a whiteboard session
* Diving deep into a complex dataset, leveraging advanced statistical and AI techniques to uncover hidden insights
* Prototyping a new model and running a series of experiments to optimize its performance
* Preparing a presentation to pitch your latest research findings and recommendations to product and engineering leaders
* Mentoring a junior data scientist, providing guidance on coding best practices and problem\-solving strategies
About the team  
Why Amazon Security  
At Amazon, security is central to maintaining customer trust and delivering delightful customer experiences. Our organization is responsible for creating and maintaining a high bar for security across all of Amazon’s products and services.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Dallas \- 142,800\.00 \- 193,200\.00 USD annually  
USA, WA, Seattle \- 142,800\.00 \- 193,200\.00 USD annually</t>
        </is>
      </c>
    </row>
    <row r="41">
      <c r="A41" t="inlineStr">
        <is>
          <t>in-21b86bd66be268a1</t>
        </is>
      </c>
      <c r="B41" t="inlineStr">
        <is>
          <t>Senior Applied Scientist, Dexterous Manipulation , Amazon Industrial Robotics</t>
        </is>
      </c>
      <c r="C41" t="inlineStr">
        <is>
          <t>Amazon.com</t>
        </is>
      </c>
      <c r="D41" t="inlineStr">
        <is>
          <t>indeed</t>
        </is>
      </c>
      <c r="E41" t="inlineStr"/>
      <c r="F41" t="inlineStr"/>
      <c r="G41" t="inlineStr">
        <is>
          <t>Reading, MA, US</t>
        </is>
      </c>
      <c r="H41" s="2" t="n">
        <v>46027</v>
      </c>
      <c r="I41"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2">
      <c r="A42" t="inlineStr">
        <is>
          <t>in-04b612d7b5c52e0d</t>
        </is>
      </c>
      <c r="B42" t="inlineStr">
        <is>
          <t>Senior Applied Scientist, Amazon Industrial Robotics</t>
        </is>
      </c>
      <c r="C42" t="inlineStr">
        <is>
          <t>Amazon.com</t>
        </is>
      </c>
      <c r="D42" t="inlineStr">
        <is>
          <t>indeed</t>
        </is>
      </c>
      <c r="E42" t="inlineStr"/>
      <c r="F42" t="inlineStr"/>
      <c r="G42" t="inlineStr">
        <is>
          <t>Reading, MA, US</t>
        </is>
      </c>
      <c r="H42" s="2" t="n">
        <v>46027</v>
      </c>
      <c r="I42"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3">
      <c r="A43" t="inlineStr">
        <is>
          <t>in-32bde92eab59918a</t>
        </is>
      </c>
      <c r="B43" t="inlineStr">
        <is>
          <t>Senior Applied Scientist, Dexterous Manipulation , Amazon Industrial Robotics</t>
        </is>
      </c>
      <c r="C43" t="inlineStr">
        <is>
          <t>Amazon.com</t>
        </is>
      </c>
      <c r="D43" t="inlineStr">
        <is>
          <t>indeed</t>
        </is>
      </c>
      <c r="E43" t="inlineStr"/>
      <c r="F43" t="inlineStr"/>
      <c r="G43" t="inlineStr">
        <is>
          <t>Reading, MA, US</t>
        </is>
      </c>
      <c r="H43" s="2" t="n">
        <v>46027</v>
      </c>
      <c r="I4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We are pioneering the development of dexterous manipulation system that:
* Enables unprecedented generalization across diverse tasks
* Enables contact\-rich manipulation in different environments
* Seamlessly integrates low\-level skills and high\-level behaviors
* Leverage mechanical intelligence, multi\-modal sensor feedback and advanced control techniques.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methods for dexterous manipulation with single and dual arm manipulation
* Leverage simulation and real\-world data collection to create large datasets for model development
* Develop a hierarchical system that combines low\-level control with high\-level planning
* Utilize state\-of\-the\-art manipulation models and optimal control techniques
* Collaborate effectively with multi\-disciplinary teams to co\-design hardware and algorithms for dexterous manipulation
**BASIC QUALIFICATIONS**
------------------------
* PhD, or Master's degree and 6\+ years of applied research experience
* Experience with state\-of\-the\-art in robotic manipulation models
* Experience with data generation in simulation and real world
* Experience in developing techniques that utilize multi\-modal sensor data from the arm and hands
**PREFERRED QUALIFICATIONS**
----------------------------
* Experience programming in Java, C\+\+, Python or related language
* Experience working effectively across cross\-functional teams and partnering well with people at all levels within an organization
* PhD in Robotics, with focus on dexterous manipulation
* Experience in motion primitives, vision\-language\-action models, and model predictive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4">
      <c r="A44" t="inlineStr">
        <is>
          <t>in-03d5960985978551</t>
        </is>
      </c>
      <c r="B44" t="inlineStr">
        <is>
          <t>Senior Applied Scientist, Amazon Industrial Robotics</t>
        </is>
      </c>
      <c r="C44" t="inlineStr">
        <is>
          <t>Amazon.com</t>
        </is>
      </c>
      <c r="D44" t="inlineStr">
        <is>
          <t>indeed</t>
        </is>
      </c>
      <c r="E44" t="inlineStr"/>
      <c r="F44" t="inlineStr"/>
      <c r="G44" t="inlineStr">
        <is>
          <t>Reading, MA, US</t>
        </is>
      </c>
      <c r="H44" s="2" t="n">
        <v>46027</v>
      </c>
      <c r="I4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Design and implement whole body control methods for balance, locomotion, and dexterous manipulation
* Utilize state\-of\-the\-art in methods in learned and model\-based control
* Create robust and safe behaviors for different terrains and tasks
* Implement real\-time controllers with stability guarantees
* Collaborate effectively with multi\-disciplinary teams to co\-design hardware and algorithms for loco\-manipulation
* Mentor junior engineer and scientists
**BASIC QUALIFICATIONS**
------------------------
* PhD, or Master's degree and 4\+ years of applied research experience
* Experience with methods for whole\-body control such as hierarchical quadratic programming and model\-predictive control
* Experience with imitation learning and reinforcement learning for whole\-body control
* Experience with simulation environments such as IsaacLab, Mujoco, Drake, etc.
* Experience with developing and deploying code for real\-time controllers
* Experience in state estimation from multiple sensor modalities
**PREFERRED QUALIFICATIONS**
----------------------------
* Experience programming in Java, C\+\+, Python or related language
* Experience working effectively across cross\-functional teams and partnering well with people at all levels within an organization
* PhD in Robotics, with a focus on whole\-body control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MA, N.Reading \- 167,100\.00 \- 226,100\.00 USD annually</t>
        </is>
      </c>
    </row>
    <row r="45">
      <c r="A45" t="inlineStr">
        <is>
          <t>in-bc786f1c7e89cf93</t>
        </is>
      </c>
      <c r="B45" t="inlineStr">
        <is>
          <t>Applied Scientist, Amazon Special Projects</t>
        </is>
      </c>
      <c r="C45" t="inlineStr">
        <is>
          <t>Amazon.com</t>
        </is>
      </c>
      <c r="D45" t="inlineStr">
        <is>
          <t>indeed</t>
        </is>
      </c>
      <c r="E45" t="inlineStr"/>
      <c r="F45" t="inlineStr"/>
      <c r="G45" t="inlineStr">
        <is>
          <t>Seattle, WA, US</t>
        </is>
      </c>
      <c r="H45" s="2" t="n">
        <v>46026</v>
      </c>
      <c r="I45"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in-77fd3033ea94a34e</t>
        </is>
      </c>
      <c r="B46" t="inlineStr">
        <is>
          <t>Applied Scientist, Amazon Special Projects</t>
        </is>
      </c>
      <c r="C46" t="inlineStr">
        <is>
          <t>Amazon.com</t>
        </is>
      </c>
      <c r="D46" t="inlineStr">
        <is>
          <t>indeed</t>
        </is>
      </c>
      <c r="E46" t="inlineStr"/>
      <c r="F46" t="inlineStr"/>
      <c r="G46" t="inlineStr">
        <is>
          <t>Boston, MA, US</t>
        </is>
      </c>
      <c r="H46" s="2" t="n">
        <v>46026</v>
      </c>
      <c r="I46"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As an Applied Science, you will have access to large datasets with billions of images and video to build large\-scale machine learning systems. Additionally, you will analyze and model terabytes of text, images, and other types of data to solve real\-world problems and translate business and functional requirements into quick prototypes or proofs of concept.  
We are looking for smart scientists capable of using a variety of domain expertise combined with machine learning and statistical techniques to invent, design, evangelize, and implement state\-of\-the\-art solutions for never\-before\-solved problems.  
About the team  
Our team highly values work\-life balance, mentorship and career growth. We believe striking the right balance between your personal and professional life is critical to life\-long happiness and fulfillment. We care about your career growth and strive to assign projects and offer training that will challenge you to become your best.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 Experience in patents or publications at top\-tier peer\-reviewed conferences (NeurIPS, ICML, ICLR, CVPR) or journals
* Experience in deep learning models for life sciences; knowledge of protein biology.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in-c77d38112a0ca56c</t>
        </is>
      </c>
      <c r="B47" t="inlineStr">
        <is>
          <t>Applied Scientist, Last Mile Delivery Automation</t>
        </is>
      </c>
      <c r="C47" t="inlineStr">
        <is>
          <t>Amazon.com</t>
        </is>
      </c>
      <c r="D47" t="inlineStr">
        <is>
          <t>indeed</t>
        </is>
      </c>
      <c r="E47" t="inlineStr"/>
      <c r="F47" t="inlineStr"/>
      <c r="G47" t="inlineStr">
        <is>
          <t>Bellevue, WA, US</t>
        </is>
      </c>
      <c r="H47" s="2" t="n">
        <v>46026</v>
      </c>
      <c r="I47"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in-8b854c20e0cff863</t>
        </is>
      </c>
      <c r="B48" t="inlineStr">
        <is>
          <t>Applied Scientist, Last Mile Delivery Automation</t>
        </is>
      </c>
      <c r="C48" t="inlineStr">
        <is>
          <t>Amazon.com</t>
        </is>
      </c>
      <c r="D48" t="inlineStr">
        <is>
          <t>indeed</t>
        </is>
      </c>
      <c r="E48" t="inlineStr"/>
      <c r="F48" t="inlineStr"/>
      <c r="G48" t="inlineStr">
        <is>
          <t>Santa Clara, CA, US</t>
        </is>
      </c>
      <c r="H48" s="2" t="n">
        <v>46026</v>
      </c>
      <c r="I48" t="inlineStr">
        <is>
          <t>**DESCRIPTION**
---------------
As an Applied Scientist for Last Mile Delivery Automation, you will be at the forefront of developing AI and ML solutions that power our delivery solutions. This role combines deep expertise in machine learning, computer vision, and robotics to solve complex challenges in real\-world perception, navigation, and path planning. You will work closely with applied scientists, software developers, and product teams to research, design, and implement sophisticated algorithms that enable safe and efficient operations. This position requires a unique blend of theoretical knowledge and practical implementation skills, with a focus on transforming research concepts into production\-ready solutions that can operate reliably in diverse real\-world environments.  
Key job responsibilities  
* Design and develop advanced machine learning models and algorithms for perception, navigation and planning.
* Lead research initiatives in areas such as computer vision, sensor fusion, behavioral prediction, and path planning
* Transform research concepts into production\-ready solutions that meet strict safety and performance requirements
* Develop novel approaches to solve complex technical challenges in perception, navigation and planning
* Create and implement metrics and evaluation frameworks to measure model performance
* Collaborate with engineering teams to integrate ML solutions into production stack
* Publish research findings and represent Amazon at technical conferences
About the team  
The Applied Science team within Amazon's Last Mile Delivery Automation organization focuses on developing machine learning solutions for autonomous systems. We work at the intersection of computer vision, deep learning, robotics, and control systems to create robust and scalable algorithms that enable safe autonomous operation. Our team combines expertise from diverse scientific backgrounds to tackle fundamental challenges in perception, prediction, and decision\-making.
**BASIC QUALIFICATIONS**
------------------------
* 3\+ years of building models for business application experience
* PhD, or Master's degree and 4\+ years of CS, CE, ML or related field experience
* Experience in patents or publications at top\-tier peer\-reviewed conferences or journals
* Experience in building machine learning models for business application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in-f4b1f24d17acc53b</t>
        </is>
      </c>
      <c r="B49" t="inlineStr">
        <is>
          <t>Senior Applied Scientist, Distributed SQL</t>
        </is>
      </c>
      <c r="C49" t="inlineStr">
        <is>
          <t>Amazon Web Services</t>
        </is>
      </c>
      <c r="D49" t="inlineStr">
        <is>
          <t>indeed</t>
        </is>
      </c>
      <c r="E49" t="inlineStr"/>
      <c r="F49" t="inlineStr"/>
      <c r="G49" t="inlineStr">
        <is>
          <t>Seattle, WA, US</t>
        </is>
      </c>
      <c r="H49" s="2" t="n">
        <v>46012</v>
      </c>
      <c r="I49"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0">
      <c r="A50" t="inlineStr">
        <is>
          <t>in-2aa7092749e74472</t>
        </is>
      </c>
      <c r="B50" t="inlineStr">
        <is>
          <t>Senior Applied Scientist, Distributed SQL</t>
        </is>
      </c>
      <c r="C50" t="inlineStr">
        <is>
          <t>Amazon Web Services</t>
        </is>
      </c>
      <c r="D50" t="inlineStr">
        <is>
          <t>indeed</t>
        </is>
      </c>
      <c r="E50" t="inlineStr"/>
      <c r="F50" t="inlineStr"/>
      <c r="G50" t="inlineStr">
        <is>
          <t>East Palo Alto, CA, US</t>
        </is>
      </c>
      <c r="H50" s="2" t="n">
        <v>46012</v>
      </c>
      <c r="I50"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As a Senior Applied Scientist, you will be expected to lead research and development in advanced query optimization techniques for distributed sql services. You will innovate in the query planning and execution layer to help Aurora DSQL succeed at delivering high performance for complex OLTP workloads. You will develop novel approaches to stats collection, query planning, execution and optimization. You will drive industry leading research, publish your research and help convert your research into implementations to make Aurora DSQL the fastest sql database for OLTP workloads.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East Palo Alto \- 192,200\.00 \- 260,000\.00 USD annually  
USA, WA, Seattle \- 167,100\.00 \- 226,100\.00 USD annually</t>
        </is>
      </c>
    </row>
    <row r="51">
      <c r="A51" t="inlineStr">
        <is>
          <t>in-cedfbe5b5a0356b1</t>
        </is>
      </c>
      <c r="B51" t="inlineStr">
        <is>
          <t>Applied Scientist, ML Compiler</t>
        </is>
      </c>
      <c r="C51" t="inlineStr">
        <is>
          <t>Amazon Web Services</t>
        </is>
      </c>
      <c r="D51" t="inlineStr">
        <is>
          <t>indeed</t>
        </is>
      </c>
      <c r="E51" t="inlineStr"/>
      <c r="F51" t="inlineStr"/>
      <c r="G51" t="inlineStr">
        <is>
          <t>Cupertino, CA, US</t>
        </is>
      </c>
      <c r="H51" s="2" t="n">
        <v>45993</v>
      </c>
      <c r="I51"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in-c3d76aed311ff016</t>
        </is>
      </c>
      <c r="B52" t="inlineStr">
        <is>
          <t>Applied Scientist, ML Compiler</t>
        </is>
      </c>
      <c r="C52" t="inlineStr">
        <is>
          <t>Amazon Web Services</t>
        </is>
      </c>
      <c r="D52" t="inlineStr">
        <is>
          <t>indeed</t>
        </is>
      </c>
      <c r="E52" t="inlineStr"/>
      <c r="F52" t="inlineStr"/>
      <c r="G52" t="inlineStr">
        <is>
          <t>Seattle, WA, US</t>
        </is>
      </c>
      <c r="H52" s="2" t="n">
        <v>45993</v>
      </c>
      <c r="I52" t="inlineStr">
        <is>
          <t>**DESCRIPTION**
---------------
The Automated Reasoning Group in the AWS Neuron Compiler team is looking for an Applied Scientist to work on the intersection of Artificial Intelligence and program analysis to raise the code quality bar in our state\-of\-the\-art deep learning compiler stack. This stack is designed to optimize application models across diverse domains, including Large Language and Vision, originating from leading frameworks such as PyTorch, TensorFlow, and JAX. Your role will involve working closely with our custom\-built Machine Learning accelerators, Inferentia and Trainium, which represent the forefront of AWS innovation for advanced ML capabilities, and is the underpinning of Generative AI.  
In this role as an Applied Scientist, you'll be instrumental in designing, developing, and deploying analyzers for ML compiler stages and compiler IRs. You will architect and implement business\-critical tooling, publish cutting\-edge research, and mentor a brilliant team of experienced scientists and engineers. You will need to be technically capable, credible, and curious in your own right as a trusted AWS Neuron engineer, innovating on behalf of our customers. Your responsibilities will involve tackling crucial challenges alongside a talented engineering team, contributing to leading\-edge design and research in compiler technology and deep\-learning systems software. Strong experience in programming languages, compilers, program analyzers, and program synthesis engines will be a benefit in this role.  
A background in machine learning and AI accelerators is preferred but not required.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Experience programming in Java, C\+\+, Python or related language
* Experience in any of the following areas: algorithms and data structures, parsing, numerical optimization, data mining, parallel and distributed computing, high\-performance computing
* PhD, or Master's degree and 2\+ years of CS, CE, ML or related field experience
**PREFERRED QUALIFICATIONS**
----------------------------
* Experience in professional software development
* Publication record in automated reasoning or compiler construction
* Knowledge of interactive theorem provers such as Lean
* Experience with heuristic search, e.g., fuzzers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in-4c4a1cfaa5411d63</t>
        </is>
      </c>
      <c r="B53" t="inlineStr">
        <is>
          <t>Data Scientist, Data and Machine Learning, WWPS US Federal</t>
        </is>
      </c>
      <c r="C53" t="inlineStr">
        <is>
          <t>Amazon Web Services</t>
        </is>
      </c>
      <c r="D53" t="inlineStr">
        <is>
          <t>indeed</t>
        </is>
      </c>
      <c r="E53" t="inlineStr"/>
      <c r="F53" t="inlineStr"/>
      <c r="G53" t="inlineStr">
        <is>
          <t>Herndon, VA, US</t>
        </is>
      </c>
      <c r="H53" s="2" t="n">
        <v>45993</v>
      </c>
      <c r="I53"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4">
      <c r="A54" t="inlineStr">
        <is>
          <t>in-c97884419ff03aa1</t>
        </is>
      </c>
      <c r="B54" t="inlineStr">
        <is>
          <t>Senior Data Scientist, Data and Machine Learning, WWPS US Federal</t>
        </is>
      </c>
      <c r="C54" t="inlineStr">
        <is>
          <t>Amazon Web Services</t>
        </is>
      </c>
      <c r="D54" t="inlineStr">
        <is>
          <t>indeed</t>
        </is>
      </c>
      <c r="E54" t="inlineStr"/>
      <c r="F54" t="inlineStr"/>
      <c r="G54" t="inlineStr">
        <is>
          <t>Herndon, VA, US</t>
        </is>
      </c>
      <c r="H54" s="2" t="n">
        <v>45993</v>
      </c>
      <c r="I54"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5">
      <c r="A55" t="inlineStr">
        <is>
          <t>in-b9e8c3e5ab6d072c</t>
        </is>
      </c>
      <c r="B55" t="inlineStr">
        <is>
          <t>Senior Data Scientist, Data and Machine Learning, WWPS US Federal</t>
        </is>
      </c>
      <c r="C55" t="inlineStr">
        <is>
          <t>Amazon Web Services</t>
        </is>
      </c>
      <c r="D55" t="inlineStr">
        <is>
          <t>indeed</t>
        </is>
      </c>
      <c r="E55" t="inlineStr"/>
      <c r="F55" t="inlineStr"/>
      <c r="G55" t="inlineStr">
        <is>
          <t>Denver, CO, US</t>
        </is>
      </c>
      <c r="H55" s="2" t="n">
        <v>45993</v>
      </c>
      <c r="I55"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6">
      <c r="A56" t="inlineStr">
        <is>
          <t>in-cffe174a16cc28d3</t>
        </is>
      </c>
      <c r="B56" t="inlineStr">
        <is>
          <t>Data Scientist, Data and Machine Learning, WWPS US Federal</t>
        </is>
      </c>
      <c r="C56" t="inlineStr">
        <is>
          <t>Amazon Web Services</t>
        </is>
      </c>
      <c r="D56" t="inlineStr">
        <is>
          <t>indeed</t>
        </is>
      </c>
      <c r="E56" t="inlineStr"/>
      <c r="F56" t="inlineStr"/>
      <c r="G56" t="inlineStr">
        <is>
          <t>St. Louis, MO, US</t>
        </is>
      </c>
      <c r="H56" s="2" t="n">
        <v>45993</v>
      </c>
      <c r="I56"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7">
      <c r="A57" t="inlineStr">
        <is>
          <t>in-91fc87d79fa6a3ff</t>
        </is>
      </c>
      <c r="B57" t="inlineStr">
        <is>
          <t>Senior Data Scientist, Data and Machine Learning, WWPS US Federal</t>
        </is>
      </c>
      <c r="C57" t="inlineStr">
        <is>
          <t>Amazon Web Services</t>
        </is>
      </c>
      <c r="D57" t="inlineStr">
        <is>
          <t>indeed</t>
        </is>
      </c>
      <c r="E57" t="inlineStr"/>
      <c r="F57" t="inlineStr"/>
      <c r="G57" t="inlineStr">
        <is>
          <t>Arlington, VA, US</t>
        </is>
      </c>
      <c r="H57" s="2" t="n">
        <v>45993</v>
      </c>
      <c r="I57"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58">
      <c r="A58" t="inlineStr">
        <is>
          <t>in-0f4a5afa592c70a2</t>
        </is>
      </c>
      <c r="B58" t="inlineStr">
        <is>
          <t>Data Scientist, Data and Machine Learning, WWPS US Federal</t>
        </is>
      </c>
      <c r="C58" t="inlineStr">
        <is>
          <t>Amazon Web Services</t>
        </is>
      </c>
      <c r="D58" t="inlineStr">
        <is>
          <t>indeed</t>
        </is>
      </c>
      <c r="E58" t="inlineStr"/>
      <c r="F58" t="inlineStr"/>
      <c r="G58" t="inlineStr">
        <is>
          <t>Denver, CO, US</t>
        </is>
      </c>
      <c r="H58" s="2" t="n">
        <v>45993</v>
      </c>
      <c r="I58"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59">
      <c r="A59" t="inlineStr">
        <is>
          <t>in-34d6174afdb7d9ce</t>
        </is>
      </c>
      <c r="B59" t="inlineStr">
        <is>
          <t>Senior Data Scientist, Data and Machine Learning, WWPS US Federal</t>
        </is>
      </c>
      <c r="C59" t="inlineStr">
        <is>
          <t>Amazon Web Services</t>
        </is>
      </c>
      <c r="D59" t="inlineStr">
        <is>
          <t>indeed</t>
        </is>
      </c>
      <c r="E59" t="inlineStr"/>
      <c r="F59" t="inlineStr"/>
      <c r="G59" t="inlineStr">
        <is>
          <t>Jessup, MD, US</t>
        </is>
      </c>
      <c r="H59" s="2" t="n">
        <v>45993</v>
      </c>
      <c r="I59"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0">
      <c r="A60" t="inlineStr">
        <is>
          <t>in-74d6c404b041d34b</t>
        </is>
      </c>
      <c r="B60" t="inlineStr">
        <is>
          <t>Senior Data Scientist, Data and Machine Learning, WWPS US Federal</t>
        </is>
      </c>
      <c r="C60" t="inlineStr">
        <is>
          <t>Amazon Web Services</t>
        </is>
      </c>
      <c r="D60" t="inlineStr">
        <is>
          <t>indeed</t>
        </is>
      </c>
      <c r="E60" t="inlineStr"/>
      <c r="F60" t="inlineStr"/>
      <c r="G60" t="inlineStr">
        <is>
          <t>St. Louis, MO, US</t>
        </is>
      </c>
      <c r="H60" s="2" t="n">
        <v>45993</v>
      </c>
      <c r="I60"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5\+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$159,200 \- $215,300 annually  
National $143,300 \- $247,600 annually</t>
        </is>
      </c>
    </row>
    <row r="61">
      <c r="A61" t="inlineStr">
        <is>
          <t>in-ab3a55fdbfc3aed8</t>
        </is>
      </c>
      <c r="B61" t="inlineStr">
        <is>
          <t>Data Scientist, Data and Machine Learning, WWPS US Federal</t>
        </is>
      </c>
      <c r="C61" t="inlineStr">
        <is>
          <t>Amazon Web Services</t>
        </is>
      </c>
      <c r="D61" t="inlineStr">
        <is>
          <t>indeed</t>
        </is>
      </c>
      <c r="E61" t="inlineStr"/>
      <c r="F61" t="inlineStr"/>
      <c r="G61" t="inlineStr">
        <is>
          <t>Arlington, VA, US</t>
        </is>
      </c>
      <c r="H61" s="2" t="n">
        <v>45993</v>
      </c>
      <c r="I61"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62">
      <c r="A62" t="inlineStr">
        <is>
          <t>in-988464cfabab4650</t>
        </is>
      </c>
      <c r="B62" t="inlineStr">
        <is>
          <t>Data Scientist, Data and Machine Learning, WWPS US Federal</t>
        </is>
      </c>
      <c r="C62" t="inlineStr">
        <is>
          <t>Amazon Web Services</t>
        </is>
      </c>
      <c r="D62" t="inlineStr">
        <is>
          <t>indeed</t>
        </is>
      </c>
      <c r="E62" t="inlineStr"/>
      <c r="F62" t="inlineStr"/>
      <c r="G62" t="inlineStr">
        <is>
          <t>Jessup, MD, US</t>
        </is>
      </c>
      <c r="H62" s="2" t="n">
        <v>45993</v>
      </c>
      <c r="I62" t="inlineStr">
        <is>
          <t>**DESCRIPTION**
---------------
Application deadline: Applications will be accepted on an ongoing basis  
Are you excited to help the US Intelligence Community design, build, and implement AI algorithms, including advanced Generative AI solutions, to augment decision making while meeting the highest standards for reliability, transparency, and scalability? The Amazon Web Services (AWS) US Federal Professional Services team works directly with US Intelligence Community agencies and other public sector entities to achieve their mission goals through the adoption of Machine Learning (ML) and Generative AI methods. We build models for text, image, video, audio, and multi\-modal use cases, leveraging both traditional ML approaches and state\-of\-the\-art generative models including Large Language Models (LLMs), text\-to\-image generation, and other advanced AI capabilities to fit the mission. Our team collaborates across the entire AWS organization to bring access to product and service teams, to get the right solution delivered and drive feature innovation based on customer needs.  
At AWS, we're hiring experienced data scientists with a background in both traditional and generative AI who can help our customers understand the opportunities their data presents, and build solutions that earn the customer trust needed for deployment to production systems.
In this role, you will work closely with customers to deeply understand their data challenges and requirements, and design tailored solutions that best fit their use cases. You should have broad experience building models using all kinds of data sources, and building data\-intensive applications at scale. You should possess excellent business acumen and communication skills to collaborate effectively with stakeholders, develop key business questions, and translate requirements into actionable solutions. You will provide guidance and support to other engineers, sharing industry best practices and driving innovation in the field of data science and AI.  
This position requires that the candidate selected must currently possess and maintain an active TS/SCI Security Clearance. The position further requires the candidate to opt into a commensurate clearance for each government agency for which they perform AWS work.  
Key job responsibilities  
As a Data Scientist, you will:  
* Collaborate with AI/ML scientists and architects to research, design, develop, and evaluate AI algorithms to address real\-world challenges
* Interact with customers directly to understand the business problem, help and aid them in implementation of AI solutions, deliver briefing and deep dive sessions to customers and guide customer on adoption patterns and paths to production.
* Create and deliver best practice recommendations, tutorials, blog posts, sample code, and presentations adapted to technical, business, and executive stakeholder
* Provide customer and market feedback to Product and Engineering teams to help define product direction
* This position may require up to 25% local travel.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in Computer Science, Engineering, a related technical field or equivalent
* 3\+ years of experience building models for business applications.
* Experience with algorithms, data structures, parsing, numerical optimization, data mining, parallel and distributed computing, high\-performance computing, neural deep learning methods and/or machine learning
* Experience using Python and hands on experience building models with deep learning frameworks (i.e. Tensorflow, Keras, PyTorch, MXNet).
* Current, active US Government Security Clearance of TS/SCI.
**PREFERRED QUALIFICATIONS**
----------------------------
* Masters or PhD Degree in computer science, engineering, mathematics, operations research, or in a highly quantitative field.
* AWS experience preferred, with proficiency in a range of AWS services (e.g., SageMaker, Bedrock, EC2, ECS, EKS, OpenSearch).
* Practical experience in solving complex problems in an applied environment.
* Hands on experience building models with deep learning frameworks like PyTorch, Tensorflow, or JAX.
* Experience building applications leveraging GenAI.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$136,000 \- $184,000 annually  
National $125,500 \- $212,800 annually</t>
        </is>
      </c>
    </row>
    <row r="63">
      <c r="A63" t="inlineStr">
        <is>
          <t>in-78852d08b45d3934</t>
        </is>
      </c>
      <c r="B63" t="inlineStr">
        <is>
          <t>Senior Applied Scientist, Locomotion, Amazon Industrial Robotics</t>
        </is>
      </c>
      <c r="C63" t="inlineStr">
        <is>
          <t>Amazon.com</t>
        </is>
      </c>
      <c r="D63" t="inlineStr">
        <is>
          <t>indeed</t>
        </is>
      </c>
      <c r="E63" t="inlineStr"/>
      <c r="F63" t="inlineStr"/>
      <c r="G63" t="inlineStr">
        <is>
          <t>Reading, MA, US</t>
        </is>
      </c>
      <c r="H63" s="2" t="n">
        <v>45992</v>
      </c>
      <c r="I6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in-47f1ad6c2e4f2caf</t>
        </is>
      </c>
      <c r="B64" t="inlineStr">
        <is>
          <t>Senior Applied Scientist, Locomotion, Amazon Industrial Robotics</t>
        </is>
      </c>
      <c r="C64" t="inlineStr">
        <is>
          <t>Amazon.com</t>
        </is>
      </c>
      <c r="D64" t="inlineStr">
        <is>
          <t>indeed</t>
        </is>
      </c>
      <c r="E64" t="inlineStr"/>
      <c r="F64" t="inlineStr"/>
      <c r="G64" t="inlineStr">
        <is>
          <t>Reading, MA, US</t>
        </is>
      </c>
      <c r="H64" s="2" t="n">
        <v>45992</v>
      </c>
      <c r="I6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dexterous manipulation, locomotion, and human\-robot interaction. This role presents an opportunity to shape the future of robotics through innovative applications of deep learning and large language models.
At Amazon Industrial Robotics we leverage advanced robotics, machine learning, and artificial intelligence to solve complex operational challenges at an unprecedented scale. Our fleet of robots operates across hundreds of facilities worldwide, working in sophisticated coordination to fulfill our mission of customer excellence.
The ideal candidate will contribute to research that bridges the gap between theoretical advancement and practical implementation in robotics. You will be part of a team that's revolutionizing how robots learn, adapt, and interact with their environment.
Join us in building the next generation of intelligent robotics systems that will transform the future of automation and human\-robot collaboration.
Key job responsibilities  
* Lead design and implement control algorithms for robot locomotion
* Develop behaviors that enable the robot to traverse diverse terrain
* Develop methods that seamlessly integrate stability, locomotion, and manipulation tasks
* Create dynamics models and simulations that enable sim2real transfer of algorithms
* Collaborate effectively with multi\-disciplinary teams to co\-design hardware and algorithms for loco\-manipulation
* Mentor junior engineer and scientists
**BASIC QUALIFICATIONS**
------------------------
* PhD, or Master's degree and 4\+ years of CS, CE, ML or related field experience
* Strong foundation in robot dynamics and control theory
* Experience with model\-predictive control and reinforcement learning for locomotion
* Experience with simulation environments such as IsaacLab, Mujoco, Drake, etc.
* Experience with developing and deploying code for real\-time controllers
**PREFERRED QUALIFICATIONS**
----------------------------
* Experience programming in Java, C\+\+, Python or related language
* Experience working effectively across cross\-functional teams and partnering well with people at all levels within an organization
* PhD in Robotics with a focus on locomotion
* Experience with low\-level joint torque/impedance control
* Experience with robotics frameworks for fast prototyping (Matlab, ROS,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in-005ccd4501eddc02</t>
        </is>
      </c>
      <c r="B65" t="inlineStr">
        <is>
          <t>Senior Applied Scientist, Artificial General Intelligence</t>
        </is>
      </c>
      <c r="C65" t="inlineStr">
        <is>
          <t>Amazon.com</t>
        </is>
      </c>
      <c r="D65" t="inlineStr">
        <is>
          <t>indeed</t>
        </is>
      </c>
      <c r="E65" t="inlineStr"/>
      <c r="F65" t="inlineStr"/>
      <c r="G65" t="inlineStr">
        <is>
          <t>Sunnyvale, CA, US</t>
        </is>
      </c>
      <c r="H65" s="2" t="n">
        <v>45980</v>
      </c>
      <c r="I6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in-ff8bbf420f6dcb62</t>
        </is>
      </c>
      <c r="B66" t="inlineStr">
        <is>
          <t>Senior Applied Scientist, Artificial General Intelligence</t>
        </is>
      </c>
      <c r="C66" t="inlineStr">
        <is>
          <t>Amazon.com</t>
        </is>
      </c>
      <c r="D66" t="inlineStr">
        <is>
          <t>indeed</t>
        </is>
      </c>
      <c r="E66" t="inlineStr"/>
      <c r="F66" t="inlineStr"/>
      <c r="G66" t="inlineStr">
        <is>
          <t>New York, NY, US</t>
        </is>
      </c>
      <c r="H66" s="2" t="n">
        <v>45980</v>
      </c>
      <c r="I6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in-fd46e1dbe4f75cb0</t>
        </is>
      </c>
      <c r="B67" t="inlineStr">
        <is>
          <t>Senior Applied Scientist, Artificial General Intelligence</t>
        </is>
      </c>
      <c r="C67" t="inlineStr">
        <is>
          <t>Amazon.com</t>
        </is>
      </c>
      <c r="D67" t="inlineStr">
        <is>
          <t>indeed</t>
        </is>
      </c>
      <c r="E67" t="inlineStr"/>
      <c r="F67" t="inlineStr"/>
      <c r="G67" t="inlineStr">
        <is>
          <t>Boston, MA, US</t>
        </is>
      </c>
      <c r="H67" s="2" t="n">
        <v>45980</v>
      </c>
      <c r="I67"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in-0ab389ee8a3960c7</t>
        </is>
      </c>
      <c r="B68" t="inlineStr">
        <is>
          <t>Senior Applied Scientist, Artificial General Intelligence</t>
        </is>
      </c>
      <c r="C68" t="inlineStr">
        <is>
          <t>Amazon.com</t>
        </is>
      </c>
      <c r="D68" t="inlineStr">
        <is>
          <t>indeed</t>
        </is>
      </c>
      <c r="E68" t="inlineStr"/>
      <c r="F68" t="inlineStr"/>
      <c r="G68" t="inlineStr">
        <is>
          <t>Seattle, WA, US</t>
        </is>
      </c>
      <c r="H68" s="2" t="n">
        <v>45980</v>
      </c>
      <c r="I68"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3\+ years of applied research experience
* 3\+ years of building machine learning models for business application experience
* Experience with popular deep learning frameworks such as MxNet and Tensor Flow.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in-b521f597a8b9aa2b</t>
        </is>
      </c>
      <c r="B69" t="inlineStr">
        <is>
          <t>Applied Scientist II, SPB Advertiser Guidance</t>
        </is>
      </c>
      <c r="C69" t="inlineStr">
        <is>
          <t>Amazon.com</t>
        </is>
      </c>
      <c r="D69" t="inlineStr">
        <is>
          <t>indeed</t>
        </is>
      </c>
      <c r="E69" t="inlineStr"/>
      <c r="F69" t="inlineStr"/>
      <c r="G69" t="inlineStr">
        <is>
          <t>Seattle, WA, US</t>
        </is>
      </c>
      <c r="H69" s="2" t="n">
        <v>45980</v>
      </c>
      <c r="I6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in-83beff126756f704</t>
        </is>
      </c>
      <c r="B70" t="inlineStr">
        <is>
          <t>Applied Scientist II, SPB Advertiser Guidance</t>
        </is>
      </c>
      <c r="C70" t="inlineStr">
        <is>
          <t>Amazon.com</t>
        </is>
      </c>
      <c r="D70" t="inlineStr">
        <is>
          <t>indeed</t>
        </is>
      </c>
      <c r="E70" t="inlineStr"/>
      <c r="F70" t="inlineStr"/>
      <c r="G70" t="inlineStr">
        <is>
          <t>New York, NY, US</t>
        </is>
      </c>
      <c r="H70" s="2" t="n">
        <v>45980</v>
      </c>
      <c r="I7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in-077cb2d97edf6180</t>
        </is>
      </c>
      <c r="B71" t="inlineStr">
        <is>
          <t>Principal Applied Scientist, Sponsored Products and Brands</t>
        </is>
      </c>
      <c r="C71" t="inlineStr">
        <is>
          <t>Amazon.com</t>
        </is>
      </c>
      <c r="D71" t="inlineStr">
        <is>
          <t>indeed</t>
        </is>
      </c>
      <c r="E71" t="inlineStr"/>
      <c r="F71" t="inlineStr"/>
      <c r="G71" t="inlineStr">
        <is>
          <t>New York, NY, US</t>
        </is>
      </c>
      <c r="H71" s="2" t="n">
        <v>45979</v>
      </c>
      <c r="I71"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in-431a739d12d072f1</t>
        </is>
      </c>
      <c r="B72" t="inlineStr">
        <is>
          <t>Principal Applied Scientist, Sponsored Products and Brands</t>
        </is>
      </c>
      <c r="C72" t="inlineStr">
        <is>
          <t>Amazon.com</t>
        </is>
      </c>
      <c r="D72" t="inlineStr">
        <is>
          <t>indeed</t>
        </is>
      </c>
      <c r="E72" t="inlineStr"/>
      <c r="F72" t="inlineStr"/>
      <c r="G72" t="inlineStr">
        <is>
          <t>Seattle, WA, US</t>
        </is>
      </c>
      <c r="H72" s="2" t="n">
        <v>45979</v>
      </c>
      <c r="I72"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 Principal Scientist for the team, you will have the opportunity to apply your deep subject matter expertise in the area of ML, LLM and GenAI models. You will invent new product experiences that enable novel advertiser and shopper experiences. This role will liaise with internal Amazon partners and work on bringing state\-of\-the\-art GenAI models to production, and stay abreast of the latest developments in the space of GenAI and identify opportunities to improve the efficiency and productivity of the team. Additionally, you will define a long\-term science vision for our advertising business, driven by our customer’s needs, and translate it into actionable plans for our team of applied scientists and engineers.  
This role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org.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PhD in Computer Science, Statistics or related field.
* 10\+ years of programming in Java, Python or related language.
* 10\+ years of applied ML experience in building complex, real\-time systems involving AI, ML with successful delivery to customers.
* 3\+ years in LLMs, model fine tuning and prompt engineering.
* 3\+ years in digital advertising technology.
**PREFERRED QUALIFICATIONS**
----------------------------
* Demonstrated track record of innovative AI solution development.
* Experience with generative model architectures.
* Research publications or patents in generative AI technologies.
* Experience in Reinforcement Learning from Human Feedback (RLHF), Retrieval\-Augmented Generation (RAG) and AI model trade\-offs (e.g., model size, latency, cost, and output quality).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in-b0dca96e70aadf18</t>
        </is>
      </c>
      <c r="B73" t="inlineStr">
        <is>
          <t>Applied Scientist, Personalization, DTx Science</t>
        </is>
      </c>
      <c r="C73" t="inlineStr">
        <is>
          <t>Amazon.com</t>
        </is>
      </c>
      <c r="D73" t="inlineStr">
        <is>
          <t>indeed</t>
        </is>
      </c>
      <c r="E73" t="inlineStr"/>
      <c r="F73" t="inlineStr"/>
      <c r="G73" t="inlineStr">
        <is>
          <t>New York, NY, US</t>
        </is>
      </c>
      <c r="H73" s="2" t="n">
        <v>45979</v>
      </c>
      <c r="I7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4">
      <c r="A74" t="inlineStr">
        <is>
          <t>in-70e2d2f1598c0552</t>
        </is>
      </c>
      <c r="B74" t="inlineStr">
        <is>
          <t>Applied Scientist, Personalization, DTx Science</t>
        </is>
      </c>
      <c r="C74" t="inlineStr">
        <is>
          <t>Amazon.com</t>
        </is>
      </c>
      <c r="D74" t="inlineStr">
        <is>
          <t>indeed</t>
        </is>
      </c>
      <c r="E74" t="inlineStr"/>
      <c r="F74" t="inlineStr"/>
      <c r="G74" t="inlineStr">
        <is>
          <t>Seattle, WA, US</t>
        </is>
      </c>
      <c r="H74" s="2" t="n">
        <v>45979</v>
      </c>
      <c r="I7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\- 172,400\.00 \- 223,400\.00 USD annually  
USA, WA, Seattle \- 142,800\.00 \- 193,200\.00 USD annually</t>
        </is>
      </c>
    </row>
    <row r="75">
      <c r="A75" t="inlineStr">
        <is>
          <t>in-357e70c7148b0009</t>
        </is>
      </c>
      <c r="B75" t="inlineStr">
        <is>
          <t>Applied Scientist II, Robotics and ML, Amazon Industrial Robotics</t>
        </is>
      </c>
      <c r="C75" t="inlineStr">
        <is>
          <t>Amazon.com</t>
        </is>
      </c>
      <c r="D75" t="inlineStr">
        <is>
          <t>indeed</t>
        </is>
      </c>
      <c r="E75" t="inlineStr"/>
      <c r="F75" t="inlineStr"/>
      <c r="G75" t="inlineStr">
        <is>
          <t>Reading, MA, US</t>
        </is>
      </c>
      <c r="H75" s="2" t="n">
        <v>45975</v>
      </c>
      <c r="I75"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in-f863a7544bf20ba5</t>
        </is>
      </c>
      <c r="B76" t="inlineStr">
        <is>
          <t>Applied Scientist II, Robotics and ML, Amazon Industrial Robotics</t>
        </is>
      </c>
      <c r="C76" t="inlineStr">
        <is>
          <t>Amazon.com</t>
        </is>
      </c>
      <c r="D76" t="inlineStr">
        <is>
          <t>indeed</t>
        </is>
      </c>
      <c r="E76" t="inlineStr"/>
      <c r="F76" t="inlineStr"/>
      <c r="G76" t="inlineStr">
        <is>
          <t>Reading, MA, US</t>
        </is>
      </c>
      <c r="H76" s="2" t="n">
        <v>45975</v>
      </c>
      <c r="I76"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an Applied Scientist to join our Robotics team. This role focuses on developing innovative machine learning solutions that enable robots to perform complex manipulation tasks in real\-world environments. You will work on creating adaptive learning approaches that combine traditional robotics with modern ML techniques to improve robot performance and reliability. In this role, you will collaborate with multidisciplinary teams to advance the state\-of\-the\-art in robotic manipulation, contributing to the development of next\-generation autonomous systems that can operate safely and efficiently within Amazon fulfillment centers.
Key job responsibilities  
* Lead design, adapt, and implement novel machine learning solutions for manipulation robots
* Create hybrid approaches combining classical methods with learning\-based solutions
* Design learning algorithms for automated parameter tuning and adaptation
* Develop data collection pipelines and methodologies for capturing high\-quality demonstrations of dexterous tasks
* Build and test prototype robotic workcell setups to validate the performance of the solution
* Partner with cross\-functional teams to rapidly create new concepts and prototypes
* Work with Amazon's robotics engineering and operations teams to grasp their requirements and develop tailored solutions
* Document the architecture, performance, and validation of the final system
**BASIC QUALIFICATIONS**
------------------------
* PhD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Experience building machine learning models or developing algorithms for business application
* Experience applying theoretical models in an applied environment
**PREFERRED QUALIFICATIONS**
----------------------------
* Experience using Unix/Linux
* Experience in professional software development
* Experience working effectively across cross\-functional teams and partnering well with people at all levels within an organization
* PhD in Robotics, Computer Science, or related field with focus on machine learning and robot control
* Experience developing and implementing machine learning approaches for robotic systems, particularly in imitation learning or reinforcement learning
* Strong background in robot control systems, particularly in force/impedance control and contact\-rich manipulation
* Experience with real\-time control systems and robot motion planning
* Track record of translating research concepts into practical robotic applications
* Strong programming skills and experience with modern ML frameworks
* Experience with demonstration\-based learning and data collection for robotic systems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in-0a225ecd5586cccf</t>
        </is>
      </c>
      <c r="B77" t="inlineStr">
        <is>
          <t>Principal Applied Scientist, Amazon AGI</t>
        </is>
      </c>
      <c r="C77" t="inlineStr">
        <is>
          <t>Amazon.com</t>
        </is>
      </c>
      <c r="D77" t="inlineStr">
        <is>
          <t>indeed</t>
        </is>
      </c>
      <c r="E77" t="inlineStr"/>
      <c r="F77" t="inlineStr"/>
      <c r="G77" t="inlineStr">
        <is>
          <t>Boston, MA, US</t>
        </is>
      </c>
      <c r="H77" s="2" t="n">
        <v>45964</v>
      </c>
      <c r="I77"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in-4752a57c3f9c2288</t>
        </is>
      </c>
      <c r="B78" t="inlineStr">
        <is>
          <t>Principal Applied Scientist, Amazon AGI</t>
        </is>
      </c>
      <c r="C78" t="inlineStr">
        <is>
          <t>Amazon.com</t>
        </is>
      </c>
      <c r="D78" t="inlineStr">
        <is>
          <t>indeed</t>
        </is>
      </c>
      <c r="E78" t="inlineStr"/>
      <c r="F78" t="inlineStr"/>
      <c r="G78" t="inlineStr">
        <is>
          <t>San Francisco, CA, US</t>
        </is>
      </c>
      <c r="H78" s="2" t="n">
        <v>45964</v>
      </c>
      <c r="I78" t="inlineStr">
        <is>
          <t>**DESCRIPTION**
---------------
The Artificial General Intelligence (AGI) team is looking for a passionate, talented, and inventive Principal Applied Scientist with a strong deep learning and generative AI background, to focus on the development of software development skills of Nova foundational models.  
As a Principal Applied Scientist,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strong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in-1b619a7be867ca12</t>
        </is>
      </c>
      <c r="B79" t="inlineStr">
        <is>
          <t>Sr. Applied Scientist, Sponsored Product Off-Search</t>
        </is>
      </c>
      <c r="C79" t="inlineStr">
        <is>
          <t>Amazon.com</t>
        </is>
      </c>
      <c r="D79" t="inlineStr">
        <is>
          <t>indeed</t>
        </is>
      </c>
      <c r="E79" t="inlineStr"/>
      <c r="F79" t="inlineStr"/>
      <c r="G79" t="inlineStr">
        <is>
          <t>New York, NY, US</t>
        </is>
      </c>
      <c r="H79" s="2" t="n">
        <v>45963</v>
      </c>
      <c r="I79"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in-6b498e4491a37079</t>
        </is>
      </c>
      <c r="B80" t="inlineStr">
        <is>
          <t>Sr. Applied Scientist, Sponsored Product Off-Search</t>
        </is>
      </c>
      <c r="C80" t="inlineStr">
        <is>
          <t>Amazon.com</t>
        </is>
      </c>
      <c r="D80" t="inlineStr">
        <is>
          <t>indeed</t>
        </is>
      </c>
      <c r="E80" t="inlineStr"/>
      <c r="F80" t="inlineStr"/>
      <c r="G80" t="inlineStr">
        <is>
          <t>Seattle, WA, US</t>
        </is>
      </c>
      <c r="H80" s="2" t="n">
        <v>45963</v>
      </c>
      <c r="I80" t="inlineStr">
        <is>
          <t>**DESCRIPTION**
---------------
The Sponsored Products and Brands (SPB) team at Amazon Ads is re\-imagining the advertising landscape through state\-of\-the\-art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  
Key job responsibilities  
This role will be pivotal in redesigning how ads contribute to a personalized, relevant, and inspirational shopping experience, with the customer value proposition at the forefront. Key responsibilities include, but are not limited to:  
* Contribute to the design and development of GenAI, deep learning, multi\-objective optimization and/or reinforcement learning empowered solutions to transform ad retrieval, auctions, whole\-page relevance, and/or bespoke shopping experiences.
* Collaborate cross\-functionally with other scientists, engineers, and product managers to bring scalable, production\-ready science solutions to life.
* Stay abreast of industry trends in GenAI, LLMs, and related disciplines, bringing fresh and innovative concepts, ideas, and prototypes to the organization.
* Contribute to the enhancement of team’s scientific and technical rigor by identifying and implementing best\-in\-class algorithms, methodologies, and infrastructure that enable rapid experimentation and scaling.
* Mentor and grow junior scientists and engineers, cultivating a high\-performing, collaborative, and intellectually curious team.
A day in the life  
As an Applied Scientist on the Sponsored Products and Brands Off\-Search team, you will contribute to the development in Generative AI (GenAI) and Large Language Models (LLMs) to revolutionize our advertising flow, backend optimization, and frontend shopping experiences. This is a rare opportunity to redefine how ads are retrieved, allocated, and/or experienced—elevating them into personalized, contextually aware, and inspiring components of the customer journey. You will have the opportunity to fundamentally transform areas such as ad retrieval, ad allocation, whole\-page relevance, and differentiated recommendations through the lens of GenAI. By building novel generative models grounded in both Amazon’s rich data and the world’s collective knowledge, your work will shape how customers engage with ads, discover products, and make purchasing decisions. If you are passionate about applying frontier AI to real\-world problems with massive scale and impact, this is your opportunity to define the next chapter of advertising science.  
About the team  
The Off\-Search team within Sponsored Products and Brands (SPB) is focused on building delightful ad experiences across various surfaces beyond Search on Amazon—such as product detail pages, the homepage, and store\-in\-store pages—to drive monetization. Our vision is to deliver highly personalized, context\-aware advertising that adapts to individual shopper preferences, scales across diverse page types, remains relevant to seasonal and event\-driven moments, and integrates seamlessly with organic recommendations such as new arrivals, basket\-building content, and fast\-delivery options. To execute this vision, we work in close partnership with Amazon Stores stakeholders to lead the expansion and growth of advertising across Amazon\-owned and \-operated pages beyond Search. We operate full stack—from backend ads\-retail edge services, ads retrieval, and ad auctions to shopper\-facing experiences—all designed to deliver meaningful value.  
Curious about our advertising solutions? Discover more about Sponsored Products and Sponsored Brands to see how we’re helping businesses grow on Amazon.com and beyond!**BASIC QUALIFICATIONS**
------------------------
* PhD, or Master's degree and 6\+ years of applied research experience
* 3\+ years of building machine learning models for business application experience
* Experience programming in Java, C\+\+, Python or related language
* Strong foundation in GenAI, large language models, machine learning, deep learning, probabilistic modeling, and/or optimization.
* Experience developing and deploying models in real\-world production environments.
**PREFERRED QUALIFICATIONS**
----------------------------
* Proven expertise in Generative AI, foundation models, LLMs, and/or fine\-tuning and customization for downstream tasks.
* Hands\-on experience in ads ranking, retrieval, recommendation systems, search, or personalization at web scale.
* Deep understanding of multi\-modal modeling, few\-shot learning, retrieval\-augmented generation (RAG), or reinforcement learning from human feedback (RLHF).
* Experience with online experimentation, A/B testing frameworks, and metrics design for advertising or e\-commerce.
* Demonstrated ability to communicate complex technical topics clearly to both technical and non\-technical audiences.
* Experience in computational advertising, including familiarity with auction theory, ad economics, and advertiser performance metrics.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in-aa2aecac78cc0af9</t>
        </is>
      </c>
      <c r="B81" t="inlineStr">
        <is>
          <t>Applied Scientist, AWS Agentic AI</t>
        </is>
      </c>
      <c r="C81" t="inlineStr">
        <is>
          <t>Amazon Web Services</t>
        </is>
      </c>
      <c r="D81" t="inlineStr">
        <is>
          <t>indeed</t>
        </is>
      </c>
      <c r="E81" t="inlineStr"/>
      <c r="F81" t="inlineStr"/>
      <c r="G81" t="inlineStr">
        <is>
          <t>Seattle, WA, US</t>
        </is>
      </c>
      <c r="H81" s="2" t="n">
        <v>45962</v>
      </c>
      <c r="I81"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in-6523e15ea73d34f9</t>
        </is>
      </c>
      <c r="B82" t="inlineStr">
        <is>
          <t>Applied Scientist, AWS Agentic AI</t>
        </is>
      </c>
      <c r="C82" t="inlineStr">
        <is>
          <t>Amazon Web Services</t>
        </is>
      </c>
      <c r="D82" t="inlineStr">
        <is>
          <t>indeed</t>
        </is>
      </c>
      <c r="E82" t="inlineStr"/>
      <c r="F82" t="inlineStr"/>
      <c r="G82" t="inlineStr">
        <is>
          <t>Santa Clara, CA, US</t>
        </is>
      </c>
      <c r="H82" s="2" t="n">
        <v>45962</v>
      </c>
      <c r="I82"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in-a3d145b9ff11fa41</t>
        </is>
      </c>
      <c r="B83" t="inlineStr">
        <is>
          <t>Applied Scientist, AWS Agentic AI</t>
        </is>
      </c>
      <c r="C83" t="inlineStr">
        <is>
          <t>Amazon Web Services</t>
        </is>
      </c>
      <c r="D83" t="inlineStr">
        <is>
          <t>indeed</t>
        </is>
      </c>
      <c r="E83" t="inlineStr"/>
      <c r="F83" t="inlineStr"/>
      <c r="G83" t="inlineStr">
        <is>
          <t>New York, NY, US</t>
        </is>
      </c>
      <c r="H83" s="2" t="n">
        <v>45962</v>
      </c>
      <c r="I83" t="inlineStr">
        <is>
          <t>**DESCRIPTION**
---------------
Amazon Agentic AI is looking for motivated scientists to join its newly created org focusing on agentic AI. This group is entrusted with developing core natural language processing, agents, generative AI, AI reasoning and planning, and model training for AWS, with a focus on code development, broadly defined. You will invent, implement, and deploy state of the art deep learning algorithms and systems. You will build prototypes and explore conceptually new solutions. You will interact closely with our customers and with the academic community. You will be at the heart of a growing and exciting focus area for AWS Agentic AI, a generative AI–powered assistant for enterprise computing, and work with other acclaimed engineers and world famous scientists.  
As an Applied Scientist, you are recognized for your expertise, advise team members on a range of machine learning topics, and work closely with software engineers to drive the delivery of end\-to\-end modeling solutions. Your work focuses on ambiguous problem areas where the business problem or opportunity may not yet be defined. The problems that you take on require scientific breakthroughs.  
You take a long\-term view of the business objectives, product roadmaps, technologies, and how they should evolve. You drive mindful discussions with customers, engineers, and scientist peers. You bring perspective and provide context for current technology choices, and make recommendations on the right modeling and component design approach to achieve the desired customer experience and business outcome.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**BASIC QUALIFICATIONS**
------------------------
* 3\+ years of building models for business application experience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in-db24c9d9607745b1</t>
        </is>
      </c>
      <c r="B84" t="inlineStr">
        <is>
          <t>Applied Scientist, Prime Video - Content Understanding, Localization &amp; Enrichment Team</t>
        </is>
      </c>
      <c r="C84" t="inlineStr">
        <is>
          <t>Amazon.com</t>
        </is>
      </c>
      <c r="D84" t="inlineStr">
        <is>
          <t>indeed</t>
        </is>
      </c>
      <c r="E84" t="inlineStr"/>
      <c r="F84" t="inlineStr"/>
      <c r="G84" t="inlineStr">
        <is>
          <t>San Francisco, CA, US</t>
        </is>
      </c>
      <c r="H84" s="2" t="n">
        <v>45943</v>
      </c>
      <c r="I8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5">
      <c r="A85" t="inlineStr">
        <is>
          <t>in-03b8e2f42f261292</t>
        </is>
      </c>
      <c r="B85" t="inlineStr">
        <is>
          <t>Applied Scientist, Prime Video - Content Understanding, Localization &amp; Enrichment Team</t>
        </is>
      </c>
      <c r="C85" t="inlineStr">
        <is>
          <t>Amazon.com</t>
        </is>
      </c>
      <c r="D85" t="inlineStr">
        <is>
          <t>indeed</t>
        </is>
      </c>
      <c r="E85" t="inlineStr"/>
      <c r="F85" t="inlineStr"/>
      <c r="G85" t="inlineStr">
        <is>
          <t>Seattle, WA, US</t>
        </is>
      </c>
      <c r="H85" s="2" t="n">
        <v>45943</v>
      </c>
      <c r="I8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\- 171,600\.00 \- 222,200\.00 USD annually  
USA, WA, Seattle \- 142,800\.00 \- 193,200\.00 USD annually</t>
        </is>
      </c>
    </row>
    <row r="86">
      <c r="A86" t="inlineStr">
        <is>
          <t>in-98fad942f5713620</t>
        </is>
      </c>
      <c r="B86" t="inlineStr">
        <is>
          <t>Principal Applied Scientist, Advertiser Growth, Amazon Sponsored Products &amp; Brands</t>
        </is>
      </c>
      <c r="C86" t="inlineStr">
        <is>
          <t>Amazon.com</t>
        </is>
      </c>
      <c r="D86" t="inlineStr">
        <is>
          <t>indeed</t>
        </is>
      </c>
      <c r="E86" t="inlineStr"/>
      <c r="F86" t="inlineStr"/>
      <c r="G86" t="inlineStr">
        <is>
          <t>New York, NY, US</t>
        </is>
      </c>
      <c r="H86" s="2" t="n">
        <v>45942</v>
      </c>
      <c r="I8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7">
      <c r="A87" t="inlineStr">
        <is>
          <t>in-5d8affd203b2b4d7</t>
        </is>
      </c>
      <c r="B87" t="inlineStr">
        <is>
          <t>Principal Applied Scientist, Advertiser Growth, Amazon Sponsored Products &amp; Brands</t>
        </is>
      </c>
      <c r="C87" t="inlineStr">
        <is>
          <t>Amazon.com</t>
        </is>
      </c>
      <c r="D87" t="inlineStr">
        <is>
          <t>indeed</t>
        </is>
      </c>
      <c r="E87" t="inlineStr"/>
      <c r="F87" t="inlineStr"/>
      <c r="G87" t="inlineStr">
        <is>
          <t>Palo Alto, CA, US</t>
        </is>
      </c>
      <c r="H87" s="2" t="n">
        <v>45942</v>
      </c>
      <c r="I87"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8">
      <c r="A88" t="inlineStr">
        <is>
          <t>in-988c3320fc10163b</t>
        </is>
      </c>
      <c r="B88" t="inlineStr">
        <is>
          <t>Principal Applied Scientist, Advertiser Growth, Amazon Sponsored Products &amp; Brands</t>
        </is>
      </c>
      <c r="C88" t="inlineStr">
        <is>
          <t>Amazon.com</t>
        </is>
      </c>
      <c r="D88" t="inlineStr">
        <is>
          <t>indeed</t>
        </is>
      </c>
      <c r="E88" t="inlineStr"/>
      <c r="F88" t="inlineStr"/>
      <c r="G88" t="inlineStr">
        <is>
          <t>Seattle, WA, US</t>
        </is>
      </c>
      <c r="H88" s="2" t="n">
        <v>45942</v>
      </c>
      <c r="I88"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in-10e3a56521f88c64</t>
        </is>
      </c>
      <c r="B89" t="inlineStr">
        <is>
          <t>Sr. Applied Scientist, SPB Advertiser Guidance</t>
        </is>
      </c>
      <c r="C89" t="inlineStr">
        <is>
          <t>Amazon.com</t>
        </is>
      </c>
      <c r="D89" t="inlineStr">
        <is>
          <t>indeed</t>
        </is>
      </c>
      <c r="E89" t="inlineStr"/>
      <c r="F89" t="inlineStr"/>
      <c r="G89" t="inlineStr">
        <is>
          <t>Seattle, WA, US</t>
        </is>
      </c>
      <c r="H89" s="2" t="n">
        <v>45939</v>
      </c>
      <c r="I89"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Lead business, science and engineering strategy and roadmap for Sponsored Products Agentic Advertiser Guidance.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6\+ years of applied research experience
* 3\+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in-d991fbe551ce8592</t>
        </is>
      </c>
      <c r="B90" t="inlineStr">
        <is>
          <t>Applied Scientist</t>
        </is>
      </c>
      <c r="C90" t="inlineStr">
        <is>
          <t>Amazon.com</t>
        </is>
      </c>
      <c r="D90" t="inlineStr">
        <is>
          <t>indeed</t>
        </is>
      </c>
      <c r="E90" t="inlineStr"/>
      <c r="F90" t="inlineStr"/>
      <c r="G90" t="inlineStr">
        <is>
          <t>Seattle, WA, US</t>
        </is>
      </c>
      <c r="H90" s="2" t="n">
        <v>45939</v>
      </c>
      <c r="I90" t="inlineStr">
        <is>
          <t>**DESCRIPTION**
---------------
We are looking for a passionate Applied Scientist to help pioneer the next generation of agentic AI applications for Amazon advertisers. In this role, you will design agentic architectures, develop tools and datasets, and contribute to building systems that can reason, plan, and act autonomously across complex advertiser workflows.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Beyond building models, you will advance the agent ecosystem by experimenting with and applying core primitives such as tool orchestration, multi\-step reasoning, and adaptive preference\-driven behavior. This role requires working independently on ambiguous technical problems, collaborating closely with scientists, engineers, and product managers to bring innovative solutions into production.  
Key job responsibilities  
* Design and build agents to guide advertisers in conversational and non\-conversational experience.
* Design and implement advanced model and agent optimization techniques, including supervised fine\-tuning, instruction tuning and preference optimization (e.g., DPO/IPO).
* Curate datasets and tools for MCP.
* Build evaluation pipelines for agent workflows, including automated benchmarks, multi\-step reasoning tests, and safety guardrails.
* Develop agentic architectures (e.g., CoT, ToT, ReAct) that integrate planning, tool use, and long\-horizon reasoning.
* Prototype and iterate on multi\-agent orchestration frameworks and workflows.
* Collaborate with peers across engineering and product to bring scientific innovations into production.
* Stay current with the latest research in LLMs, RL, and agent\-based AI, and translate findings into practical applications.
About the team  
The Sponsored Products and Brands team at Amazon Ads is re\-imagining the advertising landscape through the latest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The Advertiser Guidance team within Sponsored Products and Brands is focused on guiding and supporting 1\.6MM advertisers to meet their advertising needs of creating and managing ad campaigns. At this scale, the complexity of diverse advertiser goals, campaign types, and market dynamics creates both a massive technical challenge and a transformative opportunity: even small improvements in guidance systems can have outsized impact on advertiser success and Amazon’s retail ecosystem.  
Our vision is to build a highly personalized, context\-aware agentic advertiser guidance system that leverages LLMs together with tools such as auction simulations, ML models, and optimization algorithms. This agentic framework, will operate across both chat and non\-chat experiences in the ad console, scaling to natural language queries as well as proactively delivering guidance based on deep understanding of the advertiser. To execute this vision, we collaborate closely with stakeholders across Ad Console, Sales, and Marketing to identify opportunities—from high\-level product guidance down to granular keyword recommendations—and deliver them through a tailored, personalized experience. Our work is grounded in state\-of\-the\-art agent architectures, tool integration, reasoning frameworks, and model customization approaches (including tuning, MCP, and preference optimization), ensuring our systems are both scalable and adaptive.**BASIC QUALIFICATIONS**
------------------------
* PhD, or Master's degree and 4\+ years of CS, CE, ML or related field experience
* 3\+ years of building models for business application experience
* Experience programming in Java, C\+\+, Python or related language
* Experience in designing experiments and statistical analysis of results
**PREFERRED QUALIFICATIONS**
----------------------------
* Experience in professional software development
* Experience in state\-of\-the\-art deep learning models architecture design and deep learning training and optimization and model pruning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in-7339b3fa3b64752c</t>
        </is>
      </c>
      <c r="B91" t="inlineStr">
        <is>
          <t>Senior Applied Scientist, Sponsored Products and Brands</t>
        </is>
      </c>
      <c r="C91" t="inlineStr">
        <is>
          <t>Amazon.com</t>
        </is>
      </c>
      <c r="D91" t="inlineStr">
        <is>
          <t>indeed</t>
        </is>
      </c>
      <c r="E91" t="inlineStr"/>
      <c r="F91" t="inlineStr"/>
      <c r="G91" t="inlineStr">
        <is>
          <t>Seattle, WA, US</t>
        </is>
      </c>
      <c r="H91" s="2" t="n">
        <v>45922</v>
      </c>
      <c r="I91"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in-f1eecde3e94b1cdc</t>
        </is>
      </c>
      <c r="B92" t="inlineStr">
        <is>
          <t>Senior Applied Scientist, Sponsored Products and Brands</t>
        </is>
      </c>
      <c r="C92" t="inlineStr">
        <is>
          <t>Amazon.com</t>
        </is>
      </c>
      <c r="D92" t="inlineStr">
        <is>
          <t>indeed</t>
        </is>
      </c>
      <c r="E92" t="inlineStr"/>
      <c r="F92" t="inlineStr"/>
      <c r="G92" t="inlineStr">
        <is>
          <t>New York, NY, US</t>
        </is>
      </c>
      <c r="H92" s="2" t="n">
        <v>45922</v>
      </c>
      <c r="I92" t="inlineStr">
        <is>
          <t>**DESCRIPTION**
---------------
The Sponsored Products and Brands team at Amazon Ads is re\-imagining the advertising landscape through novel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ecosystem. If you're energized by solving complex challenges and pushing the boundaries of what's possible with AI, join us in shaping the future of advertising.  
Key job responsibilities  
As an applied scientist on our team, you will  
* Develop AI solutions for Sponsored Brands advertiser and shopper experiences. Build recommendation systems that leverage generative models to develop and improve campaigns.
* You invent and design new solutions for scientifically\-complex problem areas and/or opportunities in new business initiatives.
* You drive or heavily influence the design of scientifically\-complex software solutions or systems, for which you personally write significant parts of the critical scientific novelty. You take ownership of these components, providing a system\-wide view and design guidance. These systems or solutions can be brand new or evolve from existing ones.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Work closely with engineers and product managers to design, implement and launch AI solutions end\-to\-end;
* Design and conduct A/B experiments to evaluate proposed solutions based on in\-depth data analyses;
* Think big about the arc of development of Gen AI over a multi\-year horizon, and identify new opportunities to apply these technologies to solve real\-world problems
* Effectively communicate technical and non\-technical ideas with teammates and stakeholders;
* Translate complex scientific challenges into clear and impactful solutions for business stakeholders.
* Mentor and guide junior scientists, fostering a collaborative and high\-performing team culture.
* Stay up\-to\-date with advancements and the latest modeling techniques in the field
About the team  
We are on a mission to make Amazon the best in class destination for shoppers to discover, engage, and purchase relevant products, from brands that are relevant to them. In this role, you will design and implement Gen AI solutions that help millions of advertisers create more effective ad campaigns with intelligent recommendations, while improving the overall experience at Amazon's global scale.  
Our team invents, defines, and delivers advertising products that drive brand discovery and sales. Our solutions generate billions in revenue and drive long\-term growth for Amazon Store businesses. We deliver billions of ad impressions, millions of clicks daily, and break fresh ground to create world\-class products. We are a highly motivated, fast\-paced, and collaborative team with an entrepreneurial spirit.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Deep curiosity, and basic knowledge on Gen AI
**PREFERRED QUALIFICATIONS**
----------------------------
* Experience with modeling tools such as R, scikit\-learn, Spark MLLib, MxNet, Tensorflow, numpy, scipy etc.
* Experience with large scale distributed systems such as Hadoop, Spark etc.
* Previous work on agents or LLMs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in-55bc0f690e9feace</t>
        </is>
      </c>
      <c r="B93" t="inlineStr">
        <is>
          <t>Applied Scientist, Workplace Health &amp; Safety</t>
        </is>
      </c>
      <c r="C93" t="inlineStr">
        <is>
          <t>Amazon.com</t>
        </is>
      </c>
      <c r="D93" t="inlineStr">
        <is>
          <t>indeed</t>
        </is>
      </c>
      <c r="E93" t="inlineStr"/>
      <c r="F93" t="inlineStr"/>
      <c r="G93" t="inlineStr">
        <is>
          <t>Nashville, TN, US</t>
        </is>
      </c>
      <c r="H93" s="2" t="n">
        <v>45917</v>
      </c>
      <c r="I93"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in-7b008da47355167d</t>
        </is>
      </c>
      <c r="B94" t="inlineStr">
        <is>
          <t>Applied Scientist, Workplace Health &amp; Safety</t>
        </is>
      </c>
      <c r="C94" t="inlineStr">
        <is>
          <t>Amazon.com</t>
        </is>
      </c>
      <c r="D94" t="inlineStr">
        <is>
          <t>indeed</t>
        </is>
      </c>
      <c r="E94" t="inlineStr"/>
      <c r="F94" t="inlineStr"/>
      <c r="G94" t="inlineStr">
        <is>
          <t>Bellevue, WA, US</t>
        </is>
      </c>
      <c r="H94" s="2" t="n">
        <v>45917</v>
      </c>
      <c r="I94" t="inlineStr">
        <is>
          <t>**DESCRIPTION**
---------------
Are you driven by the challenge of solving complex problems that directly impact the safety and well\-being of millions of Amazon Associates worldwide? Do you want to push the boundaries of AI to build innovative solutions that make workplaces safer and more efficient? If so, we invite you to join our WHS DataTech team as an Applied Scientist and take your career to the next level!  
At WHS DataTech, we leverage Large Language Models (LLMs), Computer Vision, and AI\-driven innovations to develop industry\-leading solutions that proactively enhance workplace safety. Our work spans real\-time risk assessment, predictive analytics, and AI\-powered insights, all aimed at creating a safer work environment at scale.  
As an Applied Scientist specializing in LLMs and Computer Vision, you will play a pivotal role in shaping our next\-generation safety solutions. You’ll be at the forefront of innovation, designing and implementing AI\-powered features that redefine workplace safety. Your work will drive strategic decisions, optimize system architecture, and influence best practices, ensuring our technology remains industry\-leading.  
Key job responsibilities  
* Apply LLM model to analyze complex unstructured datasets and extract meaningful insights.
* Collaborate with software engineers to implement and deploy machine learning (LLM or CV) solutions.
* Conduct experiments and evaluate model performance, iterating and improving as needed.
* Stay up\-to\-date with the latest advancements in machine learning and related fields.
* Collaborate with cross\-functional teams to understand business needs and identify areas for application of machine learning.
* Present findings and recommendations to stakeholders and contribute to the overall research and development strategy.
A day in the life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WHS DataTech is a multidisciplinary team of scientists and engineers dedicated to building AI\-powered solutions that improve workplace safety across Amazon. We work at the intersection of large\-scale data, advanced machine learning, and computer vision, delivering innovations that enhance decision\-making, streamline operations, and protect millions of associates worldwide. Our collaborative culture emphasizes scientific rigor, engineering excellence, and a strong mission focus on creating safer, more efficient workplaces.**BASIC QUALIFICATIONS**
------------------------
* 3\+ years of building models for business application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 PhD degree in Computer Science or Computer engineering
* A formal PhD degree in Computer Science or Computer engineering or can be replaced by 5 years of relevant experience on top of a MSc, and 7 years on top of a BSc.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in-9baed965186d88ae</t>
        </is>
      </c>
      <c r="B95" t="inlineStr">
        <is>
          <t>Sr. Applied Scientist, Amazon Advertising</t>
        </is>
      </c>
      <c r="C95" t="inlineStr">
        <is>
          <t>Amazon.com</t>
        </is>
      </c>
      <c r="D95" t="inlineStr">
        <is>
          <t>indeed</t>
        </is>
      </c>
      <c r="E95" t="inlineStr"/>
      <c r="F95" t="inlineStr"/>
      <c r="G95" t="inlineStr">
        <is>
          <t>Austin, TX, US</t>
        </is>
      </c>
      <c r="H95" s="2" t="n">
        <v>45851</v>
      </c>
      <c r="I9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in-7cd510cd31dffc38</t>
        </is>
      </c>
      <c r="B96" t="inlineStr">
        <is>
          <t>Sr. Applied Scientist, Amazon Advertising</t>
        </is>
      </c>
      <c r="C96" t="inlineStr">
        <is>
          <t>Amazon.com</t>
        </is>
      </c>
      <c r="D96" t="inlineStr">
        <is>
          <t>indeed</t>
        </is>
      </c>
      <c r="E96" t="inlineStr"/>
      <c r="F96" t="inlineStr"/>
      <c r="G96" t="inlineStr">
        <is>
          <t>New York, NY, US</t>
        </is>
      </c>
      <c r="H96" s="2" t="n">
        <v>45851</v>
      </c>
      <c r="I9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in-694c58e68f9b3d1a</t>
        </is>
      </c>
      <c r="B97" t="inlineStr">
        <is>
          <t>Sr. Applied Scientist, Amazon Advertising</t>
        </is>
      </c>
      <c r="C97" t="inlineStr">
        <is>
          <t>Amazon.com</t>
        </is>
      </c>
      <c r="D97" t="inlineStr">
        <is>
          <t>indeed</t>
        </is>
      </c>
      <c r="E97" t="inlineStr"/>
      <c r="F97" t="inlineStr"/>
      <c r="G97" t="inlineStr">
        <is>
          <t>Los Angeles, CA, US</t>
        </is>
      </c>
      <c r="H97" s="2" t="n">
        <v>45851</v>
      </c>
      <c r="I9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in-21c3fa7ef05d2233</t>
        </is>
      </c>
      <c r="B98" t="inlineStr">
        <is>
          <t>Sr. Applied Scientist, Amazon Advertising</t>
        </is>
      </c>
      <c r="C98" t="inlineStr">
        <is>
          <t>Amazon.com</t>
        </is>
      </c>
      <c r="D98" t="inlineStr">
        <is>
          <t>indeed</t>
        </is>
      </c>
      <c r="E98" t="inlineStr"/>
      <c r="F98" t="inlineStr"/>
      <c r="G98" t="inlineStr">
        <is>
          <t>Arlington, VA, US</t>
        </is>
      </c>
      <c r="H98" s="2" t="n">
        <v>45851</v>
      </c>
      <c r="I9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in-af589d3c9f327686</t>
        </is>
      </c>
      <c r="B99" t="inlineStr">
        <is>
          <t>Sr. Applied Scientist, Amazon Advertising</t>
        </is>
      </c>
      <c r="C99" t="inlineStr">
        <is>
          <t>Amazon.com</t>
        </is>
      </c>
      <c r="D99" t="inlineStr">
        <is>
          <t>indeed</t>
        </is>
      </c>
      <c r="E99" t="inlineStr"/>
      <c r="F99" t="inlineStr"/>
      <c r="G99" t="inlineStr">
        <is>
          <t>Palo Alto, CA, US</t>
        </is>
      </c>
      <c r="H99" s="2" t="n">
        <v>45851</v>
      </c>
      <c r="I9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in-ff970757fbd3a7da</t>
        </is>
      </c>
      <c r="B100" t="inlineStr">
        <is>
          <t>Sr. Applied Scientist, Amazon Advertising</t>
        </is>
      </c>
      <c r="C100" t="inlineStr">
        <is>
          <t>Amazon.com</t>
        </is>
      </c>
      <c r="D100" t="inlineStr">
        <is>
          <t>indeed</t>
        </is>
      </c>
      <c r="E100" t="inlineStr"/>
      <c r="F100" t="inlineStr"/>
      <c r="G100" t="inlineStr">
        <is>
          <t>Seattle, WA, US</t>
        </is>
      </c>
      <c r="H100" s="2" t="n">
        <v>45851</v>
      </c>
      <c r="I10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in-9929d6b7fbeae5a3</t>
        </is>
      </c>
      <c r="B101" t="inlineStr">
        <is>
          <t>Sr. Applied Scientist, Amazon Advertising</t>
        </is>
      </c>
      <c r="C101" t="inlineStr">
        <is>
          <t>Amazon.com</t>
        </is>
      </c>
      <c r="D101" t="inlineStr">
        <is>
          <t>indeed</t>
        </is>
      </c>
      <c r="E101" t="inlineStr"/>
      <c r="F101" t="inlineStr"/>
      <c r="G101" t="inlineStr">
        <is>
          <t>West Hollywood, CA, US</t>
        </is>
      </c>
      <c r="H101" s="2" t="n">
        <v>45851</v>
      </c>
      <c r="I101"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in-f06a53350128b0ac</t>
        </is>
      </c>
      <c r="B102" t="inlineStr">
        <is>
          <t>Sr. Applied Scientist, Amazon Advertising</t>
        </is>
      </c>
      <c r="C102" t="inlineStr">
        <is>
          <t>Amazon.com</t>
        </is>
      </c>
      <c r="D102" t="inlineStr">
        <is>
          <t>indeed</t>
        </is>
      </c>
      <c r="E102" t="inlineStr"/>
      <c r="F102" t="inlineStr"/>
      <c r="G102" t="inlineStr">
        <is>
          <t>Simi Valley, CA, US</t>
        </is>
      </c>
      <c r="H102" s="2" t="n">
        <v>45851</v>
      </c>
      <c r="I102"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in-6e16944c54a8d530</t>
        </is>
      </c>
      <c r="B103" t="inlineStr">
        <is>
          <t>Senior Applied Scientist, Artificial General Intelligence</t>
        </is>
      </c>
      <c r="C103" t="inlineStr">
        <is>
          <t>Amazon.com</t>
        </is>
      </c>
      <c r="D103" t="inlineStr">
        <is>
          <t>indeed</t>
        </is>
      </c>
      <c r="E103" t="inlineStr"/>
      <c r="F103" t="inlineStr"/>
      <c r="G103" t="inlineStr">
        <is>
          <t>New York, NY, US</t>
        </is>
      </c>
      <c r="H103" s="2" t="n">
        <v>45838</v>
      </c>
      <c r="I103"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in-f4beb99a54cc28d3</t>
        </is>
      </c>
      <c r="B104" t="inlineStr">
        <is>
          <t>Senior Applied Scientist, Artificial General Intelligence</t>
        </is>
      </c>
      <c r="C104" t="inlineStr">
        <is>
          <t>Amazon.com</t>
        </is>
      </c>
      <c r="D104" t="inlineStr">
        <is>
          <t>indeed</t>
        </is>
      </c>
      <c r="E104" t="inlineStr"/>
      <c r="F104" t="inlineStr"/>
      <c r="G104" t="inlineStr">
        <is>
          <t>Boston, MA, US</t>
        </is>
      </c>
      <c r="H104" s="2" t="n">
        <v>45838</v>
      </c>
      <c r="I10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in-d6256d206888ac2a</t>
        </is>
      </c>
      <c r="B105" t="inlineStr">
        <is>
          <t>Senior Applied Scientist, Artificial General Intelligence</t>
        </is>
      </c>
      <c r="C105" t="inlineStr">
        <is>
          <t>Amazon.com</t>
        </is>
      </c>
      <c r="D105" t="inlineStr">
        <is>
          <t>indeed</t>
        </is>
      </c>
      <c r="E105" t="inlineStr"/>
      <c r="F105" t="inlineStr"/>
      <c r="G105" t="inlineStr">
        <is>
          <t>Sunnyvale, CA, US</t>
        </is>
      </c>
      <c r="H105" s="2" t="n">
        <v>45838</v>
      </c>
      <c r="I10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in-b9d78de9979d257b</t>
        </is>
      </c>
      <c r="B106" t="inlineStr">
        <is>
          <t>Sr. Applied Scientist, Sales AI</t>
        </is>
      </c>
      <c r="C106" t="inlineStr">
        <is>
          <t>Amazon.com</t>
        </is>
      </c>
      <c r="D106" t="inlineStr">
        <is>
          <t>indeed</t>
        </is>
      </c>
      <c r="E106" t="inlineStr"/>
      <c r="F106" t="inlineStr"/>
      <c r="G106" t="inlineStr">
        <is>
          <t>Seattle, WA, US</t>
        </is>
      </c>
      <c r="H106" s="2" t="n">
        <v>45830</v>
      </c>
      <c r="I10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in-0d3f73598b32897b</t>
        </is>
      </c>
      <c r="B107" t="inlineStr">
        <is>
          <t>Sr. Applied Scientist, Sales AI</t>
        </is>
      </c>
      <c r="C107" t="inlineStr">
        <is>
          <t>Amazon.com</t>
        </is>
      </c>
      <c r="D107" t="inlineStr">
        <is>
          <t>indeed</t>
        </is>
      </c>
      <c r="E107" t="inlineStr"/>
      <c r="F107" t="inlineStr"/>
      <c r="G107" t="inlineStr">
        <is>
          <t>New York, NY, US</t>
        </is>
      </c>
      <c r="H107" s="2" t="n">
        <v>45830</v>
      </c>
      <c r="I10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in-1fa13f0ac2a3a002</t>
        </is>
      </c>
      <c r="B108" t="inlineStr">
        <is>
          <t>Sr. Applied Scientist, Sales AI</t>
        </is>
      </c>
      <c r="C108" t="inlineStr">
        <is>
          <t>Amazon.com</t>
        </is>
      </c>
      <c r="D108" t="inlineStr">
        <is>
          <t>indeed</t>
        </is>
      </c>
      <c r="E108" t="inlineStr"/>
      <c r="F108" t="inlineStr"/>
      <c r="G108" t="inlineStr">
        <is>
          <t>Sunnyvale, CA, US</t>
        </is>
      </c>
      <c r="H108" s="2" t="n">
        <v>45830</v>
      </c>
      <c r="I108"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in-e61787a302c830cf</t>
        </is>
      </c>
      <c r="B109" t="inlineStr">
        <is>
          <t>Principal Applied Scientist, Delivery Foundation Model</t>
        </is>
      </c>
      <c r="C109" t="inlineStr">
        <is>
          <t>Amazon.com</t>
        </is>
      </c>
      <c r="D109" t="inlineStr">
        <is>
          <t>indeed</t>
        </is>
      </c>
      <c r="E109" t="inlineStr"/>
      <c r="F109" t="inlineStr"/>
      <c r="G109" t="inlineStr">
        <is>
          <t>New York, NY, US</t>
        </is>
      </c>
      <c r="H109" s="2" t="n">
        <v>45810</v>
      </c>
      <c r="I109"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in-28f1d27cbc483b72</t>
        </is>
      </c>
      <c r="B110" t="inlineStr">
        <is>
          <t>Principal Applied Scientist, Delivery Foundation Model</t>
        </is>
      </c>
      <c r="C110" t="inlineStr">
        <is>
          <t>Amazon.com</t>
        </is>
      </c>
      <c r="D110" t="inlineStr">
        <is>
          <t>indeed</t>
        </is>
      </c>
      <c r="E110" t="inlineStr"/>
      <c r="F110" t="inlineStr"/>
      <c r="G110" t="inlineStr">
        <is>
          <t>Bellevue, WA, US</t>
        </is>
      </c>
      <c r="H110" s="2" t="n">
        <v>45810</v>
      </c>
      <c r="I110"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in-a897d88d303eab7c</t>
        </is>
      </c>
      <c r="B111" t="inlineStr">
        <is>
          <t>Principal Applied Scientist, Delivery Foundation Model</t>
        </is>
      </c>
      <c r="C111" t="inlineStr">
        <is>
          <t>Amazon.com</t>
        </is>
      </c>
      <c r="D111" t="inlineStr">
        <is>
          <t>indeed</t>
        </is>
      </c>
      <c r="E111" t="inlineStr"/>
      <c r="F111" t="inlineStr"/>
      <c r="G111" t="inlineStr">
        <is>
          <t>Santa Clara, CA, US</t>
        </is>
      </c>
      <c r="H111" s="2" t="n">
        <v>45810</v>
      </c>
      <c r="I111"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in-931a2ee6f9385e2d</t>
        </is>
      </c>
      <c r="B112" t="inlineStr">
        <is>
          <t>Principal Applied Scientist, Delivery Foundation Model</t>
        </is>
      </c>
      <c r="C112" t="inlineStr">
        <is>
          <t>Amazon.com</t>
        </is>
      </c>
      <c r="D112" t="inlineStr">
        <is>
          <t>indeed</t>
        </is>
      </c>
      <c r="E112" t="inlineStr"/>
      <c r="F112" t="inlineStr"/>
      <c r="G112" t="inlineStr">
        <is>
          <t>Austin, TX, US</t>
        </is>
      </c>
      <c r="H112" s="2" t="n">
        <v>45810</v>
      </c>
      <c r="I112"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in-9327d6774df51b77</t>
        </is>
      </c>
      <c r="B113" t="inlineStr">
        <is>
          <t>Senior Applied Scientist, Delivery Foundation Model</t>
        </is>
      </c>
      <c r="C113" t="inlineStr">
        <is>
          <t>Amazon.com</t>
        </is>
      </c>
      <c r="D113" t="inlineStr">
        <is>
          <t>indeed</t>
        </is>
      </c>
      <c r="E113" t="inlineStr"/>
      <c r="F113" t="inlineStr"/>
      <c r="G113" t="inlineStr">
        <is>
          <t>New York, NY, US</t>
        </is>
      </c>
      <c r="H113" s="2" t="n">
        <v>45806</v>
      </c>
      <c r="I113"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in-314f89afc9baf238</t>
        </is>
      </c>
      <c r="B114" t="inlineStr">
        <is>
          <t>Senior Applied Scientist, Delivery Foundation Model</t>
        </is>
      </c>
      <c r="C114" t="inlineStr">
        <is>
          <t>Amazon.com</t>
        </is>
      </c>
      <c r="D114" t="inlineStr">
        <is>
          <t>indeed</t>
        </is>
      </c>
      <c r="E114" t="inlineStr"/>
      <c r="F114" t="inlineStr"/>
      <c r="G114" t="inlineStr">
        <is>
          <t>Santa Clara, CA, US</t>
        </is>
      </c>
      <c r="H114" s="2" t="n">
        <v>45806</v>
      </c>
      <c r="I114"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in-73837698d1b85437</t>
        </is>
      </c>
      <c r="B115" t="inlineStr">
        <is>
          <t>Senior Applied Scientist, Delivery Foundation Model</t>
        </is>
      </c>
      <c r="C115" t="inlineStr">
        <is>
          <t>Amazon.com</t>
        </is>
      </c>
      <c r="D115" t="inlineStr">
        <is>
          <t>indeed</t>
        </is>
      </c>
      <c r="E115" t="inlineStr"/>
      <c r="F115" t="inlineStr"/>
      <c r="G115" t="inlineStr">
        <is>
          <t>Bellevue, WA, US</t>
        </is>
      </c>
      <c r="H115" s="2" t="n">
        <v>45806</v>
      </c>
      <c r="I115"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Senior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in engineering, technology, computer science, machine learning, robotics, operations research, statistics, mathematics or equivalent quantitative field, or Master's degree and 10\+ years of industry or academic research experience
* 5\+ years of building machine learning models or developing algorithms for business application experience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Experience mentoring junior scientists / engineers.**PREFERRED QUALIFICATIONS**
----------------------------
* Experience building foundation models for industry or research
* Experience designing multi\-modal model architectures
\- Experience building models for motion prediction, e.g.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in-b185ea7d81660992</t>
        </is>
      </c>
      <c r="B116" t="inlineStr">
        <is>
          <t>Principal Applied Scientist, Delivery Foundation Model</t>
        </is>
      </c>
      <c r="C116" t="inlineStr">
        <is>
          <t>Amazon.com</t>
        </is>
      </c>
      <c r="D116" t="inlineStr">
        <is>
          <t>indeed</t>
        </is>
      </c>
      <c r="E116" t="inlineStr"/>
      <c r="F116" t="inlineStr"/>
      <c r="G116" t="inlineStr">
        <is>
          <t>New York, NY, US</t>
        </is>
      </c>
      <c r="H116" s="2" t="n">
        <v>45757</v>
      </c>
      <c r="I116"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in-a3f28983929f7af5</t>
        </is>
      </c>
      <c r="B117" t="inlineStr">
        <is>
          <t>Principal Applied Scientist, Delivery Foundation Model</t>
        </is>
      </c>
      <c r="C117" t="inlineStr">
        <is>
          <t>Amazon.com</t>
        </is>
      </c>
      <c r="D117" t="inlineStr">
        <is>
          <t>indeed</t>
        </is>
      </c>
      <c r="E117" t="inlineStr"/>
      <c r="F117" t="inlineStr"/>
      <c r="G117" t="inlineStr">
        <is>
          <t>Bellevue, WA, US</t>
        </is>
      </c>
      <c r="H117" s="2" t="n">
        <v>45757</v>
      </c>
      <c r="I117"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in-db22bd51319f3aa6</t>
        </is>
      </c>
      <c r="B118" t="inlineStr">
        <is>
          <t>Principal Applied Scientist, Delivery Foundation Model</t>
        </is>
      </c>
      <c r="C118" t="inlineStr">
        <is>
          <t>Amazon.com</t>
        </is>
      </c>
      <c r="D118" t="inlineStr">
        <is>
          <t>indeed</t>
        </is>
      </c>
      <c r="E118" t="inlineStr"/>
      <c r="F118" t="inlineStr"/>
      <c r="G118" t="inlineStr">
        <is>
          <t>Santa Clara, CA, US</t>
        </is>
      </c>
      <c r="H118" s="2" t="n">
        <v>45757</v>
      </c>
      <c r="I118" t="inlineStr">
        <is>
          <t>**DESCRIPTION**
---------------
Join the next science and engineering revolution at Amazon's Delivery Foundation Model team, where you'll work alongside world\-class scientists and engineers to pioneer the next frontier of logistics through advanced AI and foundation models.  
We are seeking an exceptional Principal Applied Scientist to help develop innovative foundation models that enable delivery of billions of packages worldwide. In this role, you'll combine highly technical work with scientific leadership, ensuring the team delivers robust solutions for dynamic real\-world environments. Your team will leverage Amazon's vast data and computational resources to tackle ambitious problems across a diverse set of Amazon delivery use cases.  
Key job responsibilities  
* Design and implement novel deep learning architectures combining a multitude of modalities, including image, video, and geospatial data.
* Solve computational problems to train foundation models on vast amounts of Amazon data and infer at Amazon scale, taking advantage of latest developments in hardware and deep learning libraries.
* As a foundation model developer, collaborate with multiple science and engineering teams to help build adaptations that power use cases across Amazon Last Mile deliveries, improving experience and safety of a delivery driver, an Amazon customer, and improving efficiency of Amazon delivery network.
* Guide technical direction for specific research initiatives, ensuring robust performance in production environments.
* Mentor fellow scientists while maintaining strong individual technical contributions.
A day in the life  
As a member of the Delivery Foundation Model team, you’ll spend your day on the following:  
* Develop and implement novel foundation model architectures, working hands\-on with data and our extensive training and evaluation infrastructure
* Guide and support fellow scientists in solving complex technical challenges, from trajectory planning to efficient multi\-task learning
* Guide and support fellow engineers in building scalable and reusable infra to support model training, evaluation, and inference
\- Lead focused technical initiatives from conception through deployment, ensuring successful integration with production systems\- Drive technical discussions within the team and and key stakeholders  
* Conduct experiments and prototype new ideas
* Mentor team members while maintaining significant hands\-on contribution to technical solutions
About the team  
The Delivery Foundation Model team combines ambitious research vision with real\-world impact. Our foundation models provide generative reasoning capabilities required to meet the demands of Amazon's global Last Mile delivery network. We leverage Amazon's unparalleled computational infrastructure and extensive datasets to deploy state\-of\-the\-art foundation models to improve the safety, quality, and efficiency of Amazon deliveries. Our work spans the full spectrum of foundation model development, from multimodal training using images, videos, and sensor data, to sophisticated modeling strategies that can handle diverse real\-world scenarios. We build everything end to end, from data preparation to model training and evaluation to inference, along with all the tooling needed to understand and analyze model performance.  
Join us if you're excited about pushing the boundaries of what's possible in logistics, working with world\-class scientists and engineers, and seeing your innovations deployed at unprecedented scale.**BASIC QUALIFICATIONS**
------------------------
* PhD or Master's degree and 8\+ years of applied machine learning experience.
* Experience designing novel deep learning model architectures, building models from scratch
* Proficient with Data, experience with SQL and Spark
* Expert coders comfortable working in production environments using Python, C\+\+ or other languages
* Strong publication record at top\-tier conferences (NeurIPS, ICML, ICLR, CVPR, ICCV, RSS, CoRL) OR Demonstrated experience in applying machine learning innovation in industry
* Extensive track record of leading technical projects
* Experience mentoring junior scientists / engineers.
**PREFERRED QUALIFICATIONS**
----------------------------
* Experience building foundation models for industry or research
* Experience designing multi\-modal model architectures
* Experience building models for motion prediction, e.g. for autonomous driving
* Track record of successful production ML deployments
* Experience with large\-scale distributed environments for ML training and inference
* History of impactful first\-author publications at major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in-7c8e9abcffc88ffc</t>
        </is>
      </c>
      <c r="B119" t="inlineStr">
        <is>
          <t>Principal Applied Scientist, FAR (Frontier AI &amp; Robotics)</t>
        </is>
      </c>
      <c r="C119" t="inlineStr">
        <is>
          <t>Amazon.com</t>
        </is>
      </c>
      <c r="D119" t="inlineStr">
        <is>
          <t>indeed</t>
        </is>
      </c>
      <c r="E119" t="inlineStr"/>
      <c r="F119" t="inlineStr"/>
      <c r="G119" t="inlineStr">
        <is>
          <t>San Francisco, CA, US</t>
        </is>
      </c>
      <c r="H119" s="2" t="n">
        <v>45740</v>
      </c>
      <c r="I119"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in-2d9614a6419a51cd</t>
        </is>
      </c>
      <c r="B120" t="inlineStr">
        <is>
          <t>Principal Applied Scientist, FAR (Frontier AI &amp; Robotics)</t>
        </is>
      </c>
      <c r="C120" t="inlineStr">
        <is>
          <t>Amazon.com</t>
        </is>
      </c>
      <c r="D120" t="inlineStr">
        <is>
          <t>indeed</t>
        </is>
      </c>
      <c r="E120" t="inlineStr"/>
      <c r="F120" t="inlineStr"/>
      <c r="G120" t="inlineStr">
        <is>
          <t>Seattle, WA, US</t>
        </is>
      </c>
      <c r="H120" s="2" t="n">
        <v>45740</v>
      </c>
      <c r="I120"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in-3a4b18ffdac034e5</t>
        </is>
      </c>
      <c r="B121" t="inlineStr">
        <is>
          <t>Applied Scientist, Alexa Smart Home</t>
        </is>
      </c>
      <c r="C121" t="inlineStr">
        <is>
          <t>Amazon.com</t>
        </is>
      </c>
      <c r="D121" t="inlineStr">
        <is>
          <t>indeed</t>
        </is>
      </c>
      <c r="E121" t="inlineStr"/>
      <c r="F121" t="inlineStr"/>
      <c r="G121" t="inlineStr">
        <is>
          <t>Seattle, WA, US</t>
        </is>
      </c>
      <c r="H121" s="2" t="n">
        <v>46033</v>
      </c>
      <c r="I121"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2">
      <c r="A122" t="inlineStr">
        <is>
          <t>in-9be2030bafd56a51</t>
        </is>
      </c>
      <c r="B122" t="inlineStr">
        <is>
          <t>Applied Scientist, Alexa Smart Home</t>
        </is>
      </c>
      <c r="C122" t="inlineStr">
        <is>
          <t>Amazon.com</t>
        </is>
      </c>
      <c r="D122" t="inlineStr">
        <is>
          <t>indeed</t>
        </is>
      </c>
      <c r="E122" t="inlineStr"/>
      <c r="F122" t="inlineStr"/>
      <c r="G122" t="inlineStr">
        <is>
          <t>Sunnyvale, CA, US</t>
        </is>
      </c>
      <c r="H122" s="2" t="n">
        <v>46033</v>
      </c>
      <c r="I122" t="inlineStr">
        <is>
          <t>**DESCRIPTION**
---------------
The Smart Home team is focused on making Alexa\+ the user interface for the future home. From the simplest voice commands (turn on the lights, turn down the heat) to use cases spanning home security, home entertainment, and the home environment, we are evolving Alexa\+ into intelligent, indispensable companion that automates daily routines, simplifies interaction with appliances and electronics, and alerts when something unusual is detected. You will be part of a team delivering features that are highly anticipated by media and well received by our customers.  
Key job responsibilities  
As an Applied Scientist, you will work with other scientists and software developers to design and build the next generation of Smart Home voice and ambient controls using the latest Large Language Models and ML methods. And, you will have the satisfaction of working on a product your friends and family can relate to, and want to use every day.  
About the team  
We are a team of Scientists and Machine Learning Engineers that work together to make Alexa\+ Smart Home easier to control and manage through voice, and become proactive through ambient intelligence, with feature like automatic actions that help customer meet their energy, comfort and safety preferences.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\- 171,600\.00 \- 222,200\.00 USD annually  
USA, WA, Seattle \- 142,800\.00 \- 193,200\.00 USD annually</t>
        </is>
      </c>
    </row>
    <row r="123">
      <c r="A123" t="inlineStr">
        <is>
          <t>in-a9a963b83ed5909e</t>
        </is>
      </c>
      <c r="B123" t="inlineStr">
        <is>
          <t>Sr Applied Scientist, AWS Proactive Security</t>
        </is>
      </c>
      <c r="C123" t="inlineStr">
        <is>
          <t>Amazon.com</t>
        </is>
      </c>
      <c r="D123" t="inlineStr">
        <is>
          <t>indeed</t>
        </is>
      </c>
      <c r="E123" t="inlineStr"/>
      <c r="F123" t="inlineStr"/>
      <c r="G123" t="inlineStr">
        <is>
          <t>Arlington, VA, US</t>
        </is>
      </c>
      <c r="H123" s="2" t="n">
        <v>46030</v>
      </c>
      <c r="I123"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24">
      <c r="A124" t="inlineStr">
        <is>
          <t>in-8568e10704ecb693</t>
        </is>
      </c>
      <c r="B124" t="inlineStr">
        <is>
          <t>Sr Applied Scientist, AWS Proactive Security</t>
        </is>
      </c>
      <c r="C124" t="inlineStr">
        <is>
          <t>Amazon.com</t>
        </is>
      </c>
      <c r="D124" t="inlineStr">
        <is>
          <t>indeed</t>
        </is>
      </c>
      <c r="E124" t="inlineStr"/>
      <c r="F124" t="inlineStr"/>
      <c r="G124" t="inlineStr">
        <is>
          <t>Herndon, VA, US</t>
        </is>
      </c>
      <c r="H124" s="2" t="n">
        <v>46030</v>
      </c>
      <c r="I124"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row r="125">
      <c r="A125" t="inlineStr">
        <is>
          <t>in-39aa13955c5a5d3a</t>
        </is>
      </c>
      <c r="B125" t="inlineStr">
        <is>
          <t>Sr Applied Scientist, AWS Proactive Security</t>
        </is>
      </c>
      <c r="C125" t="inlineStr">
        <is>
          <t>Amazon.com</t>
        </is>
      </c>
      <c r="D125" t="inlineStr">
        <is>
          <t>indeed</t>
        </is>
      </c>
      <c r="E125" t="inlineStr"/>
      <c r="F125" t="inlineStr"/>
      <c r="G125" t="inlineStr">
        <is>
          <t>Sunnyvale, CA, US</t>
        </is>
      </c>
      <c r="H125" s="2" t="n">
        <v>46030</v>
      </c>
      <c r="I125" t="inlineStr">
        <is>
          <t>**DESCRIPTION**
---------------
In this role, you will design and build a foundational data mapping utility that enables next\-gen security automation across the Amazon business. As GenAI takes foot into the daily lives of every worker at Amazon, it is clear that high quality data context enables high quality outcomes.  
Your work includes designing a scalable and dependable database system that connects and enriches data from many of our internal data providers in way that is consumable by Agentic AI workflows.  
Key job responsibilities  
Lead the research, selection, and development of the appropriate data mechanisms to scale to meet the data context needs of Proactive Security and Security Assurance programs, to the ultimate goal of reducing the manual interaction between security and Amazon builders, while maintaining a high security bar. Work closely with Software Engineers and Applied Scientists to leverage the latest generative AI models to solve complex data mapping problems and increase our data mapping coverage and reasoning capabilities.  
About the team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VA, Arlington \- 167,100\.00 \- 226,100\.00 USD annually  
USA, VA, Herndon \- 167,100\.00 \- 226,100\.00 USD annually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li-4367942674</t>
        </is>
      </c>
      <c r="B2" t="inlineStr">
        <is>
          <t>People Data Scientist</t>
        </is>
      </c>
      <c r="C2" t="inlineStr">
        <is>
          <t>Atlassian</t>
        </is>
      </c>
      <c r="D2" t="inlineStr">
        <is>
          <t>linkedin</t>
        </is>
      </c>
      <c r="E2" t="inlineStr"/>
      <c r="F2" t="inlineStr"/>
      <c r="G2" t="inlineStr"/>
      <c r="H2" t="inlineStr"/>
      <c r="I2"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3">
      <c r="A3" t="inlineStr">
        <is>
          <t>li-4367952526</t>
        </is>
      </c>
      <c r="B3" t="inlineStr">
        <is>
          <t>People Data Scientist</t>
        </is>
      </c>
      <c r="C3" t="inlineStr">
        <is>
          <t>Atlassian</t>
        </is>
      </c>
      <c r="D3" t="inlineStr">
        <is>
          <t>linkedin</t>
        </is>
      </c>
      <c r="E3" t="inlineStr"/>
      <c r="F3" t="inlineStr"/>
      <c r="G3" t="inlineStr">
        <is>
          <t>New York, NY</t>
        </is>
      </c>
      <c r="H3" t="inlineStr"/>
      <c r="I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
      <c r="A4" t="inlineStr">
        <is>
          <t>li-4367934759</t>
        </is>
      </c>
      <c r="B4" t="inlineStr">
        <is>
          <t>People Data Scientist</t>
        </is>
      </c>
      <c r="C4" t="inlineStr">
        <is>
          <t>Atlassian</t>
        </is>
      </c>
      <c r="D4" t="inlineStr">
        <is>
          <t>linkedin</t>
        </is>
      </c>
      <c r="E4" t="inlineStr"/>
      <c r="F4" t="inlineStr"/>
      <c r="G4" t="inlineStr">
        <is>
          <t>San Francisco, CA</t>
        </is>
      </c>
      <c r="H4" t="inlineStr"/>
      <c r="I4"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5">
      <c r="A5" t="inlineStr">
        <is>
          <t>li-4367933582</t>
        </is>
      </c>
      <c r="B5" t="inlineStr">
        <is>
          <t>Data Scientist</t>
        </is>
      </c>
      <c r="C5" t="inlineStr">
        <is>
          <t>Best Job Tool</t>
        </is>
      </c>
      <c r="D5" t="inlineStr">
        <is>
          <t>linkedin</t>
        </is>
      </c>
      <c r="E5" t="inlineStr"/>
      <c r="F5" t="inlineStr"/>
      <c r="G5" t="inlineStr"/>
      <c r="H5" t="inlineStr"/>
      <c r="I5" t="inlineStr">
        <is>
          <t>**About The Company**
 Tatari is a pioneering technology company dedicated to transforming the advertising landscape through innovative data\-driven solutions. With a focus on delivering measurable results, Tatari leverages advanced analytics and cutting\-edge technology to optimize advertising campaigns across various digital platforms. The company prides itself on fostering a collaborative and inclusive work environment, encouraging continuous learning and professional growth. Tatari's commitment to excellence and innovation has positioned it as a leader in the adtech industry, serving a diverse portfolio of clients across multiple sectors.
**About The Role**
 We are seeking a highly motivated and detail\-oriented Data Analyst to join our dynamic team at Tatari. In this role, you will be responsible for analyzing large datasets to derive actionable insights that drive strategic decision\-making and campaign optimization. The ideal candidate will possess strong analytical skills, a solid understanding of digital advertising metrics, and the ability to communicate complex data findings effectively to both technical and non\-technical stakeholders. This position offers an exciting opportunity to work at the forefront of advertising technology, contributing directly to the success of our clients and the growth of the company.
**Qualifications**
* Bachelor’s degree in Computer Science, Data Science, Statistics, Economics, or a related field; a master’s degree is a plus.
* Proven experience as a Data Analyst, preferably within the digital advertising or marketing industry.
* Strong proficiency in SQL, Python, R, or similar data analysis tools.
* Experience with data visualization tools such as Tableau, Power BI, or Looker.
* Solid understanding of digital marketing metrics, attribution models, and advertising platforms.
* Excellent problem\-solving skills and attention to detail.
* Ability to communicate complex data insights clearly and effectively.
* Experience working with large datasets and cloud\-based data warehouses is preferred.
**Responsibilities**
* Collect, process, and analyze large datasets to identify trends, patterns, and insights relevant to advertising campaigns.
* Develop and maintain dashboards and reports that visualize key performance indicators and campaign metrics.
* Collaborate with marketing and sales teams to understand their data needs and provide actionable recommendations.
* Monitor campaign performance and optimize strategies based on data\-driven insights.
* Implement and maintain data quality standards to ensure accuracy and reliability of analysis.
* Assist in the development of predictive models and attribution strategies to enhance campaign effectiveness.
* Stay updated with industry trends and emerging technologies to continuously improve data analysis processes.
* Support ad hoc analysis and special projects as required by stakeholders.
**Benefits**
* Competitive salary package commensurate with experience and skills.
* Comprehensive health insurance coverage, including medical, dental, and vision plans.
* Flexible working hours and remote work options to promote work\-life balance.
* Opportunities for professional development and continuous learning through training programs and conferences.
* Collaborative and inclusive work environment that encourages innovation and creativity.
* Paid time off and holidays to ensure employees have time for rest and personal pursuits.
* Performance\-based incentives and recognition programs.
 Equal Opportunity
 At Tatari, we are committed to fostering an inclusive and diverse workplace. We believe that a variety of perspectives and experiences enrich our company culture and drive innovation. We provide equal employment opportunities to all qualified applicants without regard to race, color, religion, gender, gender identity or expression, sexual orientation, national origin, age, disability, or any other protected status. We encourage individuals from all backgrounds to apply and join our team in shaping the future of digital advertising.</t>
        </is>
      </c>
    </row>
    <row r="6">
      <c r="A6" t="inlineStr">
        <is>
          <t>li-4367941138</t>
        </is>
      </c>
      <c r="B6" t="inlineStr">
        <is>
          <t>Data Scientist, Sr.</t>
        </is>
      </c>
      <c r="C6" t="inlineStr">
        <is>
          <t>BNSF Railway</t>
        </is>
      </c>
      <c r="D6" t="inlineStr">
        <is>
          <t>linkedin</t>
        </is>
      </c>
      <c r="E6" t="inlineStr"/>
      <c r="F6" t="inlineStr"/>
      <c r="G6" t="inlineStr"/>
      <c r="H6" t="inlineStr"/>
      <c r="I6" t="inlineStr">
        <is>
          <t>**About The Company**
 BNSF Railway is one of the largest railroads in the United States, dedicated to transporting the nation’s freight across 28 western states and three Canadian provinces. Committed to safety, inclusion, and excellence, BNSF plays a vital role in supporting the movement of essential products and materials that sustain communities and economies nationwide. The company values innovation and is actively transforming the future of freight rail through its dedicated technology division, BNSF \| Tech. This division focuses on making BNSF a leading freight and mobility company in North America by leveraging cutting\-edge data and AI solutions. As a part of BNSF, you will contribute to a dynamic environment that emphasizes growth, collaboration, and technological advancement, helping to feed, clothe, supply, and power communities across the globe.
**About The Role**
 We are seeking a highly skilled Data \&amp; AI Lead to join our innovative team remotely within the United States. This role offers an exciting opportunity to drive the future of freight rail through advanced data science, machine learning, and AI initiatives. As a key member of our team, you will lead cross\-functional collaborations to identify strategic analytic opportunities, develop solutions, and implement models that optimize workflows and forecast outcomes. Your expertise will be instrumental in analyzing large, complex datasets, designing and deploying machine learning models, and delivering actionable insights to stakeholders. You will also oversee the maintenance and enhancement of data pipelines, ensuring high data quality and accuracy. This position requires a proactive mindset, strong technical skills, and the ability to communicate complex findings effectively to diverse audiences. The role offers a competitive salary range of $165,000 to $300,000, along with comprehensive benefits, and provides the flexibility of remote work within the contiguous US, with occasional travel to our headquarters in Fort Worth, TX.
**Qualifications**
* Minimum 6 years of experience in building optimization algorithms or relevant data science roles
* Advanced proficiency in programming languages such as Python, R, SQL, and Java
* Expertise in data visualization tools and techniques
* Experience with data science cloud platforms and their integration into business solutions
* Strong understanding of statistical analysis and advanced machine learning techniques
* Proficiency in core architecture of large language models (LLMs), including transformers and attention mechanisms
* Experience with prompt engineering, retrieval\-augmented generation (RAG), fine\-tuning, and evaluation of language models
* Knowledge of vector databases, embeddings, and GPU optimization
* Ability to extract, aggregate, and transform data from SQL and NoSQL databases using tools like Python and R
* Experience leading the deployment of analytic solutions into production environments
* Excellent communication skills to articulate technical concepts clearly
**Responsibilities**
* Lead cross\-functional teams to identify and define analytics initiatives aligned with business goals
* Develop and deploy advanced machine learning models to forecast outcomes and optimize workflows
* Analyze large datasets to identify meaningful patterns and generate actionable insights
* Engage with stakeholders to understand their requirements and deliver strategic recommendations
* Design and present visualizations and reports to communicate analytical findings effectively
* Maintain and enhance data pipelines to ensure data quality and integrity
* Stay current with emerging trends and breakthroughs in data science and machine learning
* Build, test, and validate statistical and machine learning models using Python, R, or other relevant tools
* Lead the integration of analytic solutions into reporting platforms and production systems
* Oversee the continuous improvement of data assets and analytical processes
**Benefits**
* Industry\-leading 401(k) plan and Railroad Retirement program
* Comprehensive health care options including medical, dental, vision, telemedicine, and mental health support
* Health care spending accounts with employer contributions
* Life and disability insurance at no cost
* Family benefits such as parental leave, pediatric and family building support, and adoption reimbursement
* Dependent care spending accounts with employer matching
* Discount programs on travel, gym memberships, and wellness services
* Annual incentive bonus
 Equal Opportunity
 BNSF Railway is an Equal Opportunity Employer. We are committed to creating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innovative and supportive workplace culture.</t>
        </is>
      </c>
    </row>
    <row r="7">
      <c r="A7" t="inlineStr">
        <is>
          <t>li-4367942673</t>
        </is>
      </c>
      <c r="B7" t="inlineStr">
        <is>
          <t>People Data Scientist</t>
        </is>
      </c>
      <c r="C7" t="inlineStr">
        <is>
          <t>Atlassian</t>
        </is>
      </c>
      <c r="D7" t="inlineStr">
        <is>
          <t>linkedin</t>
        </is>
      </c>
      <c r="E7" t="inlineStr"/>
      <c r="F7" t="inlineStr"/>
      <c r="G7" t="inlineStr">
        <is>
          <t>Washington, DC</t>
        </is>
      </c>
      <c r="H7" t="inlineStr"/>
      <c r="I7"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8">
      <c r="A8" t="inlineStr">
        <is>
          <t>li-4367951507</t>
        </is>
      </c>
      <c r="B8" t="inlineStr">
        <is>
          <t>People Data Scientist</t>
        </is>
      </c>
      <c r="C8" t="inlineStr">
        <is>
          <t>Atlassian</t>
        </is>
      </c>
      <c r="D8" t="inlineStr">
        <is>
          <t>linkedin</t>
        </is>
      </c>
      <c r="E8" t="inlineStr"/>
      <c r="F8" t="inlineStr"/>
      <c r="G8" t="inlineStr">
        <is>
          <t>Seattle, WA</t>
        </is>
      </c>
      <c r="H8" t="inlineStr"/>
      <c r="I8"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9">
      <c r="A9" t="inlineStr">
        <is>
          <t>li-4367942675</t>
        </is>
      </c>
      <c r="B9" t="inlineStr">
        <is>
          <t>People Data Scientist</t>
        </is>
      </c>
      <c r="C9" t="inlineStr">
        <is>
          <t>Atlassian</t>
        </is>
      </c>
      <c r="D9" t="inlineStr">
        <is>
          <t>linkedin</t>
        </is>
      </c>
      <c r="E9" t="inlineStr"/>
      <c r="F9" t="inlineStr"/>
      <c r="G9" t="inlineStr">
        <is>
          <t>Austin, TX</t>
        </is>
      </c>
      <c r="H9" t="inlineStr"/>
      <c r="I9"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**Your future team**
 The People Insights team is a cross\-disciplinary group of analysts, data scientists, behavioral scientists, researchers and business partners, who use data and research to inform strategic and operational issues facing our leaders, teams, and people.
**Responsibilities**
**In this role, you will**
* Understand the people insights needed to drive decision making at Atlassian, and design products and insights in a way that inspires action
* Scale actionable insights from people data by helping to enhance the data infrastructure, and innovating automated processes, reporting, and/or products
* Evaluate the success of people programs and products by choosing appropriate analytical approaches, conducting rigorous analyses, and supporting measurement frameworks across key metrics and trends
* Collaborate with business stakeholders, other data scientists, business partners, behavioral scientists, data engineers, and product and program managers
* Influence business decisions, roadmaps, and execution through insights and recommendations
**Qualifications**
**Minimum Qualifications**
* Bachelor’s degree or equivalent in a STEM field (e.g. statistics, mathematics, physics, econometrics, or computer science)
* 2\+ Years of Experience in Data Science or related fields
* Proficiency in SQL or another data manipulation programming language (e.g. Python, R)
* Familiarity with at least one visualization tool (e.g., Tableau, Power BI, Looker, Streamlit, Databricks, Hex)
* Knowledge of statistics concepts and modeling, and how to apply them to practical questions
* Strong written communication skills, verbal communication skills, and cross\-functional collaboration skills
* Experience with applying analytics skills to projects, which have had impact on business strategy and performance
* Proven ability to translate data into compelling and easy\-to\-understand insights, stories, and narratives that resonate with technical and non\-technical audiences
**Desirable Qualifications**
* 4\+ Years of Experience in Data Science or related fields OR 2\+ Years of experience in Data Science along with a post\-graduate degree or equivalent in a related field
* Experience with establishing metrics frameworks
* Experience with data quality assessment, and the development of data infrastructure and downstream data solutions
* Experience with work automation or AI implementation, report generation, and basic API interaction to solve business problems
* Ability to use Git to collaborate with others and contribute to dynamic codebases
* Experience working with people data (e.g., HR data, survey data, human behavior data) in an applied setting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153000 \- USD 199750
 Zone B: USD 137700 \- USD 179775
 Zone C: USD 127800 \- USD 166850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10">
      <c r="A10" t="inlineStr">
        <is>
          <t>li-4367702202</t>
        </is>
      </c>
      <c r="B10" t="inlineStr">
        <is>
          <t>Data Scientist, Big Data/ML</t>
        </is>
      </c>
      <c r="C10" t="inlineStr">
        <is>
          <t>Comcast</t>
        </is>
      </c>
      <c r="D10" t="inlineStr">
        <is>
          <t>linkedin</t>
        </is>
      </c>
      <c r="E10" t="inlineStr"/>
      <c r="F10" t="inlineStr"/>
      <c r="G10" t="inlineStr">
        <is>
          <t>Philadelphia, PA</t>
        </is>
      </c>
      <c r="H10" t="inlineStr"/>
      <c r="I10" t="inlineStr">
        <is>
          <t>Make your mark at Comcast \-\- a Fortune 30 global media and technology company. From the connectivity and platforms we provide, to the content and experiences we create, we reach hundreds of millions of customers, viewers, and guests worldwide. Become part of our award\-winning technology team that turns big ideas into cutting\-edge products, platforms, and solutions that our customers love. We create space to innovate, and we recognize, reward, and invest in your ideas, while ensuring you can proudly bring your authentic self to the workplace. Join us. You’ll do the best work of your career right here at Comcast. (In most cases, Comcast prefers to have employees on\-site collaborating unless the team has been designated as virtual due to the nature of their work. If a position is listed with both office locations and virtual offerings, Comcast may be willing to consider candidates who live greater than 100 miles from the office for the remote option.)
**Job Summary**
 Bring a combination of mathematical rigor and innovative algorithm design to create recipes that extract relevant insights from billions of rows of data to meaningfully improve Comcast user experience. Do you like big challenges and working within a highly\-motivated team environment? As a Data Scientist, you will research, develop, support and apply new techniques using real\-time distributed computing architectures. You will employ your skills to deliver insights into customer and network behavior to drive business decisions that will shape the future of Comcast and be part of a team that thrives on big challenges, results, quality, and agility.
**Job Description**
***This position is ineligible for visa sponsorship. To be considered for this role, you must be legally authorized to work in the United States and not require sponsorship for employment now or in the future.***
**Who does the Data Scientist work with?**
 The Data Engineering and Science team as part of our Next Generation Access Network is a diverse collection of professionals who work with a variety of organizational roles ranging from software engineering teams whose software integrates with analytics services, network architects and engineers, to service delivery engineers who provide support for our product, testers, operational stakeholders with all manner of information needs, and executives who rely on data for data based decision making.
**What are some interesting problems you’ll be working on?**
 Develop models capable of processing millions of events per second and multi\-billions of events per day, providing both a real time and historical view into the operation of our products and services. Work on high performance real time data stores and a massive historical data sets using best\-of\-breed and industry leading technology. Work closely with various engineering teams to solve key optimization, insight and access network data challenges.
**Where can you make an impact?**
 The Comcast Next Generation Access Network Data Engineering and Science team is acquiring, studying, simulating, and modeling to enable data as a key driver and core functional component toward better understanding, predicting, and dynamically optimizing the access network to improve overall user experience. Success in this role is best enabled by a broad mix of skills and interests ranging from traditional distributed systems software engineering prowess to the multidisciplinary field of data science.
**Responsibilities**
* Building a strong intuitive understanding of the problem domain (Next Generation Access Networks). Identify testable hypotheses to explain interesting phenomena in this domain.
* Selecting and transforming features, building and optimizing classifiers using machine learning techniques
* Integrating data from multiple sources including third party sources.
* Data mining using state\-of\-the\-art methods
* Enhancing data collection procedures to include information that is relevant for building analytic systems
* Frequent meeting/communication with stakeholders to interpret their needs, plan/organize, and discuss progress and results
* Developing actionable quantitative models in the areas of effectiveness, ROI, pricing and optimization.
* Doing ad\-hoc analysis and presenting results in a clear manner
* Creating automated anomaly detection systems and constant tracking of its performance
* Creating automated evaluation environment of complex models and constant tracking of relevant performance
* Develop and communicate goals, strategies, tactics, project plans, timelines, and key performance metrics to reach goals
**Here Are Some Of The Specific Technologies We Use**
* Spark (AWS EMR, Databricks), AWS Lambda
* Spark Streaming and Batch
* Avro, Parquet
* Stream Data Platforms: Kafka, AWS Kinesis
* MySQL, Cassandra, HBase, MongoDB, RDBMS
* Caching Frameworks(ElasticCache/Redis)
* Elasticsearch, Beats, Logstash, Kibana
* Java, Scala, Go, Python, R
* Git, Maven, Gradle, Jenkins
* Rancher, Puppet, Concourse, Docker, Ansible, Kubernetes
* Linux
* Hadoop (HDFS, YARN, ZooKeeper, Hive), Presto, Athena
* Keras, TensorFlow, Scikit.learn, Pandas)
* Visualization suite (AWS Quicksight, Grafana)
**Skills \&amp; Requirements**
* Graduate degree or Phd in the following areas: Statistics, Data Science, Computer Science or relevant science or engineering discipline.
* 1\+ years working within an enterprise data lake/warehouse environment or big data architecture
* Understanding of machine learning techniques and algorithms, especially in the deep learning area \-\- both theoretical underpinnings and craft (Systems such as Tensorflow, Theano, Caffe, scikit.learn and their APIs).
* Applied statistics skills and understanding of probability distributions, statistical testing, regression, etc.
* Experience with common data science toolkits, such as scikit\-learn, R, etc. Excellence in at least one of these is highly desirable.
* Great communication skills.
* Experience with data visualization tools, such as D3\.js, GGplot, Matplotlib, etc.
* Proficiency in using query languages such as SQL and Hive.
* Experience with NoSQL databases, such as MongoDB, Redis/ElasticCache, Cassandra, HBase
* Good scripting and programming skills, such as Java, Scala, R, Python, or Spark
* Data\-oriented personality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(ML); Structured Query Language (SQL); Analytical Thinking; Python (Programming Language); Communication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7\-10 Years</t>
        </is>
      </c>
    </row>
    <row r="11">
      <c r="A11" t="inlineStr">
        <is>
          <t>li-4367571463</t>
        </is>
      </c>
      <c r="B11" t="inlineStr">
        <is>
          <t>Data Scientist</t>
        </is>
      </c>
      <c r="C11" t="inlineStr">
        <is>
          <t>RemoteHunter</t>
        </is>
      </c>
      <c r="D11" t="inlineStr">
        <is>
          <t>linkedin</t>
        </is>
      </c>
      <c r="E11" t="inlineStr"/>
      <c r="F11" t="inlineStr"/>
      <c r="G11" t="inlineStr"/>
      <c r="H11" t="inlineStr"/>
      <c r="I11" t="inlineStr">
        <is>
          <t>About the Opportunity:
 This team is focused on revolutionizing healthcare by leveraging data to uncover key insights, shape product development, and promote a culture of data\-informed decision\-making. The Product Data Scientist role involves working cross\-functionally to guide product creation and ensure solutions deliver real\-world impact in telehealth.
 Responsibilities:
 • Uncover actionable insights through data analysis
 • Challenge assumptions and reveal stories hidden in data to guide decisions
 • Apply analytical, statistical, and technical expertise to influence product and business strategy
 • Utilize regression analysis, segmentation, and A/B testing for product optimization and improvement
 • Collaborate across teams to shape innovative telehealth solutions
 Requirements:
 • Bachelor’s degree in Data Science, Computer Science, Statistics, Mathematics, or related field; advanced degrees preferred
 • 3\+ years of experience in data analysis or data science with a proven impact on product decisions
 • Experience working with cross\-functional teams including product managers, engineers, and designers
 • Healthcare or telehealth industry experience is desirable but not required
 • Proficiency in Python and SQL for data manipulation and analysis
 • Strong experience with data visualization tools such as Tableau or Looker
 • At least 1 year of experience with Alteryx
 • Skilled in statistical techniques including regression analysis, hypothesis testing, clustering, and segmentation
 • Experience designing and analyzing A/B tests
 • Familiarity with data tools like Segment and Snowflake, ETL processes, and cloud platforms such as AWS or Google Cloud is a plus
 • Ability to extract actionable insights from complex datasets
 • Strong problem\-solving skills and curiosity
 • Experience with machine learning techniques is a plus
 • Excellent communication skills to convey complex data insights to non\-technical stakeholders
 • Strong project management skills and ability to prioritize tasks and meet deadlines
 • Collaborative and proactive mindset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2">
      <c r="A12" t="inlineStr">
        <is>
          <t>li-4367571514</t>
        </is>
      </c>
      <c r="B12" t="inlineStr">
        <is>
          <t>Data Scientist | Clinical AI</t>
        </is>
      </c>
      <c r="C12" t="inlineStr">
        <is>
          <t>RemoteHunter</t>
        </is>
      </c>
      <c r="D12" t="inlineStr">
        <is>
          <t>linkedin</t>
        </is>
      </c>
      <c r="E12" t="inlineStr"/>
      <c r="F12" t="inlineStr"/>
      <c r="G12" t="inlineStr"/>
      <c r="H12" t="inlineStr"/>
      <c r="I12" t="inlineStr">
        <is>
          <t>About the Opportunity:
 A healthcare intelligence organization with expertise across the payment continuum seeks a Data Scientist to advance an AI system for clinical criteria evaluation. The role involves translating medical policy into testable code and building measurement and quality systems to improve an AI pipeline that extracts structured clinical signals from medical records.
 Responsibilities:
 • Translate medical policy into executable logic by interpreting clinical criteria such as lab thresholds, temporal windows, trend logic, and exclusions
 • Convert requirements into maintainable SQL and Python code (e.g., creatinine\-based AKI rules, bilirubin thresholds, troponin dynamics, ABG\-derived criteria)
 • Design composable and auditable rule representations with clear inputs, outputs, assumptions, and edge cases
 • Perform prompt engineering and tune system parameters for AI extraction of clinical information from medical records
 • Build and maintain robust clinical feature pipelines computing features from labs, vitals, flowsheets, and notes\-derived facts
 • Handle data challenges including missing timestamps, multiple sources, unit normalization, deduplication, conflicting values, and provenance tracking
 • Define and instrument accuracy metrics for the AI extraction system
 • Develop gold datasets, sampling strategies, and review workflows with clinical and operations partners
 • Conduct error analysis to identify root causes such as retrieval failures, OCR issues, extraction ambiguity, and policy gaps, and drive improvements
 • Create reusable tooling for policy\-to\-code translation including templates, test harnesses, validation suites, regression checks, and monitoring dashboards
 • Improve infrastructure for large\-scale runs covering orchestration, logging, lineage, versioning, and reproducibility
 • Implement guardrails and QA gates to ensure safe, traceable, and measurable policy logic changes
 • Collaborate with clinicians, policy specialists, and operations to clarify ambiguous requirements and ensure implementations reflect real\-world intent
 • Produce clear documentation explaining code functionality with examples and edge\-case handling
 Requirements:
 • Strong SQL and Python skills with ability to write correct, efficient, and maintainable code using CTEs, window functions, joins, and performance tuning
 • Experience building testable, production\-quality pipelines rather than ad hoc analyses
 • Proven record of operationalizing complex business or clinical logic reliably
 • Comfort working with imperfect, high\-volume, messy datasets
 • Experience designing metrics, building ground truth, running experiments, and improving system quality through structured iteration
 • Ability to link technical quality metrics to business outcomes such as accuracy versus reviewer burden
 • Systems thinking to develop shared libraries, patterns, tooling, and clear interfaces that accelerate team productivity
 • Attention to detail in handling edge cases, provenance, temporal logic, unit conversion, and regression safety
 • Interest in healthcare data, medical records, and policy\-to\-decision translation; prior healthcare experience is a plus but not required
 Nice to Have:
 • Familiarity with clinical data standards or lab data normalization (e.g., LOINC, units conversion, reference ranges)
 • Experience evaluating large language models or information extraction systems and building human\-in\-the\-loop QA workflows
 • Knowledge of distributed data systems such as Spark, BigQuery, Snowflake, Databricks, and workflow orchestrators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3">
      <c r="A13" t="inlineStr">
        <is>
          <t>li-4352011390</t>
        </is>
      </c>
      <c r="B13" t="inlineStr">
        <is>
          <t>Data Scientist</t>
        </is>
      </c>
      <c r="C13" t="inlineStr">
        <is>
          <t>Jobot</t>
        </is>
      </c>
      <c r="D13" t="inlineStr">
        <is>
          <t>linkedin</t>
        </is>
      </c>
      <c r="E13" t="inlineStr"/>
      <c r="F13" t="inlineStr"/>
      <c r="G13" t="inlineStr">
        <is>
          <t>The Woodlands, TX</t>
        </is>
      </c>
      <c r="H13" t="inlineStr"/>
      <c r="I13" t="inlineStr">
        <is>
          <t>Want to learn more about this role and Jobot? Click our Jobot logo and follow our LinkedIn page!
 Job details
**Raw Data Wrangling \- Advance Analytics**
 This Jobot Job is hosted by Chuck Wirtz
 Are you a fit? Easy Apply now by clicking the "Easy Apply" button and sending us your resume.
 Salary $110,000 \- $125,000 per year
**A Bit About Us**
 As a leader in our industry, we serve 40\+ states nationwide. This role is a dedicated Data Scientist, onsite 4x/week in The Woodlands, Stock \+ Bonus.
****Why join us?****
 You will join an established, dedicated team led by experienced engineers. We are ingesting large volumes of data to drive enterprise\-level change, leveraging the latest in AI to optimize processes, improve decision\-making, and deliver measurable value.
**Job Details**
 Python
 Spark/PySpark
 SQL/MySQL/SparkSQL
 Tableau
 Databricks
 AWS Glue
 Linear Regression \- GLM \- Random Forrest
 GenAI/LLM
 No sponsorship or C2C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4">
      <c r="A14" t="inlineStr">
        <is>
          <t>li-4367599377</t>
        </is>
      </c>
      <c r="B14" t="inlineStr">
        <is>
          <t>Data Scientist</t>
        </is>
      </c>
      <c r="C14" t="inlineStr">
        <is>
          <t>Haystack</t>
        </is>
      </c>
      <c r="D14" t="inlineStr">
        <is>
          <t>linkedin</t>
        </is>
      </c>
      <c r="E14" t="inlineStr"/>
      <c r="F14" t="inlineStr"/>
      <c r="G14" t="inlineStr">
        <is>
          <t>Fort Meade, MD</t>
        </is>
      </c>
      <c r="H14" t="inlineStr"/>
      <c r="I14" t="inlineStr">
        <is>
          <t>**AI Data Scientist \| Fort Meade, MD \| Remote\-Friendly \| $99,000 \- $225,000** 
 We're working with Booz Allen Hamilton on this exciting opportunity.
 Join a leading team at Booz Allen Hamilton as an AI Data Scientist, where you'll tackle complex national security challenges using cutting\-edge AI and Machine Learning techniques. This is your chance to shape strategic operational designs and directly impact national security through innovative data science. If you're passionate about leveraging data to solve critical problems, this role is for you!
**The Role** 
 • Lead the application of critical and creative thinking to complex national security problems
 • Conduct capability assessments on AI and ML technologies, including risk and vulnerability analysis
 • Design and implement data management and visualization solutions using Python, Tableau, or Power BI
 • Develop strategic knowledge of operational environments and frame mission analysis to inform decision\-making
**What You'll Need** 
 • 10\+ years of experience in Data Analysis and Data Science, with a focus on integrating data feeds
 • Expertise in AI, ML, and data management tools like Python, Tableau, or Power BI
 • Extensive experience supporting military or government operational level cyberspace, space, or cryptologic operations
 • Background in DoD Information Technology (IT), DoDIN, or cyberspace tactical environments
 • Current TS/SCI clearance
**What's On Offer** 
 • Competitive salary range of $99,000 \- $225,000
 • Comprehensive benefits package including health, life, disability, and retirement plans
 • Opportunities for professional development and tuition assistance
 • Flexible work\-life programs and a remote\-friendly environment
**Apply via Haystack today!**</t>
        </is>
      </c>
    </row>
    <row r="15">
      <c r="A15" t="inlineStr">
        <is>
          <t>li-4356591521</t>
        </is>
      </c>
      <c r="B15" t="inlineStr">
        <is>
          <t>Commercial Data Scientist</t>
        </is>
      </c>
      <c r="C15" t="inlineStr">
        <is>
          <t>Jobot</t>
        </is>
      </c>
      <c r="D15" t="inlineStr">
        <is>
          <t>linkedin</t>
        </is>
      </c>
      <c r="E15" t="inlineStr"/>
      <c r="F15" t="inlineStr"/>
      <c r="G15" t="inlineStr">
        <is>
          <t>Houston, TX</t>
        </is>
      </c>
      <c r="H15" t="inlineStr"/>
      <c r="I15" t="inlineStr">
        <is>
          <t>Want to learn more about this role and Jobot? Click our Jobot logo and follow our LinkedIn page!
 Job details
**Together we can fuel the future**
 This Jobot Job is hosted by Tarik Grant
 Are you a fit? Easy Apply now by clicking the "Easy Apply" button and sending us your resume.
 Salary $198,000 \- $242,000 per year
**A Bit About Us**
 We are a global leader in the energy sector, operating across oil, power, renewables, and carbon markets. Data and analytics are central to our decision\-making, helping optimize operations, trading, and market strategies. Our Commercial organization leverages assets, market knowledge, and integrated value chain strategies to create measurable business impact while driving the energy transition.
****Why join us?****
 As a Data Scientist, you’ll work at the intersection of data, technology, and business strategy, turning complex datasets into actionable insights that influence real\-world decisions. You’ll collaborate with trading desks, commercial teams, and engineering experts, applying advanced analytics and machine learning to solve high\-impact problems.
 This role is ideal for someone who enjoys complex, fast\-paced environments, thrives on problem\-solving, and wants their work to drive business value at scale in a rapidly evolving energy landscape.
**Job Details**
 As a Data Scientist, you will
 Analyze large, multi\-source datasets to uncover trends and insights.
 Develop, deploy, and maintain predictive analytics and machine learning models using MLOps best practices.
 Collaborate with trading, commercial, and IT teams to integrate ML solutions into operational systems.
 Perform statistical analysis, time series modeling, and data visualization to support decision\-making.
 Translate technical results into actionable recommendations for non\-technical stakeholders.
 Mentor colleagues and contribute to data science best practices, code reviews, and tooling decisions.
**Requirements**
 Master’s degree or Ph.D. in Computer Science, Data Science, Machine Learning, or related field
 3\+ years of industry experience in ML model development and deployment
 Proficiency in Python, ML frameworks (PyTorch, TensorFlow, scikit\-learn), Spark/Databricks on Azure
 Strong foundations in statistics, time series analysis, and econometrics
 Excellent communication and collaboration skills
**Preferred**
 Energy or commodities trading experience
 Experience integrating ML into dashboards (Dash, Streamlit)
 Comfortable working with ambiguous, high\-volume datasets and generating innovative solutions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16">
      <c r="A16" t="inlineStr">
        <is>
          <t>li-4365996328</t>
        </is>
      </c>
      <c r="B16" t="inlineStr">
        <is>
          <t>Data Scientist | $90/hr Remote</t>
        </is>
      </c>
      <c r="C16" t="inlineStr">
        <is>
          <t>Jobs via Dice</t>
        </is>
      </c>
      <c r="D16" t="inlineStr">
        <is>
          <t>linkedin</t>
        </is>
      </c>
      <c r="E16" t="inlineStr"/>
      <c r="F16" t="inlineStr"/>
      <c r="G16" t="inlineStr"/>
      <c r="H16" t="inlineStr"/>
      <c r="I16" t="inlineStr">
        <is>
          <t>At Crossing Hurdles, we work as a referral partner. We refer candidates to Mercor that collaborates with the world’s leading AI research labs to build and train cutting\-edge AI models.
**Organization:** 
 Mercor
**Position:** 
 Data Science Expert
**Referral Partner:** 
 Crossing Hurdles
**Type:** 
 Hourly Contract
**Compensation:** 
 $50–$90/hour
**Location:** 
 Remote
**Commitment:** 
 10–40 hours/week
**Role Responsibilities**
* Analyze large datasets to extract insights that inform AI model design and refinement.
* Develop and apply statistical models, machine learning techniques, and evaluation frameworks.
* Conduct performance assessments and data quality reviews on AI model outputs.
* Build reusable tools for data processing, visualization, and reporting.
* Collaborate with research teams to test hypotheses and scale experimental workflows.
**Requirements**
* Strong experience in data science, machine learning, or a related analytical field.
* Proficiency in Python and common data science libraries such as pandas, NumPy, and scikit\-learn.
* Familiarity with large\-scale data environments and version\-controlled workflows.
* Strong understanding of statistical analysis, experimental design, and model validation.
* Clear written communication skills and comfort collaborating across technical teams.
**Application process (Takes 20 min)**
* Upload resume
* AI interview based on your resume (15 min)
* Submit form</t>
        </is>
      </c>
    </row>
    <row r="17">
      <c r="A17" t="inlineStr">
        <is>
          <t>li-4345222001</t>
        </is>
      </c>
      <c r="B17" t="inlineStr">
        <is>
          <t>Staff Data Scientist, Money &amp; Lending</t>
        </is>
      </c>
      <c r="C17" t="inlineStr">
        <is>
          <t>Intuit</t>
        </is>
      </c>
      <c r="D17" t="inlineStr">
        <is>
          <t>linkedin</t>
        </is>
      </c>
      <c r="E17" t="inlineStr"/>
      <c r="F17" t="inlineStr"/>
      <c r="G17" t="inlineStr">
        <is>
          <t>Mountain View, CA</t>
        </is>
      </c>
      <c r="H17" t="inlineStr"/>
      <c r="I17" t="inlineStr">
        <is>
          <t>**Overview**
 Overview
 We are seeking a Staff Data Scientist to join our Money Data Science Team. This role is focused on growth across Intuit’s fast money and consumer lending products. This is a high\-impact role where your work will directly influence product, marketing, and business strategies.
 As a Staff Data Scientist, you will serve as a strategic thought partner to cross\-functional leaders, bringing deep analytical expertise and business acumen to bear on Intuit’s most critical growth questions. You’ll lead and contribute to projects that require advanced econometric modeling, causal inference, and experimental design. You will deliver insights that guide investment decisions, optimize user journeys, and inform strategy at the highest levels. This is a unique opportunity to apply your passion for data and causal reasoning to shape the future of financial empowerment for millions of users.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****Responsibilities****
* Define KPIs and Success Metrics: Establish key business indicators for projects, ensuring alignment with company objectives and clear measures of success.
* Causal Inference: Lead causal inference and econometric analyses to understand and influence key levers of business growth with a crisp understanding of incremental impact.
* Experimentation: Design, implement, and analyze experiments and quasi\-experiments to measure the impact of new initiatives in product and marketing.
* Predictive Analytics and Modeling: Develop predictive models and methodologies to uncover growth opportunities and support long\-term business planning.
* Communication: Translate complex technical findings into clear, actionable insights for senior leadership, including product, finance, and marketing executives.
* Leadership and Ownership: Demonstrate boundaryless leadership and extreme accountability \- proactively drives outcomes across teams and leads with influence, not authority.
* Team Development: Serve as the technical lead for cross\-team data science projects, ensuring best practices and mentoring junior data scientists
****Qualifications****
* Bachelor's degree in Statistics, Economics, Computer Science or a related quantitative field is required. Advanced degrees, particularly a Master's or PhD in economics or statistics, are highly desirable.
* At least 5 years of experience applying statistical / econometric and modeling skills in decision making.
* Demonstrated expertise in causal inference—including but not limited to advanced experimentation, synthetic controls, regression discontinuity, and instrumental variables—with a track record of rigorously solving problems with these methods.
* Applied experience leveraging machine learning—including but not limited to predictive forecasting, explainable ML, and end\-to\-end model pipeline development—to drive meaningful business impact
* A demonstrated ability to navigate through ambiguity and deliver results that significantly impact the business.
* Excellent communication skills and the ability to work effectively with both technical and non\-technical colleagues.
* Proficiency in SQL and a statistical programming language such as Python and/or R.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$ 186,500\- 252,000
 Southern California $ 179,000\- 242,000</t>
        </is>
      </c>
    </row>
    <row r="18">
      <c r="A18" t="inlineStr">
        <is>
          <t>li-4345501630</t>
        </is>
      </c>
      <c r="B18" t="inlineStr">
        <is>
          <t>Staff Data Scientist</t>
        </is>
      </c>
      <c r="C18" t="inlineStr">
        <is>
          <t>Intuit</t>
        </is>
      </c>
      <c r="D18" t="inlineStr">
        <is>
          <t>linkedin</t>
        </is>
      </c>
      <c r="E18" t="inlineStr"/>
      <c r="F18" t="inlineStr"/>
      <c r="G18" t="inlineStr">
        <is>
          <t>Mountain View, CA</t>
        </is>
      </c>
      <c r="H18" t="inlineStr"/>
      <c r="I18" t="inlineStr">
        <is>
          <t>**Overview**
 Come join the Global Business Solutions Group (GBSG) Product Data Science team as a Staff Data Scientist. Our mission is to deliver delightful “Done for you” (DFY) customer experiences and accelerate GBSG user growth and retention through a data\-driven, platform\-led approach to growth. This is a high\-impact role where your work will directly influence product, marketing, and business model strategies.
 As a Staff Data Scientist, you will operate as a senior individual contributor, partnering closely with peers and leaders to identify, validate, and refine innovative growth strategies. Your expertise—especially in causal inference and advanced analytics—will be instrumental in surfacing critical insights and translating them into actionable hypotheses that fuel sustained customer and revenue growth.
**Responsibilities**
* Drive Business Strategy through Data \- Translate business problems into analytical frameworks. Connect data across multiple functions to drive actionable recommendations and strategic growth opportunities for the DFY platform offerings
* Build \&amp; Operationalize Advanced Models \- Develop and deploy machine learning models and statistical frameworks to forecast growth, uncover patterns, and optimize decision\-making across the GBSG Platform team
* Experimentation \&amp; Causal Inference \- Design, run, and analyze A/B tests and quasi\-experiments using methodologies such as synthetic control, regression discontinuity, or propensity score matching to establish causal relationships and measure impact.
* Cross\-Functional Influence \- Serve as the strategic data science partner to leaders across Marketing, Product, and Finance. Communicate complex findings clearly and concisely to drive alignment and action
* Data Infrastructure \&amp; Governance \- Partner with data engineering and platform teams to ensure reliable, scalable data pipelines and tracking instrumentation are in place. Champion data hygiene and integrity.
* Insights at Scale \- Create dashboards, visualizations, and self\-serve tools to democratize access to insights across cross\-functional teams and leadership.
**Qualifications**
* 7\+ years of experience in data science, with a proven record of applying advanced analytical methods to drive product and business growth ideally in Saas or financial technology companies serving consumer or SMBs
* Demonstrated proficiency in causal inference techniques, statistical modeling, machine learning, and experimental design
* Strong business acumen, excellent communication and storytelling skills with a track record of effectively simplifying the complex and delivering compelling narratives to stakeholders at all levels through data\-driven insights
* Advanced skills in SQL, Python, and other analytical tools, with practical experience using data visualization platforms (e.g., Tableau, Qlikview) to communicate insights; Experience with data integration and pipeline development is a plus
* Experience using statistics and machine learning techniques to solve complex business problems within product marketing, e.g., product funnel optimization, propensity for feature adoption, next best action models etc.
* M.S. or Ph.D. in a quantitative field (e.g., Statistics, Computer Science, Economics, Mathematics, Operations Research) or equivalent work experience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$186,500 \- 252,000</t>
        </is>
      </c>
    </row>
    <row r="19">
      <c r="A19" t="inlineStr">
        <is>
          <t>li-4366007269</t>
        </is>
      </c>
      <c r="B19" t="inlineStr">
        <is>
          <t>Data Scientist - Business Analytics | $90/hr Remote</t>
        </is>
      </c>
      <c r="C19" t="inlineStr">
        <is>
          <t>Jobs via Dice</t>
        </is>
      </c>
      <c r="D19" t="inlineStr">
        <is>
          <t>linkedin</t>
        </is>
      </c>
      <c r="E19" t="inlineStr"/>
      <c r="F19" t="inlineStr"/>
      <c r="G19" t="inlineStr"/>
      <c r="H19" t="inlineStr"/>
      <c r="I19" t="inlineStr">
        <is>
          <t>At Crossing Hurdles, we work as a referral partner. We refer candidates to Mercor that collaborates with the world’s leading AI research labs to build and train cutting\-edge AI models.
**Organization:** 
 Mercor
**Position:** 
 Data Science Expert
**Referral Partner:** 
 Crossing Hurdles
**Type:** 
 Hourly Contract
**Compensation:** 
 $50–$90/hour
**Location:** 
 Remote
**Commitment:** 
 10–40 hours/week
**Role Responsibilities**
* Analyze large datasets to extract insights that inform AI model design and refinement.
* Develop and apply statistical models, machine learning techniques, and evaluation frameworks.
* Conduct performance assessments and data quality reviews on AI model outputs.
* Build reusable tools for data processing, visualization, and reporting.
* Collaborate with research teams to test hypotheses and scale experimental workflows.
**Requirements**
* Strong experience in data science, machine learning, or a related analytical field.
* Proficiency in Python and common data science libraries such as pandas, NumPy, and scikit\-learn.
* Familiarity with large\-scale data environments and version\-controlled workflows.
* Strong understanding of statistical analysis, experimental design, and model validation.
* Clear written communication skills and comfort collaborating across technical teams.
**Application process (Takes 20 min)**
* Upload resume
* AI interview based on your resume (15 min)
* Submit form</t>
        </is>
      </c>
    </row>
    <row r="20">
      <c r="A20" t="inlineStr">
        <is>
          <t>li-4295699063</t>
        </is>
      </c>
      <c r="B20" t="inlineStr">
        <is>
          <t>Applied Scientist II, Amazon AWS Agentic AI, AWS AI Fundamental Research</t>
        </is>
      </c>
      <c r="C20" t="inlineStr">
        <is>
          <t>Amazon Web Services (AWS)</t>
        </is>
      </c>
      <c r="D20" t="inlineStr">
        <is>
          <t>linkedin</t>
        </is>
      </c>
      <c r="E20" t="inlineStr"/>
      <c r="F20" t="inlineStr"/>
      <c r="G20" t="inlineStr">
        <is>
          <t>Santa Clara, CA</t>
        </is>
      </c>
      <c r="H20" t="inlineStr"/>
      <c r="I20" t="inlineStr">
        <is>
          <t>**Description**
 Amazon is looking for a passionate, talented, and inventive Applied Scientist with a strong machine learning background to help build industry\-leading technology in generative AI and foundational models.
 As part of our AI team in Amazon AWS, you will work alongside internationally recognized experts to develop novel algorithms and modeling techniques to advance the state\-of\-the\-art in generative AI. Your work will directly impact millions of our customers in the form of products and services that make use of speech, vision and language technology. You will gain hands on experience with Amazon’s heterogeneous speech, text, image and structured data sources, and large\-scale computing resources to accelerate advances in machine learning and foundation models. More specifically, you will have the opportunity to impact millions of our customers by researching and building innovative solutions using Agentic AI.
 Agentic AI drives innovation at the forefront of artificial intelligence, enabling customers to transform their businesses through cutting\-edge generative AI solutions. We build and deliver the foundational AI services that power the future of cloud computing, helping organizations harness the potential of AI to solve their most complex challenges. Join our dynamic team of AI/ML practitioners, applied scientists, software engineers, and solution architects who work backwards from customer needs to create groundbreaking technologies. If you're passionate about shaping the future of AI while making a meaningful impact for customers worldwide, we want to hear from you.
 A day in the life
 A day in the life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PhD, or Master's degree and 4\+ years of CS, CE, ML or related field experience
* Experience in patents or publications at top\-tier peer\-reviewed conferences or journals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 Development Center U.S., Inc.
 Job ID: A3072738</t>
        </is>
      </c>
    </row>
    <row r="21">
      <c r="A21" t="inlineStr">
        <is>
          <t>li-4351802307</t>
        </is>
      </c>
      <c r="B21" t="inlineStr">
        <is>
          <t>AI &amp; GenAI Data Scientist - Manager</t>
        </is>
      </c>
      <c r="C21" t="inlineStr">
        <is>
          <t>PwC</t>
        </is>
      </c>
      <c r="D21" t="inlineStr">
        <is>
          <t>linkedin</t>
        </is>
      </c>
      <c r="E21" t="inlineStr"/>
      <c r="F21" t="inlineStr"/>
      <c r="G21" t="inlineStr">
        <is>
          <t>Philadelphia, PA</t>
        </is>
      </c>
      <c r="H21" t="inlineStr"/>
      <c r="I2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2">
      <c r="A22" t="inlineStr">
        <is>
          <t>li-4345342242</t>
        </is>
      </c>
      <c r="B22" t="inlineStr">
        <is>
          <t>AI &amp; GenAI Data Scientist - Manager</t>
        </is>
      </c>
      <c r="C22" t="inlineStr">
        <is>
          <t>PwC</t>
        </is>
      </c>
      <c r="D22" t="inlineStr">
        <is>
          <t>linkedin</t>
        </is>
      </c>
      <c r="E22" t="inlineStr"/>
      <c r="F22" t="inlineStr"/>
      <c r="G22" t="inlineStr">
        <is>
          <t>Nashville, TN</t>
        </is>
      </c>
      <c r="H22" t="inlineStr"/>
      <c r="I22"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3">
      <c r="A23" t="inlineStr">
        <is>
          <t>li-4366044240</t>
        </is>
      </c>
      <c r="B23" t="inlineStr">
        <is>
          <t>Senior Data Scientist - ML &amp; Operational Analytics</t>
        </is>
      </c>
      <c r="C23" t="inlineStr">
        <is>
          <t>Jobs via Dice</t>
        </is>
      </c>
      <c r="D23" t="inlineStr">
        <is>
          <t>linkedin</t>
        </is>
      </c>
      <c r="E23" t="inlineStr"/>
      <c r="F23" t="inlineStr"/>
      <c r="G23" t="inlineStr">
        <is>
          <t>Washington, DC</t>
        </is>
      </c>
      <c r="H23" t="inlineStr"/>
      <c r="I23" t="inlineStr">
        <is>
          <t>RESPONSIBILITIES:
 Kforce has a client in Washington, DC that is seeking a Senior Data Scientist \- ML \&amp; Operational Analytics.
 Responsibilities:
* Build and deploy ML models (regression, classification, time\-series) for operational use cases
* Perform data preparation, feature engineering, and ensure data quality
 REQUIREMENTS:
* MS in Computer Science, Statistics, Mathematics, Engineering, Physics, or related quantitative field
* 5\+ years of experience in data science with operational analytics
* Proficiency in Python, R, SQL, and ML libraries
* Strong statistical foundation (probability, inference, regression, experimental design)
 The pay range is the lowest to highest compensation we reasonably in good faith believe we would pay at posting for this role. We may ultimately pay more or less than this range. Employee pay is based on factors like relevant education, qualifications, certifications, experience, skills, seniority, location, performance, union contract and business needs. This range may be modified in the future.
 We offer comprehensive benefits including medical/dental/vision insurance, HSA, FSA, 401(k), and life, disability \&amp; ADD insurance to eligible employees. Salaried personnel receive paid time off. Hourly employees are not eligible for paid time off unless required by law. Hourly employees on a Service Contract Act project are eligible for paid sick leave.
 Note: Pay is not considered compensation until it is earned, vested and determinable. The amount and availability of any compensation remains in Kforce's sole discretion unless and until paid and may be modified in its discretion consistent with the law.
 This job is not eligible for bonuses, incentives or commissions.
 Kforce is an Equal Opportunity/Affirmative Action Employer. All qualified applicants will receive consideration for employment without regard to race, color, religion, sex, pregnancy, sexual orientation, gender identity, national origin, age, protected veteran status, or disability status.
 By clicking ?Apply Today? you agree to receive calls, AI\-generated calls, text messages or emails from Kforce and its affiliates, and service providers. Note that if you choose to communicate with Kforce via text messaging the frequency may vary, and message and data rates may apply. Carriers are not liable for delayed or undelivered messages. You will always have the right to cease communicating via text by using key words such as STOP.</t>
        </is>
      </c>
    </row>
    <row r="24">
      <c r="A24" t="inlineStr">
        <is>
          <t>li-4366554950</t>
        </is>
      </c>
      <c r="B24" t="inlineStr">
        <is>
          <t>Data Scientist - Senior</t>
        </is>
      </c>
      <c r="C24" t="inlineStr">
        <is>
          <t>Jobs via Dice</t>
        </is>
      </c>
      <c r="D24" t="inlineStr">
        <is>
          <t>linkedin</t>
        </is>
      </c>
      <c r="E24" t="inlineStr"/>
      <c r="F24" t="inlineStr"/>
      <c r="G24" t="inlineStr">
        <is>
          <t>Fort Meade, MD</t>
        </is>
      </c>
      <c r="H24" t="inlineStr"/>
      <c r="I24" t="inlineStr">
        <is>
          <t>Looking for an opportunity to make an impact?
 At Leidos, we deliver innovative solutions through the efforts of our diverse and talented people who are dedicated to our customers' success. We empower our teams, contribute to our communities, and operate sustainable. Everything we do is built on a commitment to do the right thing for our customers, our people, and our community. Our Mission, Vision, and Values guide the way we do business.
 If this sounds like the kind of environment where you can thrive, keep reading!
**The Opportunity**
 Are you ready to shape the future of global security? The Leidos Intelligence Sector is seeking a highly motivated
 **Data Scientist** 
 for USCYBERCOM J2 to conduct advanced data analytics, data engineering, data mining, exploratory and predictive analysis, and statistical analysis in support of informed analytic and operational decision\-making. The Data Scientist will employ scientific techniques to correlate complex multi\-source data, producing graphical, written, visual, and verbal narrative products. This role requires proactively retrieving, integrating, and analyzing data from a wide variety of internal and external sources, and building artificial intelligence (AI) and machine learning (ML) tools that automate processes and enable enhanced mission effectiveness.
 Join a team where your "greatest work" isn't just a slogan\-it's our daily standard.
**Contract Status: Proposal Phase/Contingent Upon Award.
 Security Clearance: Active DoD TS/SCI with Polygraph required. We are not able to sponsor the clearance requirement.**
**What you'll be doing:**
 Conduct data analytics, data engineering, data mining, exploratory analysis, predictive analysis, and statistical analysis to uncover insights and enable data\-driven decisions. Use scientific methods to transform raw data into actionable narrative products, including graphical, visual, written, and verbal reports tailored for stakeholders. Retrieve, manage, and merge data from disparate sources to build comprehensive and accurate datasets for analysis. Design, develop, and implement ML\-based tools and processes, such as recommendation engines, automated lead scoring systems, and predictive analytics solutions. Perform statistical analysis and data mining techniques to identify patterns, trends, correlations, and build high\-quality prediction systems supporting mission\-critical objectives. Present analytic findings using advanced data visualization tools and graphical applications to intuitively communicate complex information. Document Operating Instructions (OIs) for command\-wide programs and initiatives as assigned by the Government. Collaborate with analysts, engineers, and operations personnel to align analytic models and tools with mission requirements and evolving data needs. Stay abreast of advancements in data science, ML/AI technologies, and analytic tools to continuously improve analytic capabilities and workflows.
**Needed Experience, Skills, and Education:**
* Minimum 12 years of experience related to the specific labor category with at least a portion of the experience within the last 2 years.
* Master's degree in an area related to the labor category from a college or university accredited by an agency recognized by the U.S. Department of Education; or have Bachelor's degree related to the labor category from a college or university accredited by an agency recognized by the U.S. Department of Education and an additional 5 years of related senior experience, for a total of 17 years, as a substitute to the Master's degree. Additional years of experience may be considered in lieu of degree.
* Proficiency in data visualization and graphical applications, such as Microsoft Office (Power BI), Tableau, or equivalent tools.
* Experience with data science programming languages, such as R and Python.
* Advanced skills in managing, merging, and analyzing disparate data sources, preferably through R, Python, or SQL.
* Demonstrated expertise in applying statistical analysis, data mining algorithms, and machine learning to large, multi\-source intelligence datasets. Prior experience with Multi\-INT analytics, ML, automated and predictive analytics in a large\-scale or defense/intelligence environment.
**Clearance Needed:** 
**Active DoD TS/SCI with Polygraph required. We are not able to sponsor the clearance requirement.**
**Preferred Experience, Skills, and Education:**
* Deep familiarity with USCYBERCOM organizational structure and mission.
* Prior experience supporting Joint operations across multiple warfighting domains.
* Knowledge of cloud computing deployment models in private, public, and hybrid environment and the difference between on\-premises and off\-premises environments.
* Knowledge of cloud computing service models Software as Service (SaaS), Infrastructure as a Service (IaaS), and Platform as a Service (PaaS).
* Knowledge of computer networking concepts and protocols, and network security methodologies.
* Knowledge of cyber threats and vulnerabilities.
* Knowledge of cybersecurity principles.
* Knowledge of national and international laws, regulations, policies, and ethics as they relate to cybersecurity.
* Knowledge of risk management processes (e.g., methods for assessing and mitigating risk).
* Knowledge of specific operational impacts of cybersecurity lapses.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26,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$116,350\.00 \- $210,325\.00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t>
        </is>
      </c>
    </row>
    <row r="25">
      <c r="A25" t="inlineStr">
        <is>
          <t>li-4366514565</t>
        </is>
      </c>
      <c r="B25" t="inlineStr">
        <is>
          <t>Principal Data Scientist AI Engineer</t>
        </is>
      </c>
      <c r="C25" t="inlineStr">
        <is>
          <t>Jobs via Dice</t>
        </is>
      </c>
      <c r="D25" t="inlineStr">
        <is>
          <t>linkedin</t>
        </is>
      </c>
      <c r="E25" t="inlineStr"/>
      <c r="F25" t="inlineStr"/>
      <c r="G25" t="inlineStr"/>
      <c r="H25" t="inlineStr"/>
      <c r="I25" t="inlineStr">
        <is>
          <t>Job ID: 2600794
**Location:** 
 REMOTE WORK, VA, US
**Date Posted:** 
 2026\-01\-27
**Category:** 
 Information Technology
**Subcategory:** 
 Data Scientist
**Schedule:** 
 Full\-time
**Shift:** 
 Day Job
**Travel:** 
 No
**Minimum Clearance Required:** 
 None
**Clearance Level Must Be Able to Obtain:** 
 Public Trust
**Potential for Remote Work:** 
 Yes
**Description**
 SAIC is seeking an innovative, hands\-on development oriented, AI Engineer / Data Scientist with eight years' experience in AI/ML/NLP and data modeling to develop prototypes of emerging technologies that solve business problems. The candidate must have cloud engineering experience to ensure integration of the AI/ML/NLP solutions in cloud native environments. This resource will join an energetic and versatile team responsible for addressing the customer challenges through the use of advancing technologies. This is a remote job that can be worked from any location in the continental U.S.
**Responsibilities:**
* Operate and maintain an innovation lab for the ideation, design, and engineering of cloud native product modernization and innovation using emerging technologies.
* Develop end\-to\-end plans for cloud native AI/ML/NLP innovations that are compliant with cybersecurity policies.
* Develop and engineer pilots, prototypes, and proof of concept solutions to validate emerging technology, modernization, and innovation opportunities.
* We need a resource that understands modern AI Large Language Models (LLM's) and their inner workings / architectures / backbone and head.
* We need a resource experienced in prompt engineering and Retrieval\-Augmented Generation (RAG).
* Implement transparency, traceability, and appropriate security handling in line with best practices and applicable compliance standards including Authorization To Operate (ATO) certifications.
* Implement predictive models, machine learning algorithms, and statistical analyses to solve complex business problems.
* Develop low risk implementation plans and present business briefings, recommendations, and demonstrations to executives and technical stakeholders in a clear manner based on data architecture best practices.
* Collaborate with cross\-functional teams including data engineering, product, and business stakeholders to translate requirements into data\-driven solutions.
* Conduct exploratory data analysis and generate actionable insights from large and complex datasets.
* Support total experience initiatives including customer experience, user experience and human centered design through focus groups, metrics, wireframes, mockups, and information architecture development.
* Develop reusable code libraries and best practices for modernization and innovation development and deployment.
* Mentor more junior data scientists and guide the team in adopting the new technologies and techniques.
* Stay current with advancements in data science, machine learning, AI research and cloud architectures.
* Support Agile product teams in integrating and operationalizing emerging technologies and data strategies.
* Analyze data and usage to find patterns and solutions to business challenges.
**Qualifications**
**Qualifications:**
* MA/MS degree and 8 years or more of experience in data analytics, data modeling, machine learning, natural language processing, security, and artificial intelligence technologies in cloud native environments (AWS, Azure, Google). Additional experience may be substituted for educational requirements where appropriate.
* ship not required, but must have lived in the US for at least two consecutive years.
* Must be able to obtain a Public Trust.
 Target salary range: $120,001 \- $160,000\. The estimate displayed represents the typical salary range for this position based on experience and other factors.
 SAIC is a premier technology integrator providing full life cycle services and solutions in the technical, engineering, intelligence, and enterprise information technology markets. SAIC is Redefining Ingenuity through its deep customer and domain knowledge to enable the delivery of systems engineering and integration offerings for large, complex projects. SAIC's approximately 15,000 employees are driven by integrity and mission focus to serve customers in the U.S. federal government. Headquartered in Reston, Virginia, SAIC has annual revenues of approximately $4\.5 billion. For more information, visit saic.com. For information on the benefits SAIC offers, see .</t>
        </is>
      </c>
    </row>
    <row r="26">
      <c r="A26" t="inlineStr">
        <is>
          <t>li-4365944406</t>
        </is>
      </c>
      <c r="B26" t="inlineStr">
        <is>
          <t>Senior Data Scientist</t>
        </is>
      </c>
      <c r="C26" t="inlineStr">
        <is>
          <t>Jobs via Dice</t>
        </is>
      </c>
      <c r="D26" t="inlineStr">
        <is>
          <t>linkedin</t>
        </is>
      </c>
      <c r="E26" t="inlineStr"/>
      <c r="F26" t="inlineStr"/>
      <c r="G26" t="inlineStr">
        <is>
          <t>Chicago, IL</t>
        </is>
      </c>
      <c r="H26" t="inlineStr"/>
      <c r="I26" t="inlineStr">
        <is>
          <t>TransUnion's Job Applicant Privacy Notice
 Personal Information We Collect
 Your Privacy Choices
**What We'll Bring:**
 At TransUnion, we strive to build an environment where our associates are in the driver's seat of their professional development, while having access to help along the way. We encourage everyone to pursue passions and take ownership of their careers. With the support of colleagues and mentors, our associates are given the tools needed to get where they want to go. Regardless of job titles, our associates have the opportunity to learn new things and be a leader every day.
 Come be a part of our team \- you'll work with great people, pioneering products and cutting\-edge technology.
**What You'll Bring:**
* Graduate degree in statistics, applied mathematics, financial mathematics, computer science, engineering, operations research, or other highly quantitative field; or a bachelor's degree in a quantitative field with at least three (3\) years of relevant professional experience. In either case, the candidate will demonstrate a consistent track record of academic excellence.
* Experience and demonstrated success in client\-facing roles over a period of at least one (1\) year as well as at least one (1\) year of professional experience performing analytic work, preferably in the Financial Services industry.
* Demonstrated interest in industries served by TransUnion, such as financial services, insurance, fraud, and digital marketing (e.g., through relevant internships).
* Strong analytical, critical thinking, and creative problem solving skills.
* Familiarity with and ability to program within and use Spark within an advanced technological framework such as Google Cloud Platform, Databricks or other similar systems; high level of familiarity with Microsoft Office tools.
* Expertise in all areas of Data Science and Predictive modeling with large datasets, ideally including familiarity with some flavors of AI or Deep Learning techniques.
* Versatile interpersonal and communication style with the ability to effectively communicate at multiple levels within and outside the organization; ability to work in a collaborative, fast\-paced environment; evidence of initiative\-taking.
* Strong project and time management skills with the ability to manage multiple assignments effectively.
* Interest in connecting Data Science to solving business problems around fraud in client\-facing consulting roles.
* Ability to travel up to 20%.
**What Love to See:**
* Proven ability to operate effectively under modest supervision in a complex and dynamic, matrixed environment.
* Familiarity with credit bureau data and solutions.
* Familiarity with fraud particularly as it pertains to financial services or telecommunications industries.
**Impact You'll Make:**
 This position is responsible for supporting the development of analytic solutions through consulting engagements for TransUnion's clients primarily for fraud prevention but potentially across a broader array of applications including credit, insurance and marketing business applications. This position requires a general understanding of US financial services risk management practices and credit bureau data and solutions. Relevant aspects include how credit data are reported to credit bureaus, how credit data are leveraged for risk solutions, and some understanding of the relevancy of that data to fraud prevention within financial services. Additionally, a successful candidate will bring a perspective into how addressing fraud within the financial services industry might be broadened into other industries such as telecommunications.
* You will partner with internal and external cross\-functional teams to drive new business initiatives and deliver long term value\-added solutions to various TransUnion customers. These tasks will include \-among others\- the development of predictive models and business intelligence solutions of moderate scope and complexity for individual customers within the various industries served by TransUnion.
* You will lead analytic client engagements involving descriptive, predictive, and prescriptive analysis, primarily for fraud business cases leveraging multiple analytic techniques with an emphasis on, but not limited to, predictive modeling and strategies for the concurrent use of multiple solutions. As a project leader, you will take ownership of analytic aspects of the project from design, to development, to customer presentation, review, and solution refinement.
* You will identify strategies and opportunities for customers and develop subject matter expertise to test and adopt custom analytic products to optimally provide anti\-fraud strategies and the ability to identify new fraud threats. In the context of these opportunities, you will interact directly with TransUnion Sales and business unit partners and provide an analytic perspective and general support as needed.
* You will design, write, and test programs for data extraction, segmentation, statistical analysis and other functionalities in the domain of data science on large population datasets using a modern technological stack.
* You will use opportunities to deliver analytic insights and recommendations as part of a broader mission to establish a reputation of TransUnion for excellence in technological capabilities and domain knowledge, highlighted by delivery of succinct and compelling presentations to internal and external customers representing a wide range of backgrounds and levels.
* You will foster a high\-performance culture and cultivate an environment that promotes excellence and reflects the TransUnion brand.
 TransUnion complies with all applicable immigration laws and regulations. The Company does not presently provide employer support or sponsorship for an immigration\-related employment benefit for this position. Applicants must be authorized to work in the United States on a full\-time basis without the need for employer support or sponsorship now or in the future.
 Qualified applicants with arrest or conviction records will be considered for employment in accordance with applicable law, including the Los Angeles County Fair Chance Ordinance for Employers, the San Francisco Fair Chance Ordinance, Fair Chance Initiative for Hiring Ordinance, and the California Fair Chance Act.
 Adherence to Company policies, sound judgment and trustworthiness, working safely, communicating respectfully, and safeguarding business operations, confidential and proprietary information, and the Company's reputation are also essential expectations of this position.
 This is a hybrid position and involves regular performance of job responsibilities virtually as well as in\-person at an assigned TU office location for a minimum of two days a week.
**Benefits:**
 TransUnion provides flexible benefits including flexible time off for exempt associates, paid time off for non\-exempt associates, up to 12 paid holidays per year, health benefits (including medical, dental, and vision plan options and health spending accounts), mental health support, disability benefits, up to 12 weeks of paid parental leave, adoption assistance, fertility planning coverage, legal benefits, long\-term care insurance, commuter benefits, tuition reimbursement, charity gift matching, employee stock purchase plan, 401(k) retirement savings with employer match, and access to TransUnion's Employee Resource Groups. Spousal, domestic partner, and other eligible dependent coverage is available on select health and welfare plans.
 We are committed to being a place where diversity is not only present, it is embraced. As an equal opportunity employer, all qualified applicants will receive consideration for employment without regard to race, color, religion, sex, national origin, age, disability status, veteran status, genetic information, marital status, citizenship status, sexual orientation, gender identity or any other characteristic protected by law. Additionally, in accordance with Section 503 of the Rehabilitation Act of 1973 and the Vietnam Era Veterans' Readjustment Assistance Act of 1974, TransUnion takes affirmative action to employ and advance in employment qualified individuals with a disability and protected veterans in all levels of employment and develops annual affirmative action plans. Components of TransUnion's Affirmative Action Program for individuals with disabilities and protected veterans are available for review to any associate or applicant for employment upon request by contacting
****Pay Scale Information** 
**:****
 The U.S. base salary range for this position is $72,300\.00 \- $105,000\.00 annually. \*The salary range for this position reflects a reasonable estimate of the range of compensation for this job. At TransUnion, actual compensation is based on careful consideration of additional factors such as (but not limited to) an individual's education, training, work experience, job\-related skill set, location, and industry knowledge, as well as the scope and responsibilities of the position and market considerations.
 Regular, fulltime non\-sales positions may be eligible to participate in TransUnion's annual bonus plan. Certain positions may be also eligible for long\-term incentives and other payments based on applicable company guidance and plan documents.
 TransUnion's Internal Job Title:
 Consultant, Data Analysis and Consulting
 Company:
 TransUnion LLC</t>
        </is>
      </c>
    </row>
    <row r="27">
      <c r="A27" t="inlineStr">
        <is>
          <t>li-4271079890</t>
        </is>
      </c>
      <c r="B27" t="inlineStr">
        <is>
          <t>Principal Applied Scientist, Console Science</t>
        </is>
      </c>
      <c r="C27" t="inlineStr">
        <is>
          <t>Amazon Web Services (AWS)</t>
        </is>
      </c>
      <c r="D27" t="inlineStr">
        <is>
          <t>linkedin</t>
        </is>
      </c>
      <c r="E27" t="inlineStr"/>
      <c r="F27" t="inlineStr"/>
      <c r="G27" t="inlineStr">
        <is>
          <t>Santa Clara, CA</t>
        </is>
      </c>
      <c r="H27" t="inlineStr"/>
      <c r="I27" t="inlineStr">
        <is>
          <t>**Description**
 We are looking for passionate, talented, and inventive Principal Applied Scientist with a strong machine learning background to help build industry\-leading Conversational AI Systems. Our mission is to provide a delightful experience to Amazon’s customers by pushing the envelope in Natural Language Understanding (NLU), Dialog Systems including Generative AI with Large Language Models (LLMs) and Applied Machine Learning (ML).
 As part of our team, you will work alongside internationally recognized experts to develop novel algorithms and modeling techniques to advance the state\-of\-the\-art in human language technology. Your work will directly impact millions of our customers in the form of products and services that make use language technology. You will gain hands on experience with Amazon’s heterogeneous text, structured data sources, and large\-scale computing resources to accelerate advances in language understanding.
 We are hiring in all areas of human language technology: NLU, Dialog Management, Conversational AI, LLMs and Generative AI.
 A day in the life
 The team uses generative AI and foundation models to reimagine the experience of all customers on AWS. We explore new technologies and find creative solutions. Curiosity and an explorative mindset can find a place here to impact the life of engineers around the world.
 If you are excited about this space and want to enlighten your peers with new capabilities, this is the team for you.
**Basic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**Preferred Qualifications**
* PhD and 8\+ years of CS, CE, ML or related field experience
* 8\+ years of building models for business application experience
* Experience in patents or publications at top\-tier peer\-reviewed conferences or journals in NLP and Applied Machine Learning.
* Experience programming in Java, C\+\+, Python or related language
* Experience in any of the following areas: algorithms and data structures, parsing, numerical optimization, data mining, parallel and distributed computing, high\-performance computing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\- 228,700\.00 \- 309,400\.00 USD annually
**Company** 
 \- Amazon Development Center U.S., Inc.
 Job ID: A3039349</t>
        </is>
      </c>
    </row>
    <row r="28">
      <c r="A28" t="inlineStr">
        <is>
          <t>li-4332532321</t>
        </is>
      </c>
      <c r="B28" t="inlineStr">
        <is>
          <t>AI &amp; GenAI Data Scientist - Manager</t>
        </is>
      </c>
      <c r="C28" t="inlineStr">
        <is>
          <t>PwC</t>
        </is>
      </c>
      <c r="D28" t="inlineStr">
        <is>
          <t>linkedin</t>
        </is>
      </c>
      <c r="E28" t="inlineStr"/>
      <c r="F28" t="inlineStr"/>
      <c r="G28" t="inlineStr">
        <is>
          <t>Toledo, OH</t>
        </is>
      </c>
      <c r="H28" t="inlineStr"/>
      <c r="I2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29">
      <c r="A29" t="inlineStr">
        <is>
          <t>li-4366564330</t>
        </is>
      </c>
      <c r="B29" t="inlineStr">
        <is>
          <t>Cleared Data Scientist</t>
        </is>
      </c>
      <c r="C29" t="inlineStr">
        <is>
          <t>Jobs via Dice</t>
        </is>
      </c>
      <c r="D29" t="inlineStr">
        <is>
          <t>linkedin</t>
        </is>
      </c>
      <c r="E29" t="inlineStr"/>
      <c r="F29" t="inlineStr"/>
      <c r="G29" t="inlineStr">
        <is>
          <t>Washington, DC</t>
        </is>
      </c>
      <c r="H29" t="inlineStr"/>
      <c r="I29" t="inlineStr">
        <is>
          <t>**Job Family:**
 Data Science Consulting
**Travel Required:**
 Up to 75%\+
**Clearance Required:**
 Active Secret
**What You Will Do:**
 Our consultants on the Defense \&amp; Security AI \&amp; Data team help clients maximize the value of their data and automate business processes. This high performing team works with clients to implement the full spectrum of data analytics and data science, from data querying and wrangling to data engineering, to data visualization, dashboarding, and business intelligence (BI), to predictive analytics, machine learning (ML), and artificial intelligence (AI) as well as robotic process automation (RPA). Our services enable our clients to define their information strategy, enable mission critical insights and data\-driven decision making, reduce cost and complexity, increase trust, and improve operational effectiveness.
* Belong to a collaborative team dedicated to AI, Advanced Analytics and Intelligent Automation.
* Focus on client services, while also supporting business development, internal firm initiatives, and ongoing professional development in data science, data analytics, and/or data engineering.
* Work as a data scientist/data analytics/business intelligence professional in collaboration with cross\-functional teams.
* Continue career development in data science and data analytics software, methods, and consulting.
**What You Will Need:**
* An ACTIVE and MAINTAINED "SECRET" Federal or DoD security clearance
* Bachelor's degree is required
* Minimum THREE (3\) years of relevant professional experience OR 2 years of relevant professional experience with a Master's degree
* High level of proficiency in Python
* Expertise in Tableau dashboard development
* Ability to design data modeling processes, create algorithms and predictive models, as well as perform custom analysis
* Experience leading data driven analytic activities involving the identification of key indicators for both compliance and effectiveness critical to mission/business success
* Experience manipulating large data sets and using them to identify trends and reach meaningful conclusions to inform strategic business decisions
* Ability to clean, aggregate, organize data from multiple sources and transfer this information to data warehouses
* Ability to define data requirements and ensure storage, availability, and coherence of electronically stored information to guarantee it meets the organization's needs
* Competency in data mining, including structuring of raw data to formulate or recognize patterns to generate new information and unlock information and insights that help the organization better manage risks
* Proficiency in PowerBI
* Ability to support on\-site and hybrid projects in the DC metro area
**What Would Be Nice To Have:**
* Knowledge of additional coding languages such as R and SQL
* Competencies in IT Risk and/or Cyber domains
* Quality control experience including debugging and conducting Quality Assurance of new features and enhancements
* Ability to facilitate meetings and present topics to diverse groups of functional and technical staff
* Experience developing new and re\-designing existing processes to meet new and/or evolving business requirements
* Excellent verbal and written communication skills
 The annual salary range for this position is $113,000\.00\-$188,000\.00\. Compensation decisions depend on a wide range of factors, including but not limited to skill sets, experience and training, security clearances, licensure and certifications, and other business and organizational needs.
**What We Offer:**
 Guidehouse offers a comprehensive, total rewards package that includes competitive compensation and a flexible benefits package that reflects our commitment to creating a diverse and supportive workplace.
 Benefits include:
* Medical, Rx, Dental \&amp; Vision Insurance
* Personal and Family Sick Time \&amp; Company Paid Holidays
* Position may be eligible for a discretionary variable incentive bonus
* Parental Leave and Adoption Assistance
* 401(k) Retirement Plan
* Basic Life \&amp; Supplemental Life
* Health Savings Account, Dental/Vision \&amp; Dependent Care Flexible Spending Accounts
* Short\-Term \&amp; Long\-Term Disability
* Student Loan PayDown
* Tuition Reimbursement, Personal Development \&amp; Learning Opportunities
* Skills Development \&amp; Certifications
* Employee Referral Program
* Corporate Sponsored Events \&amp; Community Outreach
* Emergency Back\-Up Childcare Program
* Mobility Stipend
**About Guidehouse**
 Guidehouse is an Equal Opportunity Employer\-Protected Veterans, Individuals with Disabilities or any other basis protected by law, ordinance, or regulation.
 Guidehouse will consider for employment qualified applicants with criminal histories in a manner consistent with the requirements of applicable law or ordinance including the Fair Chance Ordinance of Los Angeles and San Francisco.
 If you have visited our website for information about employment opportunities, or to apply for a position, and you require an accommodation, please contact Guidehouse Recruiting at 1\- or via email at All information you provide will be kept confidential and will be used only to the extent required to provide needed reasonable accommodation.
 All communication regarding recruitment for a Guidehouse position will be sent from Guidehouse email domains including @guidehouse.com or Correspondence received by an applicant from any other domain should be considered unauthorized and will not be honored by Guidehouse. Note that Guidehouse will never charge a fee or require a money transfer at any stage of the recruitment process and does not collect fees from educational institutions for participation in a recruitment event. Never provide your banking information to a third party purporting to need that information to proceed in the hiring process.
 If any person or organization demands money related to a job opportunity with Guidehouse, please report the matter to Guidehouse's Ethics Hotline. If you want to check the validity of correspondence you have received, please contact Guidehouse is not responsible for losses incurred (monetary or otherwise) from an applicant's dealings with unauthorized third parties.
 Guidehouse does not accept unsolicited resumes through or from search firms or staffing agencies. All unsolicited resumes will be considered the property of Guidehouse and Guidehouse will not be obligated to pay a placement fee.</t>
        </is>
      </c>
    </row>
    <row r="30">
      <c r="A30" t="inlineStr">
        <is>
          <t>li-4367968382</t>
        </is>
      </c>
      <c r="B30" t="inlineStr">
        <is>
          <t>Financial Crime Data Scientist</t>
        </is>
      </c>
      <c r="C30" t="inlineStr">
        <is>
          <t>AppGate</t>
        </is>
      </c>
      <c r="D30" t="inlineStr">
        <is>
          <t>linkedin</t>
        </is>
      </c>
      <c r="E30">
        <f>HYPERLINK("https://www.linkedin.com/jobs/view/4367968382", "https://www.linkedin.com/jobs/view/4367968382")</f>
        <v/>
      </c>
      <c r="F30" t="inlineStr"/>
      <c r="G30" t="inlineStr">
        <is>
          <t>New York, NY</t>
        </is>
      </c>
      <c r="H30" t="inlineStr"/>
      <c r="I30" t="inlineStr">
        <is>
          <t>**Job Overview**
 The
 **Financial Crime Data Scientist** 
 combines investigative expertise with advanced data science techniques to identify, assess, and mitigate financial risks, fraud, and emerging cyber\-enabled threats. This role will analyze transactional, behavioral, and device\-level signals; detect indicators of compromise; identify anomalous activity; and support intelligence integration into Appgate's Fraud security products.
 The analyst will collaborate closely with
 **internal product teams** 
 and other external intelligence sources to track financial crime patterns (e.g., ransomware operators, malware families, account takeover trends, money mule networks) and translate insights into
 **predictive models, detection rules, and automated workflows** 
 .
 This candidate bridges fraud investigation, data analysis, and technical implementation while working cross\-functionally with Product, Engineering, Risk, Marketing, and Operations.
**This is an on\-site role with 5 days required in our NY office.**
**Responsibilities**
**Fraud \&amp; Threat Intelligence**
* Conduct in\-depth investigations into financial crime activity, including transaction fraud, account compromise, synthetic identity, malware\-enabled fraud, and ransomware monetization patterns
* Monitor intelligence feeds for emerging threat actors, TTPs, botnet activity, phishing kits, malware variants, and monetization schemes
* Identify fraud indicators, behavioral patterns, anomalies, and signal correlations across structured and unstructured data sources
**Data Analytics \&amp; Modeling**
* Collect, clean, engineer, and analyze large datasets using Python, SQL, and cloud\-based data platforms
* Perform statistical analysis, clustering, anomaly detection, and supervised/unsupervised machine learning to improve predictive fraud scoring
* Build prototypes for fraud detection algorithms; partner with data science teams to productionize models
**Data Engineering \&amp; Automation**
* Build and maintain analytical data pipelines with engineers using tools such as Airflow, dbt, Spark, or similar
* Automate data ingestion (APIs, logs, intelligence feeds, enrichment sources) for ongoing fraud monitoring
* Create dashboards and visualizations using Tableau, Power BI, Looker, Mode, or similar to communicate findings
**Cross\-Functional Intelligence Integration**
* Translate fraud intelligence into actionable requirements for product and engineering teams (e.g., detection rules, model features, new risk signals)
* Collaborate with marketing and customer\-facing teams to prepare intelligence briefs, threat summaries, and fraud trend reports
* Produce fraud loss metrics, risk scoring insights, and performance evaluations of prevention tools
**Security \&amp; Compliance**
* Maintain strict confidentiality and follow handling protocols for sensitive data, PII, and regulated financial information
* Stay current on fraud trends, sanctions, AML regulations, and industry standards
**Required Qualifications**
* Bachelors/Masters degree in Data Science, Applied Statistics, Digital Forensics, Financial Engineering, Criminology, Computer Science, Cybersecurity, or relevant field; or equivalent experience
* 1\-3\+ years in fraud detection, threat intelligence, financial crime investigations, cyber threat analysis, or risk operations
* Strong proficiency in:
+ SQL for data extraction and manipulation
+ Python (pandas, NumPy, scikit\-learn) for data analysis
+ Data visualization tools (Tableau, Power BI, Looker, etc.)
* Familiarity with machine learning concepts, anomaly detection, statistics, and predictive modeling
* Experience with fraud platforms, case management systems, device intelligence, or behavioral analytics systems
* Demonstrated investigative mindset with excellent documentation and communication skills
**Preferred / Nice\-to\-Have Technical Skills**
* Experience with big data technologies (Spark, Databricks, Snowflake)
* Knowledge of fraud\-specific data sources: device fingerprinting, behavioral biometrics, geolocation, IP intelligence, OSINT, malware intel feeds
* Familiarity with malware families, attack chains, and cyber threat intelligence frameworks such as MITRE ATT\&amp;CK
* Exposure to API\-based integrations, data enrichment pipelines, and log analysis
* Understanding of risk scoring systems, rules engines, or real\-time decisioning platforms
* Experience with AML, KYC, BSA, sanctions screening, or cryptocurrency tracing tools
**Key Competencies**
* Analytical and critical thinking
* Statistical and machine learning literacy
* Effective communication and storytelling with data
* Investigative rigor and attention to detail
* Cross\-functional collaboration
* Integrity and confidentiality
* Strong problem\-solving and decision\-making skills
 Requirements:
* Position is on\-site in our NYC office.
* Willing to relocate if not local to NYC
* No visa sponsorships are available at the moment
* Compensation Range: 140\-175k base \+ bonus
*AppGate is An Equal Opportunity/Affirmative Action Employer. All qualified applicants will receive consideration for employment without regard to race, color, religion, sex, sexual orientation, gender identity, national origin, disability or veteran status, age or any other federally protected class. In furtherance of AppGate's policy regarding affirmative action and equal employment opportunity, AppGate has developed a written affirmative action program. This program is available for review upon request by any applicant or employee during normal business hours by contacting the company's EEO Coordinator.*</t>
        </is>
      </c>
    </row>
    <row r="31">
      <c r="A31" t="inlineStr">
        <is>
          <t>li-4367941138</t>
        </is>
      </c>
      <c r="B31" t="inlineStr">
        <is>
          <t>Data Scientist, Sr.</t>
        </is>
      </c>
      <c r="C31" t="inlineStr">
        <is>
          <t>BNSF Railway</t>
        </is>
      </c>
      <c r="D31" t="inlineStr">
        <is>
          <t>linkedin</t>
        </is>
      </c>
      <c r="E31">
        <f>HYPERLINK("https://www.linkedin.com/jobs/view/4367941138", "https://www.linkedin.com/jobs/view/4367941138")</f>
        <v/>
      </c>
      <c r="F31">
        <f>HYPERLINK("https://www.wiraa.com/job-description/usB0D53394E819C4D642DFD460084BB639?source=Linkedin&amp;urlHash=2FLT", "https://www.wiraa.com/job-description/usB0D53394E819C4D642DFD460084BB639?source=Linkedin&amp;urlHash=2FLT")</f>
        <v/>
      </c>
      <c r="G31" t="inlineStr"/>
      <c r="H31" t="inlineStr"/>
      <c r="I31" t="inlineStr">
        <is>
          <t>**About The Company**
 BNSF Railway is one of the largest railroads in the United States, dedicated to transporting the nation’s freight across 28 western states and three Canadian provinces. Committed to safety, inclusion, and excellence, BNSF plays a vital role in supporting the movement of essential products and materials that sustain communities and economies nationwide. The company values innovation and is actively transforming the future of freight rail through its dedicated technology division, BNSF \| Tech. This division focuses on making BNSF a leading freight and mobility company in North America by leveraging cutting\-edge data and AI solutions. As a part of BNSF, you will contribute to a dynamic environment that emphasizes growth, collaboration, and technological advancement, helping to feed, clothe, supply, and power communities across the globe.
**About The Role**
 We are seeking a highly skilled Data \&amp; AI Lead to join our innovative team remotely within the United States. This role offers an exciting opportunity to drive the future of freight rail through advanced data science, machine learning, and AI initiatives. As a key member of our team, you will lead cross\-functional collaborations to identify strategic analytic opportunities, develop solutions, and implement models that optimize workflows and forecast outcomes. Your expertise will be instrumental in analyzing large, complex datasets, designing and deploying machine learning models, and delivering actionable insights to stakeholders. You will also oversee the maintenance and enhancement of data pipelines, ensuring high data quality and accuracy. This position requires a proactive mindset, strong technical skills, and the ability to communicate complex findings effectively to diverse audiences. The role offers a competitive salary range of $165,000 to $300,000, along with comprehensive benefits, and provides the flexibility of remote work within the contiguous US, with occasional travel to our headquarters in Fort Worth, TX.
**Qualifications**
* Minimum 6 years of experience in building optimization algorithms or relevant data science roles
* Advanced proficiency in programming languages such as Python, R, SQL, and Java
* Expertise in data visualization tools and techniques
* Experience with data science cloud platforms and their integration into business solutions
* Strong understanding of statistical analysis and advanced machine learning techniques
* Proficiency in core architecture of large language models (LLMs), including transformers and attention mechanisms
* Experience with prompt engineering, retrieval\-augmented generation (RAG), fine\-tuning, and evaluation of language models
* Knowledge of vector databases, embeddings, and GPU optimization
* Ability to extract, aggregate, and transform data from SQL and NoSQL databases using tools like Python and R
* Experience leading the deployment of analytic solutions into production environments
* Excellent communication skills to articulate technical concepts clearly
**Responsibilities**
* Lead cross\-functional teams to identify and define analytics initiatives aligned with business goals
* Develop and deploy advanced machine learning models to forecast outcomes and optimize workflows
* Analyze large datasets to identify meaningful patterns and generate actionable insights
* Engage with stakeholders to understand their requirements and deliver strategic recommendations
* Design and present visualizations and reports to communicate analytical findings effectively
* Maintain and enhance data pipelines to ensure data quality and integrity
* Stay current with emerging trends and breakthroughs in data science and machine learning
* Build, test, and validate statistical and machine learning models using Python, R, or other relevant tools
* Lead the integration of analytic solutions into reporting platforms and production systems
* Oversee the continuous improvement of data assets and analytical processes
**Benefits**
* Industry\-leading 401(k) plan and Railroad Retirement program
* Comprehensive health care options including medical, dental, vision, telemedicine, and mental health support
* Health care spending accounts with employer contributions
* Life and disability insurance at no cost
* Family benefits such as parental leave, pediatric and family building support, and adoption reimbursement
* Dependent care spending accounts with employer matching
* Discount programs on travel, gym memberships, and wellness services
* Annual incentive bonus
 Equal Opportunity
 BNSF Railway is an Equal Opportunity Employer. We are committed to creating an inclusive environment where all qualified applicants receive consideration for employment without regard to race, color, religion, sex, sexual orientation, gender identity, national origin, disability, veteran status, or any other protected characteristic. We encourage individuals from diverse backgrounds to apply and contribute to our innovative and supportive workplace culture.</t>
        </is>
      </c>
    </row>
    <row r="32">
      <c r="A32" t="inlineStr">
        <is>
          <t>li-4367957506</t>
        </is>
      </c>
      <c r="B32" t="inlineStr">
        <is>
          <t>Data Scientist</t>
        </is>
      </c>
      <c r="C32" t="inlineStr">
        <is>
          <t>Haystack</t>
        </is>
      </c>
      <c r="D32" t="inlineStr">
        <is>
          <t>linkedin</t>
        </is>
      </c>
      <c r="E32">
        <f>HYPERLINK("https://www.linkedin.com/jobs/view/4367957506", "https://www.linkedin.com/jobs/view/4367957506")</f>
        <v/>
      </c>
      <c r="F32" t="inlineStr"/>
      <c r="G32" t="inlineStr"/>
      <c r="H32" t="inlineStr"/>
      <c r="I32" t="inlineStr">
        <is>
          <t>**Data Scientist \| Remote\-Friendly \| $77,600 \- $176,000**
 We're working with Booz Allen Hamilton on this exciting opportunity.
 Are you a data visionary ready to unlock the power of information? Join Booz Allen Hamilton and leverage your expertise in IoT, machine learning, and AI to solve critical global challenges. Dive deep into complex datasets, transforming them into actionable insights that drive informed decisions across diverse sectors.
**The Role**
* Develop and implement cutting\-edge algorithms and data systems to extract meaningful insights.
* Collaborate directly with clients to understand their data needs and deliver impactful solutions.
* Utilize advanced analytical skills to create real\-world impact from diverse data environments.
* Construct robust ETL pipelines, querying APIs, and designing schemas for data storage.
* Apply statistical analysis, predictive modeling, and machine learning methods to complex problems.
**What You'll Need**
* Proven experience in data exploration, cleaning, analysis, visualization, and mining.
* Proficiency in Python, R, or SQL for data analysis and programming.
* Expertise in creating ETL pipelines and managing data schemas.
* Familiarity with version control tools like Git, GitLab, or GitHub.
* Strong understanding of statistical analysis, predictive modeling, and machine learning.
* Ability to design and develop automated analytic software and algorithms.
* Experience with data visualization tools such as Tableau, PowerBI, seaborn, or matplotlib.
* TS/SCI clearance is required.
**What's On Offer**
* Competitive salary ranging from $77,600 to $176,000\.
* Comprehensive health, life, disability, and retirement benefits.
* Opportunities for professional development and tuition assistance.
* A flexible, people\-first culture with remote\-friendly work options.
**Apply via Haystack today!**</t>
        </is>
      </c>
    </row>
    <row r="33">
      <c r="A33" t="inlineStr">
        <is>
          <t>li-4367971306</t>
        </is>
      </c>
      <c r="B33" t="inlineStr">
        <is>
          <t>Senior Data Scientist - AI</t>
        </is>
      </c>
      <c r="C33" t="inlineStr">
        <is>
          <t>Atlassian</t>
        </is>
      </c>
      <c r="D33" t="inlineStr">
        <is>
          <t>linkedin</t>
        </is>
      </c>
      <c r="E33">
        <f>HYPERLINK("https://www.linkedin.com/jobs/view/4367971306", "https://www.linkedin.com/jobs/view/4367971306")</f>
        <v/>
      </c>
      <c r="F33" t="inlineStr"/>
      <c r="G33" t="inlineStr">
        <is>
          <t>San Francisco, CA</t>
        </is>
      </c>
      <c r="H33" t="inlineStr"/>
      <c r="I33" t="inlineStr">
        <is>
          <t>**Overview**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We are looking for a Senior Data Scientist to partner with our AI teams. We’re seeking someone with strong business instincts, creativity, analytics mastery, and experience working alongside cross\-functional teams; someone who is passionate about applying these skills to drive smarter product decisions and ultimately, delight our customers.
**Your Responsibilities Include**
* Collaborate with cross\-functional teams to identify high\-impact opportunities for analysis and align analytics priorities with the AI roadmap and strategy.
* Quantify the impact of AI features on our business and customers.
* Understand insightful trends and employ behavioural data and insights to intelligently improve user journeys and customer value.
* Envision, scope, and execute projects by collaborating with product managers, engineers, designers, researchers, data engineers, and other data scientists
* Share your high\-quality insights and recommendations to various levels of leadership to drive critical business decisions
* Foster a world\-class analytics culture, leading by example, through education and the creation of self\-service tools, to make a lasting change in how your partners use data to make decisions.
**Qualification**
* Proven experience applying your analytics skills to projects that have had a positive impact on strategic and product roadmap decisions
* Expertise in SQL and proficiency in another data science programming language (eg Python, R)
* An agile development mindset, appreciating the benefit of constant iteration and improvement
* A very high bar for output quality, while balancing “having something now" vs. "perfection in the future"
* Strong ability to communicate, explain complex concepts to diverse audiences, and crafting compelling stories
* Project management and prioritisation experience; preferably with product management, design and software engineering teams
* Experience in using statistics as part of your role (e.g. regressions, A/B tests, forecasting)
* Proficiency in at least one visualisation tool (e.g. Tableau, R\-Shiny, Microstrategy, SAP Business Objects).
* A degree in a quantitative field (e.g. statistics, mathematics, physics, engineering, econometrics, computer science etc)
**It's a Bonus, But Not Required, If You Have**
* Previously worked in global teams and high\-growth companies
* An understanding of AI or SaaS development, business models and metrics
* Experience providing insight into how product changes impact user happiness and engagement
* Experience building ETL pipelines using any tools or scripting languages
* Are an active member of the broader analytics and data science community
* Advanced degree in Computer Science, Math or Statistics
**Qualifications**
**Compensation**
**Skills**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USD 175500 \- USD 229125
 Zone B: USD 158400 \- USD 206800
 Zone C: USD 145800 \- USD 190350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34">
      <c r="A34" t="inlineStr">
        <is>
          <t>li-4315313676</t>
        </is>
      </c>
      <c r="B34" t="inlineStr">
        <is>
          <t>Senior Data Scientist</t>
        </is>
      </c>
      <c r="C34" t="inlineStr">
        <is>
          <t>Best Buy</t>
        </is>
      </c>
      <c r="D34" t="inlineStr">
        <is>
          <t>linkedin</t>
        </is>
      </c>
      <c r="E34">
        <f>HYPERLINK("https://www.linkedin.com/jobs/view/4315313676", "https://www.linkedin.com/jobs/view/4315313676")</f>
        <v/>
      </c>
      <c r="F34">
        <f>HYPERLINK("https://bestbuylinkedinslots.thejobnetwork.com/Job/601145302?etd=MUVP6CXQ22IN5RIPX44DGFONMNJI4FQYCEFZV6VT5EYRPJTED567LSUZV7ZM6PIRHGXSJXZQ2KU5ZKCMEEV7ZRUWZRI4ITVCJKIJWW52JMKD7WTSTWEA%3d%3d%3d%3d&amp;urlHash=6Uwh", "https://bestbuylinkedinslots.thejobnetwork.com/Job/601145302?etd=MUVP6CXQ22IN5RIPX44DGFONMNJI4FQYCEFZV6VT5EYRPJTED567LSUZV7ZM6PIRHGXSJXZQ2KU5ZKCMEEV7ZRUWZRI4ITVCJKIJWW52JMKD7WTSTWEA%3d%3d%3d%3d&amp;urlHash=6Uwh")</f>
        <v/>
      </c>
      <c r="G34" t="inlineStr">
        <is>
          <t>Minneapolis, MN</t>
        </is>
      </c>
      <c r="H34" t="inlineStr"/>
      <c r="I34" t="inlineStr">
        <is>
          <t>As a
 **Senior Data Scientist,** 
 you will lead high\-impact analytics initiatives within our Ads Analytics team. In this manager\-level role, you’ll guide technical execution, mentor data scientists, and collaborate across teams to deliver insights that shape our advertising ecosystem.
 You’ll dive deep into experimental design, predictive modeling, and Bayesian statistics—while also helping build scalable analytics infrastructure and AI\-powered tools. If you love solving complex problems and translating data into clear, actionable strategies, this is the role for you.
**What You’ll Do**
* Lead analytics projects focused on ad performance, client measurement, and experimentation.
* Design and oversee experiments to evaluate product impact and optimize advertising outcomes.
* Build forecasting models and apply Bayesian frameworks to support strategic decisions.
* Develop scalable data pipelines and reporting tools across cloud platforms.
* Communicate insights through clear, compelling visualizations for technical and non\-technical audiences.
* Mentor junior data scientists and foster technical excellence across the team.
**Basic qualifications**
* 4\+ years of experience in data science roles focused on advertising, marketing analytics, or client measurement, with a strong ability to connect data insights to business strategy.
* 2\+ years of experience in experimental design, statistical modeling, and causal inference, with a conceptual understanding of how these methods support decision\-making and business impact.
* Proficient in Python or R and SQL, with 1\+ years of experience writing code that supports both analytical rigor and scalable data workflows.
* 1\+ year of experience working within cloud\-based data environments (e.g., GCP, AWS, Azure), with a conceptual understanding of cloud infrastructure and its role in scalable analytics.
* 2\+ years of experience leading data\-driven projects, influencing cross\-functional teams, and translating complex concepts into actionable strategies
* Bachelor's Degree on Statistics, Computer Science or a related field
**Preferred Qualifications**
* Advanced degree in Statistics, Computer Science, or a related field.
* Experience in ad tech or client\-facing analytics.
* Familiarity with AI/ML tools and their business applications.
**What’s In It For You**
 We’re committed to helping our people thrive at work and at home. We offer generous benefits that address your total well\-being and provide support as you need it, especially during key moments in your life.
**Our Benefits Include**
* Competitive pay
* Generous employee discount
* Physical and mental well\-being support
**About Us**
 As part of the Best Buy team, you’ll help us fulfill our purpose to enrich lives through technology. We bring that to life every day by humanizing and personalizing tech solutions for every stage of life—in our stores, online, and in customers’ homes.
 Our culture is built on deeply supporting and valuing our amazing employees who make it all possible. We’re committed to being a great place to work, where you can unlock unique career possibilities. Above all, we aim to provide a place where you can bring your full, authentic self to work now and into the future. Tomorrow works here.™
 Best Buy is an equal opportunity employer.
 Position Type: Full timePandoLogic. Keywords: Data Scientist, Location: Minneapolis, MN \- 55423</t>
        </is>
      </c>
    </row>
    <row r="35">
      <c r="A35" t="inlineStr">
        <is>
          <t>li-4367599377</t>
        </is>
      </c>
      <c r="B35" t="inlineStr">
        <is>
          <t>Data Scientist</t>
        </is>
      </c>
      <c r="C35" t="inlineStr">
        <is>
          <t>Haystack</t>
        </is>
      </c>
      <c r="D35" t="inlineStr">
        <is>
          <t>linkedin</t>
        </is>
      </c>
      <c r="E35">
        <f>HYPERLINK("https://www.linkedin.com/jobs/view/4367599377", "https://www.linkedin.com/jobs/view/4367599377")</f>
        <v/>
      </c>
      <c r="F35">
        <f>HYPERLINK("https://us.haystackapp.io/roles/6952ee54ec04aca1072b8635?src=linkedin&amp;urlHash=yLdH", "https://us.haystackapp.io/roles/6952ee54ec04aca1072b8635?src=linkedin&amp;urlHash=yLdH")</f>
        <v/>
      </c>
      <c r="G35" t="inlineStr">
        <is>
          <t>Fort Meade, MD</t>
        </is>
      </c>
      <c r="H35" t="inlineStr"/>
      <c r="I35" t="inlineStr">
        <is>
          <t>**AI Data Scientist \| Fort Meade, MD \| Remote\-Friendly \| $99,000 \- $225,000** 
 We're working with Booz Allen Hamilton on this exciting opportunity.
 Join a leading team at Booz Allen Hamilton as an AI Data Scientist, where you'll tackle complex national security challenges using cutting\-edge AI and Machine Learning techniques. This is your chance to shape strategic operational designs and directly impact national security through innovative data science. If you're passionate about leveraging data to solve critical problems, this role is for you!
**The Role** 
 • Lead the application of critical and creative thinking to complex national security problems
 • Conduct capability assessments on AI and ML technologies, including risk and vulnerability analysis
 • Design and implement data management and visualization solutions using Python, Tableau, or Power BI
 • Develop strategic knowledge of operational environments and frame mission analysis to inform decision\-making
**What You'll Need** 
 • 10\+ years of experience in Data Analysis and Data Science, with a focus on integrating data feeds
 • Expertise in AI, ML, and data management tools like Python, Tableau, or Power BI
 • Extensive experience supporting military or government operational level cyberspace, space, or cryptologic operations
 • Background in DoD Information Technology (IT), DoDIN, or cyberspace tactical environments
 • Current TS/SCI clearance
**What's On Offer** 
 • Competitive salary range of $99,000 \- $225,000
 • Comprehensive benefits package including health, life, disability, and retirement plans
 • Opportunities for professional development and tuition assistance
 • Flexible work\-life programs and a remote\-friendly environment
**Apply via Haystack today!**</t>
        </is>
      </c>
    </row>
    <row r="36">
      <c r="A36" t="inlineStr">
        <is>
          <t>li-4356591521</t>
        </is>
      </c>
      <c r="B36" t="inlineStr">
        <is>
          <t>Commercial Data Scientist</t>
        </is>
      </c>
      <c r="C36" t="inlineStr">
        <is>
          <t>Jobot</t>
        </is>
      </c>
      <c r="D36" t="inlineStr">
        <is>
          <t>linkedin</t>
        </is>
      </c>
      <c r="E36">
        <f>HYPERLINK("https://www.linkedin.com/jobs/view/4356591521", "https://www.linkedin.com/jobs/view/4356591521")</f>
        <v/>
      </c>
      <c r="F36" t="inlineStr"/>
      <c r="G36" t="inlineStr">
        <is>
          <t>Houston, TX</t>
        </is>
      </c>
      <c r="H36" t="inlineStr"/>
      <c r="I36" t="inlineStr">
        <is>
          <t>Want to learn more about this role and Jobot? Click our Jobot logo and follow our LinkedIn page!
 Job details
**Together we can fuel the future**
 This Jobot Job is hosted by Tarik Grant
 Are you a fit? Easy Apply now by clicking the "Easy Apply" button and sending us your resume.
 Salary $198,000 \- $242,000 per year
**A Bit About Us**
 We are a global leader in the energy sector, operating across oil, power, renewables, and carbon markets. Data and analytics are central to our decision\-making, helping optimize operations, trading, and market strategies. Our Commercial organization leverages assets, market knowledge, and integrated value chain strategies to create measurable business impact while driving the energy transition.
****Why join us?****
 As a Data Scientist, you’ll work at the intersection of data, technology, and business strategy, turning complex datasets into actionable insights that influence real\-world decisions. You’ll collaborate with trading desks, commercial teams, and engineering experts, applying advanced analytics and machine learning to solve high\-impact problems.
 This role is ideal for someone who enjoys complex, fast\-paced environments, thrives on problem\-solving, and wants their work to drive business value at scale in a rapidly evolving energy landscape.
**Job Details**
 As a Data Scientist, you will
 Analyze large, multi\-source datasets to uncover trends and insights.
 Develop, deploy, and maintain predictive analytics and machine learning models using MLOps best practices.
 Collaborate with trading, commercial, and IT teams to integrate ML solutions into operational systems.
 Perform statistical analysis, time series modeling, and data visualization to support decision\-making.
 Translate technical results into actionable recommendations for non\-technical stakeholders.
 Mentor colleagues and contribute to data science best practices, code reviews, and tooling decisions.
**Requirements**
 Master’s degree or Ph.D. in Computer Science, Data Science, Machine Learning, or related field
 3\+ years of industry experience in ML model development and deployment
 Proficiency in Python, ML frameworks (PyTorch, TensorFlow, scikit\-learn), Spark/Databricks on Azure
 Strong foundations in statistics, time series analysis, and econometrics
 Excellent communication and collaboration skills
**Preferred**
 Energy or commodities trading experience
 Experience integrating ML into dashboards (Dash, Streamlit)
 Comfortable working with ambiguous, high\-volume datasets and generating innovative solutions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7">
      <c r="A37" t="inlineStr">
        <is>
          <t>li-4367941801</t>
        </is>
      </c>
      <c r="B37" t="inlineStr">
        <is>
          <t>Senior Data Scientist</t>
        </is>
      </c>
      <c r="C37" t="inlineStr">
        <is>
          <t>GamblingCareers.com</t>
        </is>
      </c>
      <c r="D37" t="inlineStr">
        <is>
          <t>linkedin</t>
        </is>
      </c>
      <c r="E37">
        <f>HYPERLINK("https://www.linkedin.com/jobs/view/4367941801", "https://www.linkedin.com/jobs/view/4367941801")</f>
        <v/>
      </c>
      <c r="F37" t="inlineStr"/>
      <c r="G37" t="inlineStr">
        <is>
          <t>Los Angeles, CA</t>
        </is>
      </c>
      <c r="H37" t="inlineStr"/>
      <c r="I37" t="inlineStr">
        <is>
          <t>**About The Team**
 Fanatics is one of the world’s most transformative companies, which over the past decade has implemented a revolutionary vertical commerce model, cutting\-edge tech platform and agile supply chain to morph from a North American e\-commerce vendor into a new breed of mobile\-first consumer brand: part tech company, part on\-demand manufacturer and part logistics expert. Fanatics’ commerce division is the world’s largest manufacturer and provider of licensed sports merchandise, and the same innovation and differentiation the company applied to the antiquated licensed apparel industry is now being optimized across the entire sports ecosystem, including physical and digital trading cards and collectibles and online sports betting and iGaming. With more choices at the fingertips of consumers than ever before, Fanatics is building the leading global digital sports platform to create interactive, lasting fan experiences which also helps partners establish better direct\-to\-consumer relationships in today’s highly competitive world.
 Fanatics Collectibles has the combined vision and distinct strengths of both Fanatics and Topps that will improve the collector experience while maintaining vital parts of the hobby. Fanatics’ data\-driven, direct\-to\-consumer expertise, which includes a database of more than 80 million sports fans globally, will enhance and expand Topps’ existing digital capabilities and grow the market opportunity for all participants. In addition, Topps’ world\-class quality, product development, and manufacturing capabilities, along with their commitment to collectors and hobby shops, will ensure products are more readily accessible, positively impacting current and future collectors and partners.
**The Role**
 We are looking for senior\-level Data Scientists to join our Data Engineering, Science, and Analytics team. Do you thrive at applying data science to solve business problems? As a data scientist, you will have ample opportunities to apply your data science skillset to unlock vast business opportunities by extracting key insights using a wide range of data sources, advanced statistical models, and machine learning algorithms and translating results into meaningful, goal\-oriented business actions. Each day, you will be presented with a variety of new challenges and interesting projects that tap your interests and strengths.
**Responsibilities**
* Collaborate with cross\-functional partners in operations, finance, marketing, and engineering to understand business need and scope data science projects.
* Wrangle, process, cleanse, verify, and enrich data from different sources used for analysis.
* Help build data\-informed business strategy and roadmaps.
* Translate business needs into data product requirements, evaluate technologies, and identify opportunities to innovate and improve our data science capabilities.
* Use creative problem\-solving skills to analyze data and build statistical / machine learning models to help solve business problems from different perspectives.
* Work closely with data engineers to create services that can ingest and supply data to and from both internal and external sources and ensure data quality and timeliness.
* Lead the development of data visualization and dashboards to help the organization monitor performance, generate insights, and continuously improve user experience.
* Establish playbooks to drive process and consistent outcomes.
* Participating in the full life cycle of model development, which spans from business problem discovery, data discovery to model deployment and monitoring.
**Qualifications**
* Master’s or Doctoral degree in Computer Science (with a focus on Data Mining, Machine Learning), Statistics, Econometrics, Physics, or other rigorous quantitative disciplines that require processing and modeling data at a complex and large scale.
* 4\+ years of professional experience as a data scientist.
* Proficient in Python, SQL, Spark, the associated Python and Spark packages commonly used by data scientists, and Deep Learning libraries, such as PyTorch.
* Proficient in data wrangling and exploratory analysis, with the ability to extract meaningful insights from complex datasets and establish robust data foundations for downstream modeling efforts
* Strong understanding of and practical experience in a wide range of machine learning algorithms and statistical modeling and inference. Experiences with Generative AI/ LLM application is a strong plus.
* Experience and knowledge with computer vision domain, library such as OpenCV, PIL, and modern CV architectures (CNNs, Vision Transformers, Image Gen AI etc.) is preferred.
* Experience in software development, system design and deployment is preferred.
* Working experience in cloud\-native technology.
* Experience working with large structured and unstructured datasets stored in relational and NOSQL databases.
* Out\-of\-the\-box thinker and problem solver who can turn ambiguous business problems into clear data\-driven solutions that deliver meaningful business impacts.
* Excellent organizational skills, verbal and written communication skills, and presentation skills.
 In Los Angeles, the salary range for this position is $152,000\- $190,000, which represents base pay only and does not include short\-term or long\-term incentive compensation. In NYC, the salary range for this position is $168,000\- $210,000\. The listed salary ranges are specific to Los Angeles or NYC and may not be applicable to other locations. When determining base pay, as part of a final compensation package, we consider several factors such as location, experience, qualifications, and training.
 Ensure your Fanatics job offer is legitimate and don’t fall victim to fraud. Fanatics never seeks payment from job applicants. Feel free to ask your recruiter for a phone call or other type of communication for interview, and ensure your communication is coming from a Fanatics email address (including @collectfanatics.com). For added security, where possible, apply through our company website at www.fanaticsinc.com/careers</t>
        </is>
      </c>
    </row>
    <row r="38">
      <c r="A38" t="inlineStr">
        <is>
          <t>li-4352011390</t>
        </is>
      </c>
      <c r="B38" t="inlineStr">
        <is>
          <t>Data Scientist</t>
        </is>
      </c>
      <c r="C38" t="inlineStr">
        <is>
          <t>Jobot</t>
        </is>
      </c>
      <c r="D38" t="inlineStr">
        <is>
          <t>linkedin</t>
        </is>
      </c>
      <c r="E38">
        <f>HYPERLINK("https://www.linkedin.com/jobs/view/4352011390", "https://www.linkedin.com/jobs/view/4352011390")</f>
        <v/>
      </c>
      <c r="F38" t="inlineStr"/>
      <c r="G38" t="inlineStr">
        <is>
          <t>The Woodlands, TX</t>
        </is>
      </c>
      <c r="H38" t="inlineStr"/>
      <c r="I38" t="inlineStr">
        <is>
          <t>Want to learn more about this role and Jobot? Click our Jobot logo and follow our LinkedIn page!
 Job details
**Raw Data Wrangling \- Advance Analytics**
 This Jobot Job is hosted by Chuck Wirtz
 Are you a fit? Easy Apply now by clicking the "Easy Apply" button and sending us your resume.
 Salary $110,000 \- $125,000 per year
**A Bit About Us**
 As a leader in our industry, we serve 40\+ states nationwide. This role is a dedicated Data Scientist, onsite 4x/week in The Woodlands, Stock \+ Bonus.
****Why join us?****
 You will join an established, dedicated team led by experienced engineers. We are ingesting large volumes of data to drive enterprise\-level change, leveraging the latest in AI to optimize processes, improve decision\-making, and deliver measurable value.
**Job Details**
 Python
 Spark/PySpark
 SQL/MySQL/SparkSQL
 Tableau
 Databricks
 AWS Glue
 Linear Regression \- GLM \- Random Forrest
 GenAI/LLM
 No sponsorship or C2C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39">
      <c r="A39" t="inlineStr">
        <is>
          <t>li-4367706878</t>
        </is>
      </c>
      <c r="B39" t="inlineStr">
        <is>
          <t>Asset Management Investment Platform - Data Scientist Associate</t>
        </is>
      </c>
      <c r="C39" t="inlineStr">
        <is>
          <t>hackajob</t>
        </is>
      </c>
      <c r="D39" t="inlineStr">
        <is>
          <t>linkedin</t>
        </is>
      </c>
      <c r="E39">
        <f>HYPERLINK("https://www.linkedin.com/jobs/view/4367706878", "https://www.linkedin.com/jobs/view/4367706878")</f>
        <v/>
      </c>
      <c r="F39" t="inlineStr"/>
      <c r="G39" t="inlineStr">
        <is>
          <t>New York, NY</t>
        </is>
      </c>
      <c r="H39" t="inlineStr"/>
      <c r="I39" t="inlineStr">
        <is>
          <t>***hackajob** 
 is collaborating with
 **J.P. Morgan** 
 to connect them with exceptional tech professionals for this role.*
**Job Description**
 JPMorgan Asset Management Data Science team works closely with investors and portfolio managers to analyze large collection of textual data including financial reports, analyst notes, call transcripts, news to help investors make informed decisions by gauging market sentiment, identifying trending and emerging themes, detecting risks and exposures at scale. We are looking for passionate NLP scientists to apply latest methodologies to generate actionable insights directly consumed by our business partners.
**Job Summary**
 As an Asset Management AI/ML Data Scientist \- Associate on the Asset Management Investment Platform Data Science team you will leverage innovative and cutting\-edge NLP and LLM expertise to develop business\-centric products. In this role, you will implement AI solutions to enhance investment processes, elevate client experiences, and streamline operations. By extracting vital insights from financial reports, analyst notes, and client communications, you will empower smart data\-driven decision making and enable process automation.
**Job Responsibilities**
* Collaborate with internal stakeholders to understand business needs, build out requirements, and design technical architectures
* Develop technical solutions utilizing LLMs for a variety of problems including content extraction, search and question answering, reasoning and recommendation
* Build comprehensive testing setups to evaluate model performances and ensure the efficacy and reliability of the solutions
* Collaborate with engineering functions to deliver high quality, scalable output
* Study scientific articles and research papers to identify emerging and state\-of\-the\-art techniques and discover new approaches
**Required Qualifications, Skills And Capabilities**
* 2\-3 years of experience delivering AI/ML product and managing stakeholder relationships
* Advanced degree in Data Science, Computer Science, or Machine Learning
* Proven experience in NLP and working with LLMs
* Proficiency in programming languages such as Python and familiarity with ML libraries and frameworks
* Excellent communication skills and ability to work collaboratively in a fast\-paced, dynamic environment
* Strong analytical skills with an understanding of financial markets and asset management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40">
      <c r="A40" t="inlineStr">
        <is>
          <t>li-4359775849</t>
        </is>
      </c>
      <c r="B40" t="inlineStr">
        <is>
          <t>Sr. Applied Scientist, Prime Video - Personalization and Discovery Science</t>
        </is>
      </c>
      <c r="C40" t="inlineStr">
        <is>
          <t>Prime Video &amp; Amazon MGM Studios</t>
        </is>
      </c>
      <c r="D40" t="inlineStr">
        <is>
          <t>linkedin</t>
        </is>
      </c>
      <c r="E40">
        <f>HYPERLINK("https://www.linkedin.com/jobs/view/4359775849", "https://www.linkedin.com/jobs/view/4359775849")</f>
        <v/>
      </c>
      <c r="F40" t="inlineStr"/>
      <c r="G40" t="inlineStr">
        <is>
          <t>New York, United States</t>
        </is>
      </c>
      <c r="H40" t="inlineStr"/>
      <c r="I40"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A3118785</t>
        </is>
      </c>
    </row>
    <row r="41">
      <c r="A41" t="inlineStr">
        <is>
          <t>li-4367596672</t>
        </is>
      </c>
      <c r="B41" t="inlineStr">
        <is>
          <t>Data Scientist - Compete</t>
        </is>
      </c>
      <c r="C41" t="inlineStr">
        <is>
          <t>Jobs via Dice</t>
        </is>
      </c>
      <c r="D41" t="inlineStr">
        <is>
          <t>linkedin</t>
        </is>
      </c>
      <c r="E41">
        <f>HYPERLINK("https://www.linkedin.com/jobs/view/4367596672", "https://www.linkedin.com/jobs/view/4367596672")</f>
        <v/>
      </c>
      <c r="F41" t="inlineStr"/>
      <c r="G41" t="inlineStr">
        <is>
          <t>Redmond, WA</t>
        </is>
      </c>
      <c r="H41" t="inlineStr"/>
      <c r="I41" t="inlineStr">
        <is>
          <t>**Overview**
 Are you a data professional deeply interested in the current race in AI? Come join us! We are looking for a
 **Data Scientist** 
 to support Compete.
 We help quantify how Microsoft products are performing relative to the broader marketplace e.g. market share across a variety of metrics. We use a wide combination of data sources (1P, 3P, public, surveys, panels, etc) and science models to produce our estimates. As a business facing team, interest and ability to connect product and strategy hypotheses back to data and qualitative factors is central to the role. AI is a big focus, both as a competitive space (e.g. Copilot, ChatGPT, Gemini, Claude, etc) and because we are actively integrating AI into our daily workflows.
 Join over 150 data scientists on the broader horizontal IDEAs team where data science, engineering, and PM work together to support multiple business and product verticals at scale! In this role you will both support stakeholders directly and work with the broader IDEAs team to scale your solutions across Microsoft.
 We play a crucial role in supporting Microsoft 365 and the Experiences \+ Devices group (E\+D),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Business Understanding, Impact, and Management. Understands problems facing projects. Able to leverage knowledge of data science to uncover important factors that can influence outcomes. Describes the primary objectives of the team from a business perspective. Collaborates with internal cross\-functional stakeholders to understand business needs. Produces a project plan to specify necessary steps required for completion. Assesses current situation for resources, risks, contingencies, requirements, assumptions, and constraints. Engages business stakeholders to capture and shape their thinking on data\-driven methods. Leads customer conversations to understand, define, and solve business problems. Influences stakeholders by effectively making compelling cases through storytelling, visualizations, and other influencing tools. Exemplifies and enforces team standards related to bias, privacy, and ethics.
* Data Preparation and Understanding. Acquires data necessary for successful completion of the project plan. Proactively detects changes and communicates to senior leads. Develops useable data sets for modeling purposes. Contributes to ethics and privacy policies related to collecting and preparing data by providing updates and suggestions around internal best practices. Contributes to data integrity/cleanliness conversations with customers.
* Coding and Debugging. Writes efficient, readable, extensible code from scratch that spans multiple features/solutions. Develops technical expertise in proper modeling, coding, and/or debugging techniques. Understands the causes of common defects and uses best practices in preventing them from occurring. Collaborates with other teams and leverages best practices from those teams into work of their own team. Mentors and guides less experienced scientists in better understanding coding and debugging best practices.
* Customer/Partner Orientation. Applies a customer\-oriented focus by understanding customer needs and perspectives. Builds trust with customers by leveraging interpretability and knowledge of Microsoft products and solutions. Helps drive realistic customer expectations, including information about the limitations of their data.
* Industry and Research Knowledge / Opportunity Identification. Uses business knowledge and technical expertise to provide feedback to the engineering team to identify potential future business opportunities. Develops an understanding of work being done across teams to propose potential collaboration efforts. Coaches and provides support to execute strategy. Leverages capabilities within existing systems.
* Modeling and Statistical Analysis. Leverages knowledge of machine learning solutions and individual algorithms to identify the best approach to complete objectives. Understands modeling techniques and selects the correct approach to prepare data, train and optimize the model, and evaluate the output for statistical and business significance. Breaks down complex statistics and machine learning topics into manageable topics to explain to customers.
**Qualifications**
**Required Qualifications:**
* Bachelor's Degree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 OR Doctorate in Data Science, Mathematics, Statistics, Econometrics, Economics, Operations Research, Computer Science, or related field AND 1\+ year(s) data\-science experience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Longer job experience than the minimum required
* Experience writing SQL queries
* Experience supporting software products and metrics (e.g. active usage)
* Experience directly supporting business stakeholders
* Experience working with product and engineering to scale your solutions
 \#DPG
 Data Science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2">
      <c r="A42" t="inlineStr">
        <is>
          <t>li-4359983520</t>
        </is>
      </c>
      <c r="B42" t="inlineStr">
        <is>
          <t>Principal Data Scientist</t>
        </is>
      </c>
      <c r="C42" t="inlineStr">
        <is>
          <t>Microsoft</t>
        </is>
      </c>
      <c r="D42" t="inlineStr">
        <is>
          <t>linkedin</t>
        </is>
      </c>
      <c r="E42">
        <f>HYPERLINK("https://www.linkedin.com/jobs/view/4359983520", "https://www.linkedin.com/jobs/view/4359983520")</f>
        <v/>
      </c>
      <c r="F42" t="inlineStr"/>
      <c r="G42" t="inlineStr">
        <is>
          <t>Redmond, WA</t>
        </is>
      </c>
      <c r="H42" t="inlineStr"/>
      <c r="I42" t="inlineStr">
        <is>
          <t>**Overview**
 We are inviting you to join the Microsoft Advertising Data Science Team. Microsoft Advertising platform is the single stop shop for all monetization needs for Publishers and Advertisers globally. Our team manages the marketplace, which includes monitoring business metrics, defining metrics, building analytical \&amp; experimentation frameworks, and enabling leadership to make data driven decisions. The team works across Engineering, Product and Business to address complex data science problems across users, advertisers, and publishers.
 We are looking for a
 **Principal Data Scientist** 
 leader, creative modeling geeks who are willing to work in a dynamic environment to solve real life day to day problems, leveraging data science techniques. You will enjoy and be successful in this role if you are curious and willing to challenge the status quo and come up with data driven solutions to ambiguous problems.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Measurement: Define, invent, and deliver metrics which accurately measure user and business value across various products and marketplace components.
* Experimental Design: Think critically about sampling and experimental design across User and Demand dimensions.
* Product Iteration: Interpret the results of analyses, validate approaches, and learn to monitor, analyze, and iterate to continuously improve.
* Cooperation: Partner effectively with program management, engineers, and other areas of the business across our Consumer online business
* Influence: engage with stakeholders to produce clear, compelling, and actionable insights and data\-science driven workflows that influence product and service improvements.
* Make independent decisions for the team and handle difficult tradeoffs.
* Translate strategy into plans that are clear and measurable, with progress shared out monthly to stakeholders.
**Qualifications**
**Required Qualifications:**
* Doctorate in Data Science, Mathematics, Statistics, Econometrics, Economics, Operations Research, Computer Science, or related field AND 5\+ year(s) data\-science experience (e.g., managing structured and unstructured data, applying statistical techniques and reporting results)
+ OR Master's Degree in Data Science, Mathematics, Statistics, Econometrics, Economics, Operations Research, Computer Science, or related field AND 7\+ years data\-science experience (e.g., managing structured and unstructured data, applying statistical techniques and reporting results)
+ OR Bachelor's Degree in Data Science, Mathematics, Statistics, Econometrics, Economics, Operations Research, Computer Science, or related field AND 10\+ years data\-science experience (e.g., managing structured and unstructured data, applying statistical techniques and reporting results)
+ OR equivalent experience.
* 5\+ years of experience in at least one of programming languages like Python/R/MATLAB/C\#/Java/C\+\+
* Experience in applying statistics, designing experimentation and metrics particularly in Advertising platforms.
**Preferred Qualifications**
* Organizational, analytical, data science skills and intuition .
* Problem solver: ability to solve problems that the world has not solved before ,
* Interpersonal skills: cross\-group and cross\-culture collaboration.
* Experience with real world system building and data collection, including design, coding and evaluation.
* Excellent communication to be able to communicate insights to senior leaders.
* Experience with driving large collaboration across multiple teams.
* Experience with communicating with different audiences to provide insights.
* Demonstrated experience in applying statistics, experimentation and metrics to generate clear actionable insights.
 Data Science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3">
      <c r="A43" t="inlineStr">
        <is>
          <t>li-4359973566</t>
        </is>
      </c>
      <c r="B43" t="inlineStr">
        <is>
          <t>Principal Applied Scientist</t>
        </is>
      </c>
      <c r="C43" t="inlineStr">
        <is>
          <t>Microsoft</t>
        </is>
      </c>
      <c r="D43" t="inlineStr">
        <is>
          <t>linkedin</t>
        </is>
      </c>
      <c r="E43">
        <f>HYPERLINK("https://www.linkedin.com/jobs/view/4359973566", "https://www.linkedin.com/jobs/view/4359973566")</f>
        <v/>
      </c>
      <c r="F43" t="inlineStr"/>
      <c r="G43" t="inlineStr">
        <is>
          <t>Redmond, WA</t>
        </is>
      </c>
      <c r="H43" t="inlineStr"/>
      <c r="I43" t="inlineStr">
        <is>
          <t>**Overview**
 Be at the forefront of AI by joining M365 Copilot team and take part in shaping the future of AI\-powered user experiences across multiple Microsoft platforms. As a Principal Applied Scientist, you will transform how M365 users conduct Deep Research by finetuning LLMs, chain of thought techniques, intelligent information retrieval techniques or through agent orchestration. These innovations will enhance M365 Chat, Researcher agent, Windows Companions, or highly personalized search and recommendations systems in widely used office applications.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master and gain expertise in broad areas of AI and ML, including trending research techniques.
* You’ll also gain deep knowledge of building enterprise intelligence on office user’s data.
* You will review business requirements and incorporate research to meet business goals.
* You ‘ll provide strategic direction for the kinds of data used to solve problems and apply deep subject matter knowledge to support business impact.
* You will identify and inspire peers and new research talent to join Microsoft, build relationships, and advocate for research initiatives.
* You’ll share research findings through industry outreach, collaborate with the academic community, and help develop the recruiting pipeline.
* You will document work in progress and experimentation results and share findings to promote innovation.
* You’ll also use your deep understanding of fairness and bias to contribute to ethics and privacy policies related to research processes and data collection.
* You will collaborate with a multidisciplinary team to create scalable and ethical AI solutions.
**Qualifications**
 Required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3\+ year(s) experience developing and deploying live production systems, as part of a product team.
* 1\+ years experience in Large Language Modeling (LLM) or Machine Learning (ML)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Statistics, Econometrics, Computer Science, Electrical or Computer Engineering, or related field AND 9\+ years related experience (e.g., statistics, predictive analytics, research) \-
+ OR Doctorate in Statistics, Econometrics, Computer Science, Electrical or Computer Engineering, or related field AND 6\+ years related experience (e.g., statistics, predictive analytics, research)
* OR equivalent experience.
* 5\+ years experience creating publications (e.g., patents, libraries, peer\-reviewed academic papers).
* 2\+ years experience presenting at conferences or other events in the outside research/industry community as an invited speaker.
* 5\+ years experience conducting research as part of a research program (in academic or industry settings).
* 3\+ years experience developing and deploying live production systems, as part of a product team.
* 3\+ years experience developing and deploying products or systems at multiple points in the product cycle from ideation to shipping.
 \#M365Core
 Applied Sciences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4">
      <c r="A44" t="inlineStr">
        <is>
          <t>li-4354154140</t>
        </is>
      </c>
      <c r="B44" t="inlineStr">
        <is>
          <t>Senior Data Scientist</t>
        </is>
      </c>
      <c r="C44" t="inlineStr">
        <is>
          <t>Jobot</t>
        </is>
      </c>
      <c r="D44" t="inlineStr">
        <is>
          <t>linkedin</t>
        </is>
      </c>
      <c r="E44">
        <f>HYPERLINK("https://www.linkedin.com/jobs/view/4354154140", "https://www.linkedin.com/jobs/view/4354154140")</f>
        <v/>
      </c>
      <c r="F44" t="inlineStr"/>
      <c r="G44" t="inlineStr">
        <is>
          <t>Los Angeles, CA</t>
        </is>
      </c>
      <c r="H44" t="inlineStr"/>
      <c r="I44" t="inlineStr">
        <is>
          <t>Want to learn more about this role and Jobot? Click our Jobot logo and follow our LinkedIn page!
 Job details
**Urgently hiring Senior Data Scientist!**
 This Jobot Job is hosted by Kendall Kaing
 Are you a fit? Easy Apply now by clicking the "Easy Apply" button and sending us your resume.
 Salary $80,000 \- $150,000 per year
**A Bit About Us**
 Are you interested in working for the world's largest cannabis market with a footprint that covers the entire breadth of the state of California? Are you someone who wants to be part of the growth of a fast\-growing industry? At client company, our mission is clear to provide the ultimate one stop shop cannabis experience by offering exceptional customer service and diversified products. We strive to build long\-term customer loyalty. We’re building a consumer\-centric organization that is focused on sharing the transformational potential of cannabis with the world.
 Our product line is one of the best\-selling cannabis brands in the market today and has claimed the title of the best\-selling vape brand across all BDSA\-tracked markets and best\-selling brand overall in the California market! We are rooted in California and have expanded our operations across the United States, with even more growth on the horizon! Additionally, we’re building distribution networks to bring our products to over 60 countries worldwide.
 We recognize that our employees are at the center of our success, and we take pride in a corporate culture that emphasizes our core values Influence, Inspire, Innovate, Win, \&amp; Grow!
 Our employees come from a wide range of retail backgrounds, each bringing their own unique skills and talents to the table as we work together to continue our incredible growth. If you are interested in partaking in the journey of building a nationally recognized and leading brand, we want to hear from you!
****Why join us?****
**Benefits \&amp; Compensation**
 Additional details about compensation and benefits eligibility for this role will be provided during the hiring process. All employees are provided competitive compensation, paid training, and employee discounts on our products and services. We offer a range of benefits packages based on employee eligibility, including
 Paid Vacation Time, Paid Sick Leave, Paid Holidays, Parental Leave.
 Health, Dental, and Vision Insurance.
 Employee Assistance Program.
 401k with generous employer match.
 Life Insurance.
**Job Details**
 Data Scientist
 Why this role matters
 You’ll architect, build, and operate the data infrastructure that powers analytics, machine learning, and operational reporting across the organization. This is a hands\-on role for a data scientist who thrives at the intersection of engineering, modeling, and production\-grade systems.
 What you’ll do
* Design and evolve our lakehouse architecture (Delta Lake on AWS/Azure), including storage layout, compute strategy (Databricks, EMR, Synapse), and performance SLAs
* Build robust batch and streaming data pipelines using Apache Spark (PySpark/Scala), Databricks Workflows, Azure Data Factory, and event\-driven integrations (Kinesis, Event Hubs, Kafka)
* Develop and maintain analytical and ML\-ready data models, semantic layers, and dimensional schemas for BI and production use
* Implement observability and reliability features including custom Spark metrics, anomaly detection, logging, and automated data quality checks
* Optimize compute and storage performance through cluster tuning, caching, partitioning, and format selection, with measurable cost savings
* Enforce data governance policies including RBAC, row\-level security, cataloging, lineage tracking, and compliance with GDPR, HIPAA/FHIR, and CCPA/CDPA
* Collaborate with analytics, product, and platform teams to define SLAs, manage incident response, and guide data contract best practices
* Mentor junior engineers and lead design reviews, setting standards for scalable, maintainable data systems
 What you bring
* 8\+ years of experience in data science or data engineering
* Expert\-level Python and SQL; working knowledge of Scala/Java for Spark
* 3–5\+ years of experience with Apache Spark and Databricks (including Delta Live Tables and performance tuning)
* Strong cloud experience in AWS (S3, EMR, Glue, Lambda, Kinesis) and/or Azure (ADLS Gen2, ADF, Event Hubs, Synapse)
* Experience with orchestration tools (Airflow, ADF) and transformation frameworks (dbt)
* Familiarity with data warehouses such as Snowflake, Redshift, or Databricks SQL
* Proven track record of cost and performance optimization in cloud data environments
* Solid foundation in data modeling, CI/CD, Docker/Linux, and Git
* Ability to translate business needs into scalable data products and lead projects end\-to\-end
 Nice to have
* Experience with custom Spark listeners, low\-latency streaming, or event\-driven architectures
* Exposure to healthcare data pipelines (FHIR) and DLT troubleshooting
* Dashboarding experience with Power BI, Tableau, or Looker
* Familiarity with governance frameworks and MLOps (feature stores, model monitoring)
 Our stack
 Databricks, Spark (PySpark/Scala), Delta Lake, Airflow, ADF, dbt, AWS (S3/EMR/Glue/Kinesis), Azure (ADLS/Synapse/Event Hubs), Terraform, GitHub Actions, Docker, CloudWatch, REST
 Success in 6–12 months looks like
 Reliable, observable pipelines with \&lt;1% failure rate and clear SLAs
 - 30–50% faster time\-to\-insight for key analytics use cases
- Significant cost savings from optimized compute and storage
- High stakeholder trust in platform reliability and alerting systems
 Interested in hearing more? Easy Apply now by clicking the "Easy Apply" button.
 Jobot is an Equal Opportunity Employer. We provide an inclusive work environment that celebrates diversity and all qualified candidates receive consideration for employment without regard to race, color, sex, sexual orientation, gender identity, religion, national origin, age (40 and over), disability, military status, genetic information or any other basis protected by applicable federal, state, or local laws. Jobot also prohibits harassment of applicants or employees based on any of these protected categories. It is Jobot’s policy to comply with all applicable federal, state and local laws respecting consideration of unemployment status in making hiring decisions.
 Sometimes Jobot is required to perform background checks with your authorization. Jobot will consider qualified candidates with criminal histories in a manner consistent with any applicable federal, state, or local law regarding criminal backgrounds, including but not limited to the Los Angeles Fair Chance Initiative for Hiring and the San Francisco Fair Chance Ordinance.
 Information collected and processed as part of your Jobot candidate profile, and any job applications, resumes, or other information you choose to submit is subject to Jobot's Privacy Policy, as well as the Jobot California Worker Privacy Notice and Jobot Notice Regarding Automated Employment Decision Tools which are available at jobot.com/legal.
 By applying for this job, you agree to receive calls, AI\-generated calls, text messages, or emails from Jobot, and/or its agents and contracted partners. Frequency varies for text messages. Message and data rates may apply. Carriers are not liable for delayed or undelivered messages. You can reply STOP to cancel and HELP for help. You can access our privacy policy here jobot.com/privacy\-policy
**Want to learn more about this role and Jobot?**
 Click our Jobot logo and follow our LinkedIn page!</t>
        </is>
      </c>
    </row>
    <row r="45">
      <c r="A45" t="inlineStr">
        <is>
          <t>li-4345342234</t>
        </is>
      </c>
      <c r="B45" t="inlineStr">
        <is>
          <t>AI &amp; GenAI Data Scientist - Manager</t>
        </is>
      </c>
      <c r="C45" t="inlineStr">
        <is>
          <t>PwC</t>
        </is>
      </c>
      <c r="D45" t="inlineStr">
        <is>
          <t>linkedin</t>
        </is>
      </c>
      <c r="E45">
        <f>HYPERLINK("https://www.linkedin.com/jobs/view/4345342234", "https://www.linkedin.com/jobs/view/4345342234")</f>
        <v/>
      </c>
      <c r="F45" t="inlineStr"/>
      <c r="G45" t="inlineStr">
        <is>
          <t>New York, NY</t>
        </is>
      </c>
      <c r="H45" t="inlineStr"/>
      <c r="I45"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6">
      <c r="A46" t="inlineStr">
        <is>
          <t>li-4360652409</t>
        </is>
      </c>
      <c r="B46" t="inlineStr">
        <is>
          <t>Sr. Applied Scientist, Prime Video - Personalization and Discovery Science</t>
        </is>
      </c>
      <c r="C46" t="inlineStr">
        <is>
          <t>Prime Video &amp; Amazon MGM Studios</t>
        </is>
      </c>
      <c r="D46" t="inlineStr">
        <is>
          <t>linkedin</t>
        </is>
      </c>
      <c r="E46">
        <f>HYPERLINK("https://www.linkedin.com/jobs/view/4360652409", "https://www.linkedin.com/jobs/view/4360652409")</f>
        <v/>
      </c>
      <c r="F46" t="inlineStr"/>
      <c r="G46" t="inlineStr">
        <is>
          <t>Seattle, WA</t>
        </is>
      </c>
      <c r="H46" t="inlineStr"/>
      <c r="I46"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
**Basic Qualifications**
* PhD, or Master's degree and 6\+ years of applied research experience
* 5\+ years of building machine learning models for business application experience
* Experience programming in Java, C\+\+, Python or related language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\- 192,200\.00 \- 260,000\.00 USD annually
 USA, NY, New York \- 183,800\.00 \- 248,700\.00 USD annually
 USA, WA, Seattle \- 167,100\.00 \- 226,100\.00 USD annually
**Company** 
 \- Amazon.com Services LLC
 Job ID: A3118785</t>
        </is>
      </c>
    </row>
    <row r="47">
      <c r="A47" t="inlineStr">
        <is>
          <t>li-4367711674</t>
        </is>
      </c>
      <c r="B47" t="inlineStr">
        <is>
          <t>Data Scientist</t>
        </is>
      </c>
      <c r="C47" t="inlineStr">
        <is>
          <t>Jobs via Dice</t>
        </is>
      </c>
      <c r="D47" t="inlineStr">
        <is>
          <t>linkedin</t>
        </is>
      </c>
      <c r="E47">
        <f>HYPERLINK("https://www.linkedin.com/jobs/view/4367711674", "https://www.linkedin.com/jobs/view/4367711674")</f>
        <v/>
      </c>
      <c r="F47">
        <f>HYPERLINK("https://click.appcast.io/t/va-Vd5WmlxZxsOcZ4GA1OkmbBI0cIcAULZKRLh_xZck=&amp;urlHash=Z3RB", "https://click.appcast.io/t/va-Vd5WmlxZxsOcZ4GA1OkmbBI0cIcAULZKRLh_xZck=&amp;urlHash=Z3RB")</f>
        <v/>
      </c>
      <c r="G47" t="inlineStr">
        <is>
          <t>Redmond, WA</t>
        </is>
      </c>
      <c r="H47" t="inlineStr"/>
      <c r="I47" t="inlineStr">
        <is>
          <t>**Overview**
 Cloud Operations \&amp; Innovation (CO\+I) is the engine behind Microsoft's cloud. We operate a global portfolio of more than 400 datacenters and millions of servers, supporting digital services for over one billion customers and twenty million businesses across more than ninety countries. This infrastructure is designed, operated, and continuously improved by teams of deep technical experts who safeguard reliability, trust, and scale.
 IT Process and Standards (ITPS), a team within CO\+I Core Datacenter Services (CDS), envisions a unified, automated approach to managing IT operations processes and standards across Microsoft's global datacenter fleet. This ensures the ability to maintain and restore IT capacity efficiently and effectively to meet cloud service availability targets at scale. ITPS defines and evolves processes that underpin datacenter IT operations, including breakfix workflows, service transition, planning and scheduling, and IT service management orchestration. By equipping operations teams with the right tools and procedures, ITPS supports innovation and growth across offerings such as Azure AI, high\-performance computing clusters, and mission\-critical workloads.
 We are seeking a highly skilled
 **Data Scientist** 
 to join our Data Science team within ITPS. This role is critical for formulating business problems, exploring and analyzing data, and designing and testing predictive and forecasting models. The Data Scientist will identify opportunities for machine learning and predictive analysis, and communicate effectively to influence data\-driven decisions across the organization. The candidate will have strong technical expertise in advanced analytics, machine learning, and software development, as well as excellent business acumen and collaborative communication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Formulate business problems and translate them into actionable data science projects.
* Explore, analyze, and centralize data to supply meaningful insights and create a single version of the truth.
* Design, prototype, implement, and test descriptive, predictive, forecasting, and causal inference models.
* Identify and action IT operations return to capacity success improvement; perform defect analysis, quantify opportunities, and set targets.
* Partner and collaborate with teams to identify opportunities for machine learning and predictive analysis.
* Build and deploy visualizations that deliver insights to decision\-makers at all organizational levels.
* Communicate effectively with technical and non\-technical audiences, contributing modeling expertise as a team player.
* Influence across disciplines to ensure data\-driven decisions and solve critical problems for customers.
* Mentor others and foster a culture of continuous learning.
* Stay current with advances in the data science industry.
* Other
* 
+ Embody our Culture and Values
**Qualifications**
**Required/minimum qualifications**
 Doctorate in Data Science, Mathematics, Statistics, Econometrics, Economics, Operations Research, Computer Science, or related field AND 1\+ year(s) data\-science experience (e.g., managing structured and unstructured data, applying statistical techniques and reporting results) OR Master's Degree in Data Science, Mathematics, Statistics, Econometrics, Economics, Operations Research, Computer Science, or related field AND 3\+ years data\-science experience (e.g., managing structured and unstructured data, applying statistical techniques and reporting results) OR Bachelor's Degree in Data Science, Mathematics, Statistics, Econometrics, Economics, Operations Research, Computer Science, or related field AND 5\+ years data\-science experience (e.g., managing structured and unstructured data, applying statistical techniques and reporting results) OR equivalent experience.
**Additional Or Preferred Qualifications**
 Doctorate in Data Science, Mathematics, Statistics, Econometrics, Economics, Operations Research, Computer Science, or related field AND 3\+ years data\-science experience (e.g., managing structured and unstructured data, applying statistical techniques and reporting results) OR Master's Degree in Data Science, Mathematics, Statistics, Econometrics, Economics, Operations Research, Computer Science, or related field AND 5\+ years data\-science experience (e.g., managing structured and unstructured data, applying statistical techniques and reporting results) OR Bachelor's Degree in Data Science, Mathematics, Statistics, Econometrics, Economics, Operations Research, Computer Science, or related field AND 7\+ years data\-science experience (e.g., managing structured and unstructured data, applying statistical techniques and reporting results) OR equivalent experience.
**Background Check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\#COICareers \| \#EPCCareers \| \#DCDCareers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48">
      <c r="A48" t="inlineStr">
        <is>
          <t>li-4332572312</t>
        </is>
      </c>
      <c r="B48" t="inlineStr">
        <is>
          <t>AI &amp; GenAI Data Scientist - Manager</t>
        </is>
      </c>
      <c r="C48" t="inlineStr">
        <is>
          <t>PwC</t>
        </is>
      </c>
      <c r="D48" t="inlineStr">
        <is>
          <t>linkedin</t>
        </is>
      </c>
      <c r="E48">
        <f>HYPERLINK("https://www.linkedin.com/jobs/view/4332572312", "https://www.linkedin.com/jobs/view/4332572312")</f>
        <v/>
      </c>
      <c r="F48" t="inlineStr"/>
      <c r="G48" t="inlineStr">
        <is>
          <t>Dallas, TX</t>
        </is>
      </c>
      <c r="H48" t="inlineStr"/>
      <c r="I48"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49">
      <c r="A49" t="inlineStr">
        <is>
          <t>li-4345322346</t>
        </is>
      </c>
      <c r="B49" t="inlineStr">
        <is>
          <t>AI &amp; GenAI Data Scientist - Manager</t>
        </is>
      </c>
      <c r="C49" t="inlineStr">
        <is>
          <t>PwC</t>
        </is>
      </c>
      <c r="D49" t="inlineStr">
        <is>
          <t>linkedin</t>
        </is>
      </c>
      <c r="E49">
        <f>HYPERLINK("https://www.linkedin.com/jobs/view/4345322346", "https://www.linkedin.com/jobs/view/4345322346")</f>
        <v/>
      </c>
      <c r="F49" t="inlineStr"/>
      <c r="G49" t="inlineStr">
        <is>
          <t>Salt Lake City, UT</t>
        </is>
      </c>
      <c r="H49" t="inlineStr"/>
      <c r="I49"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0">
      <c r="A50" t="inlineStr">
        <is>
          <t>li-4345342237</t>
        </is>
      </c>
      <c r="B50" t="inlineStr">
        <is>
          <t>AI &amp; GenAI Data Scientist - Manager</t>
        </is>
      </c>
      <c r="C50" t="inlineStr">
        <is>
          <t>PwC</t>
        </is>
      </c>
      <c r="D50" t="inlineStr">
        <is>
          <t>linkedin</t>
        </is>
      </c>
      <c r="E50">
        <f>HYPERLINK("https://www.linkedin.com/jobs/view/4345342237", "https://www.linkedin.com/jobs/view/4345342237")</f>
        <v/>
      </c>
      <c r="F50">
        <f>HYPERLINK("https://ad.doubleclick.net/ddm/clk/438405794;254302458;m?https://jobs.us.pwc.com/job/-/-/932/90417058032?utm_source=linkedin.com&amp;utm_campaign=core_media&amp;utm_medium=social_media&amp;utm_content=job_posting&amp;ss=paid&amp;urlHash=RhTJ", "https://ad.doubleclick.net/ddm/clk/438405794;254302458;m?https://jobs.us.pwc.com/job/-/-/932/90417058032?utm_source=linkedin.com&amp;utm_campaign=core_media&amp;utm_medium=social_media&amp;utm_content=job_posting&amp;ss=paid&amp;urlHash=RhTJ")</f>
        <v/>
      </c>
      <c r="G50" t="inlineStr">
        <is>
          <t>Kansas City, MO</t>
        </is>
      </c>
      <c r="H50" t="inlineStr"/>
      <c r="I50"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1">
      <c r="A51" t="inlineStr">
        <is>
          <t>li-4332592393</t>
        </is>
      </c>
      <c r="B51" t="inlineStr">
        <is>
          <t>AI &amp; GenAI Data Scientist - Manager</t>
        </is>
      </c>
      <c r="C51" t="inlineStr">
        <is>
          <t>PwC</t>
        </is>
      </c>
      <c r="D51" t="inlineStr">
        <is>
          <t>linkedin</t>
        </is>
      </c>
      <c r="E51">
        <f>HYPERLINK("https://www.linkedin.com/jobs/view/4332592393", "https://www.linkedin.com/jobs/view/4332592393")</f>
        <v/>
      </c>
      <c r="F51" t="inlineStr"/>
      <c r="G51" t="inlineStr">
        <is>
          <t>Tulsa, OK</t>
        </is>
      </c>
      <c r="H51" t="inlineStr"/>
      <c r="I51"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2">
      <c r="A52" t="inlineStr">
        <is>
          <t>li-4367702736</t>
        </is>
      </c>
      <c r="B52" t="inlineStr">
        <is>
          <t>Principal Data Scientist Manager</t>
        </is>
      </c>
      <c r="C52" t="inlineStr">
        <is>
          <t>Jobs via Dice</t>
        </is>
      </c>
      <c r="D52" t="inlineStr">
        <is>
          <t>linkedin</t>
        </is>
      </c>
      <c r="E52">
        <f>HYPERLINK("https://www.linkedin.com/jobs/view/4367702736", "https://www.linkedin.com/jobs/view/4367702736")</f>
        <v/>
      </c>
      <c r="F52" t="inlineStr"/>
      <c r="G52" t="inlineStr">
        <is>
          <t>Redmond, WA</t>
        </is>
      </c>
      <c r="H52" t="inlineStr"/>
      <c r="I5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big data analytics team provides a range of products that enable data engineers and data scientists to extract intelligence from all data \- structured, semi\-structured, and unstructured. We build the Data Engineering, Data Science, and Data Integration pillars of Microsoft Fabric.
 In particular, we are hiring for the Gray Systems Lab (GSL), an applied research group part of the Azure Data CTO office. GSL tackles interesting challenges in both open\-source and proprietary technologies related to analytics, cloud, AI, and storage systems among others. We build reliable, highly scalable and highly performing distributed systems for data analytics on Azure, we publish in top\-conferences and are actively involved in open\-source projects. GSL researchers and engineers have contributed hundreds of academic papers and build technologies that impacted tens of millions of dollars of Microsoft revenues/costs. We work on novel technologies including analytics on GPUs, container technologies, graph databases, infrastructure and models for LLMs and data\-science, machine learning for systems, and many other areas. Data Scientist in GSL focus on LLM based research as well as ML\-for\-Systems work, designed to create innovative experiences in the context of all products of Azure Data, as well as optimize and improve the efficiency of how we operate our systems. Managers in GSL act as expert guides designing a broad research agenda and working with individual researchers in pursuing world\-class novel research and successfully tech transfer it to product. GSL managers are technically active.
 The current role is for a lead of the LLM team in GSL, where you will lead a small team in exploring research topics and creating real world impact. The team has access to powerful compute resources and frontier models that we work with and to advance.
 We do not just value differences or different perspectives. We seek them out and invite them in so we can tap into the collective power of everyone in the company. As a result, our customers are better served.
**Responsibilities**
 As a Principal Data Scientist Manager, you have an opportunity to work on the latest technology of LLMs and Data Science and apply them to some of the largest problems in industry, including practical applications of ML on workload insight and optimization, apply innovative algorithms for solving placement and load balancing problems at scale. In GSL we seek collaborative and inclusive manager who can think big, working on the bleeding edge envisioning a new future, and work with our team of researchers and engineers to make it happen. Want to change the world with data and large\-scale distributed systems? Do you want to solve challenges that you didn't even know existed until you get to a large size? Come join us on the Azure data team!
 Managers deliver success through empowerment and accountability by modeling, coaching, and caring.
 Model \- Live our culture; Embody our values; Practice our leadership principles.
 Coach \- Define team objectives and outcomes; Enable success across boundaries; Help the team adapt and learn.
 Care \- Attract and retain great people; Know each individual's capabilities and aspirations; Invest in the growth of others.
 Business Understanding and Impact:
 Leverages subject matter expertise and organizational resources to analyze overarching problems and issues facing projects to uncover, manage, and/or mitigate factors that can influence final outcomes. Anticipates roadblocks and ensures proper resources are in place to alleviate their impact. Oversees development of Product Engineering project plans and ensures evaluation of resources, risks, contingencies, requirements, assumptions, and constraints. Leads strategy development efforts spanning multiple projects and communicates efforts to senior leadership. Develops a cohesive, strategic vision and considers broader impact within discipline and within Microsoft as a whole.
 Data Preparation and Understanding:
 Leverages technical expertise to support team members and manage activities taken to construct final dataset from initial raw data. Oversees cross\-collaboration efforts to ensure data is prepared in a multi\-functional approach. Supports team in understanding key technologies and tools necessary for data exploration (e.g., structured query language \[SQL], Python). Coaches less experienced engineers in data analysis standards and best practices. Drives discussions around ethics and privacy policies related to research processes and data/information collection. Initiates and finds new data streams and new business opportunities.
 Embody our culture and values
**Qualifications**
**Required/minimum qualifications**
* Bachelor's Degree in Statistics, Econometrics, Computer Science, Electrical or Computer Engineering, or related field AND 8\+ years related experience (e.g., statistics, predictive analytics, research)
+ OR Master's Degree in Statistics, Econometrics, Computer Science, Electrical or Computer Engineering, or related field AND 6\+ years related experience (e.g., statistics, predictive analytics, research)
+ OR Doctorate in Statistics, Econometrics, Computer Science, Electrical or Computer Engineering, or related field AND 5\+ years related experience (e.g., statistics, predictive analytics, research)
+ OR equivalent experience.
* 3\+ years of people management experience.
 Ability to meet Microsoft, customer and/or government security screening requirements are required for this role. These requirements include, but are not limited to the following specialized security screenings: Microsoft Cloud Background Check
**Other Requirements**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**Additional Or Preferred Qualifications**
- Master's Degree in Statistics, Econometrics, Computer Science, Electrical or Computer Engineering, or related field AND 12\+ years related experience (e.g., statistics, predictive analytics, research)
- OR Doctorate in Statistics, Econometrics, Computer Science, Electrical or Computer Engineering, or related field AND 8\+ years related experience (e.g., statistics, predictive analytics, research)
* OR equivalent experience.
* 7\+ years of people management experience.
* 3\+ years experience presenting at conferences or other events in the outside research/industry community as an invited speaker.
* 7\+ years experience conducting research as part of a research program (in academic or industry settings).
* 5\+ years experience developing and deploying live production systems, as part of a product team.
* 7\+ years experience developing and deploying products or systems at multiple points in the product cycle from ideation to shipping.
 \#azdat
 \#azuredata
 \#gsl \#azdat \#azuredata
 Applied Sciences M6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3">
      <c r="A53" t="inlineStr">
        <is>
          <t>li-4351852374</t>
        </is>
      </c>
      <c r="B53" t="inlineStr">
        <is>
          <t>AI &amp; GenAI Data Scientist - Manager</t>
        </is>
      </c>
      <c r="C53" t="inlineStr">
        <is>
          <t>PwC</t>
        </is>
      </c>
      <c r="D53" t="inlineStr">
        <is>
          <t>linkedin</t>
        </is>
      </c>
      <c r="E53">
        <f>HYPERLINK("https://www.linkedin.com/jobs/view/4351852374", "https://www.linkedin.com/jobs/view/4351852374")</f>
        <v/>
      </c>
      <c r="F53" t="inlineStr"/>
      <c r="G53" t="inlineStr">
        <is>
          <t>Louisville, KY</t>
        </is>
      </c>
      <c r="H53" t="inlineStr"/>
      <c r="I53" t="inlineStr">
        <is>
          <t>**Specialty/Competency:** 
 Data, Analytics \&amp; AI
**Industry/Sector:** 
 Not Applicable
**Time Type:** 
 Full time
**Travel Requirements:** 
 Up to 80%
 At PwC, our people in data and analytics focus on leveraging data to drive insights and make informed business decisions. They utilise advanced analytics techniques to help clients optimise their operations and achieve their strategic goals. In data analysis at PwC, you will focus on utilising advanced analytical techniques to extract insights from large datasets and drive data\-driven decision\-making. You will leverage skills in data manipulation, visualisation, and statistical modelling to support clients in solving complex business problems.
 Enhancing your leadership style, you motivate, develop and inspire others to deliver quality. You are responsible for coaching, leveraging team member’s unique strengths, and managing performance to deliver on client expectations. With your growing knowledge of how business works, you play an important role in identifying opportunities that contribute to the success of our Firm. You are expected to lead with integrity and authenticity, articulating our purpose and values in a meaningful way. You embrace technology and innovation to enhance your delivery and encourage others to do the same.
**Skills**
 Examples of the skills, knowledge, and experiences you need to lead and deliver value at this level include but are not limited to:
* Analyse and identify the linkages and interactions between the component parts of an entire system.
* Take ownership of projects, ensuring their successful planning, budgeting, execution, and completion.
* Partner with team leadership to ensure collective ownership of quality, timelines, and deliverables.
* Develop skills outside your comfort zone, and encourage others to do the same.
* Effectively mentor others.
* Use the review of work as an opportunity to deepen the expertise of team members.
* Address conflicts or issues, engaging in difficult conversations with clients, team members and other stakeholders, escalating where appropriate.
* Uphold and reinforce professional and technical standards (e.g. refer to specific PwC tax and audit guidance), the Firm's code of conduct, and independence requirements.
**Minimum Degree Required**
 Bachelor's Degree
**Minimum Year(s) Of Experience**
 7 year(s)
 Demonstrates extensive\-level abilities and/or a proven record of success managing the identification and addressing of client needs:
* Managing development teams in building of AI and GenAI solutions, including but not limited to analytical modeling, prompt engineering, general all\-purpose programming (e.g., Python), testing, communication of results, front end and back\-end integration, and iterative development with clients
* Documenting and analyzing business processes for AI and Generative AI opportunities, including gathering of requirements, creation of initial hypotheses, and development of AI/GenAI solution approach
* Collaborating with client team to understand their business problem and select the appropriate models and approaches for AI/GenAI use cases
* Designing and solutioning AI/GenAI architectures for clients, specifically for plugin\-based solutions (i.e., ChatClient application with plugins) and custom AI/GenAI application builds
* Managing teams to process unstructured and structured data to be consumed as context for LLMs, including but not limited to embedding of large text corpus, generative development of SQL queries, building connectors to structured databases
* Managing daily operations of a global data and analytics team on client engagements, review developed models, provide feedback and assist in analysis;
* Directing data engineers and other data scientists to deliver efficient solutions to meet client requirements;
* Leading and contributing to development of proof of concepts, pilots, and production use cases for clients while working in cross\-functional teams;
* Facilitating and conducting executive level presentations to showcase GenAI solutions, development progress, and next steps
* Structuring, write, communicate and facilitate client presentations; and,
* Managing associates and senior associates through coaching, providing feedback, and guiding work performance.
 Demonstrates Extensive Abilities And/or a Proven Record Of Success Learning And Performing In Functional And Technical Capacities, Including The Following Areas
* Managing GenAI application development teams including back\-end and front\-end integrations
* Using Python (e.g., Pandas, NLTK, Scikit\-learn, Keras, etc.), common LLM development frameworks (e.g., Langchain, Semantic Kernel), Relational storage (SQL), Non\-relational storage (NoSQL);
* Experience in analytical techniques such as Machine Learning, Deep Learning and Optimization
* Vectorization and embedding, prompt engineering, RAG (retrieval, augmented, generation) workflow dev
* Understanding or hands on experience with Azure, AWS, and / or Google Cloud platforms
* Experience with Git Version Control, Unit/Integration/End\-to\-End Testing, CI/CD, release management, etc.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Applications will be accepted until the position is filled or the posting is removed, unless otherwise set forth on the following webpage. Please visit this link for information about anticipated application deadlines: https://pwc.to/us\-application\-deadlines
 The salary range for this position is: $99,000 \- $232,000\.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4">
      <c r="A54" t="inlineStr">
        <is>
          <t>li-4367710721</t>
        </is>
      </c>
      <c r="B54" t="inlineStr">
        <is>
          <t>AI Applied Scientist II</t>
        </is>
      </c>
      <c r="C54" t="inlineStr">
        <is>
          <t>Jobs via Dice</t>
        </is>
      </c>
      <c r="D54" t="inlineStr">
        <is>
          <t>linkedin</t>
        </is>
      </c>
      <c r="E54">
        <f>HYPERLINK("https://www.linkedin.com/jobs/view/4367710721", "https://www.linkedin.com/jobs/view/4367710721")</f>
        <v/>
      </c>
      <c r="F54">
        <f>HYPERLINK("https://click.appcast.io/t/YbnfLIGPpY9TGjCReo6ZlvdvnmZtieKifHO8u2SjvFk=&amp;urlHash=hwSa", "https://click.appcast.io/t/YbnfLIGPpY9TGjCReo6ZlvdvnmZtieKifHO8u2SjvFk=&amp;urlHash=hwSa")</f>
        <v/>
      </c>
      <c r="G54" t="inlineStr">
        <is>
          <t>Redmond, WA</t>
        </is>
      </c>
      <c r="H54" t="inlineStr"/>
      <c r="I54" t="inlineStr">
        <is>
          <t>**Overview**
 As a Applied Scientist II \- AI for The Customer Service Applications Team, you will play a pivotal role in advancing Microsoft's mission to empower every individual and organization on the planet to achieve more. You will contribute to the development and integration of cutting\-edge AI technologies into Microsoft products and services, ensuring they are inclusive, ethical, and impactful. You will collaborate across product, research and engineering teams to bring innovative solutions to life, applying your expertise in machine learning, data science, and AI to solve complex problems. Your work will directly influence product direction and customer experience. Microsoft is driving innovation and openness in AI, aiming to build an open architecture platform where users can deploy customized AI agents for real\-world impact. The role seeks individuals with both AI and applied science expertise, a growth mindset, and customer empathy to help address significant challenges and shape the future of AI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Collaborate with product and business teams to deliver impactful AI solutions using advanced techniques like foundation models, prompt engineering, and multi\-solution architectures.
 Fine\-tune AI models with domain\-specific data, evaluate and monitor their performance, and rapidly prototype and deploy AI systems.
 Support MLOps by translating research into production\-ready applications, maintaining clear documentation, and sharing insights. \- Proactively address ethical, privacy, and security risks to ensure responsible AI development throughout the lifecycle.
 Design, develop, and integrate generative AI solutions using deep understanding of language models, deep learning, and optimization techniques to solve business problems.
 Prepare and analyze data for machine learning, identify optimal features, and address data gaps using modern frameworks and state\-of\-the\-art models. \- Ensure scalability and performance of AI solutions, continuously monitor model behavior, and adapt to evolving data streams.
**Qualifications**
 Required Qualifications: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OR equivalent experience.
 1\+ years of experience with Generative AI OR LLM/ML algorithms. Other Requirements:Ability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Bachelor's Degree in Statistics, Econometrics, Computer Science, Electrical or Computer Engineering, or related field AND 2\+ years related experience (e.g., statistics, predictive analytics, research)
 OR Master's Degree in Statistics, Econometrics, Computer Science, Electrical or Computer Engineering, or related field AND 1\+ years related experience (e.g., statistics, predictive analytics, research)
 OR Doctorate in Statistics, Econometrics, Computer Science, Electrical or Computer Engineering, or related field \- OR equivalent experience. \- 1\+ years of experience working with Generative AI models and ML stacks.
 Experience across the product lifecycle from ideation to shipping. \- Experience with MLOps Workflows, including CI/CD, monitoring, and retraining pipelines. \- Familiarity with modern LLMOps frameworks (e.g., LangChain, PromptFlow).
 Experience developing and deploying live production systems one or more of the following: C\#, Java, React/Angular, TypeScript.
 Experience with design and implementation of enterprise\-scale services.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\#BICJOBS
 Applied Sciences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5">
      <c r="A55" t="inlineStr">
        <is>
          <t>li-4367711687</t>
        </is>
      </c>
      <c r="B55" t="inlineStr">
        <is>
          <t>Senior UX Data Scientist</t>
        </is>
      </c>
      <c r="C55" t="inlineStr">
        <is>
          <t>Jobs via Dice</t>
        </is>
      </c>
      <c r="D55" t="inlineStr">
        <is>
          <t>linkedin</t>
        </is>
      </c>
      <c r="E55">
        <f>HYPERLINK("https://www.linkedin.com/jobs/view/4367711687", "https://www.linkedin.com/jobs/view/4367711687")</f>
        <v/>
      </c>
      <c r="F55">
        <f>HYPERLINK("https://click.appcast.io/t/izuXOLpAkLHaM99EDfXg8vDa2LHux0XQ8cBiS9nlGFo=&amp;urlHash=FYEU", "https://click.appcast.io/t/izuXOLpAkLHaM99EDfXg8vDa2LHux0XQ8cBiS9nlGFo=&amp;urlHash=FYEU")</f>
        <v/>
      </c>
      <c r="G55" t="inlineStr">
        <is>
          <t>Redmond, WA</t>
        </is>
      </c>
      <c r="H55" t="inlineStr"/>
      <c r="I55" t="inlineStr">
        <is>
          <t>**Overview**
 We are a team of product designers, UX researchers, data scientists, content designers, and technical writers. Together with our PM and Engineering partners, we design product experiences that are trusted, human\-centered, and easy to use, enabling our users to manage, protect and secure their digital environments with peace of mind.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As a Senior UX Data Scientist, you will use your data insight skills to influence impactful UX projects and long\-term strategic explorations. Your role will be pivotal in validating our belief that good UX equates to good business.
 You will dive into telemetry/instrumentation datasets to uncover patterns of user behavior and connect those to gaps in the customer experience and opportunities for business impact. We are looking for a visionary who can bring fresh ideas to the table, expand the existing data\-driven approach to steer product UX strategy, and exhibit strong leadership, research, storytelling, and organizational skills. Essential to the role is business acumen and the capacity to collaborate effectively across teams.
**Responsibilities**
* Work closely with data scientists, data analysts, and UX Researchers to define user\-level behavioral telemetry in our product portfolio.
* Develop data collection and statistical analysis strategies, ensuring data integrity and accuracy.
* Develop an understanding of technical and non\-technical users of Microsoft Security products to ensure we are designing solutions that meet their expectations.
* Expand the UX measurement framework to measure the effectiveness of UX improvements and track user engagement.
* Use data analytic and data scientific approaches to measure and understand user behavior and UX challenges.
* Collaborate closely with cross\-functional teams, including product managers, designers, and engineers, to define research objectives and incorporate insights into the product development process.
* Utilize analytic tools and techniques to analyze very large data sets, derive meaningful insights, and uncover patterns and trends related to user behavior.
* Present research findings, insights, and recommendations to stakeholders in a clear and concise manner, both verbally and through visual presentations.
* Stay updated on industry trends, emerging technologies, and best practices in UX research and data analysis and apply them to enhance our research methodologies and techniques.
**Qualifications**
**Required/minimum qualifications:**
* Doctorate in Data Science, Mathematics, Statistics, Econometrics, Economics, Operations Research, Computer Science, or related field AND 1\+ year(s) data\-science experience (e.g., managing structured and unstructured data, applying statistical techniques and reporting results)
+ OR Master's Degree in Data Science, Mathematics, Statistics, Econometrics, Economics, Operations Research, Computer Science, or related field AND 3\+ years data\-science experience (e.g., managing structured and unstructured data, applying statistical techniques and reporting results)
+ OR Bachelor's Degree in Data Science, Mathematics, Statistics, Econometrics, Economics, Operations Research, Computer Science, or related field AND 5\+ years data\-science experience (e.g., managing structured and unstructured data, applying statistical techniques and reporting results)
+ OR equivalent experience.
* Experience managing structured and unstructured data including coding in at least one high\-level programming language such as Python, R, C/C\+\+, C\#, or Java.
* Proven experience analyzing user experience either through UX research or UX focused data science
**Additional or preferred qualifications:**
- Doctorate in Data Science, Mathematics, Statistics, Econometrics, Economics, Operations Research, Computer Science, or related field AND 3\+ years data\-science experience (e.g., managing structured and unstructured data, applying statistical techniques and reporting results)
* OR Master's Degree in Data Science, Mathematics, Statistics, Econometrics, Economics, Operations Research, Computer Science, or related field AND 5\+ years data\-science experience (e.g., managing structured and unstructured data, applying statistical techniques and reporting results)
* OR Bachelor's Degree in Data Science, Mathematics, Statistics, Econometrics, Economics, Operations Research, Computer Science, or related field AND 7\+ years data\-science experience (e.g., managing structured and unstructured data, applying statistical techniques and reporting results)
* OR equivalent experience.
* Expertise in algorithms, machine learning, and deep learning.
* Proficiency in data mining, big data technologies, and experimentation methods (e.g., A/B testing).
* Ability to influence and tell compelling data stories.
* Experience working in Agile development environments is preferred.
* Experience building dashboards using tools such as PowerBI, Tableau, or similar.
 Data Science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;br\&gt;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2026-02-01T04:36:52Z</dcterms:created>
  <dcterms:modified xsi:type="dcterms:W3CDTF">2026-02-01T04:36:52Z</dcterms:modified>
</cp:coreProperties>
</file>