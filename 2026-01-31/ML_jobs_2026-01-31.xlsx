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8"/>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in-462ce44166a26961</t>
        </is>
      </c>
      <c r="B2" t="inlineStr">
        <is>
          <t>Sr. Applied Scientist, Amazon Ads</t>
        </is>
      </c>
      <c r="C2" t="inlineStr">
        <is>
          <t>Amazon.com</t>
        </is>
      </c>
      <c r="D2" t="inlineStr">
        <is>
          <t>indeed</t>
        </is>
      </c>
      <c r="E2" t="inlineStr"/>
      <c r="F2" t="inlineStr"/>
      <c r="G2" t="inlineStr">
        <is>
          <t>Corvallis, OR, US</t>
        </is>
      </c>
      <c r="H2" s="2" t="n">
        <v>45998</v>
      </c>
      <c r="I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
      <c r="A3" t="inlineStr">
        <is>
          <t>in-17b1f05fa506bf1c</t>
        </is>
      </c>
      <c r="B3" t="inlineStr">
        <is>
          <t>Sr. Applied Scientist, Amazon Ads</t>
        </is>
      </c>
      <c r="C3" t="inlineStr">
        <is>
          <t>Amazon.com</t>
        </is>
      </c>
      <c r="D3" t="inlineStr">
        <is>
          <t>indeed</t>
        </is>
      </c>
      <c r="E3" t="inlineStr"/>
      <c r="F3" t="inlineStr"/>
      <c r="G3" t="inlineStr">
        <is>
          <t>New York, NY, US</t>
        </is>
      </c>
      <c r="H3" s="2" t="n">
        <v>45998</v>
      </c>
      <c r="I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
      <c r="A4" t="inlineStr">
        <is>
          <t>in-133197eb6e9c3680</t>
        </is>
      </c>
      <c r="B4" t="inlineStr">
        <is>
          <t>Sr. Applied Scientist, Amazon Ads</t>
        </is>
      </c>
      <c r="C4" t="inlineStr">
        <is>
          <t>Amazon.com</t>
        </is>
      </c>
      <c r="D4" t="inlineStr">
        <is>
          <t>indeed</t>
        </is>
      </c>
      <c r="E4" t="inlineStr"/>
      <c r="F4" t="inlineStr"/>
      <c r="G4" t="inlineStr">
        <is>
          <t>Palo Alto, CA, US</t>
        </is>
      </c>
      <c r="H4" s="2" t="n">
        <v>45998</v>
      </c>
      <c r="I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
      <c r="A5" t="inlineStr">
        <is>
          <t>in-5ae5c6d9c3d42b19</t>
        </is>
      </c>
      <c r="B5" t="inlineStr">
        <is>
          <t>Sr. Applied Scientist, Amazon Ads</t>
        </is>
      </c>
      <c r="C5" t="inlineStr">
        <is>
          <t>Amazon.com</t>
        </is>
      </c>
      <c r="D5" t="inlineStr">
        <is>
          <t>indeed</t>
        </is>
      </c>
      <c r="E5" t="inlineStr"/>
      <c r="F5" t="inlineStr"/>
      <c r="G5" t="inlineStr">
        <is>
          <t>Seattle, WA, US</t>
        </is>
      </c>
      <c r="H5" s="2" t="n">
        <v>45998</v>
      </c>
      <c r="I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
      <c r="A6" t="inlineStr">
        <is>
          <t>in-2d5357bfcc77acd5</t>
        </is>
      </c>
      <c r="B6" t="inlineStr">
        <is>
          <t>Sr. Applied Scientist, Amazon Ads</t>
        </is>
      </c>
      <c r="C6" t="inlineStr">
        <is>
          <t>Amazon.com</t>
        </is>
      </c>
      <c r="D6" t="inlineStr">
        <is>
          <t>indeed</t>
        </is>
      </c>
      <c r="E6" t="inlineStr"/>
      <c r="F6" t="inlineStr"/>
      <c r="G6" t="inlineStr">
        <is>
          <t>Boston, MA, US</t>
        </is>
      </c>
      <c r="H6" s="2" t="n">
        <v>45998</v>
      </c>
      <c r="I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
      <c r="A7" t="inlineStr">
        <is>
          <t>in-ab0c84c58d79eeb4</t>
        </is>
      </c>
      <c r="B7" t="inlineStr">
        <is>
          <t>Sr. Applied Scientist, Amazon Ads</t>
        </is>
      </c>
      <c r="C7" t="inlineStr">
        <is>
          <t>Amazon.com</t>
        </is>
      </c>
      <c r="D7" t="inlineStr">
        <is>
          <t>indeed</t>
        </is>
      </c>
      <c r="E7" t="inlineStr"/>
      <c r="F7" t="inlineStr"/>
      <c r="G7" t="inlineStr">
        <is>
          <t>Boulder, CO, US</t>
        </is>
      </c>
      <c r="H7" s="2" t="n">
        <v>45998</v>
      </c>
      <c r="I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
      <c r="A8" t="inlineStr">
        <is>
          <t>in-a6d43efb871d8d07</t>
        </is>
      </c>
      <c r="B8" t="inlineStr">
        <is>
          <t>Sr. Applied Scientist, Amazon Ads</t>
        </is>
      </c>
      <c r="C8" t="inlineStr">
        <is>
          <t>Amazon.com</t>
        </is>
      </c>
      <c r="D8" t="inlineStr">
        <is>
          <t>indeed</t>
        </is>
      </c>
      <c r="E8" t="inlineStr"/>
      <c r="F8" t="inlineStr"/>
      <c r="G8" t="inlineStr">
        <is>
          <t>Tukwila, WA, US</t>
        </is>
      </c>
      <c r="H8" s="2" t="n">
        <v>45998</v>
      </c>
      <c r="I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
      <c r="A9" t="inlineStr">
        <is>
          <t>in-b9d1e5fff629134f</t>
        </is>
      </c>
      <c r="B9" t="inlineStr">
        <is>
          <t>Sr. Applied Scientist, Amazon Ads</t>
        </is>
      </c>
      <c r="C9" t="inlineStr">
        <is>
          <t>Amazon.com</t>
        </is>
      </c>
      <c r="D9" t="inlineStr">
        <is>
          <t>indeed</t>
        </is>
      </c>
      <c r="E9" t="inlineStr"/>
      <c r="F9" t="inlineStr"/>
      <c r="G9" t="inlineStr">
        <is>
          <t>Sunnyvale, CA, US</t>
        </is>
      </c>
      <c r="H9" s="2" t="n">
        <v>45998</v>
      </c>
      <c r="I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
      <c r="A10" t="inlineStr">
        <is>
          <t>in-d1a77deb0cca9d2e</t>
        </is>
      </c>
      <c r="B10" t="inlineStr">
        <is>
          <t>Sr. Applied Scientist, Amazon Ads</t>
        </is>
      </c>
      <c r="C10" t="inlineStr">
        <is>
          <t>Amazon.com</t>
        </is>
      </c>
      <c r="D10" t="inlineStr">
        <is>
          <t>indeed</t>
        </is>
      </c>
      <c r="E10" t="inlineStr"/>
      <c r="F10" t="inlineStr"/>
      <c r="G10" t="inlineStr">
        <is>
          <t>Brooklyn, NY, US</t>
        </is>
      </c>
      <c r="H10" s="2" t="n">
        <v>45998</v>
      </c>
      <c r="I1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1">
      <c r="A11" t="inlineStr">
        <is>
          <t>in-f9d3f08cce770b14</t>
        </is>
      </c>
      <c r="B11" t="inlineStr">
        <is>
          <t>Sr. Applied Scientist, Amazon Ads</t>
        </is>
      </c>
      <c r="C11" t="inlineStr">
        <is>
          <t>Amazon.com</t>
        </is>
      </c>
      <c r="D11" t="inlineStr">
        <is>
          <t>indeed</t>
        </is>
      </c>
      <c r="E11" t="inlineStr"/>
      <c r="F11" t="inlineStr"/>
      <c r="G11" t="inlineStr">
        <is>
          <t>Santa Monica, CA, US</t>
        </is>
      </c>
      <c r="H11" s="2" t="n">
        <v>45998</v>
      </c>
      <c r="I1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
      <c r="A12" t="inlineStr">
        <is>
          <t>in-12ac3a4affc0c920</t>
        </is>
      </c>
      <c r="B12" t="inlineStr">
        <is>
          <t>Principal Applied Scientist, Amazon Special Projects</t>
        </is>
      </c>
      <c r="C12" t="inlineStr">
        <is>
          <t>Amazon.com</t>
        </is>
      </c>
      <c r="D12" t="inlineStr">
        <is>
          <t>indeed</t>
        </is>
      </c>
      <c r="E12" t="inlineStr"/>
      <c r="F12" t="inlineStr"/>
      <c r="G12" t="inlineStr">
        <is>
          <t>Boston, MA, US</t>
        </is>
      </c>
      <c r="H12" s="2" t="n">
        <v>45982</v>
      </c>
      <c r="I12"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in-da099156f46cbadb</t>
        </is>
      </c>
      <c r="B13" t="inlineStr">
        <is>
          <t>Principal Applied Scientist, Amazon Special Projects</t>
        </is>
      </c>
      <c r="C13" t="inlineStr">
        <is>
          <t>Amazon.com</t>
        </is>
      </c>
      <c r="D13" t="inlineStr">
        <is>
          <t>indeed</t>
        </is>
      </c>
      <c r="E13" t="inlineStr"/>
      <c r="F13" t="inlineStr"/>
      <c r="G13" t="inlineStr">
        <is>
          <t>Seattle, WA, US</t>
        </is>
      </c>
      <c r="H13" s="2" t="n">
        <v>45982</v>
      </c>
      <c r="I13"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in-1f23268539b27ad2</t>
        </is>
      </c>
      <c r="B14" t="inlineStr">
        <is>
          <t>Applied Scientist II, SPB Advertiser Guidance</t>
        </is>
      </c>
      <c r="C14" t="inlineStr">
        <is>
          <t>Amazon.com</t>
        </is>
      </c>
      <c r="D14" t="inlineStr">
        <is>
          <t>indeed</t>
        </is>
      </c>
      <c r="E14" t="inlineStr"/>
      <c r="F14" t="inlineStr"/>
      <c r="G14" t="inlineStr">
        <is>
          <t>Palo Alto, CA, US</t>
        </is>
      </c>
      <c r="H14" s="2" t="n">
        <v>45980</v>
      </c>
      <c r="I1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in-bf4abec462c94fd9</t>
        </is>
      </c>
      <c r="B15" t="inlineStr">
        <is>
          <t>Sr. Applied Scientist, AGI Foundations</t>
        </is>
      </c>
      <c r="C15" t="inlineStr">
        <is>
          <t>Amazon.com</t>
        </is>
      </c>
      <c r="D15" t="inlineStr">
        <is>
          <t>indeed</t>
        </is>
      </c>
      <c r="E15" t="inlineStr"/>
      <c r="F15" t="inlineStr"/>
      <c r="G15" t="inlineStr">
        <is>
          <t>New York, NY, US</t>
        </is>
      </c>
      <c r="H15" s="2" t="n">
        <v>45978</v>
      </c>
      <c r="I1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in-161c3eccf29eb4b7</t>
        </is>
      </c>
      <c r="B16" t="inlineStr">
        <is>
          <t>Sr. Applied Scientist, AGI Foundations</t>
        </is>
      </c>
      <c r="C16" t="inlineStr">
        <is>
          <t>Amazon.com</t>
        </is>
      </c>
      <c r="D16" t="inlineStr">
        <is>
          <t>indeed</t>
        </is>
      </c>
      <c r="E16" t="inlineStr"/>
      <c r="F16" t="inlineStr"/>
      <c r="G16" t="inlineStr">
        <is>
          <t>Boston, MA, US</t>
        </is>
      </c>
      <c r="H16" s="2" t="n">
        <v>45978</v>
      </c>
      <c r="I1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in-bf3595364e8a3e91</t>
        </is>
      </c>
      <c r="B17" t="inlineStr">
        <is>
          <t>Sr. Applied Scientist, AGI Foundations</t>
        </is>
      </c>
      <c r="C17" t="inlineStr">
        <is>
          <t>Amazon.com</t>
        </is>
      </c>
      <c r="D17" t="inlineStr">
        <is>
          <t>indeed</t>
        </is>
      </c>
      <c r="E17" t="inlineStr"/>
      <c r="F17" t="inlineStr"/>
      <c r="G17" t="inlineStr">
        <is>
          <t>Sunnyvale, CA, US</t>
        </is>
      </c>
      <c r="H17" s="2" t="n">
        <v>45978</v>
      </c>
      <c r="I1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in-92bb3f8390d96174</t>
        </is>
      </c>
      <c r="B18" t="inlineStr">
        <is>
          <t>Sr. Applied Scientist, AGI Foundations</t>
        </is>
      </c>
      <c r="C18" t="inlineStr">
        <is>
          <t>Amazon.com</t>
        </is>
      </c>
      <c r="D18" t="inlineStr">
        <is>
          <t>indeed</t>
        </is>
      </c>
      <c r="E18" t="inlineStr"/>
      <c r="F18" t="inlineStr"/>
      <c r="G18" t="inlineStr">
        <is>
          <t>Bellevue, WA, US</t>
        </is>
      </c>
      <c r="H18" s="2" t="n">
        <v>45978</v>
      </c>
      <c r="I1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in-13a0f40cebad5126</t>
        </is>
      </c>
      <c r="B19" t="inlineStr">
        <is>
          <t>Sr. Applied Scientist, AGI Foundations</t>
        </is>
      </c>
      <c r="C19" t="inlineStr">
        <is>
          <t>Amazon.com</t>
        </is>
      </c>
      <c r="D19" t="inlineStr">
        <is>
          <t>indeed</t>
        </is>
      </c>
      <c r="E19" t="inlineStr"/>
      <c r="F19" t="inlineStr"/>
      <c r="G19" t="inlineStr">
        <is>
          <t>New York, NY, US</t>
        </is>
      </c>
      <c r="H19" s="2" t="n">
        <v>45963</v>
      </c>
      <c r="I1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in-7c7e354aa1ac6bdf</t>
        </is>
      </c>
      <c r="B20" t="inlineStr">
        <is>
          <t>Sr. Applied Scientist, AGI Foundations</t>
        </is>
      </c>
      <c r="C20" t="inlineStr">
        <is>
          <t>Amazon.com</t>
        </is>
      </c>
      <c r="D20" t="inlineStr">
        <is>
          <t>indeed</t>
        </is>
      </c>
      <c r="E20" t="inlineStr"/>
      <c r="F20" t="inlineStr"/>
      <c r="G20" t="inlineStr">
        <is>
          <t>Boston, MA, US</t>
        </is>
      </c>
      <c r="H20" s="2" t="n">
        <v>45963</v>
      </c>
      <c r="I2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in-e22bf53056a09783</t>
        </is>
      </c>
      <c r="B21" t="inlineStr">
        <is>
          <t>Sr. Applied Scientist, AGI Foundations</t>
        </is>
      </c>
      <c r="C21" t="inlineStr">
        <is>
          <t>Amazon.com</t>
        </is>
      </c>
      <c r="D21" t="inlineStr">
        <is>
          <t>indeed</t>
        </is>
      </c>
      <c r="E21" t="inlineStr"/>
      <c r="F21" t="inlineStr"/>
      <c r="G21" t="inlineStr">
        <is>
          <t>Bellevue, WA, US</t>
        </is>
      </c>
      <c r="H21" s="2" t="n">
        <v>45963</v>
      </c>
      <c r="I21"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in-6da2f85d01ef462a</t>
        </is>
      </c>
      <c r="B22" t="inlineStr">
        <is>
          <t>Applied Scientist</t>
        </is>
      </c>
      <c r="C22" t="inlineStr">
        <is>
          <t>Amazon.com</t>
        </is>
      </c>
      <c r="D22" t="inlineStr">
        <is>
          <t>indeed</t>
        </is>
      </c>
      <c r="E22" t="inlineStr"/>
      <c r="F22" t="inlineStr"/>
      <c r="G22" t="inlineStr">
        <is>
          <t>New York, NY, US</t>
        </is>
      </c>
      <c r="H22" s="2" t="n">
        <v>45939</v>
      </c>
      <c r="I2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in-a8d7b4cc4c79c9e7</t>
        </is>
      </c>
      <c r="B23" t="inlineStr">
        <is>
          <t>Sr. Applied Scientist, SPB Advertiser Guidance</t>
        </is>
      </c>
      <c r="C23" t="inlineStr">
        <is>
          <t>Amazon.com</t>
        </is>
      </c>
      <c r="D23" t="inlineStr">
        <is>
          <t>indeed</t>
        </is>
      </c>
      <c r="E23" t="inlineStr"/>
      <c r="F23" t="inlineStr"/>
      <c r="G23" t="inlineStr">
        <is>
          <t>New York, NY, US</t>
        </is>
      </c>
      <c r="H23" s="2" t="n">
        <v>45939</v>
      </c>
      <c r="I2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in-91a596e2f510fd91</t>
        </is>
      </c>
      <c r="B24" t="inlineStr">
        <is>
          <t>Applied Scientist</t>
        </is>
      </c>
      <c r="C24" t="inlineStr">
        <is>
          <t>Amazon.com</t>
        </is>
      </c>
      <c r="D24" t="inlineStr">
        <is>
          <t>indeed</t>
        </is>
      </c>
      <c r="E24" t="inlineStr"/>
      <c r="F24" t="inlineStr"/>
      <c r="G24" t="inlineStr">
        <is>
          <t>Palo Alto, CA, US</t>
        </is>
      </c>
      <c r="H24" s="2" t="n">
        <v>45939</v>
      </c>
      <c r="I2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in-f02c03cb46326d6c</t>
        </is>
      </c>
      <c r="B25" t="inlineStr">
        <is>
          <t>Sr. Applied Scientist, SPB Advertiser Guidance</t>
        </is>
      </c>
      <c r="C25" t="inlineStr">
        <is>
          <t>Amazon.com</t>
        </is>
      </c>
      <c r="D25" t="inlineStr">
        <is>
          <t>indeed</t>
        </is>
      </c>
      <c r="E25" t="inlineStr"/>
      <c r="F25" t="inlineStr"/>
      <c r="G25" t="inlineStr">
        <is>
          <t>Palo Alto, CA, US</t>
        </is>
      </c>
      <c r="H25" s="2" t="n">
        <v>45939</v>
      </c>
      <c r="I2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in-6d6779abcb7499f3</t>
        </is>
      </c>
      <c r="B26" t="inlineStr">
        <is>
          <t>Applied Scientist II, Prime Video - Personalization and Discovery Science, Personalization and Discovery Science</t>
        </is>
      </c>
      <c r="C26" t="inlineStr">
        <is>
          <t>Amazon.com</t>
        </is>
      </c>
      <c r="D26" t="inlineStr">
        <is>
          <t>indeed</t>
        </is>
      </c>
      <c r="E26" t="inlineStr"/>
      <c r="F26" t="inlineStr"/>
      <c r="G26" t="inlineStr">
        <is>
          <t>Seattle, WA, US</t>
        </is>
      </c>
      <c r="H26" s="2" t="n">
        <v>45930</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in-66d147aea9c89a0d</t>
        </is>
      </c>
      <c r="B27" t="inlineStr">
        <is>
          <t>Applied Scientist II, Prime Video - Personalization and Discovery Science, Personalization and Discovery Science</t>
        </is>
      </c>
      <c r="C27" t="inlineStr">
        <is>
          <t>Amazon.com</t>
        </is>
      </c>
      <c r="D27" t="inlineStr">
        <is>
          <t>indeed</t>
        </is>
      </c>
      <c r="E27" t="inlineStr"/>
      <c r="F27" t="inlineStr"/>
      <c r="G27" t="inlineStr">
        <is>
          <t>New York, NY, US</t>
        </is>
      </c>
      <c r="H27" s="2" t="n">
        <v>45930</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in-79976041abc3d734</t>
        </is>
      </c>
      <c r="B28" t="inlineStr">
        <is>
          <t>Applied Scientist II, Prime Video - Personalization and Discovery Science, Personalization and Discovery Science</t>
        </is>
      </c>
      <c r="C28" t="inlineStr">
        <is>
          <t>Amazon.com</t>
        </is>
      </c>
      <c r="D28" t="inlineStr">
        <is>
          <t>indeed</t>
        </is>
      </c>
      <c r="E28" t="inlineStr"/>
      <c r="F28" t="inlineStr"/>
      <c r="G28" t="inlineStr">
        <is>
          <t>Sunnyvale, CA, US</t>
        </is>
      </c>
      <c r="H28" s="2" t="n">
        <v>45930</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in-8cc95d3e8259e2ba</t>
        </is>
      </c>
      <c r="B29" t="inlineStr">
        <is>
          <t>Sr. Applied Scientist, Prime Video - Personalization and Discovery Science</t>
        </is>
      </c>
      <c r="C29" t="inlineStr">
        <is>
          <t>Amazon.com</t>
        </is>
      </c>
      <c r="D29" t="inlineStr">
        <is>
          <t>indeed</t>
        </is>
      </c>
      <c r="E29" t="inlineStr"/>
      <c r="F29" t="inlineStr"/>
      <c r="G29" t="inlineStr">
        <is>
          <t>Sunnyvale, CA, US</t>
        </is>
      </c>
      <c r="H29" s="2" t="n">
        <v>45881</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in-4882c3ef79466b72</t>
        </is>
      </c>
      <c r="B30" t="inlineStr">
        <is>
          <t>Sr. Applied Scientist, Prime Video - Personalization and Discovery Science</t>
        </is>
      </c>
      <c r="C30" t="inlineStr">
        <is>
          <t>Amazon.com</t>
        </is>
      </c>
      <c r="D30" t="inlineStr">
        <is>
          <t>indeed</t>
        </is>
      </c>
      <c r="E30" t="inlineStr"/>
      <c r="F30" t="inlineStr"/>
      <c r="G30" t="inlineStr">
        <is>
          <t>Seattle, WA, US</t>
        </is>
      </c>
      <c r="H30" s="2" t="n">
        <v>45881</v>
      </c>
      <c r="I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in-55f9155cfd581a6d</t>
        </is>
      </c>
      <c r="B31" t="inlineStr">
        <is>
          <t>Applied Scientist II, Prime Video - Personalization and Discovery Science</t>
        </is>
      </c>
      <c r="C31" t="inlineStr">
        <is>
          <t>Amazon.com</t>
        </is>
      </c>
      <c r="D31" t="inlineStr">
        <is>
          <t>indeed</t>
        </is>
      </c>
      <c r="E31" t="inlineStr"/>
      <c r="F31" t="inlineStr"/>
      <c r="G31" t="inlineStr">
        <is>
          <t>Seattle, WA, US</t>
        </is>
      </c>
      <c r="H31" s="2" t="n">
        <v>45881</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in-09adaaf15ee52bbc</t>
        </is>
      </c>
      <c r="B32" t="inlineStr">
        <is>
          <t>Applied Scientist II, Prime Video - Personalization and Discovery Science</t>
        </is>
      </c>
      <c r="C32" t="inlineStr">
        <is>
          <t>Amazon.com</t>
        </is>
      </c>
      <c r="D32" t="inlineStr">
        <is>
          <t>indeed</t>
        </is>
      </c>
      <c r="E32" t="inlineStr"/>
      <c r="F32" t="inlineStr"/>
      <c r="G32" t="inlineStr">
        <is>
          <t>New York, NY, US</t>
        </is>
      </c>
      <c r="H32" s="2" t="n">
        <v>45881</v>
      </c>
      <c r="I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in-97490cf6750b9dcf</t>
        </is>
      </c>
      <c r="B33" t="inlineStr">
        <is>
          <t>Sr. Applied Scientist, Prime Video - Personalization and Discovery Science</t>
        </is>
      </c>
      <c r="C33" t="inlineStr">
        <is>
          <t>Amazon.com</t>
        </is>
      </c>
      <c r="D33" t="inlineStr">
        <is>
          <t>indeed</t>
        </is>
      </c>
      <c r="E33" t="inlineStr"/>
      <c r="F33" t="inlineStr"/>
      <c r="G33" t="inlineStr">
        <is>
          <t>New York, NY, US</t>
        </is>
      </c>
      <c r="H33" s="2" t="n">
        <v>45881</v>
      </c>
      <c r="I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in-951010dce214a83b</t>
        </is>
      </c>
      <c r="B34" t="inlineStr">
        <is>
          <t>Applied Scientist II, Prime Video - Personalization and Discovery Science</t>
        </is>
      </c>
      <c r="C34" t="inlineStr">
        <is>
          <t>Amazon.com</t>
        </is>
      </c>
      <c r="D34" t="inlineStr">
        <is>
          <t>indeed</t>
        </is>
      </c>
      <c r="E34" t="inlineStr"/>
      <c r="F34" t="inlineStr"/>
      <c r="G34" t="inlineStr">
        <is>
          <t>Sunnyvale, CA, US</t>
        </is>
      </c>
      <c r="H34" s="2" t="n">
        <v>45881</v>
      </c>
      <c r="I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in-2ba4425e59df95d0</t>
        </is>
      </c>
      <c r="B35" t="inlineStr">
        <is>
          <t>Applied Scientist, Prime Video - Personalization and Discovery Science</t>
        </is>
      </c>
      <c r="C35" t="inlineStr">
        <is>
          <t>Amazon.com</t>
        </is>
      </c>
      <c r="D35" t="inlineStr">
        <is>
          <t>indeed</t>
        </is>
      </c>
      <c r="E35" t="inlineStr"/>
      <c r="F35" t="inlineStr"/>
      <c r="G35" t="inlineStr">
        <is>
          <t>New York, NY, US</t>
        </is>
      </c>
      <c r="H35" s="2" t="n">
        <v>45845</v>
      </c>
      <c r="I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in-e9a920702aed3d7a</t>
        </is>
      </c>
      <c r="B36" t="inlineStr">
        <is>
          <t>Applied Scientist, Prime Video - Personalization and Discovery Science</t>
        </is>
      </c>
      <c r="C36" t="inlineStr">
        <is>
          <t>Amazon.com</t>
        </is>
      </c>
      <c r="D36" t="inlineStr">
        <is>
          <t>indeed</t>
        </is>
      </c>
      <c r="E36" t="inlineStr"/>
      <c r="F36" t="inlineStr"/>
      <c r="G36" t="inlineStr">
        <is>
          <t>Seattle, WA, US</t>
        </is>
      </c>
      <c r="H36" s="2" t="n">
        <v>45845</v>
      </c>
      <c r="I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in-9c9a2a0ccf3f3379</t>
        </is>
      </c>
      <c r="B37" t="inlineStr">
        <is>
          <t>Applied Scientist, Prime Video - Personalization and Discovery Science</t>
        </is>
      </c>
      <c r="C37" t="inlineStr">
        <is>
          <t>Amazon.com</t>
        </is>
      </c>
      <c r="D37" t="inlineStr">
        <is>
          <t>indeed</t>
        </is>
      </c>
      <c r="E37" t="inlineStr"/>
      <c r="F37" t="inlineStr"/>
      <c r="G37" t="inlineStr">
        <is>
          <t>Sunnyvale, CA, US</t>
        </is>
      </c>
      <c r="H37" s="2" t="n">
        <v>45845</v>
      </c>
      <c r="I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in-fb84e988faf3c07b</t>
        </is>
      </c>
      <c r="B38" t="inlineStr">
        <is>
          <t>Applied Scientist, Denied Party Screening, AWS Compliance &amp; Security Assurance</t>
        </is>
      </c>
      <c r="C38" t="inlineStr">
        <is>
          <t>Amazon.com</t>
        </is>
      </c>
      <c r="D38" t="inlineStr">
        <is>
          <t>indeed</t>
        </is>
      </c>
      <c r="E38" t="inlineStr"/>
      <c r="F38" t="inlineStr"/>
      <c r="G38" t="inlineStr">
        <is>
          <t>Seattle, WA, US</t>
        </is>
      </c>
      <c r="H38" s="2" t="n">
        <v>46027</v>
      </c>
      <c r="I38" t="inlineStr">
        <is>
          <t>**DESCRIPTION**
---------------
At Amazon, security is central to maintaining customer trust and delivering delightful customer experiences. Our mission is to prevent denied entities from transacting with Amazon businesses. We build automatic mechanisms to detect and prevent prohibited transactions with denied entities using a diverse set of algorithms and machine learning techniques. We screen over a billion events every day and develop algorithms which are able to scale and detect suspicious entities . We are still Day 1 and have an exciting road map to build Machine Learning (ML) and Generative AI (LLM) powered detection and resolution systems to help scale Amazon for years to come.
We are seeking an Applied Scientist to join our team and help tackle challenging problems at the forefront of machine learning and artificial intelligence. Working closely with a multidisciplinary team of engineers, data scientists, and domain experts, you will play a crucial role in defining cutting\-edge ML/AI\-powered customer experiences and solutions. If you have an entrepreneurial mindset, the technical depth to deliver impactful results, and a passion for innovation, we want to hear from you.
Key job responsibilities  
In this role, you will:
* Drive the research, design, and development of novel ML/AI models and systems to power critical products and services
* Collaborate cross\-functionally to deeply understand business requirements, customer needs, and technical constraints
* Rapidly prototype, test, and iterate on ML/AI solutions, iterating quickly based on data and feedback
• Communicate complex technical concepts to technical and non\-technical stakeholders • Mentor and grow a team of talented ML scientists and engineers
* Stay up\-to\-date on the latest advancements in AI/ML and identify opportunities to apply emerging techniques
A day in the life  
* Starting the day by reviewing the latest model performance metrics and identifying areas for improvement
* Brainstorming new architectures and approaches with your cross\-functional team during a whiteboard session
* Diving deep into a complex dataset, leveraging advanced statistical and AI techniques to uncover hidden insights
* Prototyping a new model and running a series of experiments to optimize its performance
* Preparing a presentation to pitch your latest research findings and recommendations to product and engineering leaders
* Mentoring a junior data scientist, providing guidance on coding best practices and problem\-solving strategies
About the team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\- 142,800\.00 \- 193,200\.00 USD annually  
USA, WA, Seattle \- 142,800\.00 \- 193,200\.00 USD annually</t>
        </is>
      </c>
    </row>
    <row r="39">
      <c r="A39" t="inlineStr">
        <is>
          <t>in-7a80d8ec26a86f09</t>
        </is>
      </c>
      <c r="B39" t="inlineStr">
        <is>
          <t>Applied Scientist, Denied Party Screening, AWS Compliance &amp; Security Assurance</t>
        </is>
      </c>
      <c r="C39" t="inlineStr">
        <is>
          <t>Amazon.com</t>
        </is>
      </c>
      <c r="D39" t="inlineStr">
        <is>
          <t>indeed</t>
        </is>
      </c>
      <c r="E39" t="inlineStr"/>
      <c r="F39" t="inlineStr"/>
      <c r="G39" t="inlineStr">
        <is>
          <t>Dallas, TX, US</t>
        </is>
      </c>
      <c r="H39" s="2" t="n">
        <v>46027</v>
      </c>
      <c r="I39" t="inlineStr">
        <is>
          <t>**DESCRIPTION**
---------------
At Amazon, security is central to maintaining customer trust and delivering delightful customer experiences. Our mission is to prevent denied entities from transacting with Amazon businesses. We build automatic mechanisms to detect and prevent prohibited transactions with denied entities using a diverse set of algorithms and machine learning techniques. We screen over a billion events every day and develop algorithms which are able to scale and detect suspicious entities . We are still Day 1 and have an exciting road map to build Machine Learning (ML) and Generative AI (LLM) powered detection and resolution systems to help scale Amazon for years to come.
We are seeking an Applied Scientist to join our team and help tackle challenging problems at the forefront of machine learning and artificial intelligence. Working closely with a multidisciplinary team of engineers, data scientists, and domain experts, you will play a crucial role in defining cutting\-edge ML/AI\-powered customer experiences and solutions. If you have an entrepreneurial mindset, the technical depth to deliver impactful results, and a passion for innovation, we want to hear from you.
Key job responsibilities  
In this role, you will:
* Drive the research, design, and development of novel ML/AI models and systems to power critical products and services
* Collaborate cross\-functionally to deeply understand business requirements, customer needs, and technical constraints
* Rapidly prototype, test, and iterate on ML/AI solutions, iterating quickly based on data and feedback
• Communicate complex technical concepts to technical and non\-technical stakeholders • Mentor and grow a team of talented ML scientists and engineers
* Stay up\-to\-date on the latest advancements in AI/ML and identify opportunities to apply emerging techniques
A day in the life  
* Starting the day by reviewing the latest model performance metrics and identifying areas for improvement
* Brainstorming new architectures and approaches with your cross\-functional team during a whiteboard session
* Diving deep into a complex dataset, leveraging advanced statistical and AI techniques to uncover hidden insights
* Prototyping a new model and running a series of experiments to optimize its performance
* Preparing a presentation to pitch your latest research findings and recommendations to product and engineering leaders
* Mentoring a junior data scientist, providing guidance on coding best practices and problem\-solving strategies
About the team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\- 142,800\.00 \- 193,200\.00 USD annually  
USA, WA, Seattle \- 142,800\.00 \- 193,200\.00 USD annually</t>
        </is>
      </c>
    </row>
    <row r="40">
      <c r="A40" t="inlineStr">
        <is>
          <t>in-21b86bd66be268a1</t>
        </is>
      </c>
      <c r="B40" t="inlineStr">
        <is>
          <t>Senior Applied Scientist, Dexterous Manipulation , Amazon Industrial Robotics</t>
        </is>
      </c>
      <c r="C40" t="inlineStr">
        <is>
          <t>Amazon.com</t>
        </is>
      </c>
      <c r="D40" t="inlineStr">
        <is>
          <t>indeed</t>
        </is>
      </c>
      <c r="E40" t="inlineStr"/>
      <c r="F40" t="inlineStr"/>
      <c r="G40" t="inlineStr">
        <is>
          <t>Reading, MA, US</t>
        </is>
      </c>
      <c r="H40" s="2" t="n">
        <v>46027</v>
      </c>
      <c r="I40"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dexterous manipulation system that:
* Enables unprecedented generalization across diverse tasks
* Enables contact\-rich manipulation in different environments
* Seamlessly integrates low\-level skills and high\-level behaviors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methods for dexterous manipulation with single and dual arm manipulation
* Leverage simulation and real\-world data collection to create large datasets for model development
* Develop a hierarchical system that combines low\-level control with high\-level planning
* Utilize state\-of\-the\-art manipulation models and optimal control techniques
* Collaborate effectively with multi\-disciplinary teams to co\-design hardware and algorithms for dexterous manipulation
**BASIC QUALIFICATIONS**
------------------------
* PhD, or Master's degree and 6\+ years of applied research experience
* Experience with state\-of\-the\-art in robotic manipulation models
* Experience with data generation in simulation and real world
* Experience in developing techniques that utilize multi\-modal sensor data from the arm and hands
**PREFERRED QUALIFICATIONS**
----------------------------
* Experience programming in Java, C\+\+, Python or related language
* Experience working effectively across cross\-functional teams and partnering well with people at all levels within an organization
* PhD in Robotics, with focus on dexterous manipulation
* Experience in motion primitives, vision\-language\-action models, and model predictive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41">
      <c r="A41" t="inlineStr">
        <is>
          <t>in-04b612d7b5c52e0d</t>
        </is>
      </c>
      <c r="B41" t="inlineStr">
        <is>
          <t>Senior Applied Scientist, Amazon Industrial Robotics</t>
        </is>
      </c>
      <c r="C41" t="inlineStr">
        <is>
          <t>Amazon.com</t>
        </is>
      </c>
      <c r="D41" t="inlineStr">
        <is>
          <t>indeed</t>
        </is>
      </c>
      <c r="E41" t="inlineStr"/>
      <c r="F41" t="inlineStr"/>
      <c r="G41" t="inlineStr">
        <is>
          <t>Reading, MA, US</t>
        </is>
      </c>
      <c r="H41" s="2" t="n">
        <v>46027</v>
      </c>
      <c r="I41"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whole body control methods for balance, locomotion, and dexterous manipulation
* Utilize state\-of\-the\-art in methods in learned and model\-based control
* Create robust and safe behaviors for different terrains and tasks
* Implement real\-time controllers with stability guarantees
* Collaborate effectively with multi\-disciplinary teams to co\-design hardware and algorithms for loco\-manipulation
* Mentor junior engineer and scientists
**BASIC QUALIFICATIONS**
------------------------
* PhD, or Master's degree and 4\+ years of applied research experience
* Experience with methods for whole\-body control such as hierarchical quadratic programming and model\-predictive control
* Experience with imitation learning and reinforcement learning for whole\-body control
* Experience with simulation environments such as IsaacLab, Mujoco, Drake, etc.
* Experience with developing and deploying code for real\-time controllers
* Experience in state estimation from multiple sensor modalities
**PREFERRED QUALIFICATIONS**
----------------------------
* Experience programming in Java, C\+\+, Python or related language
* Experience working effectively across cross\-functional teams and partnering well with people at all levels within an organization
* PhD in Robotics, with a focus on whole\-body control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42">
      <c r="A42" t="inlineStr">
        <is>
          <t>in-32bde92eab59918a</t>
        </is>
      </c>
      <c r="B42" t="inlineStr">
        <is>
          <t>Senior Applied Scientist, Dexterous Manipulation , Amazon Industrial Robotics</t>
        </is>
      </c>
      <c r="C42" t="inlineStr">
        <is>
          <t>Amazon.com</t>
        </is>
      </c>
      <c r="D42" t="inlineStr">
        <is>
          <t>indeed</t>
        </is>
      </c>
      <c r="E42" t="inlineStr"/>
      <c r="F42" t="inlineStr"/>
      <c r="G42" t="inlineStr">
        <is>
          <t>Reading, MA, US</t>
        </is>
      </c>
      <c r="H42" s="2" t="n">
        <v>46027</v>
      </c>
      <c r="I42"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dexterous manipulation system that:
* Enables unprecedented generalization across diverse tasks
* Enables contact\-rich manipulation in different environments
* Seamlessly integrates low\-level skills and high\-level behaviors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methods for dexterous manipulation with single and dual arm manipulation
* Leverage simulation and real\-world data collection to create large datasets for model development
* Develop a hierarchical system that combines low\-level control with high\-level planning
* Utilize state\-of\-the\-art manipulation models and optimal control techniques
* Collaborate effectively with multi\-disciplinary teams to co\-design hardware and algorithms for dexterous manipulation
**BASIC QUALIFICATIONS**
------------------------
* PhD, or Master's degree and 6\+ years of applied research experience
* Experience with state\-of\-the\-art in robotic manipulation models
* Experience with data generation in simulation and real world
* Experience in developing techniques that utilize multi\-modal sensor data from the arm and hands
**PREFERRED QUALIFICATIONS**
----------------------------
* Experience programming in Java, C\+\+, Python or related language
* Experience working effectively across cross\-functional teams and partnering well with people at all levels within an organization
* PhD in Robotics, with focus on dexterous manipulation
* Experience in motion primitives, vision\-language\-action models, and model predictive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43">
      <c r="A43" t="inlineStr">
        <is>
          <t>in-03d5960985978551</t>
        </is>
      </c>
      <c r="B43" t="inlineStr">
        <is>
          <t>Senior Applied Scientist, Amazon Industrial Robotics</t>
        </is>
      </c>
      <c r="C43" t="inlineStr">
        <is>
          <t>Amazon.com</t>
        </is>
      </c>
      <c r="D43" t="inlineStr">
        <is>
          <t>indeed</t>
        </is>
      </c>
      <c r="E43" t="inlineStr"/>
      <c r="F43" t="inlineStr"/>
      <c r="G43" t="inlineStr">
        <is>
          <t>Reading, MA, US</t>
        </is>
      </c>
      <c r="H43" s="2" t="n">
        <v>46027</v>
      </c>
      <c r="I43"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whole body control methods for balance, locomotion, and dexterous manipulation
* Utilize state\-of\-the\-art in methods in learned and model\-based control
* Create robust and safe behaviors for different terrains and tasks
* Implement real\-time controllers with stability guarantees
* Collaborate effectively with multi\-disciplinary teams to co\-design hardware and algorithms for loco\-manipulation
* Mentor junior engineer and scientists
**BASIC QUALIFICATIONS**
------------------------
* PhD, or Master's degree and 4\+ years of applied research experience
* Experience with methods for whole\-body control such as hierarchical quadratic programming and model\-predictive control
* Experience with imitation learning and reinforcement learning for whole\-body control
* Experience with simulation environments such as IsaacLab, Mujoco, Drake, etc.
* Experience with developing and deploying code for real\-time controllers
* Experience in state estimation from multiple sensor modalities
**PREFERRED QUALIFICATIONS**
----------------------------
* Experience programming in Java, C\+\+, Python or related language
* Experience working effectively across cross\-functional teams and partnering well with people at all levels within an organization
* PhD in Robotics, with a focus on whole\-body control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44">
      <c r="A44" t="inlineStr">
        <is>
          <t>in-bc786f1c7e89cf93</t>
        </is>
      </c>
      <c r="B44" t="inlineStr">
        <is>
          <t>Applied Scientist, Amazon Special Projects</t>
        </is>
      </c>
      <c r="C44" t="inlineStr">
        <is>
          <t>Amazon.com</t>
        </is>
      </c>
      <c r="D44" t="inlineStr">
        <is>
          <t>indeed</t>
        </is>
      </c>
      <c r="E44" t="inlineStr"/>
      <c r="F44" t="inlineStr"/>
      <c r="G44" t="inlineStr">
        <is>
          <t>Seattle, WA, US</t>
        </is>
      </c>
      <c r="H44" s="2" t="n">
        <v>46026</v>
      </c>
      <c r="I44"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in-77fd3033ea94a34e</t>
        </is>
      </c>
      <c r="B45" t="inlineStr">
        <is>
          <t>Applied Scientist, Amazon Special Projects</t>
        </is>
      </c>
      <c r="C45" t="inlineStr">
        <is>
          <t>Amazon.com</t>
        </is>
      </c>
      <c r="D45" t="inlineStr">
        <is>
          <t>indeed</t>
        </is>
      </c>
      <c r="E45" t="inlineStr"/>
      <c r="F45" t="inlineStr"/>
      <c r="G45" t="inlineStr">
        <is>
          <t>Boston, MA, US</t>
        </is>
      </c>
      <c r="H45" s="2" t="n">
        <v>46026</v>
      </c>
      <c r="I45"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in-c77d38112a0ca56c</t>
        </is>
      </c>
      <c r="B46" t="inlineStr">
        <is>
          <t>Applied Scientist, Last Mile Delivery Automation</t>
        </is>
      </c>
      <c r="C46" t="inlineStr">
        <is>
          <t>Amazon.com</t>
        </is>
      </c>
      <c r="D46" t="inlineStr">
        <is>
          <t>indeed</t>
        </is>
      </c>
      <c r="E46" t="inlineStr"/>
      <c r="F46" t="inlineStr"/>
      <c r="G46" t="inlineStr">
        <is>
          <t>Bellevue, WA, US</t>
        </is>
      </c>
      <c r="H46" s="2" t="n">
        <v>46026</v>
      </c>
      <c r="I46"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in-8b854c20e0cff863</t>
        </is>
      </c>
      <c r="B47" t="inlineStr">
        <is>
          <t>Applied Scientist, Last Mile Delivery Automation</t>
        </is>
      </c>
      <c r="C47" t="inlineStr">
        <is>
          <t>Amazon.com</t>
        </is>
      </c>
      <c r="D47" t="inlineStr">
        <is>
          <t>indeed</t>
        </is>
      </c>
      <c r="E47" t="inlineStr"/>
      <c r="F47" t="inlineStr"/>
      <c r="G47" t="inlineStr">
        <is>
          <t>Santa Clara, CA, US</t>
        </is>
      </c>
      <c r="H47" s="2" t="n">
        <v>46026</v>
      </c>
      <c r="I47"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in-f4b1f24d17acc53b</t>
        </is>
      </c>
      <c r="B48" t="inlineStr">
        <is>
          <t>Senior Applied Scientist, Distributed SQL</t>
        </is>
      </c>
      <c r="C48" t="inlineStr">
        <is>
          <t>Amazon Web Services</t>
        </is>
      </c>
      <c r="D48" t="inlineStr">
        <is>
          <t>indeed</t>
        </is>
      </c>
      <c r="E48" t="inlineStr"/>
      <c r="F48" t="inlineStr"/>
      <c r="G48" t="inlineStr">
        <is>
          <t>Seattle, WA, US</t>
        </is>
      </c>
      <c r="H48" s="2" t="n">
        <v>46012</v>
      </c>
      <c r="I48"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49">
      <c r="A49" t="inlineStr">
        <is>
          <t>in-2aa7092749e74472</t>
        </is>
      </c>
      <c r="B49" t="inlineStr">
        <is>
          <t>Senior Applied Scientist, Distributed SQL</t>
        </is>
      </c>
      <c r="C49" t="inlineStr">
        <is>
          <t>Amazon Web Services</t>
        </is>
      </c>
      <c r="D49" t="inlineStr">
        <is>
          <t>indeed</t>
        </is>
      </c>
      <c r="E49" t="inlineStr"/>
      <c r="F49" t="inlineStr"/>
      <c r="G49" t="inlineStr">
        <is>
          <t>East Palo Alto, CA, US</t>
        </is>
      </c>
      <c r="H49" s="2" t="n">
        <v>46012</v>
      </c>
      <c r="I49"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50">
      <c r="A50" t="inlineStr">
        <is>
          <t>in-cedfbe5b5a0356b1</t>
        </is>
      </c>
      <c r="B50" t="inlineStr">
        <is>
          <t>Applied Scientist, ML Compiler</t>
        </is>
      </c>
      <c r="C50" t="inlineStr">
        <is>
          <t>Amazon Web Services</t>
        </is>
      </c>
      <c r="D50" t="inlineStr">
        <is>
          <t>indeed</t>
        </is>
      </c>
      <c r="E50" t="inlineStr"/>
      <c r="F50" t="inlineStr"/>
      <c r="G50" t="inlineStr">
        <is>
          <t>Cupertino, CA, US</t>
        </is>
      </c>
      <c r="H50" s="2" t="n">
        <v>45993</v>
      </c>
      <c r="I50"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in-c3d76aed311ff016</t>
        </is>
      </c>
      <c r="B51" t="inlineStr">
        <is>
          <t>Applied Scientist, ML Compiler</t>
        </is>
      </c>
      <c r="C51" t="inlineStr">
        <is>
          <t>Amazon Web Services</t>
        </is>
      </c>
      <c r="D51" t="inlineStr">
        <is>
          <t>indeed</t>
        </is>
      </c>
      <c r="E51" t="inlineStr"/>
      <c r="F51" t="inlineStr"/>
      <c r="G51" t="inlineStr">
        <is>
          <t>Seattle, WA, US</t>
        </is>
      </c>
      <c r="H51" s="2" t="n">
        <v>45993</v>
      </c>
      <c r="I51"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in-78852d08b45d3934</t>
        </is>
      </c>
      <c r="B52" t="inlineStr">
        <is>
          <t>Senior Applied Scientist, Locomotion, Amazon Industrial Robotics</t>
        </is>
      </c>
      <c r="C52" t="inlineStr">
        <is>
          <t>Amazon.com</t>
        </is>
      </c>
      <c r="D52" t="inlineStr">
        <is>
          <t>indeed</t>
        </is>
      </c>
      <c r="E52" t="inlineStr"/>
      <c r="F52" t="inlineStr"/>
      <c r="G52" t="inlineStr">
        <is>
          <t>Reading, MA, US</t>
        </is>
      </c>
      <c r="H52" s="2" t="n">
        <v>45992</v>
      </c>
      <c r="I52"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in-47f1ad6c2e4f2caf</t>
        </is>
      </c>
      <c r="B53" t="inlineStr">
        <is>
          <t>Senior Applied Scientist, Locomotion, Amazon Industrial Robotics</t>
        </is>
      </c>
      <c r="C53" t="inlineStr">
        <is>
          <t>Amazon.com</t>
        </is>
      </c>
      <c r="D53" t="inlineStr">
        <is>
          <t>indeed</t>
        </is>
      </c>
      <c r="E53" t="inlineStr"/>
      <c r="F53" t="inlineStr"/>
      <c r="G53" t="inlineStr">
        <is>
          <t>Reading, MA, US</t>
        </is>
      </c>
      <c r="H53" s="2" t="n">
        <v>45992</v>
      </c>
      <c r="I53"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in-7783e51e7681959f</t>
        </is>
      </c>
      <c r="B54" t="inlineStr">
        <is>
          <t>Sr. Machine Learning Engineer, AGIF | Finetuning</t>
        </is>
      </c>
      <c r="C54" t="inlineStr">
        <is>
          <t>Amazon.com</t>
        </is>
      </c>
      <c r="D54" t="inlineStr">
        <is>
          <t>indeed</t>
        </is>
      </c>
      <c r="E54" t="inlineStr"/>
      <c r="F54" t="inlineStr"/>
      <c r="G54" t="inlineStr">
        <is>
          <t>Bellevue, WA, US</t>
        </is>
      </c>
      <c r="H54" s="2" t="n">
        <v>45984</v>
      </c>
      <c r="I54"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in-e5ec5f5791388810</t>
        </is>
      </c>
      <c r="B55" t="inlineStr">
        <is>
          <t>Sr. Machine Learning Engineer, AGIF | Finetuning</t>
        </is>
      </c>
      <c r="C55" t="inlineStr">
        <is>
          <t>Amazon.com</t>
        </is>
      </c>
      <c r="D55" t="inlineStr">
        <is>
          <t>indeed</t>
        </is>
      </c>
      <c r="E55" t="inlineStr"/>
      <c r="F55" t="inlineStr"/>
      <c r="G55" t="inlineStr">
        <is>
          <t>Sunnyvale, CA, US</t>
        </is>
      </c>
      <c r="H55" s="2" t="n">
        <v>45984</v>
      </c>
      <c r="I55"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in-9cd7d055e07ed20f</t>
        </is>
      </c>
      <c r="B56" t="inlineStr">
        <is>
          <t>Sr. Machine Learning Engineer, AGIF | Finetuning</t>
        </is>
      </c>
      <c r="C56" t="inlineStr">
        <is>
          <t>Amazon.com</t>
        </is>
      </c>
      <c r="D56" t="inlineStr">
        <is>
          <t>indeed</t>
        </is>
      </c>
      <c r="E56" t="inlineStr"/>
      <c r="F56" t="inlineStr"/>
      <c r="G56" t="inlineStr">
        <is>
          <t>New York, NY, US</t>
        </is>
      </c>
      <c r="H56" s="2" t="n">
        <v>45984</v>
      </c>
      <c r="I56"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in-005ccd4501eddc02</t>
        </is>
      </c>
      <c r="B57" t="inlineStr">
        <is>
          <t>Senior Applied Scientist, Artificial General Intelligence</t>
        </is>
      </c>
      <c r="C57" t="inlineStr">
        <is>
          <t>Amazon.com</t>
        </is>
      </c>
      <c r="D57" t="inlineStr">
        <is>
          <t>indeed</t>
        </is>
      </c>
      <c r="E57" t="inlineStr"/>
      <c r="F57" t="inlineStr"/>
      <c r="G57" t="inlineStr">
        <is>
          <t>Sunnyvale, CA, US</t>
        </is>
      </c>
      <c r="H57" s="2" t="n">
        <v>45980</v>
      </c>
      <c r="I5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in-ff8bbf420f6dcb62</t>
        </is>
      </c>
      <c r="B58" t="inlineStr">
        <is>
          <t>Senior Applied Scientist, Artificial General Intelligence</t>
        </is>
      </c>
      <c r="C58" t="inlineStr">
        <is>
          <t>Amazon.com</t>
        </is>
      </c>
      <c r="D58" t="inlineStr">
        <is>
          <t>indeed</t>
        </is>
      </c>
      <c r="E58" t="inlineStr"/>
      <c r="F58" t="inlineStr"/>
      <c r="G58" t="inlineStr">
        <is>
          <t>New York, NY, US</t>
        </is>
      </c>
      <c r="H58" s="2" t="n">
        <v>45980</v>
      </c>
      <c r="I5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in-fd46e1dbe4f75cb0</t>
        </is>
      </c>
      <c r="B59" t="inlineStr">
        <is>
          <t>Senior Applied Scientist, Artificial General Intelligence</t>
        </is>
      </c>
      <c r="C59" t="inlineStr">
        <is>
          <t>Amazon.com</t>
        </is>
      </c>
      <c r="D59" t="inlineStr">
        <is>
          <t>indeed</t>
        </is>
      </c>
      <c r="E59" t="inlineStr"/>
      <c r="F59" t="inlineStr"/>
      <c r="G59" t="inlineStr">
        <is>
          <t>Boston, MA, US</t>
        </is>
      </c>
      <c r="H59" s="2" t="n">
        <v>45980</v>
      </c>
      <c r="I59"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in-0ab389ee8a3960c7</t>
        </is>
      </c>
      <c r="B60" t="inlineStr">
        <is>
          <t>Senior Applied Scientist, Artificial General Intelligence</t>
        </is>
      </c>
      <c r="C60" t="inlineStr">
        <is>
          <t>Amazon.com</t>
        </is>
      </c>
      <c r="D60" t="inlineStr">
        <is>
          <t>indeed</t>
        </is>
      </c>
      <c r="E60" t="inlineStr"/>
      <c r="F60" t="inlineStr"/>
      <c r="G60" t="inlineStr">
        <is>
          <t>Seattle, WA, US</t>
        </is>
      </c>
      <c r="H60" s="2" t="n">
        <v>45980</v>
      </c>
      <c r="I6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in-b521f597a8b9aa2b</t>
        </is>
      </c>
      <c r="B61" t="inlineStr">
        <is>
          <t>Applied Scientist II, SPB Advertiser Guidance</t>
        </is>
      </c>
      <c r="C61" t="inlineStr">
        <is>
          <t>Amazon.com</t>
        </is>
      </c>
      <c r="D61" t="inlineStr">
        <is>
          <t>indeed</t>
        </is>
      </c>
      <c r="E61" t="inlineStr"/>
      <c r="F61" t="inlineStr"/>
      <c r="G61" t="inlineStr">
        <is>
          <t>Seattle, WA, US</t>
        </is>
      </c>
      <c r="H61" s="2" t="n">
        <v>45980</v>
      </c>
      <c r="I6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in-83beff126756f704</t>
        </is>
      </c>
      <c r="B62" t="inlineStr">
        <is>
          <t>Applied Scientist II, SPB Advertiser Guidance</t>
        </is>
      </c>
      <c r="C62" t="inlineStr">
        <is>
          <t>Amazon.com</t>
        </is>
      </c>
      <c r="D62" t="inlineStr">
        <is>
          <t>indeed</t>
        </is>
      </c>
      <c r="E62" t="inlineStr"/>
      <c r="F62" t="inlineStr"/>
      <c r="G62" t="inlineStr">
        <is>
          <t>New York, NY, US</t>
        </is>
      </c>
      <c r="H62" s="2" t="n">
        <v>45980</v>
      </c>
      <c r="I6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in-077cb2d97edf6180</t>
        </is>
      </c>
      <c r="B63" t="inlineStr">
        <is>
          <t>Principal Applied Scientist, Sponsored Products and Brands</t>
        </is>
      </c>
      <c r="C63" t="inlineStr">
        <is>
          <t>Amazon.com</t>
        </is>
      </c>
      <c r="D63" t="inlineStr">
        <is>
          <t>indeed</t>
        </is>
      </c>
      <c r="E63" t="inlineStr"/>
      <c r="F63" t="inlineStr"/>
      <c r="G63" t="inlineStr">
        <is>
          <t>New York, NY, US</t>
        </is>
      </c>
      <c r="H63" s="2" t="n">
        <v>45979</v>
      </c>
      <c r="I6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in-431a739d12d072f1</t>
        </is>
      </c>
      <c r="B64" t="inlineStr">
        <is>
          <t>Principal Applied Scientist, Sponsored Products and Brands</t>
        </is>
      </c>
      <c r="C64" t="inlineStr">
        <is>
          <t>Amazon.com</t>
        </is>
      </c>
      <c r="D64" t="inlineStr">
        <is>
          <t>indeed</t>
        </is>
      </c>
      <c r="E64" t="inlineStr"/>
      <c r="F64" t="inlineStr"/>
      <c r="G64" t="inlineStr">
        <is>
          <t>Seattle, WA, US</t>
        </is>
      </c>
      <c r="H64" s="2" t="n">
        <v>45979</v>
      </c>
      <c r="I6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in-b0dca96e70aadf18</t>
        </is>
      </c>
      <c r="B65" t="inlineStr">
        <is>
          <t>Applied Scientist, Personalization, DTx Science</t>
        </is>
      </c>
      <c r="C65" t="inlineStr">
        <is>
          <t>Amazon.com</t>
        </is>
      </c>
      <c r="D65" t="inlineStr">
        <is>
          <t>indeed</t>
        </is>
      </c>
      <c r="E65" t="inlineStr"/>
      <c r="F65" t="inlineStr"/>
      <c r="G65" t="inlineStr">
        <is>
          <t>New York, NY, US</t>
        </is>
      </c>
      <c r="H65" s="2" t="n">
        <v>45979</v>
      </c>
      <c r="I65"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66">
      <c r="A66" t="inlineStr">
        <is>
          <t>in-70e2d2f1598c0552</t>
        </is>
      </c>
      <c r="B66" t="inlineStr">
        <is>
          <t>Applied Scientist, Personalization, DTx Science</t>
        </is>
      </c>
      <c r="C66" t="inlineStr">
        <is>
          <t>Amazon.com</t>
        </is>
      </c>
      <c r="D66" t="inlineStr">
        <is>
          <t>indeed</t>
        </is>
      </c>
      <c r="E66" t="inlineStr"/>
      <c r="F66" t="inlineStr"/>
      <c r="G66" t="inlineStr">
        <is>
          <t>Seattle, WA, US</t>
        </is>
      </c>
      <c r="H66" s="2" t="n">
        <v>45979</v>
      </c>
      <c r="I66"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67">
      <c r="A67" t="inlineStr">
        <is>
          <t>in-357e70c7148b0009</t>
        </is>
      </c>
      <c r="B67" t="inlineStr">
        <is>
          <t>Applied Scientist II, Robotics and ML, Amazon Industrial Robotics</t>
        </is>
      </c>
      <c r="C67" t="inlineStr">
        <is>
          <t>Amazon.com</t>
        </is>
      </c>
      <c r="D67" t="inlineStr">
        <is>
          <t>indeed</t>
        </is>
      </c>
      <c r="E67" t="inlineStr"/>
      <c r="F67" t="inlineStr"/>
      <c r="G67" t="inlineStr">
        <is>
          <t>Reading, MA, US</t>
        </is>
      </c>
      <c r="H67" s="2" t="n">
        <v>45975</v>
      </c>
      <c r="I67"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an Applied Scientist to join our Robotics team. This role focuses on developing innovative machine learning solutions that enable robots to perform complex manipulation tasks in real\-world environments. You will work on creating adaptive learning approaches that combine traditional robotics with modern ML techniques to improve robot performance and reliability. In this role, you will collaborate with multidisciplinary teams to advance the state\-of\-the\-art in robotic manipulation, contributing to the development of next\-generation autonomous systems that can operate safely and efficiently within Amazon fulfillment centers.
Key job responsibilities  
* Lead design, adapt, and implement novel machine learning solutions for manipulation robots
* Create hybrid approaches combining classical methods with learning\-based solutions
* Design learning algorithms for automated parameter tuning and adaptation
* Develop data collection pipelines and methodologies for capturing high\-quality demonstrations of dexterous tasks
* Build and test prototype robotic workcell setups to validate the performance of the solution
* Partner with cross\-functional teams to rapidly create new concepts and prototypes
* Work with Amazon's robotics engineering and operations teams to grasp their requirements and develop tailored solutions
* Document the architecture, performance, and validation of the final system
**BASIC QUALIFICATIONS**
------------------------
* PhD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applying theoretical models in an applied environment
**PREFERRED QUALIFICATIONS**
----------------------------
* Experience using Unix/Linux
* Experience in professional software development
* Experience working effectively across cross\-functional teams and partnering well with people at all levels within an organization
* PhD in Robotics, Computer Science, or related field with focus on machine learning and robot control
* Experience developing and implementing machine learning approaches for robotic systems, particularly in imitation learning or reinforcement learning
* Strong background in robot control systems, particularly in force/impedance control and contact\-rich manipulation
* Experience with real\-time control systems and robot motion planning
* Track record of translating research concepts into practical robotic applications
* Strong programming skills and experience with modern ML frameworks
* Experience with demonstration\-based learning and data collection for robotic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in-f863a7544bf20ba5</t>
        </is>
      </c>
      <c r="B68" t="inlineStr">
        <is>
          <t>Applied Scientist II, Robotics and ML, Amazon Industrial Robotics</t>
        </is>
      </c>
      <c r="C68" t="inlineStr">
        <is>
          <t>Amazon.com</t>
        </is>
      </c>
      <c r="D68" t="inlineStr">
        <is>
          <t>indeed</t>
        </is>
      </c>
      <c r="E68" t="inlineStr"/>
      <c r="F68" t="inlineStr"/>
      <c r="G68" t="inlineStr">
        <is>
          <t>Reading, MA, US</t>
        </is>
      </c>
      <c r="H68" s="2" t="n">
        <v>45975</v>
      </c>
      <c r="I68"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an Applied Scientist to join our Robotics team. This role focuses on developing innovative machine learning solutions that enable robots to perform complex manipulation tasks in real\-world environments. You will work on creating adaptive learning approaches that combine traditional robotics with modern ML techniques to improve robot performance and reliability. In this role, you will collaborate with multidisciplinary teams to advance the state\-of\-the\-art in robotic manipulation, contributing to the development of next\-generation autonomous systems that can operate safely and efficiently within Amazon fulfillment centers.
Key job responsibilities  
* Lead design, adapt, and implement novel machine learning solutions for manipulation robots
* Create hybrid approaches combining classical methods with learning\-based solutions
* Design learning algorithms for automated parameter tuning and adaptation
* Develop data collection pipelines and methodologies for capturing high\-quality demonstrations of dexterous tasks
* Build and test prototype robotic workcell setups to validate the performance of the solution
* Partner with cross\-functional teams to rapidly create new concepts and prototypes
* Work with Amazon's robotics engineering and operations teams to grasp their requirements and develop tailored solutions
* Document the architecture, performance, and validation of the final system
**BASIC QUALIFICATIONS**
------------------------
* PhD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applying theoretical models in an applied environment
**PREFERRED QUALIFICATIONS**
----------------------------
* Experience using Unix/Linux
* Experience in professional software development
* Experience working effectively across cross\-functional teams and partnering well with people at all levels within an organization
* PhD in Robotics, Computer Science, or related field with focus on machine learning and robot control
* Experience developing and implementing machine learning approaches for robotic systems, particularly in imitation learning or reinforcement learning
* Strong background in robot control systems, particularly in force/impedance control and contact\-rich manipulation
* Experience with real\-time control systems and robot motion planning
* Track record of translating research concepts into practical robotic applications
* Strong programming skills and experience with modern ML frameworks
* Experience with demonstration\-based learning and data collection for robotic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in-0a225ecd5586cccf</t>
        </is>
      </c>
      <c r="B69" t="inlineStr">
        <is>
          <t>Principal Applied Scientist, Amazon AGI</t>
        </is>
      </c>
      <c r="C69" t="inlineStr">
        <is>
          <t>Amazon.com</t>
        </is>
      </c>
      <c r="D69" t="inlineStr">
        <is>
          <t>indeed</t>
        </is>
      </c>
      <c r="E69" t="inlineStr"/>
      <c r="F69" t="inlineStr"/>
      <c r="G69" t="inlineStr">
        <is>
          <t>Boston, MA, US</t>
        </is>
      </c>
      <c r="H69" s="2" t="n">
        <v>45964</v>
      </c>
      <c r="I69"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in-4752a57c3f9c2288</t>
        </is>
      </c>
      <c r="B70" t="inlineStr">
        <is>
          <t>Principal Applied Scientist, Amazon AGI</t>
        </is>
      </c>
      <c r="C70" t="inlineStr">
        <is>
          <t>Amazon.com</t>
        </is>
      </c>
      <c r="D70" t="inlineStr">
        <is>
          <t>indeed</t>
        </is>
      </c>
      <c r="E70" t="inlineStr"/>
      <c r="F70" t="inlineStr"/>
      <c r="G70" t="inlineStr">
        <is>
          <t>San Francisco, CA, US</t>
        </is>
      </c>
      <c r="H70" s="2" t="n">
        <v>45964</v>
      </c>
      <c r="I70"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in-1b619a7be867ca12</t>
        </is>
      </c>
      <c r="B71" t="inlineStr">
        <is>
          <t>Sr. Applied Scientist, Sponsored Product Off-Search</t>
        </is>
      </c>
      <c r="C71" t="inlineStr">
        <is>
          <t>Amazon.com</t>
        </is>
      </c>
      <c r="D71" t="inlineStr">
        <is>
          <t>indeed</t>
        </is>
      </c>
      <c r="E71" t="inlineStr"/>
      <c r="F71" t="inlineStr"/>
      <c r="G71" t="inlineStr">
        <is>
          <t>New York, NY, US</t>
        </is>
      </c>
      <c r="H71" s="2" t="n">
        <v>45963</v>
      </c>
      <c r="I71"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in-6b498e4491a37079</t>
        </is>
      </c>
      <c r="B72" t="inlineStr">
        <is>
          <t>Sr. Applied Scientist, Sponsored Product Off-Search</t>
        </is>
      </c>
      <c r="C72" t="inlineStr">
        <is>
          <t>Amazon.com</t>
        </is>
      </c>
      <c r="D72" t="inlineStr">
        <is>
          <t>indeed</t>
        </is>
      </c>
      <c r="E72" t="inlineStr"/>
      <c r="F72" t="inlineStr"/>
      <c r="G72" t="inlineStr">
        <is>
          <t>Seattle, WA, US</t>
        </is>
      </c>
      <c r="H72" s="2" t="n">
        <v>45963</v>
      </c>
      <c r="I72"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in-aa2aecac78cc0af9</t>
        </is>
      </c>
      <c r="B73" t="inlineStr">
        <is>
          <t>Applied Scientist, AWS Agentic AI</t>
        </is>
      </c>
      <c r="C73" t="inlineStr">
        <is>
          <t>Amazon Web Services</t>
        </is>
      </c>
      <c r="D73" t="inlineStr">
        <is>
          <t>indeed</t>
        </is>
      </c>
      <c r="E73" t="inlineStr"/>
      <c r="F73" t="inlineStr"/>
      <c r="G73" t="inlineStr">
        <is>
          <t>Seattle, WA, US</t>
        </is>
      </c>
      <c r="H73" s="2" t="n">
        <v>45962</v>
      </c>
      <c r="I7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in-6523e15ea73d34f9</t>
        </is>
      </c>
      <c r="B74" t="inlineStr">
        <is>
          <t>Applied Scientist, AWS Agentic AI</t>
        </is>
      </c>
      <c r="C74" t="inlineStr">
        <is>
          <t>Amazon Web Services</t>
        </is>
      </c>
      <c r="D74" t="inlineStr">
        <is>
          <t>indeed</t>
        </is>
      </c>
      <c r="E74" t="inlineStr"/>
      <c r="F74" t="inlineStr"/>
      <c r="G74" t="inlineStr">
        <is>
          <t>Santa Clara, CA, US</t>
        </is>
      </c>
      <c r="H74" s="2" t="n">
        <v>45962</v>
      </c>
      <c r="I74"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in-a3d145b9ff11fa41</t>
        </is>
      </c>
      <c r="B75" t="inlineStr">
        <is>
          <t>Applied Scientist, AWS Agentic AI</t>
        </is>
      </c>
      <c r="C75" t="inlineStr">
        <is>
          <t>Amazon Web Services</t>
        </is>
      </c>
      <c r="D75" t="inlineStr">
        <is>
          <t>indeed</t>
        </is>
      </c>
      <c r="E75" t="inlineStr"/>
      <c r="F75" t="inlineStr"/>
      <c r="G75" t="inlineStr">
        <is>
          <t>New York, NY, US</t>
        </is>
      </c>
      <c r="H75" s="2" t="n">
        <v>45962</v>
      </c>
      <c r="I75"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in-db24c9d9607745b1</t>
        </is>
      </c>
      <c r="B76" t="inlineStr">
        <is>
          <t>Applied Scientist, Prime Video - Content Understanding, Localization &amp; Enrichment Team</t>
        </is>
      </c>
      <c r="C76" t="inlineStr">
        <is>
          <t>Amazon.com</t>
        </is>
      </c>
      <c r="D76" t="inlineStr">
        <is>
          <t>indeed</t>
        </is>
      </c>
      <c r="E76" t="inlineStr"/>
      <c r="F76" t="inlineStr"/>
      <c r="G76" t="inlineStr">
        <is>
          <t>San Francisco, CA, US</t>
        </is>
      </c>
      <c r="H76" s="2" t="n">
        <v>45943</v>
      </c>
      <c r="I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77">
      <c r="A77" t="inlineStr">
        <is>
          <t>in-03b8e2f42f261292</t>
        </is>
      </c>
      <c r="B77" t="inlineStr">
        <is>
          <t>Applied Scientist, Prime Video - Content Understanding, Localization &amp; Enrichment Team</t>
        </is>
      </c>
      <c r="C77" t="inlineStr">
        <is>
          <t>Amazon.com</t>
        </is>
      </c>
      <c r="D77" t="inlineStr">
        <is>
          <t>indeed</t>
        </is>
      </c>
      <c r="E77" t="inlineStr"/>
      <c r="F77" t="inlineStr"/>
      <c r="G77" t="inlineStr">
        <is>
          <t>Seattle, WA, US</t>
        </is>
      </c>
      <c r="H77" s="2" t="n">
        <v>45943</v>
      </c>
      <c r="I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78">
      <c r="A78" t="inlineStr">
        <is>
          <t>in-98fad942f5713620</t>
        </is>
      </c>
      <c r="B78" t="inlineStr">
        <is>
          <t>Principal Applied Scientist, Advertiser Growth, Amazon Sponsored Products &amp; Brands</t>
        </is>
      </c>
      <c r="C78" t="inlineStr">
        <is>
          <t>Amazon.com</t>
        </is>
      </c>
      <c r="D78" t="inlineStr">
        <is>
          <t>indeed</t>
        </is>
      </c>
      <c r="E78" t="inlineStr"/>
      <c r="F78" t="inlineStr"/>
      <c r="G78" t="inlineStr">
        <is>
          <t>New York, NY, US</t>
        </is>
      </c>
      <c r="H78" s="2" t="n">
        <v>45942</v>
      </c>
      <c r="I7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in-5d8affd203b2b4d7</t>
        </is>
      </c>
      <c r="B79" t="inlineStr">
        <is>
          <t>Principal Applied Scientist, Advertiser Growth, Amazon Sponsored Products &amp; Brands</t>
        </is>
      </c>
      <c r="C79" t="inlineStr">
        <is>
          <t>Amazon.com</t>
        </is>
      </c>
      <c r="D79" t="inlineStr">
        <is>
          <t>indeed</t>
        </is>
      </c>
      <c r="E79" t="inlineStr"/>
      <c r="F79" t="inlineStr"/>
      <c r="G79" t="inlineStr">
        <is>
          <t>Palo Alto, CA, US</t>
        </is>
      </c>
      <c r="H79" s="2" t="n">
        <v>45942</v>
      </c>
      <c r="I7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in-988c3320fc10163b</t>
        </is>
      </c>
      <c r="B80" t="inlineStr">
        <is>
          <t>Principal Applied Scientist, Advertiser Growth, Amazon Sponsored Products &amp; Brands</t>
        </is>
      </c>
      <c r="C80" t="inlineStr">
        <is>
          <t>Amazon.com</t>
        </is>
      </c>
      <c r="D80" t="inlineStr">
        <is>
          <t>indeed</t>
        </is>
      </c>
      <c r="E80" t="inlineStr"/>
      <c r="F80" t="inlineStr"/>
      <c r="G80" t="inlineStr">
        <is>
          <t>Seattle, WA, US</t>
        </is>
      </c>
      <c r="H80" s="2" t="n">
        <v>45942</v>
      </c>
      <c r="I80"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in-10e3a56521f88c64</t>
        </is>
      </c>
      <c r="B81" t="inlineStr">
        <is>
          <t>Sr. Applied Scientist, SPB Advertiser Guidance</t>
        </is>
      </c>
      <c r="C81" t="inlineStr">
        <is>
          <t>Amazon.com</t>
        </is>
      </c>
      <c r="D81" t="inlineStr">
        <is>
          <t>indeed</t>
        </is>
      </c>
      <c r="E81" t="inlineStr"/>
      <c r="F81" t="inlineStr"/>
      <c r="G81" t="inlineStr">
        <is>
          <t>Seattle, WA, US</t>
        </is>
      </c>
      <c r="H81" s="2" t="n">
        <v>45939</v>
      </c>
      <c r="I8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in-d991fbe551ce8592</t>
        </is>
      </c>
      <c r="B82" t="inlineStr">
        <is>
          <t>Applied Scientist</t>
        </is>
      </c>
      <c r="C82" t="inlineStr">
        <is>
          <t>Amazon.com</t>
        </is>
      </c>
      <c r="D82" t="inlineStr">
        <is>
          <t>indeed</t>
        </is>
      </c>
      <c r="E82" t="inlineStr"/>
      <c r="F82" t="inlineStr"/>
      <c r="G82" t="inlineStr">
        <is>
          <t>Seattle, WA, US</t>
        </is>
      </c>
      <c r="H82" s="2" t="n">
        <v>45939</v>
      </c>
      <c r="I8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in-7339b3fa3b64752c</t>
        </is>
      </c>
      <c r="B83" t="inlineStr">
        <is>
          <t>Senior Applied Scientist, Sponsored Products and Brands</t>
        </is>
      </c>
      <c r="C83" t="inlineStr">
        <is>
          <t>Amazon.com</t>
        </is>
      </c>
      <c r="D83" t="inlineStr">
        <is>
          <t>indeed</t>
        </is>
      </c>
      <c r="E83" t="inlineStr"/>
      <c r="F83" t="inlineStr"/>
      <c r="G83" t="inlineStr">
        <is>
          <t>Seattle, WA, US</t>
        </is>
      </c>
      <c r="H83" s="2" t="n">
        <v>45922</v>
      </c>
      <c r="I83"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in-f1eecde3e94b1cdc</t>
        </is>
      </c>
      <c r="B84" t="inlineStr">
        <is>
          <t>Senior Applied Scientist, Sponsored Products and Brands</t>
        </is>
      </c>
      <c r="C84" t="inlineStr">
        <is>
          <t>Amazon.com</t>
        </is>
      </c>
      <c r="D84" t="inlineStr">
        <is>
          <t>indeed</t>
        </is>
      </c>
      <c r="E84" t="inlineStr"/>
      <c r="F84" t="inlineStr"/>
      <c r="G84" t="inlineStr">
        <is>
          <t>New York, NY, US</t>
        </is>
      </c>
      <c r="H84" s="2" t="n">
        <v>45922</v>
      </c>
      <c r="I84"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in-55bc0f690e9feace</t>
        </is>
      </c>
      <c r="B85" t="inlineStr">
        <is>
          <t>Applied Scientist, Workplace Health &amp; Safety</t>
        </is>
      </c>
      <c r="C85" t="inlineStr">
        <is>
          <t>Amazon.com</t>
        </is>
      </c>
      <c r="D85" t="inlineStr">
        <is>
          <t>indeed</t>
        </is>
      </c>
      <c r="E85" t="inlineStr"/>
      <c r="F85" t="inlineStr"/>
      <c r="G85" t="inlineStr">
        <is>
          <t>Nashville, TN, US</t>
        </is>
      </c>
      <c r="H85" s="2" t="n">
        <v>45917</v>
      </c>
      <c r="I85"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in-7b008da47355167d</t>
        </is>
      </c>
      <c r="B86" t="inlineStr">
        <is>
          <t>Applied Scientist, Workplace Health &amp; Safety</t>
        </is>
      </c>
      <c r="C86" t="inlineStr">
        <is>
          <t>Amazon.com</t>
        </is>
      </c>
      <c r="D86" t="inlineStr">
        <is>
          <t>indeed</t>
        </is>
      </c>
      <c r="E86" t="inlineStr"/>
      <c r="F86" t="inlineStr"/>
      <c r="G86" t="inlineStr">
        <is>
          <t>Bellevue, WA, US</t>
        </is>
      </c>
      <c r="H86" s="2" t="n">
        <v>45917</v>
      </c>
      <c r="I86"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in-9baed965186d88ae</t>
        </is>
      </c>
      <c r="B87" t="inlineStr">
        <is>
          <t>Sr. Applied Scientist, Amazon Advertising</t>
        </is>
      </c>
      <c r="C87" t="inlineStr">
        <is>
          <t>Amazon.com</t>
        </is>
      </c>
      <c r="D87" t="inlineStr">
        <is>
          <t>indeed</t>
        </is>
      </c>
      <c r="E87" t="inlineStr"/>
      <c r="F87" t="inlineStr"/>
      <c r="G87" t="inlineStr">
        <is>
          <t>Austin, TX, US</t>
        </is>
      </c>
      <c r="H87" s="2" t="n">
        <v>45851</v>
      </c>
      <c r="I8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in-7cd510cd31dffc38</t>
        </is>
      </c>
      <c r="B88" t="inlineStr">
        <is>
          <t>Sr. Applied Scientist, Amazon Advertising</t>
        </is>
      </c>
      <c r="C88" t="inlineStr">
        <is>
          <t>Amazon.com</t>
        </is>
      </c>
      <c r="D88" t="inlineStr">
        <is>
          <t>indeed</t>
        </is>
      </c>
      <c r="E88" t="inlineStr"/>
      <c r="F88" t="inlineStr"/>
      <c r="G88" t="inlineStr">
        <is>
          <t>New York, NY, US</t>
        </is>
      </c>
      <c r="H88" s="2" t="n">
        <v>45851</v>
      </c>
      <c r="I8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in-694c58e68f9b3d1a</t>
        </is>
      </c>
      <c r="B89" t="inlineStr">
        <is>
          <t>Sr. Applied Scientist, Amazon Advertising</t>
        </is>
      </c>
      <c r="C89" t="inlineStr">
        <is>
          <t>Amazon.com</t>
        </is>
      </c>
      <c r="D89" t="inlineStr">
        <is>
          <t>indeed</t>
        </is>
      </c>
      <c r="E89" t="inlineStr"/>
      <c r="F89" t="inlineStr"/>
      <c r="G89" t="inlineStr">
        <is>
          <t>Los Angeles, CA, US</t>
        </is>
      </c>
      <c r="H89" s="2" t="n">
        <v>45851</v>
      </c>
      <c r="I8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in-21c3fa7ef05d2233</t>
        </is>
      </c>
      <c r="B90" t="inlineStr">
        <is>
          <t>Sr. Applied Scientist, Amazon Advertising</t>
        </is>
      </c>
      <c r="C90" t="inlineStr">
        <is>
          <t>Amazon.com</t>
        </is>
      </c>
      <c r="D90" t="inlineStr">
        <is>
          <t>indeed</t>
        </is>
      </c>
      <c r="E90" t="inlineStr"/>
      <c r="F90" t="inlineStr"/>
      <c r="G90" t="inlineStr">
        <is>
          <t>Arlington, VA, US</t>
        </is>
      </c>
      <c r="H90" s="2" t="n">
        <v>45851</v>
      </c>
      <c r="I9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in-af589d3c9f327686</t>
        </is>
      </c>
      <c r="B91" t="inlineStr">
        <is>
          <t>Sr. Applied Scientist, Amazon Advertising</t>
        </is>
      </c>
      <c r="C91" t="inlineStr">
        <is>
          <t>Amazon.com</t>
        </is>
      </c>
      <c r="D91" t="inlineStr">
        <is>
          <t>indeed</t>
        </is>
      </c>
      <c r="E91" t="inlineStr"/>
      <c r="F91" t="inlineStr"/>
      <c r="G91" t="inlineStr">
        <is>
          <t>Palo Alto, CA, US</t>
        </is>
      </c>
      <c r="H91" s="2" t="n">
        <v>45851</v>
      </c>
      <c r="I9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in-ff970757fbd3a7da</t>
        </is>
      </c>
      <c r="B92" t="inlineStr">
        <is>
          <t>Sr. Applied Scientist, Amazon Advertising</t>
        </is>
      </c>
      <c r="C92" t="inlineStr">
        <is>
          <t>Amazon.com</t>
        </is>
      </c>
      <c r="D92" t="inlineStr">
        <is>
          <t>indeed</t>
        </is>
      </c>
      <c r="E92" t="inlineStr"/>
      <c r="F92" t="inlineStr"/>
      <c r="G92" t="inlineStr">
        <is>
          <t>Seattle, WA, US</t>
        </is>
      </c>
      <c r="H92" s="2" t="n">
        <v>45851</v>
      </c>
      <c r="I9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in-9929d6b7fbeae5a3</t>
        </is>
      </c>
      <c r="B93" t="inlineStr">
        <is>
          <t>Sr. Applied Scientist, Amazon Advertising</t>
        </is>
      </c>
      <c r="C93" t="inlineStr">
        <is>
          <t>Amazon.com</t>
        </is>
      </c>
      <c r="D93" t="inlineStr">
        <is>
          <t>indeed</t>
        </is>
      </c>
      <c r="E93" t="inlineStr"/>
      <c r="F93" t="inlineStr"/>
      <c r="G93" t="inlineStr">
        <is>
          <t>West Hollywood, CA, US</t>
        </is>
      </c>
      <c r="H93" s="2" t="n">
        <v>45851</v>
      </c>
      <c r="I9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in-f06a53350128b0ac</t>
        </is>
      </c>
      <c r="B94" t="inlineStr">
        <is>
          <t>Sr. Applied Scientist, Amazon Advertising</t>
        </is>
      </c>
      <c r="C94" t="inlineStr">
        <is>
          <t>Amazon.com</t>
        </is>
      </c>
      <c r="D94" t="inlineStr">
        <is>
          <t>indeed</t>
        </is>
      </c>
      <c r="E94" t="inlineStr"/>
      <c r="F94" t="inlineStr"/>
      <c r="G94" t="inlineStr">
        <is>
          <t>Simi Valley, CA, US</t>
        </is>
      </c>
      <c r="H94" s="2" t="n">
        <v>45851</v>
      </c>
      <c r="I9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in-6e16944c54a8d530</t>
        </is>
      </c>
      <c r="B95" t="inlineStr">
        <is>
          <t>Senior Applied Scientist, Artificial General Intelligence</t>
        </is>
      </c>
      <c r="C95" t="inlineStr">
        <is>
          <t>Amazon.com</t>
        </is>
      </c>
      <c r="D95" t="inlineStr">
        <is>
          <t>indeed</t>
        </is>
      </c>
      <c r="E95" t="inlineStr"/>
      <c r="F95" t="inlineStr"/>
      <c r="G95" t="inlineStr">
        <is>
          <t>New York, NY, US</t>
        </is>
      </c>
      <c r="H95" s="2" t="n">
        <v>45838</v>
      </c>
      <c r="I9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in-f4beb99a54cc28d3</t>
        </is>
      </c>
      <c r="B96" t="inlineStr">
        <is>
          <t>Senior Applied Scientist, Artificial General Intelligence</t>
        </is>
      </c>
      <c r="C96" t="inlineStr">
        <is>
          <t>Amazon.com</t>
        </is>
      </c>
      <c r="D96" t="inlineStr">
        <is>
          <t>indeed</t>
        </is>
      </c>
      <c r="E96" t="inlineStr"/>
      <c r="F96" t="inlineStr"/>
      <c r="G96" t="inlineStr">
        <is>
          <t>Boston, MA, US</t>
        </is>
      </c>
      <c r="H96" s="2" t="n">
        <v>45838</v>
      </c>
      <c r="I9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in-d6256d206888ac2a</t>
        </is>
      </c>
      <c r="B97" t="inlineStr">
        <is>
          <t>Senior Applied Scientist, Artificial General Intelligence</t>
        </is>
      </c>
      <c r="C97" t="inlineStr">
        <is>
          <t>Amazon.com</t>
        </is>
      </c>
      <c r="D97" t="inlineStr">
        <is>
          <t>indeed</t>
        </is>
      </c>
      <c r="E97" t="inlineStr"/>
      <c r="F97" t="inlineStr"/>
      <c r="G97" t="inlineStr">
        <is>
          <t>Sunnyvale, CA, US</t>
        </is>
      </c>
      <c r="H97" s="2" t="n">
        <v>45838</v>
      </c>
      <c r="I9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in-b9d78de9979d257b</t>
        </is>
      </c>
      <c r="B98" t="inlineStr">
        <is>
          <t>Sr. Applied Scientist, Sales AI</t>
        </is>
      </c>
      <c r="C98" t="inlineStr">
        <is>
          <t>Amazon.com</t>
        </is>
      </c>
      <c r="D98" t="inlineStr">
        <is>
          <t>indeed</t>
        </is>
      </c>
      <c r="E98" t="inlineStr"/>
      <c r="F98" t="inlineStr"/>
      <c r="G98" t="inlineStr">
        <is>
          <t>Seattle, WA, US</t>
        </is>
      </c>
      <c r="H98" s="2" t="n">
        <v>45830</v>
      </c>
      <c r="I98"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in-0d3f73598b32897b</t>
        </is>
      </c>
      <c r="B99" t="inlineStr">
        <is>
          <t>Sr. Applied Scientist, Sales AI</t>
        </is>
      </c>
      <c r="C99" t="inlineStr">
        <is>
          <t>Amazon.com</t>
        </is>
      </c>
      <c r="D99" t="inlineStr">
        <is>
          <t>indeed</t>
        </is>
      </c>
      <c r="E99" t="inlineStr"/>
      <c r="F99" t="inlineStr"/>
      <c r="G99" t="inlineStr">
        <is>
          <t>New York, NY, US</t>
        </is>
      </c>
      <c r="H99" s="2" t="n">
        <v>45830</v>
      </c>
      <c r="I99"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in-1fa13f0ac2a3a002</t>
        </is>
      </c>
      <c r="B100" t="inlineStr">
        <is>
          <t>Sr. Applied Scientist, Sales AI</t>
        </is>
      </c>
      <c r="C100" t="inlineStr">
        <is>
          <t>Amazon.com</t>
        </is>
      </c>
      <c r="D100" t="inlineStr">
        <is>
          <t>indeed</t>
        </is>
      </c>
      <c r="E100" t="inlineStr"/>
      <c r="F100" t="inlineStr"/>
      <c r="G100" t="inlineStr">
        <is>
          <t>Sunnyvale, CA, US</t>
        </is>
      </c>
      <c r="H100" s="2" t="n">
        <v>45830</v>
      </c>
      <c r="I100"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in-e61787a302c830cf</t>
        </is>
      </c>
      <c r="B101" t="inlineStr">
        <is>
          <t>Principal Applied Scientist, Delivery Foundation Model</t>
        </is>
      </c>
      <c r="C101" t="inlineStr">
        <is>
          <t>Amazon.com</t>
        </is>
      </c>
      <c r="D101" t="inlineStr">
        <is>
          <t>indeed</t>
        </is>
      </c>
      <c r="E101" t="inlineStr"/>
      <c r="F101" t="inlineStr"/>
      <c r="G101" t="inlineStr">
        <is>
          <t>New York, NY, US</t>
        </is>
      </c>
      <c r="H101" s="2" t="n">
        <v>45810</v>
      </c>
      <c r="I10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in-28f1d27cbc483b72</t>
        </is>
      </c>
      <c r="B102" t="inlineStr">
        <is>
          <t>Principal Applied Scientist, Delivery Foundation Model</t>
        </is>
      </c>
      <c r="C102" t="inlineStr">
        <is>
          <t>Amazon.com</t>
        </is>
      </c>
      <c r="D102" t="inlineStr">
        <is>
          <t>indeed</t>
        </is>
      </c>
      <c r="E102" t="inlineStr"/>
      <c r="F102" t="inlineStr"/>
      <c r="G102" t="inlineStr">
        <is>
          <t>Bellevue, WA, US</t>
        </is>
      </c>
      <c r="H102" s="2" t="n">
        <v>45810</v>
      </c>
      <c r="I10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in-a897d88d303eab7c</t>
        </is>
      </c>
      <c r="B103" t="inlineStr">
        <is>
          <t>Principal Applied Scientist, Delivery Foundation Model</t>
        </is>
      </c>
      <c r="C103" t="inlineStr">
        <is>
          <t>Amazon.com</t>
        </is>
      </c>
      <c r="D103" t="inlineStr">
        <is>
          <t>indeed</t>
        </is>
      </c>
      <c r="E103" t="inlineStr"/>
      <c r="F103" t="inlineStr"/>
      <c r="G103" t="inlineStr">
        <is>
          <t>Santa Clara, CA, US</t>
        </is>
      </c>
      <c r="H103" s="2" t="n">
        <v>45810</v>
      </c>
      <c r="I10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in-931a2ee6f9385e2d</t>
        </is>
      </c>
      <c r="B104" t="inlineStr">
        <is>
          <t>Principal Applied Scientist, Delivery Foundation Model</t>
        </is>
      </c>
      <c r="C104" t="inlineStr">
        <is>
          <t>Amazon.com</t>
        </is>
      </c>
      <c r="D104" t="inlineStr">
        <is>
          <t>indeed</t>
        </is>
      </c>
      <c r="E104" t="inlineStr"/>
      <c r="F104" t="inlineStr"/>
      <c r="G104" t="inlineStr">
        <is>
          <t>Austin, TX, US</t>
        </is>
      </c>
      <c r="H104" s="2" t="n">
        <v>45810</v>
      </c>
      <c r="I10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in-9327d6774df51b77</t>
        </is>
      </c>
      <c r="B105" t="inlineStr">
        <is>
          <t>Senior Applied Scientist, Delivery Foundation Model</t>
        </is>
      </c>
      <c r="C105" t="inlineStr">
        <is>
          <t>Amazon.com</t>
        </is>
      </c>
      <c r="D105" t="inlineStr">
        <is>
          <t>indeed</t>
        </is>
      </c>
      <c r="E105" t="inlineStr"/>
      <c r="F105" t="inlineStr"/>
      <c r="G105" t="inlineStr">
        <is>
          <t>New York, NY, US</t>
        </is>
      </c>
      <c r="H105" s="2" t="n">
        <v>45806</v>
      </c>
      <c r="I10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in-314f89afc9baf238</t>
        </is>
      </c>
      <c r="B106" t="inlineStr">
        <is>
          <t>Senior Applied Scientist, Delivery Foundation Model</t>
        </is>
      </c>
      <c r="C106" t="inlineStr">
        <is>
          <t>Amazon.com</t>
        </is>
      </c>
      <c r="D106" t="inlineStr">
        <is>
          <t>indeed</t>
        </is>
      </c>
      <c r="E106" t="inlineStr"/>
      <c r="F106" t="inlineStr"/>
      <c r="G106" t="inlineStr">
        <is>
          <t>Santa Clara, CA, US</t>
        </is>
      </c>
      <c r="H106" s="2" t="n">
        <v>45806</v>
      </c>
      <c r="I10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in-73837698d1b85437</t>
        </is>
      </c>
      <c r="B107" t="inlineStr">
        <is>
          <t>Senior Applied Scientist, Delivery Foundation Model</t>
        </is>
      </c>
      <c r="C107" t="inlineStr">
        <is>
          <t>Amazon.com</t>
        </is>
      </c>
      <c r="D107" t="inlineStr">
        <is>
          <t>indeed</t>
        </is>
      </c>
      <c r="E107" t="inlineStr"/>
      <c r="F107" t="inlineStr"/>
      <c r="G107" t="inlineStr">
        <is>
          <t>Bellevue, WA, US</t>
        </is>
      </c>
      <c r="H107" s="2" t="n">
        <v>45806</v>
      </c>
      <c r="I10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in-b185ea7d81660992</t>
        </is>
      </c>
      <c r="B108" t="inlineStr">
        <is>
          <t>Principal Applied Scientist, Delivery Foundation Model</t>
        </is>
      </c>
      <c r="C108" t="inlineStr">
        <is>
          <t>Amazon.com</t>
        </is>
      </c>
      <c r="D108" t="inlineStr">
        <is>
          <t>indeed</t>
        </is>
      </c>
      <c r="E108" t="inlineStr"/>
      <c r="F108" t="inlineStr"/>
      <c r="G108" t="inlineStr">
        <is>
          <t>New York, NY, US</t>
        </is>
      </c>
      <c r="H108" s="2" t="n">
        <v>45757</v>
      </c>
      <c r="I10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in-a3f28983929f7af5</t>
        </is>
      </c>
      <c r="B109" t="inlineStr">
        <is>
          <t>Principal Applied Scientist, Delivery Foundation Model</t>
        </is>
      </c>
      <c r="C109" t="inlineStr">
        <is>
          <t>Amazon.com</t>
        </is>
      </c>
      <c r="D109" t="inlineStr">
        <is>
          <t>indeed</t>
        </is>
      </c>
      <c r="E109" t="inlineStr"/>
      <c r="F109" t="inlineStr"/>
      <c r="G109" t="inlineStr">
        <is>
          <t>Bellevue, WA, US</t>
        </is>
      </c>
      <c r="H109" s="2" t="n">
        <v>45757</v>
      </c>
      <c r="I10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in-db22bd51319f3aa6</t>
        </is>
      </c>
      <c r="B110" t="inlineStr">
        <is>
          <t>Principal Applied Scientist, Delivery Foundation Model</t>
        </is>
      </c>
      <c r="C110" t="inlineStr">
        <is>
          <t>Amazon.com</t>
        </is>
      </c>
      <c r="D110" t="inlineStr">
        <is>
          <t>indeed</t>
        </is>
      </c>
      <c r="E110" t="inlineStr"/>
      <c r="F110" t="inlineStr"/>
      <c r="G110" t="inlineStr">
        <is>
          <t>Santa Clara, CA, US</t>
        </is>
      </c>
      <c r="H110" s="2" t="n">
        <v>45757</v>
      </c>
      <c r="I11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in-7c8e9abcffc88ffc</t>
        </is>
      </c>
      <c r="B111" t="inlineStr">
        <is>
          <t>Principal Applied Scientist, FAR (Frontier AI &amp; Robotics)</t>
        </is>
      </c>
      <c r="C111" t="inlineStr">
        <is>
          <t>Amazon.com</t>
        </is>
      </c>
      <c r="D111" t="inlineStr">
        <is>
          <t>indeed</t>
        </is>
      </c>
      <c r="E111" t="inlineStr"/>
      <c r="F111" t="inlineStr"/>
      <c r="G111" t="inlineStr">
        <is>
          <t>San Francisco, CA, US</t>
        </is>
      </c>
      <c r="H111" s="2" t="n">
        <v>45740</v>
      </c>
      <c r="I111"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in-2d9614a6419a51cd</t>
        </is>
      </c>
      <c r="B112" t="inlineStr">
        <is>
          <t>Principal Applied Scientist, FAR (Frontier AI &amp; Robotics)</t>
        </is>
      </c>
      <c r="C112" t="inlineStr">
        <is>
          <t>Amazon.com</t>
        </is>
      </c>
      <c r="D112" t="inlineStr">
        <is>
          <t>indeed</t>
        </is>
      </c>
      <c r="E112" t="inlineStr"/>
      <c r="F112" t="inlineStr"/>
      <c r="G112" t="inlineStr">
        <is>
          <t>Seattle, WA, US</t>
        </is>
      </c>
      <c r="H112" s="2" t="n">
        <v>45740</v>
      </c>
      <c r="I112"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in-ddc124b8cb9833f3</t>
        </is>
      </c>
      <c r="B113" t="inlineStr">
        <is>
          <t>Senior Machine Learning Engineer</t>
        </is>
      </c>
      <c r="C113" t="inlineStr">
        <is>
          <t>Apple</t>
        </is>
      </c>
      <c r="D113" t="inlineStr">
        <is>
          <t>indeed</t>
        </is>
      </c>
      <c r="E113" t="inlineStr"/>
      <c r="F113" t="inlineStr"/>
      <c r="G113" t="inlineStr">
        <is>
          <t>Cambridge, MA, US</t>
        </is>
      </c>
      <c r="H113" s="2" t="n">
        <v>46052</v>
      </c>
      <c r="I113" t="inlineStr">
        <is>
          <t>Imagine what you could do here! The people here at Apple don’t just create products \- they build the kind of wonder that’s revolutionized entire industries. It’s the diversity of those people and their ideas that inspires the innovation that runs through everything we do, from amazing technology to industry\-leading environmental efforts. At Apple, inclusion is a shared responsibility, and we work together to foster a culture where everyone belongs and is inspired to do their best work.  
Here on the Apple Store Online team, we are responsible for Apple’s largest store. Our main goal is to deliver a magical, personal digital experience where customers can shop, buy and learn everything Apple, wherever they are. Each customer should feel like they are our only customer and our job is to set the bar for the experience they receive. To run such an extraordinary store, it takes extraordinary people, and we are looking for someone to help us do extraordinary things.  
We are looking for a passionate, highly motivated, and hands\-on applied Senior Machine Learning Engineer. This role will assist our Online Retail Decision Automation team by helping to research and develop the next generation of algorithms used to drive the Apple Online experience! The role spans central areas of our Apple Online Store including developing models for product search, recommendation systems (e.g. ranking, page generation), personalization (e.g. evidence, messaging, marketing), Generative AI and optimize Apple\-wide systems \&amp; infrastructure. As a member of the fast\-paced team, you will have the outstanding and great opportunity to work on new projects and craft upcoming products that will delight and encourage millions of Appleʼs customers ever day.  
**Description**  
To be successful, candidates will need a machine learning background, proven software development skills, a love of learning. They will also need to be able to collaborate with multi\-functional teams, including researchers, engineers, data scientists/analysts, and product managers, to help develop and implement machine learning algorithms and testing workflows.","responsibilities":"Collaborate with other MLEs to build scalable, production\-ready ML solutions, taking algorithms from initial concept through to deployment.  
Give to the ongoing improvement of our ML infrastructure and tooling.  
Engage in continuous learning and development, staying up\-to\-date with the latest advances in machine learning and software engineering.  
Mentor junior MLEs on the team to ensure best practices are followed.  
**Preferred Qualifications**  
PhD or Graduate degree with research/work experience using data science techniques (including but not limited to Computer Science, Statistics, Mathematics, etc).  
Experience in Recommender Systems, Personalization, Search, Computational Advertising or Natural Language Processing including RAG based Generative AI and transformer architecture.  
Skilled in communication, problem solving, critical thinking.  
Experience using Deep Learning, Bandits, Probabilistic Graphical Models, or Reinforcement Learning in real applications a plus.  
Experience with Spark, TensorFlow, Keras, and PyTorch a plus  
**Minimum Qualifications**  
Bachelorʼs degree in Computer Science, Statistics, Mathematics with equivalent experience.  
5\+ years of related experience building high throughput scalable applications or building machine learning models.  
Proficiency in one or more object\-oriented programming languages such as Python, Java, C\+\+ and experience building distributed systems.  
Experience building data processing pipelines and large scale machine learning systems with experience in big data technologies like Spark, SQL, Snowflake/Hadoop, etc.  
Skilled in communication, problem solving, critical thinking Attention to detail, data accuracy and quality of output.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14">
      <c r="A114" t="inlineStr">
        <is>
          <t>in-854d609e1837c19d</t>
        </is>
      </c>
      <c r="B114" t="inlineStr">
        <is>
          <t>Senior Machine Learning Engineer</t>
        </is>
      </c>
      <c r="C114" t="inlineStr">
        <is>
          <t>Apple</t>
        </is>
      </c>
      <c r="D114" t="inlineStr">
        <is>
          <t>indeed</t>
        </is>
      </c>
      <c r="E114" t="inlineStr"/>
      <c r="F114" t="inlineStr"/>
      <c r="G114" t="inlineStr">
        <is>
          <t>Cambridge, MA, US</t>
        </is>
      </c>
      <c r="H114" s="2" t="n">
        <v>46052</v>
      </c>
      <c r="I114" t="inlineStr">
        <is>
          <t>Imagine what you could do here! The people here at Apple don’t just create products \- they build the kind of wonder that’s revolutionized entire industries. It’s the diversity of those people and their ideas that inspires the innovation that runs through everything we do, from amazing technology to industry\-leading environmental efforts. At Apple, inclusion is a shared responsibility, and we work together to foster a culture where everyone belongs and is inspired to do their best work.  
Here on the Apple Store Online team, we are responsible for Apple’s largest store. Our main goal is to deliver a magical, personal digital experience where customers can shop, buy and learn everything Apple, wherever they are. Each customer should feel like they are our only customer and our job is to set the bar for the experience they receive. To run such an extraordinary store, it takes extraordinary people, and we are looking for someone to help us do extraordinary things.  
We are looking for a passionate, highly motivated, and hands\-on applied Senior Machine Learning Engineer. This role will assist our Online Retail Decision Automation team by helping to research and develop the next generation of algorithms used to drive the Apple Online experience! The role spans central areas of our Apple Online Store including developing models for product search, recommendation systems (e.g. ranking, page generation), personalization (e.g. evidence, messaging, marketing), Generative AI and optimize Apple\-wide systems \&amp; infrastructure. As a member of the fast\-paced team, you will have the outstanding and great opportunity to work on new projects and craft upcoming products that will delight and encourage millions of Appleʼs customers ever day.  
**Description**  
To be successful, candidates will need a machine learning background, proven software development skills, a love of learning. They will also need to be able to collaborate with multi\-functional teams, including researchers, engineers, data scientists/analysts, and product managers, to help develop and implement machine learning algorithms and testing workflows.","responsibilities":"Collaborate with other MLEs to build scalable, production\-ready ML solutions, taking algorithms from initial concept through to deployment.  
Give to the ongoing improvement of our ML infrastructure and tooling.  
Engage in continuous learning and development, staying up\-to\-date with the latest advances in machine learning and software engineering.  
Mentor junior MLEs on the team to ensure best practices are followed.  
**Preferred Qualifications**  
PhD or Graduate degree with research/work experience using data science techniques (including but not limited to Computer Science, Statistics, Mathematics, etc).  
Experience in Recommender Systems, Personalization, Search, Computational Advertising or Natural Language Processing including RAG based Generative AI and transformer architecture.  
Skilled in communication, problem solving, critical thinking.  
Experience using Deep Learning, Bandits, Probabilistic Graphical Models, or Reinforcement Learning in real applications a plus.  
Experience with Spark, TensorFlow, Keras, and PyTorch a plus  
**Minimum Qualifications**  
Bachelorʼs degree in Computer Science, Statistics, Mathematics with equivalent experience.  
5\+ years of related experience building high throughput scalable applications or building machine learning models.  
Proficiency in one or more object\-oriented programming languages such as Python, Java, C\+\+ and experience building distributed systems.  
Experience building data processing pipelines and large scale machine learning systems with experience in big data technologies like Spark, SQL, Snowflake/Hadoop, etc.  
Skilled in communication, problem solving, critical thinking Attention to detail, data accuracy and quality of output.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15">
      <c r="A115" t="inlineStr">
        <is>
          <t>in-592dea7fb2d0028c</t>
        </is>
      </c>
      <c r="B115" t="inlineStr">
        <is>
          <t>Machine Learning Engineer, WWPS ProServe Data and Machine Learning</t>
        </is>
      </c>
      <c r="C115" t="inlineStr">
        <is>
          <t>Amazon Web Services</t>
        </is>
      </c>
      <c r="D115" t="inlineStr">
        <is>
          <t>indeed</t>
        </is>
      </c>
      <c r="E115" t="inlineStr"/>
      <c r="F115" t="inlineStr"/>
      <c r="G115" t="inlineStr">
        <is>
          <t>Herndon, VA, US</t>
        </is>
      </c>
      <c r="H115" s="2" t="n">
        <v>46044</v>
      </c>
      <c r="I115"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16">
      <c r="A116" t="inlineStr">
        <is>
          <t>in-06edb915f6842097</t>
        </is>
      </c>
      <c r="B116" t="inlineStr">
        <is>
          <t>Machine Learning Engineer, WWPS ProServe Data and Machine Learning</t>
        </is>
      </c>
      <c r="C116" t="inlineStr">
        <is>
          <t>Amazon Web Services</t>
        </is>
      </c>
      <c r="D116" t="inlineStr">
        <is>
          <t>indeed</t>
        </is>
      </c>
      <c r="E116" t="inlineStr"/>
      <c r="F116" t="inlineStr"/>
      <c r="G116" t="inlineStr">
        <is>
          <t>Arlington, VA, US</t>
        </is>
      </c>
      <c r="H116" s="2" t="n">
        <v>46044</v>
      </c>
      <c r="I116"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17">
      <c r="A117" t="inlineStr">
        <is>
          <t>in-778db80c6b38efc0</t>
        </is>
      </c>
      <c r="B117" t="inlineStr">
        <is>
          <t>Machine Learning Engineer, WWPS ProServe Data and Machine Learning</t>
        </is>
      </c>
      <c r="C117" t="inlineStr">
        <is>
          <t>Amazon Web Services</t>
        </is>
      </c>
      <c r="D117" t="inlineStr">
        <is>
          <t>indeed</t>
        </is>
      </c>
      <c r="E117" t="inlineStr"/>
      <c r="F117" t="inlineStr"/>
      <c r="G117" t="inlineStr">
        <is>
          <t>Herndon, VA, US</t>
        </is>
      </c>
      <c r="H117" s="2" t="n">
        <v>46043</v>
      </c>
      <c r="I117"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18">
      <c r="A118" t="inlineStr">
        <is>
          <t>in-50fe92f9b4945764</t>
        </is>
      </c>
      <c r="B118" t="inlineStr">
        <is>
          <t>Machine Learning Engineer, WWPS ProServe Data and Machine Learning</t>
        </is>
      </c>
      <c r="C118" t="inlineStr">
        <is>
          <t>Amazon Web Services</t>
        </is>
      </c>
      <c r="D118" t="inlineStr">
        <is>
          <t>indeed</t>
        </is>
      </c>
      <c r="E118" t="inlineStr"/>
      <c r="F118" t="inlineStr"/>
      <c r="G118" t="inlineStr">
        <is>
          <t>Arlington, VA, US</t>
        </is>
      </c>
      <c r="H118" s="2" t="n">
        <v>46043</v>
      </c>
      <c r="I118"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19">
      <c r="A119" t="inlineStr">
        <is>
          <t>in-3a4b18ffdac034e5</t>
        </is>
      </c>
      <c r="B119" t="inlineStr">
        <is>
          <t>Applied Scientist, Alexa Smart Home</t>
        </is>
      </c>
      <c r="C119" t="inlineStr">
        <is>
          <t>Amazon.com</t>
        </is>
      </c>
      <c r="D119" t="inlineStr">
        <is>
          <t>indeed</t>
        </is>
      </c>
      <c r="E119" t="inlineStr"/>
      <c r="F119" t="inlineStr"/>
      <c r="G119" t="inlineStr">
        <is>
          <t>Seattle, WA, US</t>
        </is>
      </c>
      <c r="H119" s="2" t="n">
        <v>46033</v>
      </c>
      <c r="I119"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20">
      <c r="A120" t="inlineStr">
        <is>
          <t>in-9be2030bafd56a51</t>
        </is>
      </c>
      <c r="B120" t="inlineStr">
        <is>
          <t>Applied Scientist, Alexa Smart Home</t>
        </is>
      </c>
      <c r="C120" t="inlineStr">
        <is>
          <t>Amazon.com</t>
        </is>
      </c>
      <c r="D120" t="inlineStr">
        <is>
          <t>indeed</t>
        </is>
      </c>
      <c r="E120" t="inlineStr"/>
      <c r="F120" t="inlineStr"/>
      <c r="G120" t="inlineStr">
        <is>
          <t>Sunnyvale, CA, US</t>
        </is>
      </c>
      <c r="H120" s="2" t="n">
        <v>46033</v>
      </c>
      <c r="I120"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21">
      <c r="A121" t="inlineStr">
        <is>
          <t>in-a9a963b83ed5909e</t>
        </is>
      </c>
      <c r="B121" t="inlineStr">
        <is>
          <t>Sr Applied Scientist, AWS Proactive Security</t>
        </is>
      </c>
      <c r="C121" t="inlineStr">
        <is>
          <t>Amazon.com</t>
        </is>
      </c>
      <c r="D121" t="inlineStr">
        <is>
          <t>indeed</t>
        </is>
      </c>
      <c r="E121" t="inlineStr"/>
      <c r="F121" t="inlineStr"/>
      <c r="G121" t="inlineStr">
        <is>
          <t>Arlington, VA, US</t>
        </is>
      </c>
      <c r="H121" s="2" t="n">
        <v>46030</v>
      </c>
      <c r="I121"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122">
      <c r="A122" t="inlineStr">
        <is>
          <t>in-8568e10704ecb693</t>
        </is>
      </c>
      <c r="B122" t="inlineStr">
        <is>
          <t>Sr Applied Scientist, AWS Proactive Security</t>
        </is>
      </c>
      <c r="C122" t="inlineStr">
        <is>
          <t>Amazon.com</t>
        </is>
      </c>
      <c r="D122" t="inlineStr">
        <is>
          <t>indeed</t>
        </is>
      </c>
      <c r="E122" t="inlineStr"/>
      <c r="F122" t="inlineStr"/>
      <c r="G122" t="inlineStr">
        <is>
          <t>Herndon, VA, US</t>
        </is>
      </c>
      <c r="H122" s="2" t="n">
        <v>46030</v>
      </c>
      <c r="I122"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123">
      <c r="A123" t="inlineStr">
        <is>
          <t>in-39aa13955c5a5d3a</t>
        </is>
      </c>
      <c r="B123" t="inlineStr">
        <is>
          <t>Sr Applied Scientist, AWS Proactive Security</t>
        </is>
      </c>
      <c r="C123" t="inlineStr">
        <is>
          <t>Amazon.com</t>
        </is>
      </c>
      <c r="D123" t="inlineStr">
        <is>
          <t>indeed</t>
        </is>
      </c>
      <c r="E123" t="inlineStr"/>
      <c r="F123" t="inlineStr"/>
      <c r="G123" t="inlineStr">
        <is>
          <t>Sunnyvale, CA, US</t>
        </is>
      </c>
      <c r="H123" s="2" t="n">
        <v>46030</v>
      </c>
      <c r="I123"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124">
      <c r="A124" t="inlineStr">
        <is>
          <t>in-a8a4080ad5b86ae1</t>
        </is>
      </c>
      <c r="B124" t="inlineStr">
        <is>
          <t>AI Engineer (Assistant)</t>
        </is>
      </c>
      <c r="C124" t="inlineStr">
        <is>
          <t>Build Technologies</t>
        </is>
      </c>
      <c r="D124" t="inlineStr">
        <is>
          <t>indeed</t>
        </is>
      </c>
      <c r="E124">
        <f>HYPERLINK("https://www.indeed.com/viewjob?jk=a8a4080ad5b86ae1", "https://www.indeed.com/viewjob?jk=a8a4080ad5b86ae1")</f>
        <v/>
      </c>
      <c r="F124">
        <f>HYPERLINK("https://jobs.ashbyhq.com/build/fa3959af-f28e-4127-8bea-29ee207bf274?utm_source=7X61J4VokV", "https://jobs.ashbyhq.com/build/fa3959af-f28e-4127-8bea-29ee207bf274?utm_source=7X61J4VokV")</f>
        <v/>
      </c>
      <c r="G124" t="inlineStr">
        <is>
          <t>San Francisco, CA, US</t>
        </is>
      </c>
      <c r="H124" s="3" t="n">
        <v>46052</v>
      </c>
      <c r="I124" t="inlineStr">
        <is>
          <t>**About Build**
===============
AI for the Built World: Build has created the agentic AI stack for institutional real estate, automating complex development and acquisitions workflows 90% faster than humans to accelerate the world’s most important built projects \- digital infrastructure, energy, industrial \- from concept to completion.
Our mission is to accelerate and amplify the world's most important built projects \- inventing a better way to build through a collaboration between human experts and agentic AI. We envision a future where the world's buildings are driven from concept to completion, autonomously. Without delays, cost, and complexity. Enabling people to deliver a magnitude more deals. To make decisions, build relationships and create.
To start, we're partnering with the world's biggest built world institutions from $T alternative assets investors, prolific developers and even governments to push the frontier of what's possible. We’re backed by c\-suite from Blackstone and OpenAI alongside the world’s best venture capital firms.
Join us in shaping the future of the Built World and exponentially accelerate your career in the process. We welcome you to do your life's work here.
**About the role**
==================
This role sits at the intersection of product, infrastructure, and user experience. You will turn the Build Assistant, Dougie, into a world\-class product: turning the world’s best geospatial data and tooling layer into something usable, powerful, and trusted by institutions. Strong product sensibility is not optional; the ability to execute on it is a force multiplier.
You’ll work closely with James SE and Ben McClusky.
You can expect to:
* Design, build, and deploy the Build Assistant: an AI\-native product that sits on top of complex geospatial data, models, and workflows, and makes them usable through a single coherent interface.
* Build a non\-deterministic, multi\-agent orchestration layer that coordinates tools, data sources, and human input to deliver reliable outcomes in ambiguous, real\-world scenarios.
* Translate institutional real estate and infrastructure workflows into a clean ontology that agents and humans can operate against.
* Own and ship full\-stack features end\-to\-end, from agent behavior and orchestration to UI, performance, and production reliability.
* Build beautiful, opinionated user interfaces on top of Build’s design systems, where clarity, speed, and trust matter more than novelty.
* Work directly with domain experts and customers to pressure\-test assumptions and ensure the assistant delivers real leverage, not demos.
* Solve unsolved problems at the intersection of AI systems and the physical world, where correctness, explainability, and failure modes matter.
* Build software that scales in both usage and complexity, with a bias toward robustness, observability, and long\-term maintainability.
**How to win at Build**
=======================
Growing Build requires a radically different approach to company building. As a company we’re focused on one outcome: winning. That means we move fast, work with intensity, and demand excellence from ourselves. We operate with intensity but create an environment that allows for a lot of fun together. The result is that we're one of the fastest shipping teams in vertical AI, partnering with the best to automate the world around us.
**Performance** and **teamwork** are the core of Build’s operation. We look for those who are able to do both, who often exhibit a particular ability for;
* **Velocity:** You are relentless in asking the right questions to set direction. Once you find the right direction you go all\-in.
* **Excellence:** You obsess with being the best. For you, excellence is a non\-negotiable standard rather than an aspiration.
* **Long time horizons:** You choose to be in something for the long run, because that’s where most of the returns are realized.
* **Ownership:** You take full ownership of the outcomes. You’re meticulous in your pursuits and believe you can actively shape your environment rather than adapt to it.
* **Customers:** You have a passion for the built world and those who shape it. You probably have a quirky hobby or story that relates to your love for building.
* **Integrity:** You chose to do the right thing even when it isn’t easy.
* **Trust:** You only work with people you can trust because it’s the only way to do truly extraordinary things.
* **Yield:** You have a burning need to see a result on every action you take and you’re always looking for routes to do more with less.
**What we offer**
=================
* **Radical autonomy, real ownership:** High standards. Minimal bureaucracy. You own problems end\-to\-end, choose how the work gets done, and are accountable for exceptional outcomes. Ownership is matched with meaningful, generous equity.
* **An accelerated founder’s track:** Build is for builders. If you want to learn what it actually takes to create a generational company – Product judgment, execution speed, and accountability – there is no faster path than building from zero when everything is for grabs.
* **Elite teammates, uncompromising bar:** You work with people who think clearly, execute relentlessly, and take full ownership. The team you build becomes the company you build. Growth here is not just professional; it reshapes how you operate and in return how Build operates.
* **Perpetual adventure:** We attract the strongest of the strange. Extraordinary experiences are part of the culture \- from the food we eat together to the space we occupy. Intensity is intentional.
* **Shape the built world:** We are rebuilding how the physical world gets made. Our software doesn’t live in the abstract \- it turns into real projects breaking ground because we exist. We work with the largest institutions, push the frontier of AI, and watch our decisions translate directly into the world around us.
Compensation Range: $130K \- $185K</t>
        </is>
      </c>
    </row>
    <row r="125">
      <c r="A125" t="inlineStr">
        <is>
          <t>in-4d273b78bcf61454</t>
        </is>
      </c>
      <c r="B125" t="inlineStr">
        <is>
          <t>AI Engineer (Platform)</t>
        </is>
      </c>
      <c r="C125" t="inlineStr">
        <is>
          <t>Build Technologies</t>
        </is>
      </c>
      <c r="D125" t="inlineStr">
        <is>
          <t>indeed</t>
        </is>
      </c>
      <c r="E125">
        <f>HYPERLINK("https://www.indeed.com/viewjob?jk=4d273b78bcf61454", "https://www.indeed.com/viewjob?jk=4d273b78bcf61454")</f>
        <v/>
      </c>
      <c r="F125">
        <f>HYPERLINK("https://jobs.ashbyhq.com/build/e3eb01e9-7cba-4ab0-b426-ceb176de3d3f?utm_source=7X61J4VokV", "https://jobs.ashbyhq.com/build/e3eb01e9-7cba-4ab0-b426-ceb176de3d3f?utm_source=7X61J4VokV")</f>
        <v/>
      </c>
      <c r="G125" t="inlineStr">
        <is>
          <t>San Francisco, CA, US</t>
        </is>
      </c>
      <c r="H125" s="3" t="n">
        <v>46052</v>
      </c>
      <c r="I125" t="inlineStr">
        <is>
          <t>**About Build**
===============
AI for the Built World: Build has created the agentic AI stack for institutional real estate, automating complex development and acquisitions workflows 90% faster than humans to accelerate the world’s most important built projects \- digital infrastructure, energy, industrial \- from concept to completion.
Our mission is to accelerate and amplify the world's most important built projects \- inventing a better way to build through a collaboration between human experts and agentic AI. We envision a future where the world's buildings are driven from concept to completion, autonomously. Without delays, cost, and complexity. Enabling people to deliver a magnitude more deals. To make decisions, build relationships and create.
To start, we're partnering with the world's biggest built world institutions from $T alternative assets investors, prolific developers and even governments to push the frontier of what's possible. We’re backed by c\-suite from Blackstone and OpenAI alongside the world’s best venture capital firms.
Join us in shaping the future of the Built World and exponentially accelerate your career in the process. We welcome you to do your life's work here.
**About the role**
==================
We care about design. It is most important showcase of our craft and our team. We want a design engineer to make our platform truly world\-class. Ability to do design is a strong bonus.
You’ll work closely with James SE and Ben McClusky.
You can expect to;
* Design, build, and deploy production\-grade platform software.
* Work directly with domain experts and customers to translate their workstreams into Build ontology.
* Own and ship full\-stack features end\-to\-end. You'll own meaningful problems end\-to\-end, decide how the work gets done, and be accountable for the outcomes.
* Solve hard, unsolved problems at the intersection of AI and the physical world. There's no playbook for what we're building.
* Build software that scales. You'll champion reliability, write tests that matter, and take pride in shipping code that holds up in production.
**How to win at Build**
=======================
Growing Build requires a radically different approach to company building. As a company we’re focused on one outcome: winning. That means we move fast, work with intensity, and demand excellence from ourselves. We operate with intensity but create an environment that allows for a lot of fun together. The result is that we're one of the fastest shipping teams in vertical AI, partnering with the best to automate the world around us.
**Performance** and **teamwork** are the core of Build’s operation. We look for those who are able to do both, who often exhibit a particular ability for;
* **Velocity:** You are relentless in asking the right questions to set direction. Once you find the right direction you go all\-in.
* **Excellence:** You obsess with being the best. For you, excellence is a non\-negotiable standard rather than an aspiration.
* **Long time horizons:** You choose to be in something for the long run, because that’s where most of the returns are realized.
* **Ownership:** You take full ownership of the outcomes. You’re meticulous in your pursuits and believe you can actively shape your environment rather than adapt to it.
* **Customers:** You have a passion for the built world and those who shape it. You probably have a quirky hobby or story that relates to your love for building.
* **Integrity:** You chose to do the right thing even when it isn’t easy.
* **Trust:** You only work with people you can trust because it’s the only way to do truly extraordinary things.
* **Yield:** You have a burning need to see a result on every action you take and you’re always looking for routes to do more with less.
**What we offer**
=================
* **Radical autonomy, real ownership:** High standards. Minimal bureaucracy. You own problems end\-to\-end, choose how the work gets done, and are accountable for exceptional outcomes. Ownership is matched with meaningful, generous equity.
* **An accelerated founder’s track:** Build is for builders. If you want to learn what it actually takes to create a generational company – Product judgment, execution speed, and accountability – there is no faster path than building from zero when everything is for grabs.
* **Elite teammates, uncompromising bar:** You work with people who think clearly, execute relentlessly, and take full ownership. The team you build becomes the company you build. Growth here is not just professional; it reshapes how you operate and in return how Build operates.
* **Perpetual adventure:** We attract the strongest of the strange. Extraordinary experiences are part of the culture \- from the food we eat together to the space we occupy. Intensity is intentional.
* **Shape the built world:** We are rebuilding how the physical world gets made. Our software doesn’t live in the abstract \- it turns into real projects breaking ground because we exist. We work with the largest institutions, push the frontier of AI, and watch our decisions translate directly into the world around us.
Compensation Range: $120K \- $200K</t>
        </is>
      </c>
    </row>
    <row r="126">
      <c r="A126" t="inlineStr">
        <is>
          <t>in-81aa94f6cecefa43</t>
        </is>
      </c>
      <c r="B126" t="inlineStr">
        <is>
          <t>AI Engineer, United States - BCG X</t>
        </is>
      </c>
      <c r="C126" t="inlineStr">
        <is>
          <t>Boston Consulting Group</t>
        </is>
      </c>
      <c r="D126" t="inlineStr">
        <is>
          <t>indeed</t>
        </is>
      </c>
      <c r="E126">
        <f>HYPERLINK("https://www.indeed.com/viewjob?jk=81aa94f6cecefa43", "https://www.indeed.com/viewjob?jk=81aa94f6cecefa43")</f>
        <v/>
      </c>
      <c r="F126">
        <f>HYPERLINK("https://jsv3.recruitics.com/redirect?rx_cid=3493&amp;rx_jobId=55995_1003&amp;rx_url=https%3A%2F%2Fcareers.bcg.com%2Fglobal%2Fen%2Fjob%2FBCG1US55995EXTERNALENGLOBAL%2FAI-Engineer-United-States-BCG-X%3Frx_a%3D1%26rx_c%3Dnamr---tech-and-engineering%26rx_ch%3Djobp4p%26rx_group%3D502809%26rx_id%3D16096b4a-ca22-11f0-8eb3-23f4fe529c29%26rx_job%3D55995_1003%26rx_medium%3Dcpc%26rx_r%3Dnone%26rx_source%3DIndeed%26rx_ts%3D20260201T030010Z%26rx_vp%3Dcpc%26utm_campaign%3DNAMRP092025-NAM-global_recruitics_namr-techengineering%26utm_medium%3DNAMRP092025-NAM%26utm_source%3Djobboard_indeed", "https://jsv3.recruitics.com/redirect?rx_cid=3493&amp;rx_jobId=55995_1003&amp;rx_url=https%3A%2F%2Fcareers.bcg.com%2Fglobal%2Fen%2Fjob%2FBCG1US55995EXTERNALENGLOBAL%2FAI-Engineer-United-States-BCG-X%3Frx_a%3D1%26rx_c%3Dnamr---tech-and-engineering%26rx_ch%3Djobp4p%26rx_group%3D502809%26rx_id%3D16096b4a-ca22-11f0-8eb3-23f4fe529c29%26rx_job%3D55995_1003%26rx_medium%3Dcpc%26rx_r%3Dnone%26rx_source%3DIndeed%26rx_ts%3D20260201T030010Z%26rx_vp%3Dcpc%26utm_campaign%3DNAMRP092025-NAM-global_recruitics_namr-techengineering%26utm_medium%3DNAMRP092025-NAM%26utm_source%3Djobboard_indeed")</f>
        <v/>
      </c>
      <c r="G126" t="inlineStr">
        <is>
          <t>Chicago, IL, US</t>
        </is>
      </c>
      <c r="H126" s="3" t="n">
        <v>45984</v>
      </c>
      <c r="I126" t="inlineStr">
        <is>
          <t>**Locations**: Boston \| New York \| Brooklyn \| Chicago \| Miami \| Dallas \| San Francisco \| Seattle \| Manhattan Beach \| Pittsburgh \| Los Angeles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Our BCG X teams own the full analytics value\-chain end to end: framing new business challenges, designing innovative algorithms, implementing, and deploying scalable solutions, and enabling colleagues and clients to fully embrace AI. Our product offerings span from fully custom\-builds to industry specific leading edge AI software solutions.
As an AI Software Engineer you’ll be part of our rapidly growing engineering team and help to build the next generation of AI solutions. You’ll have the chance to partner with clients in a variety of BCG regions and industries, and on key topics like climate change, enabling them to design, build, and deploy new and innovative solutions. Additional responsibilities will include developing and delivering thought leadership in scientific communities and papers as well as leading conferences on behalf of BCG X.
We are looking for talented individuals with a passion for software development, large\-scale data analytics and transforming organizations into AI led innovative companies. Successful candidates possess the following:
* Apply software development practices and standards to develop robust and maintainable software
* Actively involved in every part of the software development life cycle
* Experienced at guiding non\-technical teams and consultants in and best practices for robust software development
* Optimize and enhance computational efficiency of algorithms and software design
* Motivated by a fast\-paced, service\-oriented environment and interacting directly with clients on new features for future product releases
* Enjoy collaborating in teams to share software design and solution ideas
* A natural problem\-solver and intellectually curious across a breadth of industries and topics
Please note: any degree programs (including part\-time) must be completed before starting at BCG.
What You'll Bring
**TECHNOLOGIES:**
Programming Languages: Python
Additional info
You must live within a reasonable commuting distance of your home office. As a member of that office, it is expected you will be in the office as directed. This role puts you on an accelerated path of personal and professional growth and development and so, at times, requires extended working hours. Our work often requires travel to client sites.
FOR U.S. APPLICANTS: BCG is an Equal Employment Opportunity employer and is committed to a policy of administering all employment decisions and actions without regard to race, national origin, religion, age, color, sex, sexual orientation, gender identity, disability, or protected veteran status, or any other characteristic protected by local, state, or federal laws, rules, or regulations.  
The first year base compensation for this role is:  
AI Software Engineer I: $110,000 USD  
AI Software Engineer II: $145,000 USD  
AI Software Engineer III: $160,000 USD  
Senior AI Software Engineer: $190,000 USD
At BCG, we are committed to offering a comprehensive benefit program that includes everything our employees and their families need to be well and live life to the fullest. We pay the full cost of medical, dental, and vision coverage for employees – and their eligible family members. \* That’s zero dollars in premiums taken from employee paychecks. All our plans provide best in class coverage:
* Zero\-dollar ($0\) health insurance premiums for BCG employees, spouses, and children
* Low $10 (USD) copays for trips to the doctor, urgent care visits and prescriptions for generic drugs
* Dental coverage, including up to $5,000 in orthodontia benefits
* Vision insurance with coverage for both glasses and contact lenses annually
* Reimbursement for gym memberships and other fitness activities
* Fully vested Profit\-Sharing Retirement Fund contributions made annually, whether you contribute or not, plus the option for employees to make personal contributions to a 401(k) plan
* Paid Parental Leave and other family benefits such as elective egg freezing, surrogacy, and adoption reimbursement
* Generous paid time off including 12 holidays per year, an annual office closure between Christmas and New Years, and 15 vacation days per year (earned at 1\.25 days per month)
* Paid sick time on an as needed basis
* Employees, spouses, and children are covered at no cost. Employees share in the cost of domestic partner coverage.
\#BCGXjob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is>
      </c>
    </row>
    <row r="127">
      <c r="A127" t="inlineStr">
        <is>
          <t>in-8f07be56f62df0d0</t>
        </is>
      </c>
      <c r="B127" t="inlineStr">
        <is>
          <t>AI Engineer, United States - BCG X</t>
        </is>
      </c>
      <c r="C127" t="inlineStr">
        <is>
          <t>Boston Consulting Group</t>
        </is>
      </c>
      <c r="D127" t="inlineStr">
        <is>
          <t>indeed</t>
        </is>
      </c>
      <c r="E127">
        <f>HYPERLINK("https://www.indeed.com/viewjob?jk=8f07be56f62df0d0", "https://www.indeed.com/viewjob?jk=8f07be56f62df0d0")</f>
        <v/>
      </c>
      <c r="F127">
        <f>HYPERLINK("https://jsv3.recruitics.com/redirect?rx_cid=3493&amp;rx_jobId=55995_1007&amp;rx_url=https%3A%2F%2Fcareers.bcg.com%2Fglobal%2Fen%2Fjob%2FBCG1US55995EXTERNALENGLOBAL%2FAI-Engineer-United-States-BCG-X%3Frx_a%3D1%26rx_c%3Dnamr---tech-and-engineering%26rx_ch%3Djobp4p%26rx_group%3D502809%26rx_id%3D16bfe980-ca22-11f0-8eb3-456f9aee0513%26rx_job%3D55995_1007%26rx_medium%3Dcpc%26rx_r%3Dnone%26rx_source%3DIndeed%26rx_ts%3D20260201T030010Z%26rx_vp%3Dcpc%26utm_campaign%3DNAMRP092025-NAM-global_recruitics_namr-techengineering%26utm_medium%3DNAMRP092025-NAM%26utm_source%3Djobboard_indeed", "https://jsv3.recruitics.com/redirect?rx_cid=3493&amp;rx_jobId=55995_1007&amp;rx_url=https%3A%2F%2Fcareers.bcg.com%2Fglobal%2Fen%2Fjob%2FBCG1US55995EXTERNALENGLOBAL%2FAI-Engineer-United-States-BCG-X%3Frx_a%3D1%26rx_c%3Dnamr---tech-and-engineering%26rx_ch%3Djobp4p%26rx_group%3D502809%26rx_id%3D16bfe980-ca22-11f0-8eb3-456f9aee0513%26rx_job%3D55995_1007%26rx_medium%3Dcpc%26rx_r%3Dnone%26rx_source%3DIndeed%26rx_ts%3D20260201T030010Z%26rx_vp%3Dcpc%26utm_campaign%3DNAMRP092025-NAM-global_recruitics_namr-techengineering%26utm_medium%3DNAMRP092025-NAM%26utm_source%3Djobboard_indeed")</f>
        <v/>
      </c>
      <c r="G127" t="inlineStr">
        <is>
          <t>Seattle, WA, US</t>
        </is>
      </c>
      <c r="H127" s="3" t="n">
        <v>45984</v>
      </c>
      <c r="I127" t="inlineStr">
        <is>
          <t>**Locations**: Boston \| New York \| Brooklyn \| Chicago \| Miami \| Dallas \| San Francisco \| Seattle \| Manhattan Beach \| Pittsburgh \| Los Angeles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Our BCG X teams own the full analytics value\-chain end to end: framing new business challenges, designing innovative algorithms, implementing, and deploying scalable solutions, and enabling colleagues and clients to fully embrace AI. Our product offerings span from fully custom\-builds to industry specific leading edge AI software solutions.
As an AI Software Engineer you’ll be part of our rapidly growing engineering team and help to build the next generation of AI solutions. You’ll have the chance to partner with clients in a variety of BCG regions and industries, and on key topics like climate change, enabling them to design, build, and deploy new and innovative solutions. Additional responsibilities will include developing and delivering thought leadership in scientific communities and papers as well as leading conferences on behalf of BCG X.
We are looking for talented individuals with a passion for software development, large\-scale data analytics and transforming organizations into AI led innovative companies. Successful candidates possess the following:
* Apply software development practices and standards to develop robust and maintainable software
* Actively involved in every part of the software development life cycle
* Experienced at guiding non\-technical teams and consultants in and best practices for robust software development
* Optimize and enhance computational efficiency of algorithms and software design
* Motivated by a fast\-paced, service\-oriented environment and interacting directly with clients on new features for future product releases
* Enjoy collaborating in teams to share software design and solution ideas
* A natural problem\-solver and intellectually curious across a breadth of industries and topics
Please note: any degree programs (including part\-time) must be completed before starting at BCG.
What You'll Bring
**TECHNOLOGIES:**
Programming Languages: Python
Additional info
You must live within a reasonable commuting distance of your home office. As a member of that office, it is expected you will be in the office as directed. This role puts you on an accelerated path of personal and professional growth and development and so, at times, requires extended working hours. Our work often requires travel to client sites.
FOR U.S. APPLICANTS: BCG is an Equal Employment Opportunity employer and is committed to a policy of administering all employment decisions and actions without regard to race, national origin, religion, age, color, sex, sexual orientation, gender identity, disability, or protected veteran status, or any other characteristic protected by local, state, or federal laws, rules, or regulations.  
The first year base compensation for this role is:  
AI Software Engineer I: $110,000 USD  
AI Software Engineer II: $145,000 USD  
AI Software Engineer III: $160,000 USD  
Senior AI Software Engineer: $190,000 USD
At BCG, we are committed to offering a comprehensive benefit program that includes everything our employees and their families need to be well and live life to the fullest. We pay the full cost of medical, dental, and vision coverage for employees – and their eligible family members. \* That’s zero dollars in premiums taken from employee paychecks. All our plans provide best in class coverage:
* Zero\-dollar ($0\) health insurance premiums for BCG employees, spouses, and children
* Low $10 (USD) copays for trips to the doctor, urgent care visits and prescriptions for generic drugs
* Dental coverage, including up to $5,000 in orthodontia benefits
* Vision insurance with coverage for both glasses and contact lenses annually
* Reimbursement for gym memberships and other fitness activities
* Fully vested Profit\-Sharing Retirement Fund contributions made annually, whether you contribute or not, plus the option for employees to make personal contributions to a 401(k) plan
* Paid Parental Leave and other family benefits such as elective egg freezing, surrogacy, and adoption reimbursement
* Generous paid time off including 12 holidays per year, an annual office closure between Christmas and New Years, and 15 vacation days per year (earned at 1\.25 days per month)
* Paid sick time on an as needed basis
* Employees, spouses, and children are covered at no cost. Employees share in the cost of domestic partner coverage.
\#BCGXjob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is>
      </c>
    </row>
    <row r="128">
      <c r="A128" t="inlineStr">
        <is>
          <t>in-38673f31faccddd5</t>
        </is>
      </c>
      <c r="B128" t="inlineStr">
        <is>
          <t>AI Engineer, United States - BCG X</t>
        </is>
      </c>
      <c r="C128" t="inlineStr">
        <is>
          <t>Boston Consulting Group</t>
        </is>
      </c>
      <c r="D128" t="inlineStr">
        <is>
          <t>indeed</t>
        </is>
      </c>
      <c r="E128">
        <f>HYPERLINK("https://www.indeed.com/viewjob?jk=38673f31faccddd5", "https://www.indeed.com/viewjob?jk=38673f31faccddd5")</f>
        <v/>
      </c>
      <c r="F128">
        <f>HYPERLINK("https://jsv3.recruitics.com/redirect?rx_cid=3493&amp;rx_jobId=55995_1004&amp;rx_url=https%3A%2F%2Fcareers.bcg.com%2Fglobal%2Fen%2Fjob%2FBCG1US55995EXTERNALENGLOBAL%2FAI-Engineer-United-States-BCG-X%3Frx_a%3D1%26rx_c%3Dnamr---tech-and-engineering%26rx_ch%3Djobp4p%26rx_group%3D502809%26rx_id%3D1715d160-ca22-11f0-8eb3-4b7fc46eb838%26rx_job%3D55995_1004%26rx_medium%3Dcpc%26rx_r%3Dnone%26rx_source%3DIndeed%26rx_ts%3D20260201T030010Z%26rx_vp%3Dcpc%26utm_campaign%3DNAMRP092025-NAM-global_recruitics_namr-techengineering%26utm_medium%3DNAMRP092025-NAM%26utm_source%3Djobboard_indeed", "https://jsv3.recruitics.com/redirect?rx_cid=3493&amp;rx_jobId=55995_1004&amp;rx_url=https%3A%2F%2Fcareers.bcg.com%2Fglobal%2Fen%2Fjob%2FBCG1US55995EXTERNALENGLOBAL%2FAI-Engineer-United-States-BCG-X%3Frx_a%3D1%26rx_c%3Dnamr---tech-and-engineering%26rx_ch%3Djobp4p%26rx_group%3D502809%26rx_id%3D1715d160-ca22-11f0-8eb3-4b7fc46eb838%26rx_job%3D55995_1004%26rx_medium%3Dcpc%26rx_r%3Dnone%26rx_source%3DIndeed%26rx_ts%3D20260201T030010Z%26rx_vp%3Dcpc%26utm_campaign%3DNAMRP092025-NAM-global_recruitics_namr-techengineering%26utm_medium%3DNAMRP092025-NAM%26utm_source%3Djobboard_indeed")</f>
        <v/>
      </c>
      <c r="G128" t="inlineStr">
        <is>
          <t>Miami, FL, US</t>
        </is>
      </c>
      <c r="H128" s="3" t="n">
        <v>45984</v>
      </c>
      <c r="I128" t="inlineStr">
        <is>
          <t>**Locations**: Boston \| New York \| Brooklyn \| Chicago \| Miami \| Dallas \| San Francisco \| Seattle \| Manhattan Beach \| Pittsburgh \| Los Angeles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Our BCG X teams own the full analytics value\-chain end to end: framing new business challenges, designing innovative algorithms, implementing, and deploying scalable solutions, and enabling colleagues and clients to fully embrace AI. Our product offerings span from fully custom\-builds to industry specific leading edge AI software solutions.
As an AI Software Engineer you’ll be part of our rapidly growing engineering team and help to build the next generation of AI solutions. You’ll have the chance to partner with clients in a variety of BCG regions and industries, and on key topics like climate change, enabling them to design, build, and deploy new and innovative solutions. Additional responsibilities will include developing and delivering thought leadership in scientific communities and papers as well as leading conferences on behalf of BCG X.
We are looking for talented individuals with a passion for software development, large\-scale data analytics and transforming organizations into AI led innovative companies. Successful candidates possess the following:
* Apply software development practices and standards to develop robust and maintainable software
* Actively involved in every part of the software development life cycle
* Experienced at guiding non\-technical teams and consultants in and best practices for robust software development
* Optimize and enhance computational efficiency of algorithms and software design
* Motivated by a fast\-paced, service\-oriented environment and interacting directly with clients on new features for future product releases
* Enjoy collaborating in teams to share software design and solution ideas
* A natural problem\-solver and intellectually curious across a breadth of industries and topics
Please note: any degree programs (including part\-time) must be completed before starting at BCG.
What You'll Bring
**TECHNOLOGIES:**
Programming Languages: Python
Additional info
You must live within a reasonable commuting distance of your home office. As a member of that office, it is expected you will be in the office as directed. This role puts you on an accelerated path of personal and professional growth and development and so, at times, requires extended working hours. Our work often requires travel to client sites.
FOR U.S. APPLICANTS: BCG is an Equal Employment Opportunity employer and is committed to a policy of administering all employment decisions and actions without regard to race, national origin, religion, age, color, sex, sexual orientation, gender identity, disability, or protected veteran status, or any other characteristic protected by local, state, or federal laws, rules, or regulations.  
The first year base compensation for this role is:  
AI Software Engineer I: $110,000 USD  
AI Software Engineer II: $145,000 USD  
AI Software Engineer III: $160,000 USD  
Senior AI Software Engineer: $190,000 USD
At BCG, we are committed to offering a comprehensive benefit program that includes everything our employees and their families need to be well and live life to the fullest. We pay the full cost of medical, dental, and vision coverage for employees – and their eligible family members. \* That’s zero dollars in premiums taken from employee paychecks. All our plans provide best in class coverage:
* Zero\-dollar ($0\) health insurance premiums for BCG employees, spouses, and children
* Low $10 (USD) copays for trips to the doctor, urgent care visits and prescriptions for generic drugs
* Dental coverage, including up to $5,000 in orthodontia benefits
* Vision insurance with coverage for both glasses and contact lenses annually
* Reimbursement for gym memberships and other fitness activities
* Fully vested Profit\-Sharing Retirement Fund contributions made annually, whether you contribute or not, plus the option for employees to make personal contributions to a 401(k) plan
* Paid Parental Leave and other family benefits such as elective egg freezing, surrogacy, and adoption reimbursement
* Generous paid time off including 12 holidays per year, an annual office closure between Christmas and New Years, and 15 vacation days per year (earned at 1\.25 days per month)
* Paid sick time on an as needed basis
* Employees, spouses, and children are covered at no cost. Employees share in the cost of domestic partner coverage.
\#BCGXjob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0"/>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li-4367931941</t>
        </is>
      </c>
      <c r="B2" t="inlineStr">
        <is>
          <t>ML Engineer</t>
        </is>
      </c>
      <c r="C2" t="inlineStr">
        <is>
          <t>Aimpoint Digital</t>
        </is>
      </c>
      <c r="D2" t="inlineStr">
        <is>
          <t>linkedin</t>
        </is>
      </c>
      <c r="E2" t="inlineStr"/>
      <c r="F2" t="inlineStr"/>
      <c r="G2" t="inlineStr"/>
      <c r="H2" t="inlineStr"/>
      <c r="I2" t="inlineStr">
        <is>
          <t>**About The Company**
 Aimpoint Digital is a leading analytics consulting firm dedicated to transforming business operations through innovative data\-driven solutions. With a focus on data strategy, data analytics, decision sciences, and data engineering, Aimpoint Digital helps organizations unlock the full potential of their data assets. Our mission is to deliver measurable business value by leveraging advanced analytics, machine learning, and artificial intelligence techniques. We serve a diverse range of industries, providing tailored solutions that drive efficiency, enhance decision\-making, and foster sustainable growth. Our team comprises highly skilled professionals committed to excellence, continuous learning, and delivering impactful results for our clients.
**About The Role**
 As a Lead Data Scientist at Aimpoint Digital, you will play a pivotal role in designing, developing, and deploying sophisticated analytical solutions for our clients. You will work closely with stakeholders across various industries to identify business challenges and craft end\-to\-end data science models that deliver actionable insights. Your expertise will enable clients to harness the power of machine learning, artificial intelligence, and statistical analysis, transforming raw data into strategic assets. This position offers the opportunity to work independently on complex projects, contribute to the growth of our practice, and participate in business development initiatives. You will be a key driver of innovation within our organization, mentoring team members and sharing knowledge to foster a collaborative environment.
**Qualifications**
* Bachelor’s or Master’s degree in Computer Science, Engineering, Mathematics, or related field
* Minimum of 3\+ years of experience in developing and deploying machine learning models
* Proficiency in programming languages such as Python, SQL, and Spark
* Experience with cloud platforms like Azure, AWS, GCP, or Databricks
* Strong understanding of data science methodologies and best practices
* Knowledge of software engineering principles and version control systems
* Excellent communication and stakeholder management skills
* Ability to work independently and lead multiple workstreams
* Willingness to travel as required
**Responsibilities**
* Design and develop scalable feature engineering pipelines and machine learning models
* Build and maintain ML and AI infrastructure, ensuring robustness and efficiency
* Deploy models into production environments using cloud services and containerization tools
* Collaborate with clients and internal teams to understand business needs and translate them into analytical solutions
* Write clean, optimized, and well\-documented code following best practices
* Conduct statistical analysis and data visualization to support decision\-making
* Train clients on managing and maintaining deployed solutions
* Participate in business development activities, including proposal writing and client presentations
* Mentor junior team members and contribute to the growth of the data science practice
**Benefits**
* Competitive salary package
* Flexible remote working arrangements
* Health, dental, and vision insurance
* Paid time off and holidays
* Professional development opportunities and certifications
* Collaborative and innovative work environment
* Opportunity to work on cutting\-edge projects across various industries
 Equal Opportunity
 Aimpoint Digital is an equal opportunity employer. We celebrate diversity and are committed to creating an inclusive environment for all employees. We do not discriminate based on race, ethnicity, gender, age, religion, sexual orientation, disability, or any other characteristic protected by law. We believe that diverse teams foster innovation and drive better business outcomes, and we welcome applicants from all backgrounds to join our team.</t>
        </is>
      </c>
    </row>
    <row r="3">
      <c r="A3" t="inlineStr">
        <is>
          <t>li-4295699063</t>
        </is>
      </c>
      <c r="B3" t="inlineStr">
        <is>
          <t>Applied Scientist II, Amazon AWS Agentic AI, AWS AI Fundamental Research</t>
        </is>
      </c>
      <c r="C3" t="inlineStr">
        <is>
          <t>Amazon Web Services (AWS)</t>
        </is>
      </c>
      <c r="D3" t="inlineStr">
        <is>
          <t>linkedin</t>
        </is>
      </c>
      <c r="E3" t="inlineStr"/>
      <c r="F3" t="inlineStr"/>
      <c r="G3" t="inlineStr">
        <is>
          <t>Santa Clara, CA</t>
        </is>
      </c>
      <c r="H3" t="inlineStr"/>
      <c r="I3" t="inlineStr">
        <is>
          <t>**Description**
 Amazon is looking for a passionate, talented, and inventive Applied Scientist with a strong machine learning background to help build industry\-leading technology in generative AI and foundational models.
 As part of our AI team in Amazon AWS, you will work alongside internationally recognized experts to develop novel algorithms and modeling techniques to advance the state\-of\-the\-art in generative AI. Your work will directly impact millions of our customers in the form of products and services that make use of speech, vision and language technology. You will gain hands on experience with Amazon’s heterogeneous speech, text, image and structured data sources, and large\-scale computing resources to accelerate advances in machine learning and foundation models. More specifically, you will have the opportunity to impact millions of our customers by researching and building innovative solutions using Agentic AI.
 Agentic AI drives innovation at the forefront of artificial intelligence, enabling customers to transform their businesses through cutting\-edge generative AI solutions. We build and deliver the foundational AI services that power the future of cloud computing, helping organizations harness the potential of AI to solve their most complex challenges. Join our dynamic team of AI/ML practitioners, applied scientists, software engineers, and solution architects who work backwards from customer needs to create groundbreaking technologies. If you're passionate about shaping the future of AI while making a meaningful impact for customers worldwide, we want to hear from you.
 A day in the life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A3072738</t>
        </is>
      </c>
    </row>
    <row r="4">
      <c r="A4" t="inlineStr">
        <is>
          <t>li-4366514565</t>
        </is>
      </c>
      <c r="B4" t="inlineStr">
        <is>
          <t>Principal Data Scientist AI Engineer</t>
        </is>
      </c>
      <c r="C4" t="inlineStr">
        <is>
          <t>Jobs via Dice</t>
        </is>
      </c>
      <c r="D4" t="inlineStr">
        <is>
          <t>linkedin</t>
        </is>
      </c>
      <c r="E4" t="inlineStr"/>
      <c r="F4" t="inlineStr"/>
      <c r="G4" t="inlineStr"/>
      <c r="H4" t="inlineStr"/>
      <c r="I4" t="inlineStr">
        <is>
          <t>Job ID: 2600794
**Location:** 
 REMOTE WORK, VA, US
**Date Posted:** 
 2026\-01\-27
**Category:** 
 Information Technology
**Subcategory:** 
 Data Scientist
**Schedule:** 
 Full\-time
**Shift:** 
 Day Job
**Travel:** 
 No
**Minimum Clearance Required:** 
 None
**Clearance Level Must Be Able to Obtain:** 
 Public Trust
**Potential for Remote Work:** 
 Yes
**Description**
 SAIC is seeking an innovative, hands\-on development oriented, AI Engineer / Data Scientist with eight years' experience in AI/ML/NLP and data modeling to develop prototypes of emerging technologies that solve business problems. The candidate must have cloud engineering experience to ensure integration of the AI/ML/NLP solutions in cloud native environments. This resource will join an energetic and versatile team responsible for addressing the customer challenges through the use of advancing technologies. This is a remote job that can be worked from any location in the continental U.S.
**Responsibilities:**
* Operate and maintain an innovation lab for the ideation, design, and engineering of cloud native product modernization and innovation using emerging technologies.
* Develop end\-to\-end plans for cloud native AI/ML/NLP innovations that are compliant with cybersecurity policies.
* Develop and engineer pilots, prototypes, and proof of concept solutions to validate emerging technology, modernization, and innovation opportunities.
* We need a resource that understands modern AI Large Language Models (LLM's) and their inner workings / architectures / backbone and head.
* We need a resource experienced in prompt engineering and Retrieval\-Augmented Generation (RAG).
* Implement transparency, traceability, and appropriate security handling in line with best practices and applicable compliance standards including Authorization To Operate (ATO) certifications.
* Implement predictive models, machine learning algorithms, and statistical analyses to solve complex business problems.
* Develop low risk implementation plans and present business briefings, recommendations, and demonstrations to executives and technical stakeholders in a clear manner based on data architecture best practices.
* Collaborate with cross\-functional teams including data engineering, product, and business stakeholders to translate requirements into data\-driven solutions.
* Conduct exploratory data analysis and generate actionable insights from large and complex datasets.
* Support total experience initiatives including customer experience, user experience and human centered design through focus groups, metrics, wireframes, mockups, and information architecture development.
* Develop reusable code libraries and best practices for modernization and innovation development and deployment.
* Mentor more junior data scientists and guide the team in adopting the new technologies and techniques.
* Stay current with advancements in data science, machine learning, AI research and cloud architectures.
* Support Agile product teams in integrating and operationalizing emerging technologies and data strategies.
* Analyze data and usage to find patterns and solutions to business challenges.
**Qualifications**
**Qualifications:**
* MA/MS degree and 8 years or more of experience in data analytics, data modeling, machine learning, natural language processing, security, and artificial intelligence technologies in cloud native environments (AWS, Azure, Google). Additional experience may be substituted for educational requirements where appropriate.
* ship not required, but must have lived in the US for at least two consecutive years.
* Must be able to obtain a Public Trust.
 Target salary range: $120,001 \- $160,000\. The estimate displayed represents the typical salary range for this position based on experience and other factors.
 SAIC is a premier technology integrator providing full life cycle services and solutions in the technical, engineering, intelligence, and enterprise information technology markets. SAIC is Redefining Ingenuity through its deep customer and domain knowledge to enable the delivery of systems engineering and integration offerings for large, complex projects. SAIC's approximately 15,000 employees are driven by integrity and mission focus to serve customers in the U.S. federal government. Headquartered in Reston, Virginia, SAIC has annual revenues of approximately $4\.5 billion. For more information, visit saic.com. For information on the benefits SAIC offers, see .</t>
        </is>
      </c>
    </row>
    <row r="5">
      <c r="A5" t="inlineStr">
        <is>
          <t>li-4271079890</t>
        </is>
      </c>
      <c r="B5" t="inlineStr">
        <is>
          <t>Principal Applied Scientist, Console Science</t>
        </is>
      </c>
      <c r="C5" t="inlineStr">
        <is>
          <t>Amazon Web Services (AWS)</t>
        </is>
      </c>
      <c r="D5" t="inlineStr">
        <is>
          <t>linkedin</t>
        </is>
      </c>
      <c r="E5" t="inlineStr"/>
      <c r="F5" t="inlineStr"/>
      <c r="G5" t="inlineStr">
        <is>
          <t>Santa Clara, CA</t>
        </is>
      </c>
      <c r="H5" t="inlineStr"/>
      <c r="I5" t="inlineStr">
        <is>
          <t>**Description**
 We are looking for passionate, talented, and inventive Principal Applied Scientist with a strong machine learning background to help build industry\-leading Conversational AI Systems. Our mission is to provide a delightful experience to Amazon’s customers by pushing the envelope in Natural Language Understanding (NLU), Dialog Systems including Generative AI with Large Language Models (LLMs) and Applied Machine Learning (ML).
 As part of our team, you will work alongside internationally recognized experts to develop novel algorithms and modeling techniques to advance the state\-of\-the\-art in human language technology. Your work will directly impact millions of our customers in the form of products and services that make use language technology. You will gain hands on experience with Amazon’s heterogeneous text, structured data sources, and large\-scale computing resources to accelerate advances in language understanding.
 We are hiring in all areas of human language technology: NLU, Dialog Management, Conversational AI, LLMs and Generative AI.
 A day in the life
 The team uses generative AI and foundation models to reimagine the experience of all customers on AWS.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
**Basic Qualifications**
* PhD and 8\+ years of CS, CE, ML or related field experience
* 8\+ years of building models for business application experience
* Experience in patents or publications at top\-tier peer\-reviewed conferences or journals in NLP and Applied Machine Learning.
* Experience programming in Java, C\+\+, Python or related language
* Experience in any of the following areas: algorithms and data structures, parsing, numerical optimization, data mining, parallel and distributed computing, high\-performance computing
**Preferred Qualifications**
* PhD and 8\+ years of CS, CE, ML or related field experience
* 8\+ years of building models for business application experience
* Experience in patents or publications at top\-tier peer\-reviewed conferences or journals in NLP and Applied Machine Learning.
* Experience programming in Java, C\+\+, Python or related language
* Experience in any of the following areas: algorithms and data structures, parsing, numerical optimization, data mining, parallel and distributed computing, high\-performance computing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**Company** 
 \- Amazon Development Center U.S., Inc.
 Job ID: A3039349</t>
        </is>
      </c>
    </row>
    <row r="6">
      <c r="A6" t="inlineStr">
        <is>
          <t>li-4367941140</t>
        </is>
      </c>
      <c r="B6" t="inlineStr">
        <is>
          <t>Machine Learning Engineer</t>
        </is>
      </c>
      <c r="C6" t="inlineStr">
        <is>
          <t>Rain</t>
        </is>
      </c>
      <c r="D6" t="inlineStr">
        <is>
          <t>linkedin</t>
        </is>
      </c>
      <c r="E6" t="inlineStr"/>
      <c r="F6" t="inlineStr"/>
      <c r="G6" t="inlineStr"/>
      <c r="H6" t="inlineStr"/>
      <c r="I6" t="inlineStr">
        <is>
          <t>**About The Company**
 Rain makes the next generation of payments possible across the globe. We’re a lean and mighty team of passionate builders and veteran founders. Our infrastructure makes stablecoins usable in the real\-world by powering card transactions, cross\-border payments, B2B purchases, remittances, and more. We partner with fintechs, neobanks, and institutions to help them launch solutions that are global, inclusive, and efficient. You will have the opportunity to deliver massive impact at a hypergrowth company that is funded by some of the top investors in fintech, crypto, and SaaS, including Sapphire Ventures, Norwest, Galaxy Ventures, Lightspeed, Khosla, and several more. If you’re curious, bold, and excited to help shape a borderless financial future, we’d love to talk.
 Our Ethos: We believe in an open and flat structure. You will be able to grow into the role that most aligns with your goals. Our team members at all levels have the freedom to explore ideas and impact the roadmap and vision of our company.
**About The Role**
 The fraud risk management team at Rain is seeking a talented Machine Learning Engineer to architect and develop scalable ML systems focused on fraud detection, anomaly detection, and behavioral analysis. This role involves building and maintaining end\-to\-end ML pipelines, designing real\-time decision systems, and owning ML infrastructure to ensure high performance, reliability, and accuracy. The successful candidate will collaborate with data scientists, engineers, and compliance teams to create robust fraud prevention solutions that adapt to evolving threats and new payment technologies. You will be instrumental in deploying models that balance low latency with high precision, monitoring their performance continuously, and leading experimentation to enhance explainability, robustness, and drift detection. This is an exciting opportunity to work in a fast\-paced environment on innovative products that directly impact the security and efficiency of global payments.
**Qualifications**
* 5\+ years of experience building ML systems in production environments, with at least 2\+ years in fraud, risk, or anomaly detection domains
* A degree in Computer Science, Engineering, Statistics, Applied Math, or a related technical field
* Proven track record designing and maintaining scalable ML models
* Advanced proficiency in Python and ML frameworks such as PyTorch, TensorFlow, or scikit\-learn
* Strong understanding of supervised and unsupervised learning, anomaly detection, and statistical modeling
* Experience developing, validating, and deploying real\-time and offline predictive fraud detection models
* Ability to work autonomously, manage ambiguity, and collaborate effectively with cross\-functional teams
* Experience with model versioning, automated retraining, and safe deployment strategies
* Strong analytical and problem\-solving skills, with an emphasis on reliability and performance
**Responsibilities**
* Architect and build scalable ML systems for fraud detection, behavioral analysis, and anomaly detection
* Develop and maintain comprehensive end\-to\-end ML pipelines covering data ingestion, feature engineering, model training, deployment, and monitoring
* Design and implement low\-latency, real\-time decision systems in collaboration with fraud risk data scientists
* Own ML infrastructure, including model versioning, automated retraining, and deployment strategies such as shadow deployments and rollbacks
* Build and maintain monitoring tools and alerting systems to track model performance, data quality, and concept drift
* Lead experimentation efforts on model explainability, adversarial robustness, and drift detection to enhance fraud prevention capabilities
* Develop tooling and processes to accelerate ML development lifecycle and improve effectiveness
* Partner with platform and engineering teams to ensure SLAs for availability, latency, and accuracy are consistently met
* Collaborate closely with data scientists, engineers, and compliance teams to translate analytical insights into actionable fraud prevention solutions
* Solve complex problems at the intersection of ML systems, data quality, and operational reliability in a fast\-growing environment
**Benefits**
* Unlimited paid time off, with a minimum of 10 days off required annually
* Flexible work environment, including options for remote work supported by a home environment stipend
* Comprehensive health, dental, and vision plans for employees and dependents (US\-specific)
* Company\-subsidized life insurance coverage
* Retirement plan with a 401(k) and a 4% company match
* Equity options to share in the company's success
* Rain Cards for testing and learning about our core products and services
* Health and wellness spending accounts for activities like gym memberships, massages, and acupuncture
* Participation in team summits and off\-site events, both domestically and internationally, fostering team bonding and strategic alignment
 Equal Opportunity
 Rain is an equal opportunity employer. We celebrate diversity and are committed to creating an inclusive environment for all employees. We do not discriminate based on race, religion, color, national origin, gender, sexual orientation, age, disability, or any other protected status. We believe that a diverse team enhances our innovation and success, and we welcome applicants from all backgrounds to join us in shaping the future of borderless payments.</t>
        </is>
      </c>
    </row>
    <row r="7">
      <c r="A7" t="inlineStr">
        <is>
          <t>li-4355887904</t>
        </is>
      </c>
      <c r="B7" t="inlineStr">
        <is>
          <t>AI/ML Engineer / Defence / $500k+ / NYC</t>
        </is>
      </c>
      <c r="C7" t="inlineStr">
        <is>
          <t>Open Talent</t>
        </is>
      </c>
      <c r="D7" t="inlineStr">
        <is>
          <t>linkedin</t>
        </is>
      </c>
      <c r="E7" t="inlineStr"/>
      <c r="F7" t="inlineStr"/>
      <c r="G7" t="inlineStr">
        <is>
          <t>New York, United States</t>
        </is>
      </c>
      <c r="H7" t="inlineStr"/>
      <c r="I7" t="inlineStr">
        <is>
          <t>**Senior AI/ML Engineer \- (LLMs / RAG / Agentic Systems) \- Aerospace \- NYC \- $500k\+ Equity** 
 We’re hiring for a world class team at one of the fastest growing \&amp; most innovative
 **next\-gen aerospace AI companies** 
 in North America. They're building
 **LLMs, RAG \&amp; high\-performance AI systems** 
 to power mission\-critical operations in defence \&amp; space.
**Only the top 0\.1% of America's AI Engineers can do this.** 
 If you’ve built real mission critical LLM systems that can’t fail \- this could be your next move.
**The Role** 
 You’ll own \&amp; scale a
 **RAG\-driven AI system** 
 powering critical aerospace operations. Expect to tackle
 **retrieval quality, latency bottlenecks, \&amp; eval\-driven fine\-tuning** 
 head\-on for the most innovative \&amp; exciting real\-time systems in Aerospace today. This is full production ownership \- from architecture to metrics.
**You should have experience with:** 
* Deploying
 **LLM\-based systems** 
 at scale (Llama, Mistral, GPT\-4, Claude)
* **Retrieval optimisation** 
 \- hybrid search (BM25 \+ vector), reranking, caching
* **Evaluation** 
 \- recall@k, precision@k, groundedness, hallucination metrics
* Fine\-tuning (LoRA/QLoRA), RAG architecture, LangChain / LlamaIndex
* **Tooling:** 
 Hugging Face, Weaviate/Pinecone, FastAPI, PyTorch, Redis, Postgres
* Monitoring inference, eval automation, \&amp; continuous improvement loops
**Bonus:** 
* IoT or Hardware integration or real\-time systems experience exp.
**Ideal background:** 
* CS or Applied ML degree from a top\-tier university
* Proven 0\-1 experience in a fast\-moving AI startup, or Defence related company
* You’ve shipped reliable GenAI systems under pressure
* Degree in Computer Science from a top\-tier university
* Prior experience in high\-performance teams (0\-1, startups)
* You’ve shipped real systems \- not demos
**You’ll be expected to:** 
* Own the
 **LLM pipeline end\-to\-end** 
 – retrieval → evaluation → fine\-tuning
* Improve
 **accuracy, grounding, and eval metrics** 
 continuously
* Make architecture decisions for scale, reliability \&amp; speed
* Collaborate directly with
 **founders \&amp; domain experts**
**Stack:** 
 Python / PyTorch / LangChain / Transformers / FastAPI / Hugging Face / Weaviate / Redis / Postgres / Docker / Kubernetes
**Offer:** 
* Up to $500,000\+ base salary \+ equity
* Hybrid in NYC
* Tight\-knit, high\-output team
* High ownership, real impact, flat structure
**Interview Process:** 
 1\) Technical Deep Dive
 2\) Technical Assessment or Live Pairing
 3\) Panel focused on mindset \&amp; team fit
**Equal Opportunity** 
 We're hiring for an Equal Opportunity Employer.
 If you’ve shipped real GenAI systems, thrive under pressure, and want to see your models
 **power live aerospace systems** 
 \- this is where theory meets orbit.
**TL;DR \- Senior AI Engineer (NYC, On\-site)** 
* Build \&amp; scale
 **production\-grade GenAI systems** 
 from
 **0 to 1**
* Own and improve
 **RAG pipelines** 
 \- accuracy and latency matter
* Deep experience with
 **LLMs, LangChain, Hugging Face** 
 \&amp; real deployments
* Must have shipped
 **working GenAI products** 
 , not just prototypes
* Ideal: startup DNA, top\-tier CS degree, fast execution mindset
* $350K\+ base \+ equity \-
 **on\-site** 
 at a
 **VC\-backed aerospace startup** 
 in NYC
 \*All our new jobs are posted here 1st:
**linkedin.com/in/sufyanbashir/**</t>
        </is>
      </c>
    </row>
    <row r="8">
      <c r="A8" t="inlineStr">
        <is>
          <t>li-4367593450</t>
        </is>
      </c>
      <c r="B8" t="inlineStr">
        <is>
          <t>Senior Machine Learning Engineer</t>
        </is>
      </c>
      <c r="C8" t="inlineStr">
        <is>
          <t>Fintal Partners</t>
        </is>
      </c>
      <c r="D8" t="inlineStr">
        <is>
          <t>linkedin</t>
        </is>
      </c>
      <c r="E8" t="inlineStr"/>
      <c r="F8" t="inlineStr"/>
      <c r="G8" t="inlineStr">
        <is>
          <t>New York, NY</t>
        </is>
      </c>
      <c r="H8" t="inlineStr"/>
      <c r="I8" t="inlineStr">
        <is>
          <t>We are building a dedicated Machine Learning Infrastructure group to support and scale advanced research and trading models across the firm. This team designs and owns the core ML platform that enables researchers and trading teams to train, deploy, and iterate on models at massive scale and under extreme performance constraints.
 Engineers are embedded with trading and research pods on a project\-based basis, building shared infrastructure that powers multiple strategies across the firm.
**What You’ll Do** 
* Design, build, and maintain end\-to\-end ML infrastructure for training, evaluation, and production inference
* Develop scalable systems for distributed training, model serving, and experiment management
* Optimize GPU\-based pipelines for high\-throughput and low\-latency workloads
* Partner closely with ML Researchers to productionize models efficiently and reliably
* Build tooling for model lifecycle management: data ingestion, feature pipelines, versioning, monitoring, and retraining
* Ensure systems meet the latency, reliability, and scalability requirements of high\-frequency trading
**Requirements** 
* Strong experience building ML infrastructure or large\-scale data/compute systems
* Deep knowledge of GPU systems, distributed computing, and performance optimization
* Hands\-on experience supporting deep learning models in production at scale
* Expertise in Python and systems\-level languages (e.g. C\+\+, Rust, Go)
* Strong understanding of modern ML frameworks (e.g. PyTorch, JAX) from an infrastructure perspective
* Background from top\-tier trading firms or large\-scale tech companies
* Strong computer science fundamentals (systems, networking, concurrency)
**Nice to Have** 
* Experience building low\-latency or real\-time systems
* Exposure to LLMs or large transformer\-based models at scale
* Familiarity with Kubernetes, custom schedulers, or internal compute platforms
* Experience working alongside research\-heavy ML teams</t>
        </is>
      </c>
    </row>
    <row r="9">
      <c r="A9" t="inlineStr">
        <is>
          <t>li-4367711256</t>
        </is>
      </c>
      <c r="B9" t="inlineStr">
        <is>
          <t>Sr Applied AI Engineer</t>
        </is>
      </c>
      <c r="C9" t="inlineStr">
        <is>
          <t>Stott and May</t>
        </is>
      </c>
      <c r="D9" t="inlineStr">
        <is>
          <t>linkedin</t>
        </is>
      </c>
      <c r="E9" t="inlineStr"/>
      <c r="F9" t="inlineStr"/>
      <c r="G9" t="inlineStr"/>
      <c r="H9" t="inlineStr"/>
      <c r="I9" t="inlineStr">
        <is>
          <t>**Senior Applied AI Engineer (Agents, RAG \&amp; Production Systems)** 
**( Please note, No Sponsorship provided for this role)** 
 We’re partnering with a fast\-growing,
 **Series A** 
 enterprise AI company transforming how major financial institutions automate and scale client\-ready work. Their platform replaces complex, manual processes with production\-grade AI systems used by global teams.
**The Role** 
 This is a hands\-on, high\-ownership role building core AI infrastructure. You’ll design and deploy multi\-agent systems, RAG pipelines, and evaluation frameworks, shipping AI features into production at real scale. You’ll work closely with founders and collaborate across the stack, from backend services to deployment pipelines.
**What You’ll Do** 
* Build and deploy backend services and APIs (Python preferred)
* Design and operate production AI systems including RAG and agent orchestration
* Own performance, reliability, and scalability of AI features
* Build data pipelines for model training and evaluation
* Mentor engineers and uphold strong engineering standards
**What We’re Looking For** 
* Top 20 College
* Start up experience
* 5\+ years of software engineering experience
* Proven experience shipping AI systems to production
* Strong backend engineering skills (Python )
* Experience with cloud infrastructure, Docker, CI/CD, Redis, and task queues
* Familiarity with LLM evaluation, monitoring, and AI reliability
**Why Join** 
* Work directly with experienced founders with prior successful exits
* Competitive salary and equity
* High\-impact role at an early stage Series A company
* Hard problems, fast pace, real ownership</t>
        </is>
      </c>
    </row>
    <row r="10">
      <c r="A10" t="inlineStr">
        <is>
          <t>li-4352415635</t>
        </is>
      </c>
      <c r="B10" t="inlineStr">
        <is>
          <t>AI Engineer, AI.x</t>
        </is>
      </c>
      <c r="C10" t="inlineStr">
        <is>
          <t>Charles Schwab</t>
        </is>
      </c>
      <c r="D10" t="inlineStr">
        <is>
          <t>linkedin</t>
        </is>
      </c>
      <c r="E10" t="inlineStr"/>
      <c r="F10" t="inlineStr"/>
      <c r="G10" t="inlineStr">
        <is>
          <t>San Francisco, CA</t>
        </is>
      </c>
      <c r="H10" t="inlineStr"/>
      <c r="I10" t="inlineStr">
        <is>
          <t>Your opportunity
 At Schwab, you will build a rewarding career while making a difference in the lives of our millions of clients. Here, innovative thinking meets creative problem solving as we work together to challenge the status quo. We believe in the power of collaboration and value being together in the office, which is why this role is based on\-site in our San Francisco office. Joining Schwab means joining a company committed to transforming the financial industry and putting clients at the center of everything we do.
 Schwab’s AI Strategy \&amp; Transformation team, known as AI.x, is the central hub for Artificial Intelligence at Schwab. We are an integrated product, engineering, strategy and risk team, all based in San Francisco. We help set the enterprise vision for AI, invest in the most promising opportunities, and accelerate delivery across the company. We also build the core platform that powers AI at scale and explore next\-generation GenAI efforts that will redefine how we serve our clients. As an AI Engineer on AI.x, you will play an important role in bringing these priorities to life by designing and delivering innovative AI solutions.
 This role is more than an engineering position. It is an opportunity to join a high\-profile team shaping Schwab’s future with AI, to build solutions that matter to millions of clients, and to grow your career in one of the most exciting areas of technology today.
 As an AI Engineer, you will contribute to the design, development, and delivery of GenAI applications that enhance client experience and create business value. You will collaborate with architects, engineers, and business leaders to ensure solutions align with Schwab’s enterprise strategy. You will have the opportunity to learn from senior engineers, participate in technical discussions, and help to build strong engineering practices while fostering a culture of continuous learning. You will work on solving complex technical challenges, support best engineering standards, and help drive iterations from concept to production. Above all, you will bring curiosity, creativity, and technical skill to help shape the next generation of AI at Schwab.
 What you have
**Required Qualifications**
* 5\+ years of software development experience and 3\+ years as a hands\-on engineer in startups and/or large organizations.
* Bachelor's degree in Computer Science or related field.
* 3\+ years of experience building complex products from scratch and supporting them in production environments.
* 1\+ years of experience developing applications that use Artificial Intelligence (AI) models to deliver business impact.
* 2\+ years of experience working with applications or data pipelines that interface with large datasets.
* 2\+ years of experience with containers and cloud\-native applications, with exposure to deploying them in the public cloud using infrastructure as code.
**Preferred Qualifications**
* Robust computer science fundamentals and experience working across different parts of the tech stack.
* Exposure to proprietary or open\-source LLMs (Gemini, Claude, OpenAI or other models) and contributing to LLM\-powered applications.
* Commitment to quality in your work, with experience writing and maintaining tests.
* Experience evaluating and monitoring LLM\-generated outputs for quality and consistency.
* Strong communication skills – able to clearly share your perspective with others on the team, both verbally and in writing.
* Interest in mentoring peers and learning from senior engineers through feedback and code reviews.
* Demonstrated commitment to continuous learning and improvement.
* Ability to address complex problems, even with ambiguous or incomplete data, within distributed systems.
* Broad business domain knowledge related to the products you've contributed to.
* Curiosity about new technologies and processes – you seek to grow your skills and share knowledge with team members.
* Experience with Python and front\-end development is preferred but not required.
* Master’s or advanced degrees in Computer Science or related fields are a plus.
 In addition to the salary range, this role is also eligible for bonus or incentive opportunities.
 What’s in it for you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11">
      <c r="A11" t="inlineStr">
        <is>
          <t>li-4367951213</t>
        </is>
      </c>
      <c r="B11" t="inlineStr">
        <is>
          <t>AI Engineer</t>
        </is>
      </c>
      <c r="C11" t="inlineStr">
        <is>
          <t>Best Job Tool</t>
        </is>
      </c>
      <c r="D11" t="inlineStr">
        <is>
          <t>linkedin</t>
        </is>
      </c>
      <c r="E11" t="inlineStr"/>
      <c r="F11" t="inlineStr"/>
      <c r="G11" t="inlineStr"/>
      <c r="H11" t="inlineStr"/>
      <c r="I11" t="inlineStr">
        <is>
          <t>**About The Company**
 Cognizant is a leading global professional services company that specializes in digital, technology, consulting, and operations services. With a strong presence across various industries, Cognizant is committed to helping organizations transform their business models and deliver innovative solutions that drive growth and efficiency. Known for its customer\-centric approach and innovative mindset, Cognizant has built a reputation for delivering high\-quality services that meet the evolving needs of its clients worldwide. The company emphasizes a culture of diversity, inclusion, and continuous learning, making it an ideal place for professionals seeking to develop their careers in a dynamic environment.
**About The Role**
 The role at Cognizant offers an exciting opportunity for a dedicated and skilled professional to contribute to our ongoing projects and client solutions. As part of our team, you will be responsible for managing key aspects of project delivery, collaborating with cross\-functional teams, and ensuring the highest standards of quality and efficiency. This position requires a proactive individual with strong problem\-solving skills, excellent communication abilities, and a passion for technology and innovation. You will work closely with clients to understand their needs, develop tailored solutions, and support the implementation and maintenance of these solutions to ensure client satisfaction and project success.
**Qualifications**
 Candidates should possess a bachelor's degree in Computer Science, Information Technology, or a related field. A minimum of 3\-5 years of experience in project management, consulting, or a similar role within the technology sector is preferred. Strong technical knowledge, particularly in digital transformation, cloud computing, or software development, is highly desirable. Excellent communication, leadership, and interpersonal skills are essential for interacting effectively with clients and team members. Candidates should demonstrate a problem\-solving mindset, adaptability, and a commitment to continuous learning and professional development.
**Responsibilities**
 Manage and oversee project deliverables, timelines, and budgets to ensure successful completion within scope and constraints. Collaborate with clients to understand their requirements and translate them into actionable project plans. Coordinate with internal teams, including developers, designers, and analysts, to facilitate smooth project execution. Monitor project progress, identify potential risks or issues, and implement mitigation strategies proactively. Maintain clear and consistent communication with stakeholders, providing regular updates on project status and milestones. Contribute to process improvements and best practices to enhance overall project efficiency and quality. Support the onboarding and training of new team members, fostering a collaborative and productive work environment. Ensure compliance with organizational policies, standards, and client specifications at all times.
**Benefits**
 Cognizant offers a comprehensive benefits package designed to support the health, well\-being, and professional growth of its employees. This includes competitive salary packages, health insurance coverage, retirement plans, and paid time off. Employees have access to ongoing training and development programs, mentorship opportunities, and certifications to enhance their skills and career prospects. The company promotes a flexible work environment, encouraging work\-life balance through remote work options and flexible scheduling. Additional perks include wellness programs, employee assistance initiatives, and recognition schemes to reward outstanding performance and dedication.
 Equal Opportunity
 Cognizant is an equal opportunity employer committed to fostering an inclusive environment for all employees. We do not discriminate based on race, gender, age, religion, national origin, sexual orientation, disability, or any other protected characteristic. We believe in providing equal access to opportunities and creating a workplace where everyone can thrive, contribute, and grow. Our commitment to diversity and inclusion is integral to our success and reflects our core values of respect, integrity, and collaboration.</t>
        </is>
      </c>
    </row>
    <row r="12">
      <c r="A12" t="inlineStr">
        <is>
          <t>li-4367952187</t>
        </is>
      </c>
      <c r="B12" t="inlineStr">
        <is>
          <t>AI Engineer</t>
        </is>
      </c>
      <c r="C12" t="inlineStr">
        <is>
          <t>Hirenza</t>
        </is>
      </c>
      <c r="D12" t="inlineStr">
        <is>
          <t>linkedin</t>
        </is>
      </c>
      <c r="E12" t="inlineStr"/>
      <c r="F12" t="inlineStr"/>
      <c r="G12" t="inlineStr"/>
      <c r="H12" t="inlineStr"/>
      <c r="I12" t="inlineStr">
        <is>
          <t>**About The Company**
 Edensign is a leading organization dedicated to delivering innovative signage and branding solutions that elevate brand visibility and enhance customer engagement. With a commitment to quality, creativity, and sustainability, Edensign has established itself as a trusted partner for businesses across various industries. Our team of skilled professionals leverages cutting\-edge technology and industry best practices to provide customized solutions that meet the unique needs of each client. At Edensign, we believe in fostering a collaborative and inclusive work environment where creativity and excellence thrive.
**About The Role**
 We are seeking a dynamic and detail\-oriented Marketing Coordinator to join our team at Edensign. The ideal candidate will play a pivotal role in developing and executing marketing strategies that promote our brand and services. This position involves coordinating marketing campaigns, managing digital content, and supporting sales initiatives to drive business growth. The Marketing Coordinator will work closely with cross\-functional teams to ensure consistent messaging and branding across all channels. The role offers an excellent opportunity for a creative professional to contribute to a growing organization while expanding their expertise in the signage and branding industry.
**Qualifications**
* Bachelor’s degree in Marketing, Business Administration, Communications, or a related field.
* Proven experience in marketing, preferably within the signage, branding, or related industry.
* Strong understanding of digital marketing channels including social media, email marketing, and content management systems.
* Excellent communication and interpersonal skills.
* Ability to analyze market trends and customer insights to inform marketing strategies.
* Proficiency in marketing tools and software such as Google Analytics, Adobe Creative Suite, and CRM platforms.
* Creative thinking with a keen eye for detail and aesthetics.
* Ability to multitask and manage multiple projects simultaneously in a fast\-paced environment.
**Responsibilities**
* Develop and implement comprehensive marketing strategies to promote Edensign’s products and services.
* Manage and update the company’s digital presence, including website content, social media profiles, and online advertising campaigns.
* Create engaging content for various marketing channels, including blogs, newsletters, and promotional materials.
* Coordinate with sales and design teams to ensure marketing efforts align with business objectives and branding standards.
* Monitor and analyze campaign performance metrics, providing insights and recommendations for improvement.
* Organize and participate in industry events, trade shows, and promotional activities to increase brand awareness.
* Conduct market research to identify new opportunities and stay ahead of industry trends.
* Assist in the development of marketing budgets and track expenditures to ensure cost\-effective campaigns.
**Benefits**
 At Edensign, we value our employees and offer a comprehensive benefits package to support their well\-being and professional growth. Our benefits include competitive salary packages, health insurance coverage, paid time off, and opportunities for career advancement. We also provide ongoing training and development programs to help our team members stay current with industry trends and enhance their skills. Additionally, employees enjoy a collaborative work environment that encourages innovation, creativity, and work\-life balance. We believe that investing in our team is key to our success and are committed to fostering a positive and inclusive workplace culture.
 Equal Opportunity
 Edensign is an equal opportunity employer. We celebrate diversity and are committed to creating an inclusive environment for all employees. We do not discriminate based on race, religion, gender, sexual orientation, age, disability, or any other protected characteristic. We believe that a diverse workforce enriches our organization and drives innovation. All qualified applicants will receive consideration for employment without regard to any protected status. We are dedicated to providing equal opportunities for growth and development to all team members and applicants alike.</t>
        </is>
      </c>
    </row>
    <row r="13">
      <c r="A13" t="inlineStr">
        <is>
          <t>li-4355797791</t>
        </is>
      </c>
      <c r="B13" t="inlineStr">
        <is>
          <t>Senior ML Engineer (LLMs) / Frontier Tech / Seattle, WA / $350k+</t>
        </is>
      </c>
      <c r="C13" t="inlineStr">
        <is>
          <t>Open Talent</t>
        </is>
      </c>
      <c r="D13" t="inlineStr">
        <is>
          <t>linkedin</t>
        </is>
      </c>
      <c r="E13" t="inlineStr"/>
      <c r="F13" t="inlineStr"/>
      <c r="G13" t="inlineStr">
        <is>
          <t>Seattle, WA</t>
        </is>
      </c>
      <c r="H13" t="inlineStr"/>
      <c r="I13" t="inlineStr">
        <is>
          <t>**Senior ML/AI Engineer / Frontier Tech / Seattle, WA / $350k** 
**IMPORTANT:**
 Due to the nature of the company’s work, only U.S. citizens can be considered for this position.
**We’re hiring for a frontier aerospace company in Seattle that’s redefining how AI powers real\-world missions.** 
 Backed by top\-tier investors, they build
 **mission\-critical GenAI systems** 
 used in environments where
 **accuracy, reliability \&amp; latency literally matter.** 
 This isn’t a big corporate lab. It’s a
 **tight, elite engineering team** 
 where you’ll have
 **ownership, equity \&amp; autonomy** 
 to build from the ground up \- and see your work directly influence live aerospace operations.
 They’re seeking a
 **Senior or Lead AI Engineer** 
 to take full ownership of a
 **retrieval and evaluation pipeline** 
 already powering production systems. You’ll fine\-tune, optimise, and scale LLM\-driven intelligence that sits at the core of aerospace decision\-making.
**What You’ll Do** 
* **Own and evolve** 
 a production\-grade
 **GenAI retrieval \&amp; evaluation pipeline** 
 — hybrid vector \+ keyword retrieval (FAISS/BM25\) tuned for precision, recall, and sub\-100ms latency
* **Optimise RAG performance** 
 across the stack — prompt routing, context compression, reranking, and answer grounding under strict reliability thresholds
* **Design \&amp; implement** 
 scalable architectures for inference, caching, and continuous evaluation – your decisions will directly shape live aerospace intelligence systems
* **Debug \&amp; deploy** 
 in high\-stakes production – profiling token usage, batching inference, automating evals with LangSmith or custom metrics suites
* **Collaborate directly** 
 with technical founders \&amp; aerospace engineers to align
 **LLM performance with real\-world mission data**
**You’re a Fit If You Have** 
* Proven experience deploying
 **LLM or RAG\-based systems** 
 into production
* Strong grasp of
 **retrieval, ranking, and evaluation** 
 under real constraints
* Hands\-on with
 **Python, PyTorch, LangChain, Hugging Face, vector DBs**
* You’ve
 **shipped systems that work in production** 
 , not research demos
* Background in
 **high\-performance or regulated environments** 
 (defence, aerospace, fintech, etc.)
* Ownership mindset \- fast, curious \&amp; comfortable building 0→1 systems
**Tech Stack** 
 Python, PyTorch, FastAPI, Hugging Face, Postgres, Redis, Docker, Kubernetes, Vector Databases
**Offer** 
* Up to
 **$350,000\+ base** 
 plus
 **meaningful equity (already doing exceptionally)**
* Medical \&amp; dental (full coverage)
* **Backed by top\-tier investors** 
 with serious long\-term conviction
* **Onsite in downtown Seattle \- relo offered**
* Join a
 **small, elite team** 
 tackling problems few can even attempt
* **0 bureaucracy, 0 noise** 
 \- just hard problems, fast decisions, real impact
**Interview Process** 
1. Technical Deep Dive
2. Assessment or Live Pair
3. Team Fit \&amp; Mindset Panel
**Fast:** 
 2 weeks total
**TL;DR** 
* Join a frontier tech company with real customers and real systems in production
* Work onsite in Seattle, directly with senior engineers \&amp; technical founders
* Own performance\-critical ML pipelines where speed and precision matter
* This is real product work, not research or prototypes
* Up to $350K\+ base salary with meaningful equity
* U.S. Citizenship required due to the nature of the work
**Must be onsite in Seattle. Relocation support available for exceptional candidates.** 
**Our client is an Equal Opportunity employer.** 
 If you're a Senior ML engineer ready to build systems that matter, apply now.
**Our new NYC roles here 1st:** 
 linkedin.com/in/sufyanbashir</t>
        </is>
      </c>
    </row>
    <row r="14">
      <c r="A14" t="inlineStr">
        <is>
          <t>li-4367701559</t>
        </is>
      </c>
      <c r="B14" t="inlineStr">
        <is>
          <t>AI Engineer</t>
        </is>
      </c>
      <c r="C14" t="inlineStr">
        <is>
          <t>Piper Companies</t>
        </is>
      </c>
      <c r="D14" t="inlineStr">
        <is>
          <t>linkedin</t>
        </is>
      </c>
      <c r="E14" t="inlineStr"/>
      <c r="F14" t="inlineStr"/>
      <c r="G14" t="inlineStr">
        <is>
          <t>Raleigh, NC</t>
        </is>
      </c>
      <c r="H14" t="inlineStr"/>
      <c r="I14" t="inlineStr">
        <is>
          <t>Piper Companies is seeking an
 **AI Engineer** 
 to support a leading organization within the technology industry in developing and enhancing AI‑driven applications. The AI Engineer role is ideal for an experienced engineer with strong expertise in React, Node.js, and modern AI/ML tooling.
***Responsibilities of the AI Engineer:***
* Design, develop, and deploy AI\-enabled features and applications using React and Node.js.
* Integrate machine learning models and APIs into new and existing systems.
* Collaborate with product, data, and engineering teams to define scalable AI architectures.
* Optimize application and model performance across the platform.
* Troubleshoot technical issues and support continuous improvement efforts.
* Maintain best practices for version control, testing, and CI/CD workflows.
***Qualifications of the AI Engineer:***
* 3\+ years of software engineering experience with a focus on JavaScript/TypeScript.
* Strong hands\-on expertise with React and Node.js.
* Experience integrating AI/ML models (OpenAI, TensorFlow, PyTorch, LangChain, etc.).
* Familiarity with RESTful API development and cloud platforms (AWS, Azure, or GCP).
* Understanding of vector databases, embeddings, or LLM application architectures preferred.
* Strong communication skills and ability to collaborate across teams.
***Compensation for the AI Engineer includes:***
* Salary range: $120,000 \- $170,000
* Comprehensive benefits package including medical, dental, vision, 401(k), and PTO
* Hybrid or remote flexibility depending on project needs
 This job opens for applications on 01/31/2026\. Applications for this job will be accepted for at least 30 days from the posting date.</t>
        </is>
      </c>
    </row>
    <row r="15">
      <c r="A15" t="inlineStr">
        <is>
          <t>li-4353099647</t>
        </is>
      </c>
      <c r="B15" t="inlineStr">
        <is>
          <t>AI Engineer</t>
        </is>
      </c>
      <c r="C15" t="inlineStr">
        <is>
          <t>Jobot</t>
        </is>
      </c>
      <c r="D15" t="inlineStr">
        <is>
          <t>linkedin</t>
        </is>
      </c>
      <c r="E15" t="inlineStr"/>
      <c r="F15" t="inlineStr"/>
      <c r="G15" t="inlineStr">
        <is>
          <t>Cincinnati, OH</t>
        </is>
      </c>
      <c r="H15" t="inlineStr"/>
      <c r="I15" t="inlineStr">
        <is>
          <t>Want to learn more about this role and Jobot? Click our Jobot logo and follow our LinkedIn page!
 Job details
**RAG \- Vector Databases \- Cloud \- AI/ML**
 This Jobot Job is hosted by Chuck Wirtz
 Are you a fit? Easy Apply now by clicking the "Easy Apply" button and sending us your resume.
 Salary $175,000 \- $200,000 per year
**A Bit About Us**
 We are a rapidly\-growing and well\-funded women\-lead AI start\-up that innovates our client's projects from concept to delivery.
****Why join us?****
 We work with highly recognizable enterprise clients to deliver a fully customized solution. Our technology solution is best\-in\-class and proven. This is a fully remote role. Report directly to the VP of Tech \&amp; work directly with the Founders. Start\-up experience is ideal. Base \+ bonus \+ equity.
**Job Details**
 This is not a Data Scientist role \- This is an experienced, AI\-focused Software Engineer role.
 Python API
 Agentic/Orchestration Frameworks
 Langchan \- Langgraph \- Autogen \- Semantic Kernel \- Lamaindex
 RAG
 ML
 AI
 Vector Databases
 Pinecone \- Weaviate \- Chroma
 AWS \- GCP \- Azure
 Domain\-driven design and microservices architecture
 TensorFlow \- PyTorch
 Inheritance \- Polymorphism \- Design Patterns
 No C2C or Sponsorship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16">
      <c r="A16" t="inlineStr">
        <is>
          <t>li-4355365263</t>
        </is>
      </c>
      <c r="B16" t="inlineStr">
        <is>
          <t>Senior AI/ML Engineer</t>
        </is>
      </c>
      <c r="C16" t="inlineStr">
        <is>
          <t>Jobot</t>
        </is>
      </c>
      <c r="D16" t="inlineStr">
        <is>
          <t>linkedin</t>
        </is>
      </c>
      <c r="E16" t="inlineStr"/>
      <c r="F16" t="inlineStr"/>
      <c r="G16" t="inlineStr">
        <is>
          <t>McLean, VA</t>
        </is>
      </c>
      <c r="H16" t="inlineStr"/>
      <c r="I16" t="inlineStr">
        <is>
          <t>Want to learn more about this role and Jobot? Click our Jobot logo and follow our LinkedIn page!
 Job details
**New US based .NET team tasked with making an existing, modern platform utilize Microsoft's latest suite of enterprise AI tools and services.**
 This Jobot Job is hosted by Charles Simmons
 Are you a fit? Easy Apply now by clicking the "Easy Apply" button and sending us your resume.
 Salary $140,000 \- $180,000 per year
**A Bit About Us**
 We’re transforming how government agencies digitize forms and automate workflows. Our new initiative brings AI directly into this process \- using LLMs, vector search, and structured PDF parsing to accelerate public service delivery. We’re not just bolting AI onto the side. It’s becoming core to how our platform works.
 We’re looking for a senior machine learning engineer to take the lead on this effort. You’ll be the architect of our AI capability \- not just a contributor. Your work will touch thousands of public\-facing government forms, helping real people get things done faster and more accurately. This isn’t an R\&amp;D team running experiments \- it’s about delivering intelligent automation, right now.
****Why join us?****
* 100% remote based in the US
* Help shape the AI transformation of public sector services
* Lead initiatives that ship real impact, not just prototypes
* Greenfield development on a proven, profitable platform
* Comprehensive Health, Vision, Dental coverage for individuals and families
**Job Details**
 You’ll design and build our machine learning infrastructure \- starting with vector search and retrieval\-augmented generation and expanding into fine\-tuned LLMs with human feedback loops. You’ll work across product and engineering to embed intelligent behaviors into our no\-code form builder. This is not a research job or a sandbox role \- it’s a real opportunity to push AI into production at scale.
 What you’ll do
* Build and tune vector\-based retrieval pipelines using OpenAI embeddings and Azure AI Search
* Design prompt strategies and agents to translate parsed PDF data into form component schemas
* Fine\-tune LLMs for structured output generation with low\-latency performance in mind
* Lead the development of an RLHF loop that incorporates builder UI feedback and audit data
* Help architect systems that blend traditional APIs and probabilistic inference reliably
* Work alongside full\-stack and platform engineers to get it all running in production
* Stay plugged into the latest model capabilities, and make smart calls on what to adopt
 Tech you’ll use
* Azure AI Studio, Azure OpenAI, GPT\-4o
* Python (for agents, functions, orchestration), .NET 8 (for integration layers)
* Azure AI Search, CosmosDB, MSSQL
* Kubernetes (AKS), Azure Blob, Octopus for CI/CD
* Extend.ai for structured PDF parsing
 What we’re looking for
* 5\+ years in applied ML, including experience with retrieval, embeddings, and prompt engineering
* Strong Python skills and familiarity with production\-grade ML pipelines
* Experience designing and tuning RAG workflows with hybrid search
* Familiarity with RLHF and fine\-tuning on structured JSON output
* Solid grasp of system\-level thinking—how to bring ML into product environments cleanly
 Nice to have .NET understanding, especially for integration and orchestration layers
 What success looks like in 6 months
* You’ve shipped a working vector search \+ RAG pipeline integrated into our form builder
* You’ve scoped and kicked off our first LLM fine\-tuning cycle
* We’re collecting human feedback to improve model accuracy
* You’ve helped define the roadmap for AI integrations across the platform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17">
      <c r="A17" t="inlineStr">
        <is>
          <t>li-4355851051</t>
        </is>
      </c>
      <c r="B17" t="inlineStr">
        <is>
          <t>Senior AI Engineer, AI.x</t>
        </is>
      </c>
      <c r="C17" t="inlineStr">
        <is>
          <t>Charles Schwab</t>
        </is>
      </c>
      <c r="D17" t="inlineStr">
        <is>
          <t>linkedin</t>
        </is>
      </c>
      <c r="E17" t="inlineStr"/>
      <c r="F17" t="inlineStr"/>
      <c r="G17" t="inlineStr">
        <is>
          <t>San Francisco, CA</t>
        </is>
      </c>
      <c r="H17" t="inlineStr"/>
      <c r="I17" t="inlineStr">
        <is>
          <t>Your opportunity
 At Schwab, your career is more than a job—it's an opportunity to impact the lives of millions. Innovation and creative problem solving thrive here, as we challenge conventional approaches and prioritize collaboration. We value in\-person teamwork, so this role is based on\-site at our San Francisco office.
 As part of Schwab’s AI Strategy \&amp; Transformation team (AI.x), you’ll join the central hub for Artificial Intelligence across the company. AI.x brings together product, engineering, strategy, and risk specialists to set enterprise AI vision, invest in transformative opportunities, and accelerate delivery organization\-wide. Our team builds the scalable core platform for AI and explores next\-generation GenAI initiatives that redefine client experiences.
 We’re seeking a Senior AI Engineer who will design and deliver cutting\-edge GenAI applications, enhancing the client journey and driving tangible business value. You’ll collaborate closely with architects, engineers, and business leaders to align solutions with Schwab’s strategic goals, and mentor junior team members—cultivating best engineering practices and a culture of continuous learning.
 In this pivotal role, you’ll not only advance technical standards and solve complex challenges, but also lead rapid iterations from concept to production. You will bring curiosity, creativity, and technical depth to help shape the next era of AI at Schwab, with a special emphasis on site reliability, monitoring, observability, and operations. You’ll ensure that the systems you build are robust, reliable, and well\-monitored, implementing best practices for observability and operational excellence to maintain high performance and uptime for mission\-critical AI applications.
* Design, build, and deliver GenAI applications that elevate client experience and generate business impact.
* Champion reliability, monitoring, observability, and operational best practices for AI systems and data pipelines.
* Collaborate with cross\-functional teams to align solutions with enterprise strategy and technical standards.
* Mentor and coach junior engineers, fostering strong practices and continuous learning.
* Lead by example in solving complex technical challenges and driving rapid iteration from concept to deployment.
* Implement and maintain monitoring, alerting, and incident response frameworks to ensure system health and reliability.
* Advance engineering standards, focusing on operational excellence and quality across all deliverables.
 What you have
**Required Qualifications**
* 8\+ years of software development experience, with 4\+ years as a hands\-on senior engineer in startups and/or large organizations.
* Bachelor’s degree in Computer Science or related field.
* 5\+ years building complex products from scratch, running them in production, and ensuring operational reliability.
* 3\+ years building applications leveraging AI models for measurable business impact.
* 3\+ years developing applications and data pipelines interfacing with large datasets.
* 3\+ years working with containers and cloud\-native applications, operationalizing them in the public cloud with infrastructure as code.
**Preferred Qualifications**
* Strong computer science fundamentals and experience across the tech stack.
* Experience with proprietary or open\-source LLMs (e.g., Gemini, Claude, OpenAI) and deploying LLM\-powered applications to production.
* Commitment to quality—driving high standards and writing tests at all levels.
* Experience writing and running evaluations for quality and consistency in LLM\-generated output.
* Strong written and verbal communication skills to clearly convey ideas and feedback.
* Mentoring junior engineers and supporting their technical growth through code reviews and guidance.
* Mindset of continuous learning and improvement.
* Ability to solve complex problems with ambiguous or incomplete data in distributed systems.
* Demonstrated business domain knowledge relevant to previous products.
* Curiosity about new technologies and processes, proactively sharing knowledge and seeking improvement.
* Experience with Python and front\-end development preferred but not required.
* Master’s or advanced degree in Computer Science or related field.
 In addition to the salary range, this role is eligible for bonus or incentive opportunities.
 What’s in it for you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18">
      <c r="A18" t="inlineStr">
        <is>
          <t>li-4359775442</t>
        </is>
      </c>
      <c r="B18" t="inlineStr">
        <is>
          <t>Senior Machine Learning Engineer</t>
        </is>
      </c>
      <c r="C18" t="inlineStr">
        <is>
          <t>Microsoft</t>
        </is>
      </c>
      <c r="D18" t="inlineStr">
        <is>
          <t>linkedin</t>
        </is>
      </c>
      <c r="E18" t="inlineStr"/>
      <c r="F18" t="inlineStr"/>
      <c r="G18" t="inlineStr">
        <is>
          <t>Redmond, WA</t>
        </is>
      </c>
      <c r="H18" t="inlineStr"/>
      <c r="I18" t="inlineStr">
        <is>
          <t>**Overview**
 Viva Engage connects people through communities, bringing leaders and employees together to share knowledge, clarify priorities, and build relationships. Viva Engage (formerly Yammer) is the premier tool to create multi\-directional dialogue between tens of millions of employees worldwide every month.
 Engage team members are at the forefront of driving artificial intelligence (AI) applications and Copilot adoption to make communication and information sharing easy and authentic. Our work supports top challenges for our customers, including digital safety, trusted security standards, and deep analytics to help our customers maximize reach, reduce inefficiencies, and create a thriving organizational culture. We would love to have you join the team driving innovation, connection, and community for our valued global customers.
 As a
 **Senior Machine Learning (ML) Engineer** 
 on the Viva Engage Search team, your experience in Search, Ranking, and Retrieval systems will help shape the future of intelligent search experiences in the Copilot and Agentic AI space. You will play a key role in designing, developing, and deploying cutting\-edge machine learning models that power search experiences that connect individuals with each other and knowledge across organizations. Our focus lies in discovery, recommendations, and relevance across Viva Engage, leveraging data from our platform and across Office 365\.
 This role presents an opportunity to create a vision around the Viva Engage machine learning platform and help us make it a reality. Our tight\-knit, high\-performing team, coupled with the unique challenges posed by social enterprise analytics, will offer plenty of opportunities for impact.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Own the full ML lifecycle \- Design, build, deploy, and monitor end\-to\-end pipelines that power Copilot and Agentic Search experiences.
* Build production\-ready AI agents that automate workflows and surface smart, context\-aware recommendations to boost user productivity.
* Work with massive, complex datasets by applying advanced statistical and machine\-learning methods to solve ambiguous, high\-impact problems.
* Apply Large Language Models (LLMs) to deliver deep semantic understanding and natural\-language interactions that connect employees to knowledge across Microsoft 365\.
* Leverage generative\-AI techniques for data augmentation, relevance tuning, and highly personalized discovery experiences.
* Validate product intuition with experimentation – translate insights into roadmap influence and data\-driven decisions that move key metrics.
* Communicate with clarity – distill intricate technical work for diverse audiences across engineering, product, and executive leadership.
**Qualifications**
**Required Qualifications:**
* Bachelor's Degree in Computer Science or related technical field AND 4\+ years technical engineering experience with coding in languages including, but not limited to, C, C\+\+, C\#, Java, JavaScript, or Python
+ OR equivalent experience.
* 2\+ years of experience working on Machine Learning models specifically with Natural language\-based models.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Experience on working with Elastic Search/Azure AI Search.
* 2\+ years of experience building personalized search solutions across a product/platform.
* Practical experience working with Large Language Models (LLMs) and leveraging tools like PyTorch and TensorFlow.
* System development skills, with a long\-range system view that leverages development ranging from rapid research prototypes to carefully architected complex systems.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9">
      <c r="A19" t="inlineStr">
        <is>
          <t>li-4356952732</t>
        </is>
      </c>
      <c r="B19" t="inlineStr">
        <is>
          <t>Senior Machine Learning Engineer, User Understanding</t>
        </is>
      </c>
      <c r="C19" t="inlineStr">
        <is>
          <t>Unity South APAC (SEA, ANZ, IND Subcont.)</t>
        </is>
      </c>
      <c r="D19" t="inlineStr">
        <is>
          <t>linkedin</t>
        </is>
      </c>
      <c r="E19" t="inlineStr"/>
      <c r="F19" t="inlineStr"/>
      <c r="G19" t="inlineStr">
        <is>
          <t>San Francisco, CA</t>
        </is>
      </c>
      <c r="H19" t="inlineStr"/>
      <c r="I19" t="inlineStr">
        <is>
          <t>The opportunity
 At Unity, we’re committed to building a culture that fosters collaboration and innovation. Within our fast\-paced environment, we’re tackling complex challenges that drive meaningful impact for creators and users across our ecosystem.
 Our Foundation Modeling team plays a central role in this effort by developing state\-of\-the\-art conversion rate (CVR) prediction and market price models that power our ad ranking and recommendation systems. These models help advertisers reach the right users at the right time by accurately estimating engagement and conversion likelihood. By leveraging large\-scale behavioral data, creative features, and contextual signals, we continuously improve the relevance and accuracy of our predictions. This drives key outcomes such as higher user engagement, stronger conversion performance, and better return on ad spend — enabling advertisers to achieve their goals while delivering a better experience for users.
 We are seeking a highly skilled Senior ML Engineer to drive state\-of\-the\-art bidding optimization systems that enable efficient budget pacing, goal\-aligned automated strategies, continual improvement through experimentation, and sustainable growth for Unity Ads.
 What you'll be doing
* Design, implement, and maintain high\-performance CTR and CVR prediction models that power ad ranking and recommendation systems.
* Build and refine systems for creative understanding and user behavior modeling, enabling more accurate and context\-aware engagement predictions.
* Ensure model quality and reliability by continuously monitoring performance, calibrating predictions, and addressing data drift or delayed feedback.
* Actively participate and work with other leads to set the long term direction for the team, plan and oversee engineering designs and project execution.
* Effectively communicate complex technical concepts to non\-engineering stakeholders.
 What we're looking for
* Advanced degree (MS or Ph.D.) in Computer Science, Machine Learning, Statistics, related field, or equivalent practical experience.
* 5\+ years of hands\-on experience building and operating large\-scale Ads delivery and optimization systems.
* 3\+ years of experience building CTR/CVR systems, content understanding, or behavior modeling systems.
* Significant experience in one or more general\-purpose programming languages like Python, Go, Scala, C\+\+ or similar.
* Knowledge of metric design, experimentation methodologies, and large\-scale data analysis.
 You might also have
* Experience designing and productionizing optimization algorithms in an ad serving platform and/or other marketplaces.
* Experience with state\-of\-the\-art control systems, reinforcement learning algorithms.
 Additional information
* International relocation support is not available for this position.
 Life at Unity
 We offer a wide range of benefits designed to support employees' well\-being and work\-life balance. You can read more about them on our career page.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*Pursuant to the San Francisco Fair Chance Ordinance, we will consider for employment qualified applicants with arrest and conviction records.*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 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\#SEN
* Note: Certain locations require a good faith disclosure of the base salary range for the role. The actual salary for the successful candidate may differ based on location, experience, and other job\-related factors. Gross pay salary$179,000—$269,000 USD</t>
        </is>
      </c>
    </row>
    <row r="20">
      <c r="A20" t="inlineStr">
        <is>
          <t>li-4367933960</t>
        </is>
      </c>
      <c r="B20" t="inlineStr">
        <is>
          <t>AI Engineer</t>
        </is>
      </c>
      <c r="C20" t="inlineStr">
        <is>
          <t>Holland America Line</t>
        </is>
      </c>
      <c r="D20" t="inlineStr">
        <is>
          <t>linkedin</t>
        </is>
      </c>
      <c r="E20" t="inlineStr"/>
      <c r="F20" t="inlineStr"/>
      <c r="G20" t="inlineStr">
        <is>
          <t>Seattle, WA</t>
        </is>
      </c>
      <c r="H20" t="inlineStr"/>
      <c r="I20" t="inlineStr">
        <is>
          <t>**Job Description**
 Holland America Line has been exploring the world since 1873\. Our ships offer innovative features and enriching experiences focused on destination exploration and personalized travel, inviting guests to savor the journey.
 We are looking for an AI Engineer. The AI Engineer is responsible for designing, developing, and deploying machine learning models and AI\-driven solutions to enhance crew management analytics and operational efficiency. This role involves close collaboration with data reporting teams, IT, and business stakeholders to identify opportunities for automation and predictive insights. The ideal candidate will have strong programming skills, experience with ML frameworks, and a passion for solving complex problems with data.
 Here’s a summary of what Holland America Line is looking for. Is this you?
**Responsibilities** 
 :
* Develop and maintain AI/ML models for crew analytics and scheduling optimization
* Collaborate with cross\-functional teams to identify AI opportunities and gather requirements
* Deploy models into production and monitor performance
* Conduct data analysis and preprocessing to support model development
* Document processes and ensure compliance with data governance standards
**Knowledge \&amp; Skills:**
* Scope: This role supports global crew operations and analytics across HAL and Seabourn brands, impacting both shore and fleet operations.
* Problem solving: Requires advanced analytical skills to build predictive models, anticipate operational challenges, and propose data\-driven solutions.
* Impact: Contributes to the strategic direction of crew management through AI innovation, influencing staffing, scheduling, and performance metrics.
* Leadership: May lead project teams and mentor junior analysts; no direct reports initially but expected to manage cross\-functional initiatives.
**Requirements**
* Bachelor’s degree in Computer Science, Data Science, or related field
* Proficiency in Python, SQL, and ML frameworks (e.g., TensorFlow, PyTorch)
* Strong understanding of data structures, algorithms, and model deployment
* Understanding different prompting approaches, prompting strategies including chain\-of\-thought, and role\-based prompting strategies
* Familiarity with JSON
* Knowledge of token management and cost\-performance trade offs
* Strong Understanding LLM architecture, embedding, inference behavior
* Must Understand AWS bedrock, Azure and Open AI
* 3\+ years of experience in AI/ML engineering
* Experience with cloud platforms (AWS, Azure, or GCP)
 Travel: Less than 25% non\-shipboard travel likely
 Work Conditions: Work primarily in a climate\-controlled environment with minimal safety/health hazard potential.
 Physical Demands: Must be able to remain in a stationary position at a desk and/or computer for extended periods of time.
 This position is classified as “in\-office.” As an in\-office role, it requires employees to work from a designated Holland office Tuesday through Thursday each week. Employees may work from their homes on Mondays and Fridays.
 Holland provides comprehensive and innovative benefits to meet your needs, including:
**What You Can Expect**
* Cruise and Travel Privileges for You and Your Family
* Health Benefits
* 401(k)
* Employee Stock Purchase Plan
* Training \&amp; Professional Development
* Tuition \&amp; Professional Certification Reimbursement
* Base Salary Range: $86,500 to $116,800\. The range is applicable for the labor market where the role is intended to be hired. Final base salary is directly related to each candidates' qualifications and experience uniquely.
**Our Culture…Stronger Together**
 Our highest responsibility and top priority is compliance, environmental protection and the health, safety and well\-being of our guests, the people in the communities we touch and serve, and our shipboard and shoreside employees. Please visit our site to learn more about our Culture Essentials, Corporate Vision Statement and our Core Values at:
 **https://www.hollandamerica.com/en\_US/our\-company/mission\-values.html**
 Holland America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**Americans With Disabilities Act (ADA)**
 Holland America will provide reasonable accommodations with the application process, upon your request, as required to comply with applicable laws. If you have a disability and require assistance in this application process, please contact recruiting@hollandamericagroup.com
 \#HAL</t>
        </is>
      </c>
    </row>
    <row r="21">
      <c r="A21" t="inlineStr">
        <is>
          <t>li-4355292955</t>
        </is>
      </c>
      <c r="B21" t="inlineStr">
        <is>
          <t>AI Engineer (Back-End)</t>
        </is>
      </c>
      <c r="C21" t="inlineStr">
        <is>
          <t>Jobot</t>
        </is>
      </c>
      <c r="D21" t="inlineStr">
        <is>
          <t>linkedin</t>
        </is>
      </c>
      <c r="E21" t="inlineStr"/>
      <c r="F21" t="inlineStr"/>
      <c r="G21" t="inlineStr">
        <is>
          <t>Boulder, CO</t>
        </is>
      </c>
      <c r="H21" t="inlineStr"/>
      <c r="I21" t="inlineStr">
        <is>
          <t>Want to learn more about this role and Jobot? Click our Jobot logo and follow our LinkedIn page!
 Job details
 This Jobot Job is hosted by Christina Finster
 Are you a fit? Easy Apply now by clicking the "Easy Apply" button and sending us your resume.
 Salary $160,000 \- $190,000 per year
**A Bit About Us**
 Our Client is a fast\-growing, data\-driven startup based in Boulder, Colorado, helping homeowners take better care of their land through smarter, sustainable, and AI\-powered lawn care.
 Now they’re building the future of lawn care — powered by AI — and looking for an engineer excited to develop intelligent systems that learn, reason, and act.
****Why join us?****
 🌿 Mission with Impact Help make sustainable, intelligent lawn care accessible to everyone.
 🚀 High\-Growth Startup Small, fast\-paced team where your work directly shapes the product.
 🧠 Cutting\-Edge Tech Build AI systems leveraging OpenAI, LangChain, and computer vision.
 💡 Flexible Work Remote\-friendly with optional HQ collaboration in Boulder, CO.
 💰 Competitive Pay \&amp; Equity Plus, 100% employer\-paid health benefits, unlimited PTO, and 401(k).
**Job Details**
 We’re searching for a Software Engineer with deep AI/ML experience to join our clients Yard AI initiative — building the next generation of autonomous, AI\-driven lawn care tools.
 You’ll work on the companys AI lawn care companion, scaling capabilities that include image recognition (weeds, bare spots, lawn health), personalized task calendars, and intelligent conversational workflows that help customers take action.
 This role is ideal for someone who thrives at the intersection of backend engineering and applied AI — developing, deploying, and optimizing LLM and multi\-agent systems that integrate directly into user\-facing applications.
 REQUIREMENT You must reside in one of the following states AR, CA, CO, CT, HI, MA, ME, MI, MN, MO, NC, NV, NY, OK, PA, TX, UT, VT, or WA.
 What You’ll Do
 Design, build, and maintain backend \+ AI pipelines (FastAPI, Python) powering LLM\-driven chat, image recognition, and agentic workflows
 Develop and deploy agentic AI systems using frameworks like LangChain, CrewAI, or LangGraph
 Create RAG pipelines using vector databases (Pinecone, Weaviate, PGvector) and proprietary data to improve contextual relevance
 Collaborate with cross\-functional teams — product, design, mobile, and data science — to deliver high\-impact, intelligent features
 Fine\-tune and evaluate LLM/CV models using tools like OpenAI Evals, Braintrust, or Promptfoo
 Deploy and monitor production systems in GCP/Kubernetes, ensuring reliability and observability with OpenTelemetry
 Mentor other engineers on AI best practices and agentic architectures
 What We’re Looking For
 5\+ years of experience in software or AI engineering
**Strong Python Development Skills With Production Experience**
 Hands\-on experience with OpenAI APIs (Assistants, Evals, SDKs)
 Proven experience building RAG and multi\-agent systems
 Familiarity with LangChain, CrewAI, LangGraph, or similar orchestration tools
 Experience deploying AI models in GCP or AWS environments
 Understanding of CI/CD, Terraform/CDK, and cloud\-native operations
 Strong communication and collaboration skills
 Bonus familiarity with computer vision, reinforcement learning, or MCP servers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22">
      <c r="A22" t="inlineStr">
        <is>
          <t>li-4354093247</t>
        </is>
      </c>
      <c r="B22" t="inlineStr">
        <is>
          <t>Backend AI Engineer-Come Join us in Reshaping The Future!</t>
        </is>
      </c>
      <c r="C22" t="inlineStr">
        <is>
          <t>Jobot</t>
        </is>
      </c>
      <c r="D22" t="inlineStr">
        <is>
          <t>linkedin</t>
        </is>
      </c>
      <c r="E22" t="inlineStr"/>
      <c r="F22" t="inlineStr"/>
      <c r="G22" t="inlineStr">
        <is>
          <t>Los Angeles, CA</t>
        </is>
      </c>
      <c r="H22" t="inlineStr"/>
      <c r="I22" t="inlineStr">
        <is>
          <t>Want to learn more about this role and Jobot? Click our Jobot logo and follow our LinkedIn page!
 Job details
**NEW Startup Backend AI Engineer Opportunity in Los Angeles!**
 This Jobot Job is hosted by Audrey Block
 Are you a fit? Easy Apply now by clicking the "Easy Apply" button and sending us your resume.
 Salary $125,000 \- $160,000 per year
**A Bit About Us**
 We are an AI startup headquartered in Los Angeles! We've hired 3 engineers and are looking to bring on 2\-3 more. This posting is for a Backend Engineer. Please apply if you fit the criteria!
****Why join us?****
 Strong funding
 HUGE Opportunity for growth
 Base salary \+ Potential Equity
 Team events
 Lunch, gym membership, Fun Fridays
 Flexible schedule
**Job Details**
 Job Details
 We are on the lookout for a highly skilled and passionate full time Backend AI Stack Engineer to join our team. This is a unique opportunity to work in an innovative environment where you will have the chance to make a substantial impact on our cutting\-edge projects. You will be responsible for developing and maintaining our web applications, ensuring their performance, and integrating user\-facing elements with server\-side logic.
**Responsibilities**
* Design, build, and maintain efficient, reusable, and reliable code for our web applications.
* Integration of user\-facing elements developed by front\-end developers with server\-side logic.
* Identify bottlenecks and bugs, and devise solutions to mitigate and address these issues.
* Use your understanding of front\-end technologies to create visually appealing and intuitive interfaces.
* Collaborate with cross\-functional teams to define, design, and ship new features.
* Work on bug fixing and improving application performance.
* Continuously discover, evaluate, and implement new technologies to maximize development efficiency.
* Participate in code reviews to maintain a high\-quality code culture.
* Collaborate with the product team to define new product directions and implement solutions to achieve business goals.
**Qualifications**
* Bachelor's degree in Computer Science or related field.
* 2\+ years of experience as a Full Stack Developer or similar role.
* Experience in developing web applications using at least one popular web framework (e.g., solid.js, Tauri 2\.0\).
* Proficient in back\-end programming languages such as Go, Rust, and Python.
* Experience with advanced machine learning libraries and frameworks such as PyTorch, Tensorrt, and ONNX.
* Proficiency in using query languages such as SQL, and experience with Candle.
* Familiarity with front\-end languages (e.g., HTML, CSS, JavaScript) and libraries for front\-end development (e.g., solid.js).
* Knowledge of LangChain, Deep agents, and LangGraph.
* Excellent understanding of the entire web development process (design, development, and deployment).
* Analytical mind with problem\-solving aptitude.
* Ability to work independently and as part of a team.
* Excellent organizational and leadership skills.
 Join our team of experts and make a difference in the legal world. We offer a competitive salary and benefits package, along with opportunities for professional growth and advancement. If you are passionate about technology and eager to push the boundaries of what's possible, we would love to hear from you.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23">
      <c r="A23" t="inlineStr">
        <is>
          <t>li-4366090578</t>
        </is>
      </c>
      <c r="B23" t="inlineStr">
        <is>
          <t>Machine Learning Engineer/Chemist</t>
        </is>
      </c>
      <c r="C23" t="inlineStr">
        <is>
          <t>Jobs via Dice</t>
        </is>
      </c>
      <c r="D23" t="inlineStr">
        <is>
          <t>linkedin</t>
        </is>
      </c>
      <c r="E23" t="inlineStr"/>
      <c r="F23" t="inlineStr"/>
      <c r="G23" t="inlineStr">
        <is>
          <t>Tewksbury, MA</t>
        </is>
      </c>
      <c r="H23" t="inlineStr"/>
      <c r="I23" t="inlineStr">
        <is>
          <t>**Leidos' Security Enterprise Solutions (SES)** 
 operation is seeking a
 **Machine Learning Engineer** 
 with a strong analytical chemistry instrumentation background to support our data science and AI initiatives. You will help build and maintain ML models and pipelines, collaborate with cross\-functional teams, and contribute to deploying scalable machine learning solutions in production. You will be developing new capabilities and intellectual property relating to our trace detection product line. We're building intelligent systems that drive real\-world impact pushing the limits of what is possible with regards to automated security solutions, and we're looking for passionate, curious, and collaborative individuals to join our team.
**Primary Responsibilities:**
* Lead design, development, testing, and deployment of machine learning models specific to Leidos' trace detection algorithms based on Ion Mobility Spectrometry technology.
* Work with large datasets: cleaning, preprocessing, feature engineering.
* Collaborate with chemists, data scientists, engineers, and product managers to integrate ML models into applications.
* Help monitor model performance and retrain/update models as needed.
* Contribute to documentation and best practices.
* Stay up to date with the latest ML research, tools, and technologies.
**Requirements:**
* Bachelor's degree in chemistry or chemical engineering with 5 or more years of hands\-on experience using Ion Mobility Spectrometry (IMS) or Mass Spectrometry (MS) systems. May also consider a degree in Computer Science, Engineering, Mathematics (or a related field) and 5\+ years of work experience using IMS or MS.
* Must have the ability to obtain a Public Trust clearance (ship required).
* Solid understanding of machine learning fundamentals (e.g., supervised/ unsupervised learning, model evaluation).
* Proficiency in Python and common ML libraries (e.g., scikit\-learn, pandas, NumPy).
* Proficiency in Object\-oriented software design.
* Familiarity with PyTorch, or similar frameworks.
* Familiarity with cloud platforms (e.g., AWS, Google Cloud Platform, or Azure).
* Experience with version control tools (e.g., Git).
* Exposure to MLOps concepts or tools (e.g., MLflow, Docker, CI/CD).
* Basic knowledge of SQL and data querying.
* Strong problem\-solving and communication skills.
* Eagerness to learn and adapt in a fast\-paced environment.
**Preferred Qualifications:**
* Master's degree in chemistry/analytical chemistry/data science\-related field and 3\-5 years of hands\-on experience in a machine learning or data science role (including internships, research, or full\-time industry experience).
* Proven experience building, validating, and deploying machine learning models in real\-world scenarios.
* Completed academic or industry projects that demonstrate the application of ML techniques to solve complex problems related to spectrometry\-based instrumentation.
* Cloud platform certifications, such as: Microsoft Certified: Azure AI Engineer Associate, AWS Certified Machine Learning \- Specialty, Google Cloud Professional Machine Learning Engineer.
* Experience using MLOps tools and workflows, including MLflow, Docker, CI/CD pipelines, and model monitoring.
* Familiarity with deep learning frameworks, especially PyTorch, and the ability to build and fine\-tune neural network models.
* Exposure to data engineering workflows, such as data pipelines (e.g., Airflow), distributed processing (e.g., Spark), or data lake architectures.
* Strong documentation skills and the ability to clearly communicate technical details to both technical and non\-technical audiences.
* Contributions to open\-source ML projects, participation in Kaggle competitions, or relevant publications (a plus).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January 23,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$87,100\.00 \- $157,450\.00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row>
    <row r="24">
      <c r="A24" t="inlineStr">
        <is>
          <t>li-4367945367</t>
        </is>
      </c>
      <c r="B24" t="inlineStr">
        <is>
          <t>🚀 Hiring: Founding AI Engineer / Lead AI Systems Developer (Greater NYC  Area preferred)</t>
        </is>
      </c>
      <c r="C24" t="inlineStr">
        <is>
          <t>Confidential</t>
        </is>
      </c>
      <c r="D24" t="inlineStr">
        <is>
          <t>linkedin</t>
        </is>
      </c>
      <c r="E24" t="inlineStr"/>
      <c r="F24" t="inlineStr"/>
      <c r="G24" t="inlineStr">
        <is>
          <t>New York, NY</t>
        </is>
      </c>
      <c r="H24" t="inlineStr"/>
      <c r="I24" t="inlineStr">
        <is>
          <t>I’m looking for a
 **senior, hands\-on AI engineer** 
 to help build the core intelligence layer of a new B2B SaaS platform. This is a
 **founding role** 
 for someone who wants to design and build real AI systems — not demos, not chatbots bolted onto workflows, and not endless CRUD features.
 If you enjoy solving hard problems around prediction, learning from behavior, and turning messy real\-world data into reliable outcomes, keep reading.
**What you’ll be building** 
 You’ll architect and implement AI\-driven systems that:
* Ingest and reason over structured and unstructured business data
* Generate forward\-looking predictions and probabilistic forecasts
* Learn and improve accuracy over time based on:
* Historical outcomes
* Individual user behavior
* Feedback loops and variance analysis
* Interact with users via intelligent, conversational workflows
* Ask targeted questions and incorporate responses into real\-time predictions
* Integrate large language models into production systems (prompting, orchestration, evaluation, guardrails)
* Connect with enterprise platforms such as
 **Salesforce** 
 and
 **HubSpot**
* Scale reliably and transparently so users trust the outputs
 You’ll be making core architectural decisions — this is not an “implement someone else’s design” role.
**What I’m looking for** 
**Must have** 
* 5–10\+ years of professional software engineering experience
* Strong Python background (or equivalent) for AI/data\-heavy systems
* Hands\-on experience with:
* Machine learning models (forecasting, probabilistic, or time\-series a plus)
* LLM integration (OpenAI, Anthropic, etc.)
* Data pipelines and feature extraction
* Experience building systems that
 **learn from user behavior over time**
* Comfortable working in ambiguity and shaping solutions from first principles
**Nice to have** 
* Experience with prediction, recommendation, or forecasting systems
* Familiarity with CRM data models (Salesforce, HubSpot, RevOps tooling)
* Experience designing AI agents or multi\-step reasoning workflows
* Startup or early\-stage company background
* Exposure to B2B SaaS, revenue operations, or sales analytics
**How you work** 
* You think in systems, not just features
* You care about accuracy, explainability, and trust
* You’re opinionated, pragmatic, and comfortable owning outcomes
* You like building things that actually get used
**Why this role** 
* Founding\-level impact
* Real AI problems, not hype projects
* Direct collaboration with a founder who brings deep domain expertise and customer access
* Meaningful Equity
 📩
 **Interested?** 
 Send  a short note on:
* Why this role caught your attention
* Relevant systems you’ve built (GitHub, products, case studies, or write\-ups)
 If you’re a builder who wants to apply AI to real decision\-making — not slide decks — I’d love to talk.</t>
        </is>
      </c>
    </row>
    <row r="25">
      <c r="A25" t="inlineStr">
        <is>
          <t>li-4367951093</t>
        </is>
      </c>
      <c r="B25" t="inlineStr">
        <is>
          <t>Senior Lead Machine Learning Engineer</t>
        </is>
      </c>
      <c r="C25" t="inlineStr">
        <is>
          <t>Capital One</t>
        </is>
      </c>
      <c r="D25" t="inlineStr">
        <is>
          <t>linkedin</t>
        </is>
      </c>
      <c r="E25" t="inlineStr"/>
      <c r="F25" t="inlineStr"/>
      <c r="G25" t="inlineStr">
        <is>
          <t>San Francisco, CA</t>
        </is>
      </c>
      <c r="H25" t="inlineStr"/>
      <c r="I25" t="inlineStr">
        <is>
          <t>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Design, build, and/or deliver ML models and components that solve real\-world business problems, while working in collaboration with a cross\-functional team of engineers, research scientists, technical program managers, and product managers..
* Leverage or build cloud\-based architectures, technologies, and/or platforms to deliver optimized ML models at scale such as AWS Ultraclusters, Huggingface, VectorDBs, PyTorch, and more.
* Construct optimized data pipelines to feed ML models.
* Design, develop, test, deploy, and support AI software components including large language model inference, similarity search, model evaluation, experimentation, governance, and observability, etc.
* Invent and introduce state\-of\-the\-art LLM optimization techniques to improve the performance — scalability, cost, latency, throughput — of large scale production AI systems.
* Contribute to the technical vision and the long term roadmap of foundational AI systems at Capital One.
* Ensure all code is well\-managed to reduce vulnerabilities, models are well\-governed from a risk perspective, and the ML follows best practices in Responsible and Explainable AI.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 At least 8 years of experience designing and building data\-intensive solutions using distributed computing (Internship experience does not apply)
* At least 4 years of experience programming with Python, Scala, or Java
* At least 3 years of experience building, scaling, and optimizing ML systems
* At least 2 years of experience leading teams developing ML solutions
****Preferred Qualifications:****
* Master's or doctoral degree in computer science, electrical engineering, mathematics, or a similar field
* Experience developing, delivering, and supporting ML solutions in a public cloud such as AWS, Azure, or Google Cloud Platform
* 4\+ years of on\-the\-job experience with an industry recognized ML framework such as scikit\-learn, PyTorch, Dask, Spark, or TensorFlow
* 3\+ years of experience with data gathering and preparation for ML models
* ML industry impact through conference presentations, papers, blog posts, open source contributions, or patents
* Experience developing AI and ML algorithms or technologies (e.g. LLM Inference, Similarity Search and VectorDBs, Guardrails, Memory)
* Experience developing and applying state\-of\-the\-art techniques for optimizing training and inference software to improve hardware utilization, latency, throughput, and cost
* Ability to communicate complex technical concepts clearly to a variety of audiences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$229,900 \- $262,400 for Sr. Lead Machine Learning Engineer
 McLean, VA: $229,900 \- $262,400 for Sr. Lead Machine Learning Engineer
 New York, NY: $250,800 \- $286,200 for Sr. Lead Machine Learning Engineer
 San Francisco, CA: $250,800 \- $286,200 for Sr. Lead Machine Learning Engineer
 San Jose, CA: $250,800 \- $286,200 for Sr. Lead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6">
      <c r="A26" t="inlineStr">
        <is>
          <t>li-4367952090</t>
        </is>
      </c>
      <c r="B26" t="inlineStr">
        <is>
          <t>Senior Lead Machine Learning Engineer</t>
        </is>
      </c>
      <c r="C26" t="inlineStr">
        <is>
          <t>Capital One</t>
        </is>
      </c>
      <c r="D26" t="inlineStr">
        <is>
          <t>linkedin</t>
        </is>
      </c>
      <c r="E26" t="inlineStr"/>
      <c r="F26" t="inlineStr"/>
      <c r="G26" t="inlineStr">
        <is>
          <t>New York, NY</t>
        </is>
      </c>
      <c r="H26" t="inlineStr"/>
      <c r="I26" t="inlineStr">
        <is>
          <t>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Design, build, and/or deliver ML models and components that solve real\-world business problems, while working in collaboration with a cross\-functional team of engineers, research scientists, technical program managers, and product managers..
* Leverage or build cloud\-based architectures, technologies, and/or platforms to deliver optimized ML models at scale such as AWS Ultraclusters, Huggingface, VectorDBs, PyTorch, and more.
* Construct optimized data pipelines to feed ML models.
* Design, develop, test, deploy, and support AI software components including large language model inference, similarity search, model evaluation, experimentation, governance, and observability, etc.
* Invent and introduce state\-of\-the\-art LLM optimization techniques to improve the performance — scalability, cost, latency, throughput — of large scale production AI systems.
* Contribute to the technical vision and the long term roadmap of foundational AI systems at Capital One.
* Ensure all code is well\-managed to reduce vulnerabilities, models are well\-governed from a risk perspective, and the ML follows best practices in Responsible and Explainable AI.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 At least 8 years of experience designing and building data\-intensive solutions using distributed computing (Internship experience does not apply)
* At least 4 years of experience programming with Python, Scala, or Java
* At least 3 years of experience building, scaling, and optimizing ML systems
* At least 2 years of experience leading teams developing ML solutions
****Preferred Qualifications:****
* Master's or doctoral degree in computer science, electrical engineering, mathematics, or a similar field
* Experience developing, delivering, and supporting ML solutions in a public cloud such as AWS, Azure, or Google Cloud Platform
* 4\+ years of on\-the\-job experience with an industry recognized ML framework such as scikit\-learn, PyTorch, Dask, Spark, or TensorFlow
* 3\+ years of experience with data gathering and preparation for ML models
* ML industry impact through conference presentations, papers, blog posts, open source contributions, or patents
* Experience developing AI and ML algorithms or technologies (e.g. LLM Inference, Similarity Search and VectorDBs, Guardrails, Memory)
* Experience developing and applying state\-of\-the\-art techniques for optimizing training and inference software to improve hardware utilization, latency, throughput, and cost
* Ability to communicate complex technical concepts clearly to a variety of audiences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$229,900 \- $262,400 for Sr. Lead Machine Learning Engineer
 McLean, VA: $229,900 \- $262,400 for Sr. Lead Machine Learning Engineer
 New York, NY: $250,800 \- $286,200 for Sr. Lead Machine Learning Engineer
 San Francisco, CA: $250,800 \- $286,200 for Sr. Lead Machine Learning Engineer
 San Jose, CA: $250,800 \- $286,200 for Sr. Lead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7">
      <c r="A27" t="inlineStr">
        <is>
          <t>li-4367944186</t>
        </is>
      </c>
      <c r="B27" t="inlineStr">
        <is>
          <t>Senior Lead Machine Learning Engineer</t>
        </is>
      </c>
      <c r="C27" t="inlineStr">
        <is>
          <t>Capital One</t>
        </is>
      </c>
      <c r="D27" t="inlineStr">
        <is>
          <t>linkedin</t>
        </is>
      </c>
      <c r="E27" t="inlineStr"/>
      <c r="F27" t="inlineStr"/>
      <c r="G27" t="inlineStr">
        <is>
          <t>McLean, VA</t>
        </is>
      </c>
      <c r="H27" t="inlineStr"/>
      <c r="I27" t="inlineStr">
        <is>
          <t>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Design, build, and/or deliver ML models and components that solve real\-world business problems, while working in collaboration with a cross\-functional team of engineers, research scientists, technical program managers, and product managers..
* Leverage or build cloud\-based architectures, technologies, and/or platforms to deliver optimized ML models at scale such as AWS Ultraclusters, Huggingface, VectorDBs, PyTorch, and more.
* Construct optimized data pipelines to feed ML models.
* Design, develop, test, deploy, and support AI software components including large language model inference, similarity search, model evaluation, experimentation, governance, and observability, etc.
* Invent and introduce state\-of\-the\-art LLM optimization techniques to improve the performance — scalability, cost, latency, throughput — of large scale production AI systems.
* Contribute to the technical vision and the long term roadmap of foundational AI systems at Capital One.
* Ensure all code is well\-managed to reduce vulnerabilities, models are well\-governed from a risk perspective, and the ML follows best practices in Responsible and Explainable AI.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 At least 8 years of experience designing and building data\-intensive solutions using distributed computing (Internship experience does not apply)
* At least 4 years of experience programming with Python, Scala, or Java
* At least 3 years of experience building, scaling, and optimizing ML systems
* At least 2 years of experience leading teams developing ML solutions
****Preferred Qualifications:****
* Master's or doctoral degree in computer science, electrical engineering, mathematics, or a similar field
* Experience developing, delivering, and supporting ML solutions in a public cloud such as AWS, Azure, or Google Cloud Platform
* 4\+ years of on\-the\-job experience with an industry recognized ML framework such as scikit\-learn, PyTorch, Dask, Spark, or TensorFlow
* 3\+ years of experience with data gathering and preparation for ML models
* ML industry impact through conference presentations, papers, blog posts, open source contributions, or patents
* Experience developing AI and ML algorithms or technologies (e.g. LLM Inference, Similarity Search and VectorDBs, Guardrails, Memory)
* Experience developing and applying state\-of\-the\-art techniques for optimizing training and inference software to improve hardware utilization, latency, throughput, and cost
* Ability to communicate complex technical concepts clearly to a variety of audiences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$229,900 \- $262,400 for Sr. Lead Machine Learning Engineer
 McLean, VA: $229,900 \- $262,400 for Sr. Lead Machine Learning Engineer
 New York, NY: $250,800 \- $286,200 for Sr. Lead Machine Learning Engineer
 San Francisco, CA: $250,800 \- $286,200 for Sr. Lead Machine Learning Engineer
 San Jose, CA: $250,800 \- $286,200 for Sr. Lead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8">
      <c r="A28" t="inlineStr">
        <is>
          <t>li-4367936344</t>
        </is>
      </c>
      <c r="B28" t="inlineStr">
        <is>
          <t>Senior Lead Machine Learning Engineer</t>
        </is>
      </c>
      <c r="C28" t="inlineStr">
        <is>
          <t>Capital One</t>
        </is>
      </c>
      <c r="D28" t="inlineStr">
        <is>
          <t>linkedin</t>
        </is>
      </c>
      <c r="E28" t="inlineStr"/>
      <c r="F28" t="inlineStr"/>
      <c r="G28" t="inlineStr">
        <is>
          <t>Cambridge, MA</t>
        </is>
      </c>
      <c r="H28" t="inlineStr"/>
      <c r="I28" t="inlineStr">
        <is>
          <t>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Design, build, and/or deliver ML models and components that solve real\-world business problems, while working in collaboration with a cross\-functional team of engineers, research scientists, technical program managers, and product managers..
* Leverage or build cloud\-based architectures, technologies, and/or platforms to deliver optimized ML models at scale such as AWS Ultraclusters, Huggingface, VectorDBs, PyTorch, and more.
* Construct optimized data pipelines to feed ML models.
* Design, develop, test, deploy, and support AI software components including large language model inference, similarity search, model evaluation, experimentation, governance, and observability, etc.
* Invent and introduce state\-of\-the\-art LLM optimization techniques to improve the performance — scalability, cost, latency, throughput — of large scale production AI systems.
* Contribute to the technical vision and the long term roadmap of foundational AI systems at Capital One.
* Ensure all code is well\-managed to reduce vulnerabilities, models are well\-governed from a risk perspective, and the ML follows best practices in Responsible and Explainable AI.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 At least 8 years of experience designing and building data\-intensive solutions using distributed computing (Internship experience does not apply)
* At least 4 years of experience programming with Python, Scala, or Java
* At least 3 years of experience building, scaling, and optimizing ML systems
* At least 2 years of experience leading teams developing ML solutions
****Preferred Qualifications:****
* Master's or doctoral degree in computer science, electrical engineering, mathematics, or a similar field
* Experience developing, delivering, and supporting ML solutions in a public cloud such as AWS, Azure, or Google Cloud Platform
* 4\+ years of on\-the\-job experience with an industry recognized ML framework such as scikit\-learn, PyTorch, Dask, Spark, or TensorFlow
* 3\+ years of experience with data gathering and preparation for ML models
* ML industry impact through conference presentations, papers, blog posts, open source contributions, or patents
* Experience developing AI and ML algorithms or technologies (e.g. LLM Inference, Similarity Search and VectorDBs, Guardrails, Memory)
* Experience developing and applying state\-of\-the\-art techniques for optimizing training and inference software to improve hardware utilization, latency, throughput, and cost
* Ability to communicate complex technical concepts clearly to a variety of audiences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$229,900 \- $262,400 for Sr. Lead Machine Learning Engineer
 McLean, VA: $229,900 \- $262,400 for Sr. Lead Machine Learning Engineer
 New York, NY: $250,800 \- $286,200 for Sr. Lead Machine Learning Engineer
 San Francisco, CA: $250,800 \- $286,200 for Sr. Lead Machine Learning Engineer
 San Jose, CA: $250,800 \- $286,200 for Sr. Lead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9">
      <c r="A29" t="inlineStr">
        <is>
          <t>li-4366426870</t>
        </is>
      </c>
      <c r="B29" t="inlineStr">
        <is>
          <t>Java Full-Stack AI engineer</t>
        </is>
      </c>
      <c r="C29" t="inlineStr">
        <is>
          <t>Jobs via Dice</t>
        </is>
      </c>
      <c r="D29" t="inlineStr">
        <is>
          <t>linkedin</t>
        </is>
      </c>
      <c r="E29" t="inlineStr"/>
      <c r="F29" t="inlineStr"/>
      <c r="G29" t="inlineStr">
        <is>
          <t>Memphis, TN</t>
        </is>
      </c>
      <c r="H29" t="inlineStr"/>
      <c r="I29" t="inlineStr">
        <is>
          <t>**Job Description**
 ECS is seeking a
 **Java Full\-Stack AI Engineer** 
 to work in our
 **Memphis, TN** 
 office (Remote Considered).
 ECS is seeking a highly skilled and motivated
 **Java Full\-Stack AI Engineer** 
 to support our USPS client. The candidate will enhance enterprise services and solutions for USPS, as part of an integrated evaluation, integration, strategy, design, implementation, and operational maintenance program. Participates in the design, development, and implementation of software engineering activities. Responsible for the development of components of many analytical tasks and activities. Establishes input/output processes and defining parameters for interfacing with external production systems and the implementation of system design. Must be able to provide and communicate technology solutions across technical, managerial and customer audiences. Responsible for the resolution process for problems where troubleshooting requires an in\-depth understanding and evaluation of system processes. Exercises judgment through understanding of software engineering best practices in selecting methods, techniques, and evaluation criterion for obtaining results. This role bridges traditional applications with modern AI\-driven data workflows, ensuring our systems are scalable, secure, and ready for intelligent automation. As this role will involve supporting rapidly evolving AI/ML projects and use cases, the candidate must have experience in any of the following areas: NLP, data provenance, LLMs/RAG, or deep learning.
**Responsibilities:**
* Design, develop and implement web\-based applications.
* Design, develop and implement highly complex applications utilizing Oracle and Java technologies.
* Demonstrate strong troubleshooting skills to solve complex problems across a large enterprise.
* Demonstrate a flexible attitude, ability to perform under pressure and ability to handle change easily while meeting deadlines.
* Communicate with technical and non\-technical audiences verbally and in writing to design efficient and effective applications.
* Work independently and in a team environment, to give and receive direction.
* Develop and revise Java source code based on clearly defined requirements.
* Experience in designing, architecting, and building Kafka based solutions.
* Extensive experience with messaging and stream processing on Kafka.
* Participate in code reviews for team members as well as yourself.
* Assist in the setup of production environments including application servers and database structure.
* Assist in the implementation of applications through various testing phases and into production environments.
* Must be able to communicate effectively, work in a team environment and think analytically.
* Perform maintenance on programs currently in production.
* Assist QA teams with writing test scripts and explaining functionality.
* Unit Testing candidate releases.
* Collaborate with other departments to ensure high availability and performance.
* Partner with data scientists, data architects, and federal stakeholders to deploy AI/ML models in production
**Required Skills**
* Master's Degree in Computer Science, Engineering, Mathematics, Business Management or equivalent.
* 12\+ years of general experience in information systems, including 7 years of specialized experience providing state\-of\-the\-art solutions in information systems technology
* 5\+ years of experience with web technologies (HTML, CSS, JavaScript frameworks)
* 5\+ years of experience with Java server technologies (JEE, Spring Framework, Spring Boot)
* 3\+ years of experience with SQL and PL/SQL on Oracle or similar platform
* 5\+ years of experience with IBM MQ and stream processing on Kafka.
* Expertise in troubleshooting, performance tuning, and query optimization.
* Excellent communication, problem\-solving, and organizational skills.
* Ability to work independently and as part of a team.
* Experience with Large Language Models, NLP, GenAI, and scaling of AI tools
* Work comfortably in version control systems (e.g., Git)
* Partner with data scientists, data architects, and federal stakeholders to deploy AI/ML models in production
**Desired Skills**
* Experience with React, Angular and Bootstrap
* Experience with the NodeJS and Java toolchains (NPM, Angular CLI, Maven) with AWS cloud services.
* Experience WITH creating REST web services (JAX\-RS or Spring MVC)
* Experience with testing tools (JUnit, Mockito, Mocha, Selenium)
* Experience with source control tools GitHub.
* Experience with CI/CD tools (Jenkins, Ansible)
* Familiarity with Scrum or other agile methodologies
* Act as advisor to applications engineering team regarding projects, tasks, and operations.
* Extensive experience and judgment to plan and accomplish goals.
* Ability to performs a variety of complex tasks.
* Prior federal government experience
* Experience in assessment, evaluation, and documentation of client environment, infrastructure, process, operations
* A passion for staying updated with the latest advancements in AI/ML and data engineering
 \#ECS1
 ECS is an equal opportunity employer and does not discriminate or allow discrimination on the basis any characteristic protected by law. All qualified applicants will receive consideration for employment without regard to disability, status as a protected veteran or any other status protected by applicable federal, state, or local jurisdiction law.
 ECS is a leading mid\-sized provider of technology services to the United States Federal Government. We are focused on people, values and purpose. Every day, our 3300\+ employees focus on providing their technical talent to support the Federal Agencies and Departments of the US Government to serve, protect and defend the American People.</t>
        </is>
      </c>
    </row>
    <row r="30">
      <c r="A30" t="inlineStr">
        <is>
          <t>li-4366425844</t>
        </is>
      </c>
      <c r="B30" t="inlineStr">
        <is>
          <t>Forward Deployed AI Engineer - Clearance Required</t>
        </is>
      </c>
      <c r="C30" t="inlineStr">
        <is>
          <t>Jobs via Dice</t>
        </is>
      </c>
      <c r="D30" t="inlineStr">
        <is>
          <t>linkedin</t>
        </is>
      </c>
      <c r="E30" t="inlineStr"/>
      <c r="F30" t="inlineStr"/>
      <c r="G30" t="inlineStr">
        <is>
          <t>Dayton, OH</t>
        </is>
      </c>
      <c r="H30" t="inlineStr"/>
      <c r="I30" t="inlineStr">
        <is>
          <t>**Overview**
 At LMI, we're building mission\-ready AI that delivers impact where it matters most. Our
 **Forward Deployed AI Engineers** 
 embed with government partners to tackle high\-priority, fast\-moving challenges\-designing and deploying AI solutions that accelerate decisions, uncover anomalies, and unlock the power of our LIGER generative AI (GenAI) platform.
 Like a startup CTO in the field, you'll wear many hats: part software engineer, part AI architect, part problem solver. You'll operate with autonomy, adapt to shifting requirements, and bring technical clarity to ambiguous problems\-all while collaborating with mission stakeholders, software engineers, and the Chief Product Officer team. If you thrive at the intersection of customer impact, technical excellence, and operational speed, this role offers the chance to deliver AI that matters.
 This role requires
 **an Active TS/SCI security clearance** 
 and availability to collocate with our defense and national security customers in the Pentagon.
 LMI is a new breed of digital solutions provider dedicated to accelerating government impact with innovation and speed. Investing in technology and prototypes ahead of need, LMI brings commercial\-grade platforms and mission\-ready AI to federal agencies at commercial speed.
 Leveraging our mission\-ready technology and solutions, proven expertise in federal deployment, and strategic relationships, we enhance outcomes for the government, efficiently and effectively. With a focus on agility and collaboration, LMI serves the defense, space, healthcare, and energy sectors\-helping agencies navigate complexity and outpace change. Headquartered in Tysons, Virginia, LMI is committed to delivering impactful results that strengthen missions and drive lasting value.
**Responsibilities**
* Own technical delivery: Drive AI solution design and implementation across multiple government deployments, from first prototype to stable mission use.
* Embed with customers: Serve as a technical thought partner to mission stakeholders, guiding adoption, maximizing impact, and ensuring successful deployments.
* Build GenAI\-enabled systems: Prototype and implement pipelines using Python, TypeScript, or comparable stacks aligned to customer mission needs.
* Guide value realization: Help customers understand trade\-offs, sequence delivery, and adapt applications to achieve operational outcomes.
* Deliver clarity under ambiguity: Scope projects, remove blockers, and make informed trade\-offs between speed, scope, and quality.
* Contribute directly in code: Write and review software across backend and full\-stack environments when clarity or momentum depends on it.
* Codify patterns: Capture reusable workflows, best practices, and lessons learned into playbooks, tools, and building blocks that scale beyond a single project.
* Shape the roadmap: Share field signal with LMI's product and research teams to guide the evolution of LIGER and related AI capabilities.
**Qualifications**
**Minimum Qualifications**
* Bachelor's degree in Computer Science, Data Science, or a related technical field (or equivalent practical experience).
* 5\+ years of engineering or technical deployment experience, ideally in customer\-facing or government environments.
* Hands\-on experience building and deploying applications that integrate AI/LLMs, APIs, and data pipelines.
* Strong programming skills in Python and proficiency in a modern full\-stack environment (e.g., JavaScript/TypeScript, MEAN, Node.js).
* Familiarity with cloud deployment (AWS, Azure, or Google Cloud Platform), containerization (Docker, Kubernetes), and infrastructure\-as\-code (Terraform, etc.).
* Ability to translate customer needs into actionable technical approaches and deliver solutions in fast\-moving or ambiguous contexts.
* Excellent problem\-solving, judgment, and communication skills, with ability to engage technical and non\-technical stakeholders alike.
* Must have an active Top Secret security clearance with SCI eligibility.
**Desired Qualifications**
* Master's degree in Computer Science, Data Science, or related technical field.
* Experience deploying systems powered by generative AI (LLMs, RAG architectures, Model Context Protocol) in sensitive or mission\-critical settings.
* Proven track record of scoping and delivering complex systems under tight timelines.
* Familiarity with DevSecOps practices, CI/CD, and secure software development for government environments.
* Demonstrated ability to simplify complexity, anticipate risks, and provide clarity in high\-stakes environments.
 Target salary range: $130,986 \- $233,154
 The salary range displayed represents the typical salary range for this position and is not a guarantee of compensation. Individual salaries are determined by various factors including, but not limited to location, internal equity, business considerations, client contract requirements, and candidate qualifications, such as education, experience, skills, and security clearances.
**Options**
 Apply for this job onlineApply
 Share
 Email this job to a friendRefer
 Sorry the Share function is not working properly at this moment. Please refresh the page and try again later.
 Share on your newsfeed
**LMI is an Equal Opportunity Employer. LMI is committed to the fair treatment of all and to our policy of providing applicants and employees with equal employment opportunities. LMI recruits, hires, trains, and promotes people without regard to race, color, religion, sex, sexual orientation, gender identity, national origin, pregnancy, disability, age, protected veteran status, citizenship status, genetic information, or any other characteristic protected by applicable federal, state, or local law. If you are a person with a disability needing assistance with the application process, please contact
 Colorado Residents: In any materials you submit, you may redact or remove age\-identifying information such as age, date of birth, or dates of school attendance or graduation. You will not be penalized for redacting or removing this information.
**Need help finding the right job?****</t>
        </is>
      </c>
    </row>
    <row r="31">
      <c r="A31" t="inlineStr">
        <is>
          <t>li-4367931941</t>
        </is>
      </c>
      <c r="B31" t="inlineStr">
        <is>
          <t>ML Engineer</t>
        </is>
      </c>
      <c r="C31" t="inlineStr">
        <is>
          <t>Aimpoint Digital</t>
        </is>
      </c>
      <c r="D31" t="inlineStr">
        <is>
          <t>linkedin</t>
        </is>
      </c>
      <c r="E31">
        <f>HYPERLINK("https://www.linkedin.com/jobs/view/4367931941", "https://www.linkedin.com/jobs/view/4367931941")</f>
        <v/>
      </c>
      <c r="F31" t="inlineStr"/>
      <c r="G31" t="inlineStr"/>
      <c r="H31" t="inlineStr"/>
      <c r="I31" t="inlineStr">
        <is>
          <t>**About The Company**
 Aimpoint Digital is a leading analytics consulting firm dedicated to transforming business operations through innovative data\-driven solutions. With a focus on data strategy, data analytics, decision sciences, and data engineering, Aimpoint Digital helps organizations unlock the full potential of their data assets. Our mission is to deliver measurable business value by leveraging advanced analytics, machine learning, and artificial intelligence techniques. We serve a diverse range of industries, providing tailored solutions that drive efficiency, enhance decision\-making, and foster sustainable growth. Our team comprises highly skilled professionals committed to excellence, continuous learning, and delivering impactful results for our clients.
**About The Role**
 As a Lead Data Scientist at Aimpoint Digital, you will play a pivotal role in designing, developing, and deploying sophisticated analytical solutions for our clients. You will work closely with stakeholders across various industries to identify business challenges and craft end\-to\-end data science models that deliver actionable insights. Your expertise will enable clients to harness the power of machine learning, artificial intelligence, and statistical analysis, transforming raw data into strategic assets. This position offers the opportunity to work independently on complex projects, contribute to the growth of our practice, and participate in business development initiatives. You will be a key driver of innovation within our organization, mentoring team members and sharing knowledge to foster a collaborative environment.
**Qualifications**
* Bachelor’s or Master’s degree in Computer Science, Engineering, Mathematics, or related field
* Minimum of 3\+ years of experience in developing and deploying machine learning models
* Proficiency in programming languages such as Python, SQL, and Spark
* Experience with cloud platforms like Azure, AWS, GCP, or Databricks
* Strong understanding of data science methodologies and best practices
* Knowledge of software engineering principles and version control systems
* Excellent communication and stakeholder management skills
* Ability to work independently and lead multiple workstreams
* Willingness to travel as required
**Responsibilities**
* Design and develop scalable feature engineering pipelines and machine learning models
* Build and maintain ML and AI infrastructure, ensuring robustness and efficiency
* Deploy models into production environments using cloud services and containerization tools
* Collaborate with clients and internal teams to understand business needs and translate them into analytical solutions
* Write clean, optimized, and well\-documented code following best practices
* Conduct statistical analysis and data visualization to support decision\-making
* Train clients on managing and maintaining deployed solutions
* Participate in business development activities, including proposal writing and client presentations
* Mentor junior team members and contribute to the growth of the data science practice
**Benefits**
* Competitive salary package
* Flexible remote working arrangements
* Health, dental, and vision insurance
* Paid time off and holidays
* Professional development opportunities and certifications
* Collaborative and innovative work environment
* Opportunity to work on cutting\-edge projects across various industries
 Equal Opportunity
 Aimpoint Digital is an equal opportunity employer. We celebrate diversity and are committed to creating an inclusive environment for all employees. We do not discriminate based on race, ethnicity, gender, age, religion, sexual orientation, disability, or any other characteristic protected by law. We believe that diverse teams foster innovation and drive better business outcomes, and we welcome applicants from all backgrounds to join our team.</t>
        </is>
      </c>
    </row>
    <row r="32">
      <c r="A32" t="inlineStr">
        <is>
          <t>li-4359775849</t>
        </is>
      </c>
      <c r="B32" t="inlineStr">
        <is>
          <t>Sr. Applied Scientist, Prime Video - Personalization and Discovery Science</t>
        </is>
      </c>
      <c r="C32" t="inlineStr">
        <is>
          <t>Prime Video &amp; Amazon MGM Studios</t>
        </is>
      </c>
      <c r="D32" t="inlineStr">
        <is>
          <t>linkedin</t>
        </is>
      </c>
      <c r="E32">
        <f>HYPERLINK("https://www.linkedin.com/jobs/view/4359775849", "https://www.linkedin.com/jobs/view/4359775849")</f>
        <v/>
      </c>
      <c r="F32" t="inlineStr"/>
      <c r="G32" t="inlineStr">
        <is>
          <t>New York, United States</t>
        </is>
      </c>
      <c r="H32" t="inlineStr"/>
      <c r="I32"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
**Basic Qualifications**
* PhD, or Master's degree and 6\+ years of applied research experience
* 5\+ years of building machine learning models for business application experience
* Experience programming in Java, C\+\+, Python or related language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
**Company** 
 \- Amazon.com Services LLC
 Job ID: A3118785</t>
        </is>
      </c>
    </row>
    <row r="33">
      <c r="A33" t="inlineStr">
        <is>
          <t>li-4359973566</t>
        </is>
      </c>
      <c r="B33" t="inlineStr">
        <is>
          <t>Principal Applied Scientist</t>
        </is>
      </c>
      <c r="C33" t="inlineStr">
        <is>
          <t>Microsoft</t>
        </is>
      </c>
      <c r="D33" t="inlineStr">
        <is>
          <t>linkedin</t>
        </is>
      </c>
      <c r="E33">
        <f>HYPERLINK("https://www.linkedin.com/jobs/view/4359973566", "https://www.linkedin.com/jobs/view/4359973566")</f>
        <v/>
      </c>
      <c r="F33" t="inlineStr"/>
      <c r="G33" t="inlineStr">
        <is>
          <t>Redmond, WA</t>
        </is>
      </c>
      <c r="H33" t="inlineStr"/>
      <c r="I33" t="inlineStr">
        <is>
          <t>**Overview**
 Be at the forefront of AI by joining M365 Copilot team and take part in shaping the future of AI\-powered user experiences across multiple Microsoft platforms. As a Principal Applied Scientist, you will transform how M365 users conduct Deep Research by finetuning LLMs, chain of thought techniques, intelligent information retrieval techniques or through agent orchestration. These innovations will enhance M365 Chat, Researcher agent, Windows Companions, or highly personalized search and recommendations systems in widely used office applications.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master and gain expertise in broad areas of AI and ML, including trending research techniques.
* You’ll also gain deep knowledge of building enterprise intelligence on office user’s data.
* You will review business requirements and incorporate research to meet business goals.
* You ‘ll provide strategic direction for the kinds of data used to solve problems and apply deep subject matter knowledge to support business impact.
* You will identify and inspire peers and new research talent to join Microsoft, build relationships, and advocate for research initiatives.
* You’ll share research findings through industry outreach, collaborate with the academic community, and help develop the recruiting pipeline.
* You will document work in progress and experimentation results and share findings to promote innovation.
* You’ll also use your deep understanding of fairness and bias to contribute to ethics and privacy policies related to research processes and data collection.
* You will collaborate with a multidisciplinary team to create scalable and ethical AI solutions.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3\+ year(s) experience developing and deploying live production systems, as part of a product team.
* 1\+ years experience in Large Language Modeling (LLM) or Machine Learning (ML)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Statistics, Econometrics, Computer Science, Electrical or Computer Engineering, or related field AND 9\+ years related experience (e.g., statistics, predictive analytics, research) \-
+ OR Doctorate in Statistics, Econometrics, Computer Science, Electrical or Computer Engineering, or related field AND 6\+ years related experience (e.g., statistics, predictive analytics, research)
* OR equivalent experience.
* 5\+ years experience creating publications (e.g., patents, libraries, peer\-reviewed academic papers).
* 2\+ years experience presenting at conferences or other events in the outside research/industry community as an invited speaker.
* 5\+ years experience conducting research as part of a research program (in academic or industry settings).
* 3\+ years experience developing and deploying live production systems, as part of a product team.
* 3\+ years experience developing and deploying products or systems at multiple points in the product cycle from ideation to shipping.
 \#M365Core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4">
      <c r="A34" t="inlineStr">
        <is>
          <t>li-4360652409</t>
        </is>
      </c>
      <c r="B34" t="inlineStr">
        <is>
          <t>Sr. Applied Scientist, Prime Video - Personalization and Discovery Science</t>
        </is>
      </c>
      <c r="C34" t="inlineStr">
        <is>
          <t>Prime Video &amp; Amazon MGM Studios</t>
        </is>
      </c>
      <c r="D34" t="inlineStr">
        <is>
          <t>linkedin</t>
        </is>
      </c>
      <c r="E34">
        <f>HYPERLINK("https://www.linkedin.com/jobs/view/4360652409", "https://www.linkedin.com/jobs/view/4360652409")</f>
        <v/>
      </c>
      <c r="F34" t="inlineStr"/>
      <c r="G34" t="inlineStr">
        <is>
          <t>Seattle, WA</t>
        </is>
      </c>
      <c r="H34" t="inlineStr"/>
      <c r="I34"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
**Basic Qualifications**
* PhD, or Master's degree and 6\+ years of applied research experience
* 5\+ years of building machine learning models for business application experience
* Experience programming in Java, C\+\+, Python or related language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
**Company** 
 \- Amazon.com Services LLC
 Job ID: A3118785</t>
        </is>
      </c>
    </row>
    <row r="35">
      <c r="A35" t="inlineStr">
        <is>
          <t>li-4367710721</t>
        </is>
      </c>
      <c r="B35" t="inlineStr">
        <is>
          <t>AI Applied Scientist II</t>
        </is>
      </c>
      <c r="C35" t="inlineStr">
        <is>
          <t>Jobs via Dice</t>
        </is>
      </c>
      <c r="D35" t="inlineStr">
        <is>
          <t>linkedin</t>
        </is>
      </c>
      <c r="E35">
        <f>HYPERLINK("https://www.linkedin.com/jobs/view/4367710721", "https://www.linkedin.com/jobs/view/4367710721")</f>
        <v/>
      </c>
      <c r="F35">
        <f>HYPERLINK("https://click.appcast.io/t/YbnfLIGPpY9TGjCReo6ZlvdvnmZtieKifHO8u2SjvFk=&amp;urlHash=hwSa", "https://click.appcast.io/t/YbnfLIGPpY9TGjCReo6ZlvdvnmZtieKifHO8u2SjvFk=&amp;urlHash=hwSa")</f>
        <v/>
      </c>
      <c r="G35" t="inlineStr">
        <is>
          <t>Redmond, WA</t>
        </is>
      </c>
      <c r="H35" t="inlineStr"/>
      <c r="I35" t="inlineStr">
        <is>
          <t>**Overview**
 As a Applied Scientist II \- AI for The Customer Service Applications Team, you will play a pivotal role in advancing Microsoft's mission to empower every individual and organization on the planet to achieve more. You will contribute to the development and integration of cutting\-edge AI technologies into Microsoft products and services, ensuring they are inclusive, ethical, and impactful. You will collaborate across product, research and engineering teams to bring innovative solutions to life, applying your expertise in machine learning, data science, and AI to solve complex problems. Your work will directly influence product direction and customer experience. Microsoft is driving innovation and openness in AI, aiming to build an open architecture platform where users can deploy customized AI agents for real\-world impact. The role seeks individuals with both AI and applied science expertise, a growth mindset, and customer empathy to help address significant challenges and shape the future of AI solutions.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Collaborate with product and business teams to deliver impactful AI solutions using advanced techniques like foundation models, prompt engineering, and multi\-solution architectures.
 Fine\-tune AI models with domain\-specific data, evaluate and monitor their performance, and rapidly prototype and deploy AI systems.
 Support MLOps by translating research into production\-ready applications, maintaining clear documentation, and sharing insights. \- Proactively address ethical, privacy, and security risks to ensure responsible AI development throughout the lifecycle.
 Design, develop, and integrate generative AI solutions using deep understanding of language models, deep learning, and optimization techniques to solve business problems.
 Prepare and analyze data for machine learning, identify optimal features, and address data gaps using modern frameworks and state\-of\-the\-art models. \- Ensure scalability and performance of AI solutions, continuously monitor model behavior, and adapt to evolving data streams.
**Qualifications**
 Required Qualifications:
 Bachelor's Degree in Statistics, Econometrics, Computer Science, Electrical or Computer Engineering, or related field AND 2\+ years related experience (e.g., statistics, predictive analytics, research)
 OR Master's Degree in Statistics, Econometrics, Computer Science, Electrical or Computer Engineering, or related field AND 1\+ year(s) related experience (e.g., statistics, predictive analytics, research)
 OR Doctorate in Statistics, Econometrics, Computer Science, Electrical or Computer Engineering, or related field
 OR equivalent experience.
 1\+ years of experience with Generative AI OR LLM/ML algorithms. Other Requirements:Ability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Bachelor's Degree in Statistics, Econometrics, Computer Science, Electrical or Computer Engineering, or related field AND 2\+ years related experience (e.g., statistics, predictive analytics, research)
 OR Master's Degree in Statistics, Econometrics, Computer Science, Electrical or Computer Engineering, or related field AND 1\+ years related experience (e.g., statistics, predictive analytics, research)
 OR Doctorate in Statistics, Econometrics, Computer Science, Electrical or Computer Engineering, or related field \- OR equivalent experience. \- 1\+ years of experience working with Generative AI models and ML stacks.
 Experience across the product lifecycle from ideation to shipping. \- Experience with MLOps Workflows, including CI/CD, monitoring, and retraining pipelines. \- Familiarity with modern LLMOps frameworks (e.g., LangChain, PromptFlow).
 Experience developing and deploying live production systems one or more of the following: C\#, Java, React/Angular, TypeScript.
 Experience with design and implementation of enterprise\-scale services.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\#BICJOBS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6">
      <c r="A36" t="inlineStr">
        <is>
          <t>li-4367964255</t>
        </is>
      </c>
      <c r="B36" t="inlineStr">
        <is>
          <t>Entry level AI/ML Engineer: SVL</t>
        </is>
      </c>
      <c r="C36" t="inlineStr">
        <is>
          <t>Lensa</t>
        </is>
      </c>
      <c r="D36" t="inlineStr">
        <is>
          <t>linkedin</t>
        </is>
      </c>
      <c r="E36">
        <f>HYPERLINK("https://www.linkedin.com/jobs/view/4367964255", "https://www.linkedin.com/jobs/view/4367964255")</f>
        <v/>
      </c>
      <c r="F36">
        <f>HYPERLINK("https://lensa.com/cgw/e87085ff76c94cd0935785e7a7782447tjo1?jpsi=directemployers_no_redirect&amp;publisher_preference=easier_apply&amp;utm_campaign=Computer%20Occupations&amp;utm_medium=slot&amp;utm_source=linkedin&amp;utm_term=jse&amp;urlHash=Bc7g", "https://lensa.com/cgw/e87085ff76c94cd0935785e7a7782447tjo1?jpsi=directemployers_no_redirect&amp;publisher_preference=easier_apply&amp;utm_campaign=Computer%20Occupations&amp;utm_medium=slot&amp;utm_source=linkedin&amp;utm_term=jse&amp;urlHash=Bc7g")</f>
        <v/>
      </c>
      <c r="G36" t="inlineStr">
        <is>
          <t>San Jose, CA</t>
        </is>
      </c>
      <c r="H36" t="inlineStr"/>
      <c r="I3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IBM. Clicking "Apply Now" or "Read more" on Lensa redirects you to the job board/employer site. Any information collected there is subject to their terms and privacy notice.
**Introduction**
 IBM Automation and AI group is seeking an entry level AI/ML Engineer specializing in machine learning and Large Language Models (LLMs) to join our AI/ML Center of Excellence team at the IBM Silicon Valley Lab location. In this role, you will collaborate with cross\-functional product teams to implement cutting\-edge AI/ML capabilities across IBM's Automation product portfolio. You will lead efforts in data collection for LLM training and evaluation, integrate LLM technologies into existing and new products, and establish best practices for AI/ML feature implementation by product teams.
**Your Role And Responsibilities**
 Data Collection and Management for LLM Evaluation and Training
* Design and implement robust data collection pipelines for diverse LLM training datasets leveraging the IBM AI Model \&amp; Data Catalog.
* Develop data quality assessment frameworks to ensure training data meets IBM's high standards
* Create annotation guidelines and workflows for specialized domain\-specific datasets
* Implement data governance protocols that ensure compliance with privacy regulations and ethical AI principles following the IBM Data \&amp; Model Governance process and tooling.
* Establish evaluation datasets and benchmarks to measure LLM performance across various use cases leveraging \[1] FM\-Eval and Unitxt.
 LLM Integration and Implementation
* Architect solutions to integrate LLMs with IBM's existing and emerging products and ecosystem
* Develop APIs and interfaces that enable seamless interaction between LLMs and other software components
* Optimize LLM deployment for various computing environments (cloud, edge, on\-premises)
* Implement techniques for model compression, quantization, and optimization to improve inference efficiency and minimize resource requirements
* Design and implement prompt engineering frameworks for consistent LLM behavior across products
 AI/ML Best Practices and Innovation
* Establish technical standards and best practices for AI/ML feature implementation
* Create reusable components and design patterns for common LLM use cases
* Develop monitoring systems to track model performance, drift, and potential biases
* Research and implement techniques for responsible AI, including explainability and fairness
* Collaborate with product teams to identify opportunities for AI\-driven innovation
 References
 Visible links
* https://github.ibm.com/IBM\-Research\-AI/fm\-eval
**Required Technical And Professional Expertise**
* Bachelor's or master's degree or higher in Computer Science, Machine Learning, AI, or related technical field
* Less than one year of experience in machine learning engineering or data science roles
* Demonstrated knowledge of NLP and large language models (e.g., transformer architectures) including model evaluation and algorithm design.
* Strong programming skills in Python and familiarity with ML frameworks (PyTorch, TensorFlow, or JAX)
* Experience with data processing pipelines and working with large datasets
* Knowledge of MLOps practices and tools for model deployment and monitoring
* Ability to work independently and collaborate effectively across diverse teams.
* Strong communication skills to explain complex AI concepts to diverse audiences
* Problem\-solving mindset with ability to navigate technical and business constraints
**Preferred Technical And Professional Experience**
* Experience with fine\-tuning and prompt engineering for LLMs
* Deep understanding of transformer architectures and attention mechanisms
* Proficiency in vector databases and embedding technologies
* Knowledge of model serving frameworks (TensorRT, ONNX, TorchServe)
* Familiarity with cloud platforms (IBM Cloud, AWS, Azure, GCP)
* Commitment to continuous learning in the rapidly evolving field of AI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
 If you have questions about this posting, please contact support@lensa.com</t>
        </is>
      </c>
    </row>
    <row r="37">
      <c r="A37" t="inlineStr">
        <is>
          <t>li-4367941140</t>
        </is>
      </c>
      <c r="B37" t="inlineStr">
        <is>
          <t>Machine Learning Engineer</t>
        </is>
      </c>
      <c r="C37" t="inlineStr">
        <is>
          <t>Rain</t>
        </is>
      </c>
      <c r="D37" t="inlineStr">
        <is>
          <t>linkedin</t>
        </is>
      </c>
      <c r="E37">
        <f>HYPERLINK("https://www.linkedin.com/jobs/view/4367941140", "https://www.linkedin.com/jobs/view/4367941140")</f>
        <v/>
      </c>
      <c r="F37" t="inlineStr"/>
      <c r="G37" t="inlineStr"/>
      <c r="H37" t="inlineStr"/>
      <c r="I37" t="inlineStr">
        <is>
          <t>**About The Company**
 Rain makes the next generation of payments possible across the globe. We’re a lean and mighty team of passionate builders and veteran founders. Our infrastructure makes stablecoins usable in the real\-world by powering card transactions, cross\-border payments, B2B purchases, remittances, and more. We partner with fintechs, neobanks, and institutions to help them launch solutions that are global, inclusive, and efficient. You will have the opportunity to deliver massive impact at a hypergrowth company that is funded by some of the top investors in fintech, crypto, and SaaS, including Sapphire Ventures, Norwest, Galaxy Ventures, Lightspeed, Khosla, and several more. If you’re curious, bold, and excited to help shape a borderless financial future, we’d love to talk.
 Our Ethos: We believe in an open and flat structure. You will be able to grow into the role that most aligns with your goals. Our team members at all levels have the freedom to explore ideas and impact the roadmap and vision of our company.
**About The Role**
 The fraud risk management team at Rain is seeking a talented Machine Learning Engineer to architect and develop scalable ML systems focused on fraud detection, anomaly detection, and behavioral analysis. This role involves building and maintaining end\-to\-end ML pipelines, designing real\-time decision systems, and owning ML infrastructure to ensure high performance, reliability, and accuracy. The successful candidate will collaborate with data scientists, engineers, and compliance teams to create robust fraud prevention solutions that adapt to evolving threats and new payment technologies. You will be instrumental in deploying models that balance low latency with high precision, monitoring their performance continuously, and leading experimentation to enhance explainability, robustness, and drift detection. This is an exciting opportunity to work in a fast\-paced environment on innovative products that directly impact the security and efficiency of global payments.
**Qualifications**
* 5\+ years of experience building ML systems in production environments, with at least 2\+ years in fraud, risk, or anomaly detection domains
* A degree in Computer Science, Engineering, Statistics, Applied Math, or a related technical field
* Proven track record designing and maintaining scalable ML models
* Advanced proficiency in Python and ML frameworks such as PyTorch, TensorFlow, or scikit\-learn
* Strong understanding of supervised and unsupervised learning, anomaly detection, and statistical modeling
* Experience developing, validating, and deploying real\-time and offline predictive fraud detection models
* Ability to work autonomously, manage ambiguity, and collaborate effectively with cross\-functional teams
* Experience with model versioning, automated retraining, and safe deployment strategies
* Strong analytical and problem\-solving skills, with an emphasis on reliability and performance
**Responsibilities**
* Architect and build scalable ML systems for fraud detection, behavioral analysis, and anomaly detection
* Develop and maintain comprehensive end\-to\-end ML pipelines covering data ingestion, feature engineering, model training, deployment, and monitoring
* Design and implement low\-latency, real\-time decision systems in collaboration with fraud risk data scientists
* Own ML infrastructure, including model versioning, automated retraining, and deployment strategies such as shadow deployments and rollbacks
* Build and maintain monitoring tools and alerting systems to track model performance, data quality, and concept drift
* Lead experimentation efforts on model explainability, adversarial robustness, and drift detection to enhance fraud prevention capabilities
* Develop tooling and processes to accelerate ML development lifecycle and improve effectiveness
* Partner with platform and engineering teams to ensure SLAs for availability, latency, and accuracy are consistently met
* Collaborate closely with data scientists, engineers, and compliance teams to translate analytical insights into actionable fraud prevention solutions
* Solve complex problems at the intersection of ML systems, data quality, and operational reliability in a fast\-growing environment
**Benefits**
* Unlimited paid time off, with a minimum of 10 days off required annually
* Flexible work environment, including options for remote work supported by a home environment stipend
* Comprehensive health, dental, and vision plans for employees and dependents (US\-specific)
* Company\-subsidized life insurance coverage
* Retirement plan with a 401(k) and a 4% company match
* Equity options to share in the company's success
* Rain Cards for testing and learning about our core products and services
* Health and wellness spending accounts for activities like gym memberships, massages, and acupuncture
* Participation in team summits and off\-site events, both domestically and internationally, fostering team bonding and strategic alignment
 Equal Opportunity
 Rain is an equal opportunity employer. We celebrate diversity and are committed to creating an inclusive environment for all employees. We do not discriminate based on race, religion, color, national origin, gender, sexual orientation, age, disability, or any other protected status. We believe that a diverse team enhances our innovation and success, and we welcome applicants from all backgrounds to join us in shaping the future of borderless payments.</t>
        </is>
      </c>
    </row>
    <row r="38">
      <c r="A38" t="inlineStr">
        <is>
          <t>li-4367959348</t>
        </is>
      </c>
      <c r="B38" t="inlineStr">
        <is>
          <t>REMOTE AI Engineer</t>
        </is>
      </c>
      <c r="C38" t="inlineStr">
        <is>
          <t>Lensa</t>
        </is>
      </c>
      <c r="D38" t="inlineStr">
        <is>
          <t>linkedin</t>
        </is>
      </c>
      <c r="E38">
        <f>HYPERLINK("https://www.linkedin.com/jobs/view/4367959348", "https://www.linkedin.com/jobs/view/4367959348")</f>
        <v/>
      </c>
      <c r="F38" t="inlineStr"/>
      <c r="G38" t="inlineStr">
        <is>
          <t>Jersey City, NJ</t>
        </is>
      </c>
      <c r="H38" t="inlineStr"/>
      <c r="I3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Insight Global is looking for an AI Engineer to join one of the world's leading financial institutions on a remote basis working EST hours. This person will be joining the Machine Learning and Artificial Intelligence team within their Enterprise Technology Operations group. This team is looking to build an Agentic AI solution that automates production support across the entire bank. The team is looking for AI engineers that have taken an existing AI Model and within their organization built robust engineering solutions and ideally deployed into production to solve business problems.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HR@insightglobal.com.To learn more about how we collect, keep, and process your private information, please review Insight Global's Workforce Privacy Policy: https://insightglobal.com/workforce\-privacy\-policy/.
**Skills And Requirements**
* 6\+ years in software development (Python preferred)
* 3\+ years designing, architecting and building production ML systems
* Hands\-on experience with LLMs, RAG pipelines, and AI agents
* Strong problem\-solving and communication skills \-Hands on experience with any cloud provider (ideally AWS)
 If you have questions about this posting, please contact support@lensa.com</t>
        </is>
      </c>
    </row>
    <row r="39">
      <c r="A39" t="inlineStr">
        <is>
          <t>li-4367933960</t>
        </is>
      </c>
      <c r="B39" t="inlineStr">
        <is>
          <t>AI Engineer</t>
        </is>
      </c>
      <c r="C39" t="inlineStr">
        <is>
          <t>Holland America Line</t>
        </is>
      </c>
      <c r="D39" t="inlineStr">
        <is>
          <t>linkedin</t>
        </is>
      </c>
      <c r="E39">
        <f>HYPERLINK("https://www.linkedin.com/jobs/view/4367933960", "https://www.linkedin.com/jobs/view/4367933960")</f>
        <v/>
      </c>
      <c r="F39" t="inlineStr"/>
      <c r="G39" t="inlineStr">
        <is>
          <t>Seattle, WA</t>
        </is>
      </c>
      <c r="H39" t="inlineStr"/>
      <c r="I39" t="inlineStr">
        <is>
          <t>**Job Description**
 Holland America Line has been exploring the world since 1873\. Our ships offer innovative features and enriching experiences focused on destination exploration and personalized travel, inviting guests to savor the journey.
 We are looking for an AI Engineer. The AI Engineer is responsible for designing, developing, and deploying machine learning models and AI\-driven solutions to enhance crew management analytics and operational efficiency. This role involves close collaboration with data reporting teams, IT, and business stakeholders to identify opportunities for automation and predictive insights. The ideal candidate will have strong programming skills, experience with ML frameworks, and a passion for solving complex problems with data.
 Here’s a summary of what Holland America Line is looking for. Is this you?
**Responsibilities** 
 :
* Develop and maintain AI/ML models for crew analytics and scheduling optimization
* Collaborate with cross\-functional teams to identify AI opportunities and gather requirements
* Deploy models into production and monitor performance
* Conduct data analysis and preprocessing to support model development
* Document processes and ensure compliance with data governance standards
**Knowledge \&amp; Skills:**
* Scope: This role supports global crew operations and analytics across HAL and Seabourn brands, impacting both shore and fleet operations.
* Problem solving: Requires advanced analytical skills to build predictive models, anticipate operational challenges, and propose data\-driven solutions.
* Impact: Contributes to the strategic direction of crew management through AI innovation, influencing staffing, scheduling, and performance metrics.
* Leadership: May lead project teams and mentor junior analysts; no direct reports initially but expected to manage cross\-functional initiatives.
**Requirements**
* Bachelor’s degree in Computer Science, Data Science, or related field
* Proficiency in Python, SQL, and ML frameworks (e.g., TensorFlow, PyTorch)
* Strong understanding of data structures, algorithms, and model deployment
* Understanding different prompting approaches, prompting strategies including chain\-of\-thought, and role\-based prompting strategies
* Familiarity with JSON
* Knowledge of token management and cost\-performance trade offs
* Strong Understanding LLM architecture, embedding, inference behavior
* Must Understand AWS bedrock, Azure and Open AI
* 3\+ years of experience in AI/ML engineering
* Experience with cloud platforms (AWS, Azure, or GCP)
 Travel: Less than 25% non\-shipboard travel likely
 Work Conditions: Work primarily in a climate\-controlled environment with minimal safety/health hazard potential.
 Physical Demands: Must be able to remain in a stationary position at a desk and/or computer for extended periods of time.
 This position is classified as “in\-office.” As an in\-office role, it requires employees to work from a designated Holland office Tuesday through Thursday each week. Employees may work from their homes on Mondays and Fridays.
 Holland provides comprehensive and innovative benefits to meet your needs, including:
**What You Can Expect**
* Cruise and Travel Privileges for You and Your Family
* Health Benefits
* 401(k)
* Employee Stock Purchase Plan
* Training \&amp; Professional Development
* Tuition \&amp; Professional Certification Reimbursement
* Base Salary Range: $86,500 to $116,800\. The range is applicable for the labor market where the role is intended to be hired. Final base salary is directly related to each candidates' qualifications and experience uniquely.
**Our Culture…Stronger Together**
 Our highest responsibility and top priority is compliance, environmental protection and the health, safety and well\-being of our guests, the people in the communities we touch and serve, and our shipboard and shoreside employees. Please visit our site to learn more about our Culture Essentials, Corporate Vision Statement and our Core Values at:
 **https://www.hollandamerica.com/en\_US/our\-company/mission\-values.html**
 Holland America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**Americans With Disabilities Act (ADA)**
 Holland America will provide reasonable accommodations with the application process, upon your request, as required to comply with applicable laws. If you have a disability and require assistance in this application process, please contact recruiting@hollandamericagroup.com
 \#HAL</t>
        </is>
      </c>
    </row>
    <row r="40">
      <c r="A40" t="inlineStr">
        <is>
          <t>li-4367958306</t>
        </is>
      </c>
      <c r="B40" t="inlineStr">
        <is>
          <t>Remote AI Engineer</t>
        </is>
      </c>
      <c r="C40" t="inlineStr">
        <is>
          <t>Lensa</t>
        </is>
      </c>
      <c r="D40" t="inlineStr">
        <is>
          <t>linkedin</t>
        </is>
      </c>
      <c r="E40">
        <f>HYPERLINK("https://www.linkedin.com/jobs/view/4367958306", "https://www.linkedin.com/jobs/view/4367958306")</f>
        <v/>
      </c>
      <c r="F40" t="inlineStr"/>
      <c r="G40" t="inlineStr">
        <is>
          <t>Hartford, CT</t>
        </is>
      </c>
      <c r="H40" t="inlineStr"/>
      <c r="I4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Insight Global is seeking a remote AI Engineer to support interoperability compliance applications within the healthcare domain. The ideal candidate will have a strong foundation in AI/ML concepts, hands\-on experience with Large Language Models (LLMs), and a proven background in software development. This role involves building AI\-driven solutions, migrating business lines from on\-prem infrastructure to Google Cloud Platform (GCP), and ensuring compliance with healthcare interoperability standards.
 Key Responsibilities
* Design, develop, and implement AI/ML solutions, including LLMs, to enhance interoperability compliance applications.
* Utilize tools like GitHub Copilot and Microsoft Copilot to accelerate development workflows.
* Collaborate with technical leads and cross\-functional teams to migrate applications from on\-prem infrastructure to GCP.
* Develop and maintain applications using Java Spring Boot and Python within GCP environments.
* Ensure compliance with healthcare interoperability standards, including FHIR and HL7\.
* Contribute to architecture discussions and provide technical guidance on AI engineering best practices.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HR@insightglobal.com.To learn more about how we collect, keep, and process your private information, please review Insight Global's Workforce Privacy Policy: https://insightglobal.com/workforce\-privacy\-policy/.
**Skills And Requirements**
* AI/ML Expertise: Strong understanding of AI/ML concepts and experience creating and deploying LLMs.
* Development Skills: Proficiency in Java Spring Boot, Python, and cloud technologies (preferably GCP).
* Healthcare Domain Knowledge: Experience with healthcare payers, EHR systems, providers, claims, and member coverage.
* Interoperability Standards: Familiarity with FHIR, HL7, and related implementation guides.
* Migration Experience: Hands\-on experience migrating applications from on\-prem to cloud environments.
 If you have questions about this posting, please contact support@lensa.com</t>
        </is>
      </c>
    </row>
    <row r="41">
      <c r="A41" t="inlineStr">
        <is>
          <t>li-4367704812</t>
        </is>
      </c>
      <c r="B41" t="inlineStr">
        <is>
          <t>Staff AI Engineer</t>
        </is>
      </c>
      <c r="C41" t="inlineStr">
        <is>
          <t>Goodfin</t>
        </is>
      </c>
      <c r="D41" t="inlineStr">
        <is>
          <t>linkedin</t>
        </is>
      </c>
      <c r="E41">
        <f>HYPERLINK("https://www.linkedin.com/jobs/view/4367704812", "https://www.linkedin.com/jobs/view/4367704812")</f>
        <v/>
      </c>
      <c r="F41" t="inlineStr"/>
      <c r="G41" t="inlineStr">
        <is>
          <t>San Francisco, CA</t>
        </is>
      </c>
      <c r="H41" t="inlineStr"/>
      <c r="I41" t="inlineStr">
        <is>
          <t>**About Goodfin**
 Goodfin is an AI\-native wealth platform focused on private markets. We’re building intelligent, agentic systems that help accredited investors research, evaluate, and act on private investment opportunities with clarity and confidence.
 This is not an AI “feature.”
 **AI
 *is* 
 the product.**
 As a Staff AI Engineer, you’ll be a technical leader responsible for designing, building, and hardening the core intelligence systems behind Goodfin—systems used by real investors making real financial decisions.
 This is a hands\-on role for someone who wants to work at the boundary of what’s reliable in applied AI—and make it production\-grade. You’ll own end\-to\-end systems: from architecture and modeling decisions through deployment, evaluation, and iteration. You’ll also help define technical standards and shape how we build AI as a company.
**What You’ll Work On**
* Architecting LLM\-powered, agentic systems for private market research, analysis, and decision support
* Designing hybrid reasoning pipelines that combine LLMs with retrieval, structured financial data, rules, and tools
* Building robust RAG pipelines over unstructured, noisy, and proprietary data (PPMs, decks, filings, internal memos)
* Developing evaluation frameworks for reasoning quality, faithfulness, latency, and cost
* Implementing observability, debugging, and failure\-handling for multi\-step AI workflows
* Partnering closely with business and design to translate ambiguous user needs into reliable intelligent behavior
* Raising the bar on AI engineering practices across the team through example and mentorship
* Concrete Example\\ \*Build an AI deep research analyst that can synthesize deal documents, market data, news articles, and comparable deals into actionable, well\-sourced insights—while surfacing nuances rather than hiding it.
**Why This Is Hard**
* Product intuition matters: We’re building a sticky, high\-value product for real investors—not a demo or internal research tool.
* High\-stakes domain: Private market investing requires accuracy, explainability, and calibrated uncertainty. “Mostly right” is not acceptable.
* Data complexity: There is no clean source of truth. Data is fragmented, sparse, and often contradictory.
* Reasoning over generation: The challenge is building systems that reason, compare tradeoffs, and surface uncertainty—not just generate fluent text.
* Agent reliability: Multi\-step, tool\-using agents must behave consistently in production, not just in demos.
* Evaluation is unsolved: You’ll help define what “good” looks like when traditional ML metrics fall short.
* Trust as a system property: Explainability, sourcing, and failure modes are core technical requirements—not UX afterthoughts.
**What We’re Looking For**
* 6\+ years of software engineering experience, with deep hands\-on work in applied AI / ML systems
* Strong fundamentals in Python and backend system design
* Proven experience with LLMs (prompting, fine\-tuning, RAG, agentic workflows, or evaluation tooling)
* Experience owning ambiguous, high\-impact systems from concept to production
* Comfort making architectural tradeoffs under real\-world constraints
* Ability to think at the system level while still shipping high\-quality code
* High product intuition and a strong sense of responsibility for user outcomes
**Bonus**
* Experience in fintech, data\-intensive products, or regulated environments
**How We Work**
* Small, lean team with high ownership and minimal bureaucracy
* Direct access to users and fast feedback loops
* Strong bias toward clarity, correctness, and speed
* High standards for technical rigor where trust matters
**What Success Looks Like**
* AI systems that customers trust and rely on—not just experiment with
* Measurable improvements in reasoning quality, reliability, and latency
* Clear architectural patterns that scale with product complexity
* A higher technical bar across the team through example and mentorship
**Why Join**
* Work on real, unsolved AI engineering problems in production
* Develop systems used for real financial decision\-making
* Build the technical foundation of an AI\-native platform at an early but high growth stage
* Competitive compensation and meaningful equity
 If you’re excited about building serious AI systems—and want real ownership—we’d love to talk.</t>
        </is>
      </c>
    </row>
    <row r="42">
      <c r="A42" t="inlineStr">
        <is>
          <t>li-4367953673</t>
        </is>
      </c>
      <c r="B42" t="inlineStr">
        <is>
          <t>Full Stack AWS ML Engineer - Financial Modeling</t>
        </is>
      </c>
      <c r="C42" t="inlineStr">
        <is>
          <t>Entagile</t>
        </is>
      </c>
      <c r="D42" t="inlineStr">
        <is>
          <t>linkedin</t>
        </is>
      </c>
      <c r="E42">
        <f>HYPERLINK("https://www.linkedin.com/jobs/view/4367953673", "https://www.linkedin.com/jobs/view/4367953673")</f>
        <v/>
      </c>
      <c r="F42" t="inlineStr"/>
      <c r="G42" t="inlineStr">
        <is>
          <t>Washington, DC</t>
        </is>
      </c>
      <c r="H42" t="inlineStr"/>
      <c r="I42" t="inlineStr">
        <is>
          <t>**Job Summary** 
 We are seeking an experienced, highly skilled AWS Full\-Stack ML Engineer to operationalize and optimize our large\-scale financial modeling applications. This role requires a unique blend of expertise in machine learning, software engineering, and AWS cloud infrastructure, with a strong focus on implementing robust MLOps practices to ensure scalability, reliability, and cost\-efficiency. The ideal candidate will bridge the gap between data science and production systems, transforming data science prototypes into secure, high\-performance, and compliant solutions in a fast\-paced financial environment.
**Key Responsibilities** 
* **Implement MLOps and CI/CD:** 
 Design, build, and maintain end\-to\-end MLOps pipelines for the continuous integration, training, deployment, and monitoring of ML models on AWS.
* **Code Integration:** 
 Seamlessly integrate model development code (from data scientists) and model application code (from software engineers) into unified, production\-ready systems.
* **Automate Data Processing:** 
 Design and manage scalable and efficient ETL pipelines and data processing workflows for large\-scale financial datasets, ensuring data quality and availability for model training and inference.
* **Optimize AWS Service Usage:** 
 Monitor and optimize AWS resource utilization to ensure cost\-effectiveness, high availability, and performance for compute\-intensive financial modeling applications.
* **Infrastructure Management:** 
 Utilize Infrastructure as Code (IaC) tools like Terraform or AWS CloudFormation to provision and manage secure, compliant, and reproducible ML infrastructure.
* **Monitoring and Alerting:** 
 Implement robust monitoring, logging, and alerting frameworks (e.g., Amazon CloudWatch) to track model performance, data drift, and system health in production.
* **Security and Compliance:** 
 Ensure all ML systems adhere to stringent financial industry regulations and security best practices (e.g., data encryption, IAM roles, VPC configurations).
* **Collaboration:** 
 Work closely with cross\-functional teams, including data scientists, data engineers, and software developers, to translate business requirements into technical solutions and champion MLOps best practices across the organization.
**Required Skills and Qualifications** 
* **Experience:** 
 Proven experience (4\+ years preferred) in MLOps, DevOps, or a related role, with hands\-on experience deploying ML applications at scale.
* **Programming Proficiency:** 
 Strong proficiency in Python and relevant ML libraries/frameworks (e.g., TensorFlow, PyTorch, Scikit\-learn).
* **AWS Expertise:** 
 In\-depth experience with key AWS services for ML and data, including Amazon SageMaker, S3, EC2, EKS/Fargate, Lambda, AWS Glue, and IAM.
* **MLOps Tools:** 
 Experience with containerization (Docker), orchestration (ECS/Kubernetes/EKS), CI/CD tools (GitLab, AWS CodePipeline, Jenkins), and workflow orchestrators (Apache Airflow or AWS Step Functions).
* **Financial Domain Knowledge (Preferred):** 
 Familiarity with the specific challenges and regulatory environment surrounding financial modeling and data is a strong plus.
* **Software Engineering Best Practices:** 
 Solid understanding of software development lifecycle, including testing, debugging, version control (Git), and code quality standards.
* **Problem\-Solving:** 
 Excellent analytical and problem\-solving skills, with the ability to troubleshoot complex, interconnected systems.
* **Education:** 
 A Bachelor's or Master's degree in Computer Science, Engineering, Statistics, or a related quantitative field
* **Certifications (Preferred):** 
 AWS Certified Machine Learning \- Specialty certification, AWS Certified Solutions Architect – Associate, or other relevant cloud certifications.</t>
        </is>
      </c>
    </row>
    <row r="43">
      <c r="A43" t="inlineStr">
        <is>
          <t>li-4367973461</t>
        </is>
      </c>
      <c r="B43" t="inlineStr">
        <is>
          <t>Staff Machine Learning Engineer - Marketplace Pricing</t>
        </is>
      </c>
      <c r="C43" t="inlineStr">
        <is>
          <t>Uber</t>
        </is>
      </c>
      <c r="D43" t="inlineStr">
        <is>
          <t>linkedin</t>
        </is>
      </c>
      <c r="E43">
        <f>HYPERLINK("https://www.linkedin.com/jobs/view/4367973461", "https://www.linkedin.com/jobs/view/4367973461")</f>
        <v/>
      </c>
      <c r="F43" t="inlineStr"/>
      <c r="G43" t="inlineStr">
        <is>
          <t>San Francisco, CA</t>
        </is>
      </c>
      <c r="H43" t="inlineStr"/>
      <c r="I43" t="inlineStr">
        <is>
          <t>**About The Role**
 Uber's Marketplace is at the heart of Uber's business and the Dynamic Supply Pricing (DSP) team develops the models, algorithms, signals, and large\-scale distributed systems that power real\-time driver pricing for billions of rides. Engineers on the team work on cutting\-edge marketplace ML problems and real\-time multi\-objective optimizations serving 1M\+ predictions/second. They regularly present $1B\+ opportunities to executive stakeholders and receive close mentorship from the most senior engineers within the organization, setting you up for fast\-tracked career growth and the opportunity to learn from experienced technical leaders.
 We are looking for exceptional ML engineers with a track record of extraordinary impact and with a passion for building large\-scale systems that optimize multi\-sided real\-time marketplaces. In this role, you will lead the design, development, and productionization of advanced ML models and pricing algorithms, covering deep learning, causal modeling, and reinforcement learning. You will work with engineers, product managers, and scientists to set the team's technical direction and solve some of Uber's most challenging and most complex business problems in order to provide earnings opportunities for millions of drivers worldwide.
**What You Will Do**
* Drive technical strategy and roadmap ownership over a 1\+ year horizon and own the implementation, including platform\-level architecture decisions, executive communication and alignment, technical mentorship, and cross\-team technical influence
* Lead the design, development, and productionization of end\-to\-end ML solutions for large\-scale distributed systems serving billions of trips
* Develop novel pricing approaches for online marketplaces combining machine learning, algorithmic game theory, and optimization to provide earnings opportunities for millions of drivers
* Work with a team of engineers, product managers, and scientists to design and deliver high\-impact technical solutions to complex business problems
**Basic Qualifications**
* Ph.D., M.S. or Bachelor's degree in Computer Science, Machine Learning, or Operations Research, or equivalent technical background with exceptional demonstrated impact
* 6\+ years experience leading the development and deployment of ML models and optimization algorithms in large\-scale production environments at top\-tier ML companies (e.g. 1M\+ predictions/sec or 100M\+ users). Track record of delivering outstanding business impact over multiple quarters
* Proficiency in programming languages such as Python, Scala, Java, or Go
* Proficiency with large\-scale data systems (e.g. Spark, Ray), real\-time processing (e.g. Flink), and microservices architectures
* Proficiency in the development, training, productionization and monitoring of ML solutions at scale, ranging from offline pipelines to online serving and MLOps
* Experience in developing and deploying pricing algorithms for multi\-sided real\-time marketplaces with strategic agent behavior
* Deep understanding of modern ML algorithms (e.g. DNNs, multi\-task models, transformers) and mathematical optimization (e.g. multi\-objective, LP, convex optimization)
**Preferred Qualifications**
* Experience developing multi\-year technical strategies and cross\-team platform architecture, and proficiency owning technical roadmap and leading complex technical projects while substantially influencing the scope and output of others
* Track record of translating complex business problems into technical solutions and driving multi\-functional projects across multiple teams
* Excellent communication skills to lead initiatives across multiple product areas and collaborate effectively with cross\-functional teams
* Proficiency in reinforcement learning and causal machine learning
 For New York, NY\-based roles: The base salary range for this role is USD$232,000 per year \- USD$258,000 per year. For San Francisco, CA\-based roles: The base salary range for this role is USD$232,000 per year \- USD$258,000 per year. For Seattle, WA\-based roles: The base salary range for this role is USD$232,000 per year \- USD$258,000 per year. For Sunnyvale, CA\-based roles: The base salary range for this role is USD$232,000 per year \- USD$258,000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USD$232,000 per year \- USD$258,000 per year. For San Francisco, CA\-based roles: The base salary range for this role is USD$232,000 per year \- USD$258,000 per year. For Seattle, WA\-based roles: The base salary range for this role is USD$232,000 per year \- USD$258,000 per year. For Sunnyvale, CA\-based roles: The base salary range for this role is USD$232,000 per year \- USD$258,000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44">
      <c r="A44" t="inlineStr">
        <is>
          <t>li-4367713866</t>
        </is>
      </c>
      <c r="B44" t="inlineStr">
        <is>
          <t>Applied AI ML Engineer-Sr. Associate</t>
        </is>
      </c>
      <c r="C44" t="inlineStr">
        <is>
          <t>hackajob</t>
        </is>
      </c>
      <c r="D44" t="inlineStr">
        <is>
          <t>linkedin</t>
        </is>
      </c>
      <c r="E44">
        <f>HYPERLINK("https://www.linkedin.com/jobs/view/4367713866", "https://www.linkedin.com/jobs/view/4367713866")</f>
        <v/>
      </c>
      <c r="F44">
        <f>HYPERLINK("https://www.hackajob.com/job/b20480e9-fb80-11f0-b544-0a05e249917d-applied-ai-ml-engineer-sr-associate?utm_source=LinkedIn&amp;utm_medium=JobAds&amp;utm_term=Automated&amp;utm_campaign=jp-morgan-applied-ai-ml-engineer-sr-associate&amp;job_name=applied-ai-ml-engineer-sr-associate&amp;company=jp-morgan&amp;workplace_type=on-site&amp;city=new-york&amp;country=united-states&amp;urlHash=CRWp", "https://www.hackajob.com/job/b20480e9-fb80-11f0-b544-0a05e249917d-applied-ai-ml-engineer-sr-associate?utm_source=LinkedIn&amp;utm_medium=JobAds&amp;utm_term=Automated&amp;utm_campaign=jp-morgan-applied-ai-ml-engineer-sr-associate&amp;job_name=applied-ai-ml-engineer-sr-associate&amp;company=jp-morgan&amp;workplace_type=on-site&amp;city=new-york&amp;country=united-states&amp;urlHash=CRWp")</f>
        <v/>
      </c>
      <c r="G44" t="inlineStr">
        <is>
          <t>New York, NY</t>
        </is>
      </c>
      <c r="H44" t="inlineStr"/>
      <c r="I44" t="inlineStr">
        <is>
          <t>***hackajob** 
 is collaborating with
 **J.P. Morgan** 
 to connect them with exceptional tech professionals for this role.*
**Job Description**
 The Corporate \&amp; Investment Bank is a global leader across investment banking, wholesale payments, markets and securities services. The world’s most important corporations, governments and institutions entrust us with their business in more than 100 countries. We provide strategic advice, raise capital, manage risk and extend liquidity in markets around the world.
 As an Applied AI/ML Engineer, you will be responsible for designing, developing, and deploying cutting\-edge AI and machine learning solutions to enhance the efficiency and effectiveness of our operations. You will work closely with cross\-functional teams to identify opportunities for automation and process improvement, utilizing your expertise in machine learning and generative AI.
**Job Responsibilities**
* Develop and implement machine learning models and algorithms to solve complex operational challenges.
* Design and deploy generative AI applications to automate and optimize business processes.
* Collaborate with stakeholders to understand business needs and translate them into technical solutions.
* Analyze large datasets to extract actionable insights and drive data\-driven decision\-making.
* Ensure the scalability and reliability of AI/ML solutions in a production environment.
* Stay up\-to\-date with the latest advancements in AI/ML technologies and integrate them into our operations.
* Mentor and guide junior team members in AI/ML best practices and methodologies.
**Key Skills And Qualifications**
* Masters with at least 3 years experience in Computer Science, Data Science, Machine Learning, or a related field.
* Experience in deploying AI/ML applications in a production environment, with skills in deploying models on AWS platforms such as SageMaker or Bedrock.
* Familiarity with MLOps practices, encompassing the full cycle from design, experimentation, deployment, to monitoring and maintenance of machine learning models.
* Expertise in machine learning frameworks such as TensorFlow, PyTorch, Pytorch lightening, or Scikit\-learn.
* Proficiency in programming languages such as Python
* Proficiency in writing comprehensive test cases, with a strong emphasis on using testing frameworks such as pytest to ensure code quality and reliability.
* Experience with generative AI models, including GANs, VAEs, or transformers. Experience with Diffusion models is a plus.
* Solid understanding of data preprocessing, feature engineering, and model evaluation techniques.
* Familiarity with cloud platforms (AWS) and containerization technologies (Docker, Kubernetes, Amazon EKS).
* Excellent problem\-solving skills and the ability to work independently and collaboratively.
* Strong communication skills to effectively convey complex technical concepts to non\-technical stakeholders.
**Preferred Qualifications**
* Experience in the financial services industry, particularly within investment banking operations.
* Experience in developing AI solutions using agentic frameworks.
* Experience fine\-tuning SLMs with approaches like LoRA, QLoRA and DoRA.
* Experience with prompt optimization frameworks such as AutoPrompt and DSPY to enhance the performance and effectiveness of prompt engineering.
* Familiarity with distributed computing systems, frameworks and techniques like data sharding and DDP training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45">
      <c r="A45" t="inlineStr">
        <is>
          <t>li-4357092864</t>
        </is>
      </c>
      <c r="B45" t="inlineStr">
        <is>
          <t>Senior Machine Learning Engineer - Ranking &amp; Recommendations (Generative AI)</t>
        </is>
      </c>
      <c r="C45" t="inlineStr">
        <is>
          <t>ChatGPT Jobs</t>
        </is>
      </c>
      <c r="D45" t="inlineStr">
        <is>
          <t>linkedin</t>
        </is>
      </c>
      <c r="E45">
        <f>HYPERLINK("https://www.linkedin.com/jobs/view/4357092864", "https://www.linkedin.com/jobs/view/4357092864")</f>
        <v/>
      </c>
      <c r="F45">
        <f>HYPERLINK("https://chatgpt-jobs.com/job/senior-machine-learning-engineer-ranking-recommendations-generative-ai-uber-3405&amp;urlHash=gTB5", "https://chatgpt-jobs.com/job/senior-machine-learning-engineer-ranking-recommendations-generative-ai-uber-3405&amp;urlHash=gTB5")</f>
        <v/>
      </c>
      <c r="G45" t="inlineStr">
        <is>
          <t>New York, United States</t>
        </is>
      </c>
      <c r="H45" t="inlineStr"/>
      <c r="I45" t="inlineStr">
        <is>
          <t>**Job Description**
 Senior Machine Learning Engineer \- Ranking \&amp; Recommendations (Generative AI)
 Uber
 Seattle, WA
* On\-site, Remote
**About The Role**
 The Shopping Ranking Team mission is enabling eaters to effortlessly make shopping decisions and find what they need. We pursue this mission via an ML\-driven algorithmic approach, applying state\-of\-the\-art Machine Learning (ML), Optimization techniques to learn from massive datasets Uber has, and build a scalable and reliable shopping intelligence ranking and recommendation systems. We are actively seeking individuals who excel in problem\-solving and critical thinking, are proficient in coding, with proven track records of learning and growth, and have a deep interest in ML model, feature and infrastructure development. Candidates will have the opportunity to work across various lines, from infrastructure development to ML model development, productionalization, offering a diverse and enriching experience
 Join us in our pursuit of excellence as we are building the next generation of Generative AI \- shopping ranking and recommendation systems.
 What the Candidate Will Do
* Design and build Machine Learning models in Ranking and Recommendation domain.
* Productionize and deploy these models for real\-world application.
* Review code and designs of teammates, providing constructive feedback.
* Collaborate with Product and cross\-functional teams to brainstorm new solutions and iterate on the product.
**Basic Qualifications**
* Bachelor's degree or equivalent in Computer Science, Engineering, Mathematics or related field, with 4\+ years of full\-time engineering experience.
* 4\+ years of ML experience and building ML models
* Experience working with multiple multi\-functional teams(product, science, product ops etc).
* Expertise in one or more object\-oriented programming languages (e.g. Python, Go, Java, C\+\+).
* Experience with big\-data architecture, ETL frameworks and platforms, such as HDFS, Hive, MapReduce, Spark, , etc.
* Working knowledge of latest ML technologies, and libraries, such as PyTorch, TensorFlow, Ray, etc.
* Proven track records of being a fast learner and go\-getter, with willingness to get out of the comfort zone.
**Preferred Qualifications**
* Experience with building ranking and recommendation systems in production, making practical tradeoffs among algorithm sophistication, compute complexity, maintainability, and extensibility in production environments.
* Experience with taking on vague business problems, translating them into ML \+ Optimization formulation, identifying the right features, model structure and optimization constraints, and delivering business impact.
* Experience with design and architecture of ML systems and workflows.
* Experience owning and delivering a technically challenging, multi\-quarter project end to end.
 For New York, NY\-based roles: The base salary range for this role is USD$202,000 per year \- USD$224,000 per year.
 For San Francisco, CA\-based roles: The base salary range for this role is USD$202,000 per year \- USD$224,000 per year.
 For Seattle, WA\-based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You will also be eligible for various benefits. More details can be found at the following link https://www.uber.com/careers/benefits.
 Uber's mission is to reimagine the way the world moves for the better. Here, bold ideas create real\-world impact, challenges drive growth, and speed fuels progress. What moves us, moves the world \- let's move it forward, together.
 Uber is proud to be an Equal Opportunity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
 Offices continue to be central to collaboration and Uber's cultural identity. Unless formally approved to work fully remotely, Uber expects employees to spend at least half of their work time in their assigned office. For certain roles, such as those based at green\-light hubs, employees are expected to be in\-office for 100% of their time. Please speak with your recruiter to better understand in\-office expectations for this role.</t>
        </is>
      </c>
    </row>
    <row r="46">
      <c r="A46" t="inlineStr">
        <is>
          <t>li-4353099647</t>
        </is>
      </c>
      <c r="B46" t="inlineStr">
        <is>
          <t>AI Engineer</t>
        </is>
      </c>
      <c r="C46" t="inlineStr">
        <is>
          <t>Jobot</t>
        </is>
      </c>
      <c r="D46" t="inlineStr">
        <is>
          <t>linkedin</t>
        </is>
      </c>
      <c r="E46">
        <f>HYPERLINK("https://www.linkedin.com/jobs/view/4353099647", "https://www.linkedin.com/jobs/view/4353099647")</f>
        <v/>
      </c>
      <c r="F46" t="inlineStr"/>
      <c r="G46" t="inlineStr">
        <is>
          <t>Cincinnati, OH</t>
        </is>
      </c>
      <c r="H46" t="inlineStr"/>
      <c r="I46" t="inlineStr">
        <is>
          <t>Want to learn more about this role and Jobot? Click our Jobot logo and follow our LinkedIn page!
 Job details
**RAG \- Vector Databases \- Cloud \- AI/ML**
 This Jobot Job is hosted by Chuck Wirtz
 Are you a fit? Easy Apply now by clicking the "Easy Apply" button and sending us your resume.
 Salary $175,000 \- $200,000 per year
**A Bit About Us**
 We are a rapidly\-growing and well\-funded women\-lead AI start\-up that innovates our client's projects from concept to delivery.
****Why join us?****
 We work with highly recognizable enterprise clients to deliver a fully customized solution. Our technology solution is best\-in\-class and proven. This is a fully remote role. Report directly to the VP of Tech \&amp; work directly with the Founders. Start\-up experience is ideal. Base \+ bonus \+ equity.
**Job Details**
 This is not a Data Scientist role \- This is an experienced, AI\-focused Software Engineer role.
 Python API
 Agentic/Orchestration Frameworks
 Langchan \- Langgraph \- Autogen \- Semantic Kernel \- Lamaindex
 RAG
 ML
 AI
 Vector Databases
 Pinecone \- Weaviate \- Chroma
 AWS \- GCP \- Azure
 Domain\-driven design and microservices architecture
 TensorFlow \- PyTorch
 Inheritance \- Polymorphism \- Design Patterns
 No C2C or Sponsorship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47">
      <c r="A47" t="inlineStr">
        <is>
          <t>li-4355365263</t>
        </is>
      </c>
      <c r="B47" t="inlineStr">
        <is>
          <t>Senior AI/ML Engineer</t>
        </is>
      </c>
      <c r="C47" t="inlineStr">
        <is>
          <t>Jobot</t>
        </is>
      </c>
      <c r="D47" t="inlineStr">
        <is>
          <t>linkedin</t>
        </is>
      </c>
      <c r="E47">
        <f>HYPERLINK("https://www.linkedin.com/jobs/view/4355365263", "https://www.linkedin.com/jobs/view/4355365263")</f>
        <v/>
      </c>
      <c r="F47" t="inlineStr"/>
      <c r="G47" t="inlineStr">
        <is>
          <t>McLean, VA</t>
        </is>
      </c>
      <c r="H47" t="inlineStr"/>
      <c r="I47" t="inlineStr">
        <is>
          <t>Want to learn more about this role and Jobot? Click our Jobot logo and follow our LinkedIn page!
 Job details
**New US based .NET team tasked with making an existing, modern platform utilize Microsoft's latest suite of enterprise AI tools and services.**
 This Jobot Job is hosted by Charles Simmons
 Are you a fit? Easy Apply now by clicking the "Easy Apply" button and sending us your resume.
 Salary $140,000 \- $180,000 per year
**A Bit About Us**
 We’re transforming how government agencies digitize forms and automate workflows. Our new initiative brings AI directly into this process \- using LLMs, vector search, and structured PDF parsing to accelerate public service delivery. We’re not just bolting AI onto the side. It’s becoming core to how our platform works.
 We’re looking for a senior machine learning engineer to take the lead on this effort. You’ll be the architect of our AI capability \- not just a contributor. Your work will touch thousands of public\-facing government forms, helping real people get things done faster and more accurately. This isn’t an R\&amp;D team running experiments \- it’s about delivering intelligent automation, right now.
****Why join us?****
* 100% remote based in the US
* Help shape the AI transformation of public sector services
* Lead initiatives that ship real impact, not just prototypes
* Greenfield development on a proven, profitable platform
* Comprehensive Health, Vision, Dental coverage for individuals and families
**Job Details**
 You’ll design and build our machine learning infrastructure \- starting with vector search and retrieval\-augmented generation and expanding into fine\-tuned LLMs with human feedback loops. You’ll work across product and engineering to embed intelligent behaviors into our no\-code form builder. This is not a research job or a sandbox role \- it’s a real opportunity to push AI into production at scale.
 What you’ll do
* Build and tune vector\-based retrieval pipelines using OpenAI embeddings and Azure AI Search
* Design prompt strategies and agents to translate parsed PDF data into form component schemas
* Fine\-tune LLMs for structured output generation with low\-latency performance in mind
* Lead the development of an RLHF loop that incorporates builder UI feedback and audit data
* Help architect systems that blend traditional APIs and probabilistic inference reliably
* Work alongside full\-stack and platform engineers to get it all running in production
* Stay plugged into the latest model capabilities, and make smart calls on what to adopt
 Tech you’ll use
* Azure AI Studio, Azure OpenAI, GPT\-4o
* Python (for agents, functions, orchestration), .NET 8 (for integration layers)
* Azure AI Search, CosmosDB, MSSQL
* Kubernetes (AKS), Azure Blob, Octopus for CI/CD
* Extend.ai for structured PDF parsing
 What we’re looking for
* 5\+ years in applied ML, including experience with retrieval, embeddings, and prompt engineering
* Strong Python skills and familiarity with production\-grade ML pipelines
* Experience designing and tuning RAG workflows with hybrid search
* Familiarity with RLHF and fine\-tuning on structured JSON output
* Solid grasp of system\-level thinking—how to bring ML into product environments cleanly
 Nice to have .NET understanding, especially for integration and orchestration layers
 What success looks like in 6 months
* You’ve shipped a working vector search \+ RAG pipeline integrated into our form builder
* You’ve scoped and kicked off our first LLM fine\-tuning cycle
* We’re collecting human feedback to improve model accuracy
* You’ve helped define the roadmap for AI integrations across the platform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48">
      <c r="A48" t="inlineStr">
        <is>
          <t>li-4367598684</t>
        </is>
      </c>
      <c r="B48" t="inlineStr">
        <is>
          <t>Python ML Engineer</t>
        </is>
      </c>
      <c r="C48" t="inlineStr">
        <is>
          <t>Jobs via Dice</t>
        </is>
      </c>
      <c r="D48" t="inlineStr">
        <is>
          <t>linkedin</t>
        </is>
      </c>
      <c r="E48">
        <f>HYPERLINK("https://www.linkedin.com/jobs/view/4367598684", "https://www.linkedin.com/jobs/view/4367598684")</f>
        <v/>
      </c>
      <c r="F48">
        <f>HYPERLINK("https://click.appcast.io/t/dN6SPFYMORs2iz3pyM6B4kD2lT2xXEzTq4MtskNgXyQ=&amp;urlHash=Sllt", "https://click.appcast.io/t/dN6SPFYMORs2iz3pyM6B4kD2lT2xXEzTq4MtskNgXyQ=&amp;urlHash=Sllt")</f>
        <v/>
      </c>
      <c r="G48" t="inlineStr">
        <is>
          <t>Dallas, TX</t>
        </is>
      </c>
      <c r="H48" t="inlineStr"/>
      <c r="I48" t="inlineStr">
        <is>
          <t>Dice is the leading career destination for tech experts at every stage of their careers. Our client, NGTalentTech Group LLC, is seeking the following. Apply via Dice today!
**Job Description:**
 Our client is looking for AI/ML Engineers to support critical projects in their CDO.
**Required Skills**
* Python \&amp; AI/ML Frameworks: Demonstrated expertise in Python and at least one major AI/ML framework.
* API Development: Hands\-on experience developing RESTful APIs using FastAPI, with a solid understanding of web API architecture principles.
* Database Management: Strong proficiency in designing, integrating, and managing multiple databases (e.g., PostgreSQL, MongoDB).
* Big Data \&amp; Distributed Computing: Experience working with big data processing frameworks such as Spark and Delta Lake for scalable data processing.
* Databricks: Hands\-on experience with Databricks for collaborative data engineering and machine learning workflows.
* AI Agent Integration: Proven expertise in integrating and orchestrating AI agents, large language models (LLMs), or multi\-agent systems.
* LLM Pipeline Experience: Direct experience designing, building, and optimizing LLM pipelines, including data ingestion, pre\-processing, prompt engineering, fine\-tuning, and deployment.
* AI Workflow Tools: Experience working with AI agent workflow tools such as LangChain and LangGraph.
* LLM APIs: Experience working with LLM APIs such as OpenAI, Azure OpenAI, or Hugging Face.
* Cloud Computing \&amp; Azure Architecture: Good understanding of cloud computing concepts, scalability, and solution architecture, with a focus on Microsoft Azure
* Containerization (Docker) \&amp; Orchestration (Kubernetes): Experience deploying and managing applications using Docker containers and Kubernetes orchestration.
* Web Application Integration: Proven experience with the integration of AI models and web applications via Python
 Soft Skills: Excellent problem\-solving abilities, attention to detail, and strong communication skills.
**Preferred/Nice To Have Skills**
* Model Context Protocol (MCP): Experience with MCP for coordinating and managing AI models and agent workflows.
* Containerization \&amp; Cloud Infrastructure: Experience with containerization (Docker), CI/CD pipelines, and cloud infrastructure (Google Cloud Platform, Azure).
* Full\-Stack Development: Full\-stack development experience is a bonus
* Familiarity with front\-end technologies such as JavaScript, React, or Next.js.
* Specific Industry/Domain Knowledge: Specific industry/domain knowledge relevant to telecommunications will be preferable.</t>
        </is>
      </c>
    </row>
    <row r="49">
      <c r="A49" t="inlineStr">
        <is>
          <t>li-4367719116</t>
        </is>
      </c>
      <c r="B49" t="inlineStr">
        <is>
          <t>Sr. Principal Machine Learning Engineer</t>
        </is>
      </c>
      <c r="C49" t="inlineStr">
        <is>
          <t>hackajob</t>
        </is>
      </c>
      <c r="D49" t="inlineStr">
        <is>
          <t>linkedin</t>
        </is>
      </c>
      <c r="E49">
        <f>HYPERLINK("https://www.linkedin.com/jobs/view/4367719116", "https://www.linkedin.com/jobs/view/4367719116")</f>
        <v/>
      </c>
      <c r="F49">
        <f>HYPERLINK("https://www.hackajob.com/job/fdf78185-fe0d-11f0-b544-0a05e249917d-sr-principal-machine-learning-engineer?utm_source=LinkedIn&amp;utm_medium=JobAds&amp;utm_term=Automated&amp;utm_campaign=comcast-sr-principal-machine-learning-engineer&amp;job_name=sr-principal-machine-learning-engineer&amp;company=comcast&amp;workplace_type=remote&amp;country=united-states&amp;urlHash=bCjV", "https://www.hackajob.com/job/fdf78185-fe0d-11f0-b544-0a05e249917d-sr-principal-machine-learning-engineer?utm_source=LinkedIn&amp;utm_medium=JobAds&amp;utm_term=Automated&amp;utm_campaign=comcast-sr-principal-machine-learning-engineer&amp;job_name=sr-principal-machine-learning-engineer&amp;company=comcast&amp;workplace_type=remote&amp;country=united-states&amp;urlHash=bCjV")</f>
        <v/>
      </c>
      <c r="G49" t="inlineStr"/>
      <c r="H49" t="inlineStr"/>
      <c r="I49" t="inlineStr">
        <is>
          <t>***hackajob** 
 is collaborating with
 **Comcast** 
 to connect them with exceptional tech professionals for this role.*
 Universal Ads, a part of Comcast, enables any brand, of any size, to seamlessly make and buy commercials across premium video reaching new qualified audiences at scale. Universal Ads combines premium and brand\-safe video content directly from the most influential media companies with the ease and familiarity of social ad buying. It is your one\-stop shop for high\-quality video ads delivering performance and unmatched scale.
**Job Summary**
 Universal Ads is looking for a Sr. Principal Machine Learning Engineer to lead the design, implementation, and evolution of our ML stack. You’ll architect the systems that power our marketplace, including expected value models for performance advertising, pacing optimization, and real\-time prediction services that determine how every impression is valued and delivered. This is a highly technical and strategic leadership role. You’ll collaborate on the long\-term vision for our machine learning roadmap, guide the development of robust and scalable infrastructure, and collaborate across product, data science, and engineering to ensure Universal Ads becomes the industry benchmark for efficient, intelligent ad delivery across CTV inventory
**Job Description**
**Core Responsibilities**
* Set vision and technical direction for the long\-term ML strategy and roadmap for ad ranking at Universal Ads, including model architecture, infrastructure, and deployment frameworks.
* Architect and scale distributed ML systems capable of real\-time decisioning across high\-throughput ad environments.
* Partner with product and marketplace teams to align model performance with user and advertiser outcomes.
* Drive technical direction for cross\-functional initiatives involving bidding algorithms, pacing, and system optimization.
* Shape technical culture, and ensure high standards for research rigor, reproducibility, and code quality.
* Establish strong experimentation and evaluation frameworks (A/B testing, counterfactual analysis, etc.) for model validation and pacing control.
* Represent Universal Ads externally in technical forums, publications, or conferences to shape the broader conversation around ML in advertising.
* Design and own ML data pipelines end—to\-end, ensuring data cleanliness and freshness, and establishing the standards and infrastructure for reliable model inputs across ranking and pacing systems.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Support a culture of inclusion in how you work and lead.
* Do what's right for each other, our customers, investors and our communities.
**Disclaimer**
* This information has been designed to indicate the general nature and level of work performed by employees in this role. It is not designed to contain or be interpreted as a comprehensive inventory of all duties, responsibilities and qualifications.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will consider for employment applicants with arrest or conviction records in accordance with the requirements of applicable law, including the San Francisco Fair Chance Ordinance, the Los Angeles Fair Chance Initiative for Hiring Ordinance, the Los Angeles County Fair Chance Ordinance for Employers and the California Fair Chance Act. Please note that federal state, or local laws and regulations may restrict or prohibit Comcast from hiring individuals convicted of certain crimes. Additionally, an applicant’s criminal history may have a direct, adverse, and negative relationship on the job duties of this position, which may result in the withdrawal of a conditional offer of employment.
**Skills**
 Machine Learning (ML); Collaborating; Advertising Technologies
**Salary**
 National Pay Range: $192,396\.16 USD\-$450,928\.49 USD Illinois Pay Range: $204,420\.92 USD \- $396,817\.07 USD Colorado Pay Range: $216,445\.68 USD \- $414,854\.21 USD Hawaii Pay Range: $252,519\.96 USD \- $378,779\.93 USD Washington DC Pay Range: $276,569\.48 USD \- $414,854\.21 USD Maryland Pay Range: $228,470\.44 USD \- $414,854\.21 USD Minnesota Pay Range: $216,445\.68 USD \- $378,779\.93 USD New York Pay Range: $228,470\.44 USD \- $450,928\.49 USD Washington Pay Range: $216,445\.68 USD \- $432,891\.35 USD New Jersey Pay Range: $240,495\.20 USD \- $432,891\.35 USD Vermont Pay Range: $228,470\.44 USD \- $360,742\.79 USD Massachusetts Pay Range: $240,495\.20 USD \- $432,891\.35 USD California Pay Range: $216,445\.68 USD \- $400,825\.32
 Comcast intends to offer the selected candidate base pay within this range, dependent on job\-related, non\-discriminatory factors such as experience. The application window is 30 days from the date job is posted, unless the number of applicants requires it to close sooner or later.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15 Years \+</t>
        </is>
      </c>
    </row>
    <row r="50">
      <c r="A50" t="inlineStr">
        <is>
          <t>li-4355292955</t>
        </is>
      </c>
      <c r="B50" t="inlineStr">
        <is>
          <t>AI Engineer (Back-End)</t>
        </is>
      </c>
      <c r="C50" t="inlineStr">
        <is>
          <t>Jobot</t>
        </is>
      </c>
      <c r="D50" t="inlineStr">
        <is>
          <t>linkedin</t>
        </is>
      </c>
      <c r="E50">
        <f>HYPERLINK("https://www.linkedin.com/jobs/view/4355292955", "https://www.linkedin.com/jobs/view/4355292955")</f>
        <v/>
      </c>
      <c r="F50" t="inlineStr"/>
      <c r="G50" t="inlineStr">
        <is>
          <t>Boulder, CO</t>
        </is>
      </c>
      <c r="H50" t="inlineStr"/>
      <c r="I50" t="inlineStr">
        <is>
          <t>Want to learn more about this role and Jobot? Click our Jobot logo and follow our LinkedIn page!
 Job details
 This Jobot Job is hosted by Christina Finster
 Are you a fit? Easy Apply now by clicking the "Easy Apply" button and sending us your resume.
 Salary $160,000 \- $190,000 per year
**A Bit About Us**
 Our Client is a fast\-growing, data\-driven startup based in Boulder, Colorado, helping homeowners take better care of their land through smarter, sustainable, and AI\-powered lawn care.
 Now they’re building the future of lawn care — powered by AI — and looking for an engineer excited to develop intelligent systems that learn, reason, and act.
****Why join us?****
 🌿 Mission with Impact Help make sustainable, intelligent lawn care accessible to everyone.
 🚀 High\-Growth Startup Small, fast\-paced team where your work directly shapes the product.
 🧠 Cutting\-Edge Tech Build AI systems leveraging OpenAI, LangChain, and computer vision.
 💡 Flexible Work Remote\-friendly with optional HQ collaboration in Boulder, CO.
 💰 Competitive Pay \&amp; Equity Plus, 100% employer\-paid health benefits, unlimited PTO, and 401(k).
**Job Details**
 We’re searching for a Software Engineer with deep AI/ML experience to join our clients Yard AI initiative — building the next generation of autonomous, AI\-driven lawn care tools.
 You’ll work on the companys AI lawn care companion, scaling capabilities that include image recognition (weeds, bare spots, lawn health), personalized task calendars, and intelligent conversational workflows that help customers take action.
 This role is ideal for someone who thrives at the intersection of backend engineering and applied AI — developing, deploying, and optimizing LLM and multi\-agent systems that integrate directly into user\-facing applications.
 REQUIREMENT You must reside in one of the following states AR, CA, CO, CT, HI, MA, ME, MI, MN, MO, NC, NV, NY, OK, PA, TX, UT, VT, or WA.
 What You’ll Do
 Design, build, and maintain backend \+ AI pipelines (FastAPI, Python) powering LLM\-driven chat, image recognition, and agentic workflows
 Develop and deploy agentic AI systems using frameworks like LangChain, CrewAI, or LangGraph
 Create RAG pipelines using vector databases (Pinecone, Weaviate, PGvector) and proprietary data to improve contextual relevance
 Collaborate with cross\-functional teams — product, design, mobile, and data science — to deliver high\-impact, intelligent features
 Fine\-tune and evaluate LLM/CV models using tools like OpenAI Evals, Braintrust, or Promptfoo
 Deploy and monitor production systems in GCP/Kubernetes, ensuring reliability and observability with OpenTelemetry
 Mentor other engineers on AI best practices and agentic architectures
 What We’re Looking For
 5\+ years of experience in software or AI engineering
**Strong Python Development Skills With Production Experience**
 Hands\-on experience with OpenAI APIs (Assistants, Evals, SDKs)
 Proven experience building RAG and multi\-agent systems
 Familiarity with LangChain, CrewAI, LangGraph, or similar orchestration tools
 Experience deploying AI models in GCP or AWS environments
 Understanding of CI/CD, Terraform/CDK, and cloud\-native operations
 Strong communication and collaboration skills
 Bonus familiarity with computer vision, reinforcement learning, or MCP servers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2026-02-01T04:36:53Z</dcterms:created>
  <dcterms:modified xsi:type="dcterms:W3CDTF">2026-02-01T04:36:53Z</dcterms:modified>
</cp:coreProperties>
</file>