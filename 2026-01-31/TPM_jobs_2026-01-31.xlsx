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in-e37c2fa67d6453e0</t>
        </is>
      </c>
      <c r="B2" t="inlineStr">
        <is>
          <t>Global Signage &amp; Wayfinding Designer Program Manager, Workplace Design &amp; Construction (WD&amp;C)</t>
        </is>
      </c>
      <c r="C2" t="inlineStr">
        <is>
          <t>Amazon.com</t>
        </is>
      </c>
      <c r="D2" t="inlineStr">
        <is>
          <t>indeed</t>
        </is>
      </c>
      <c r="E2" t="inlineStr"/>
      <c r="F2" t="inlineStr"/>
      <c r="G2" t="inlineStr">
        <is>
          <t>Arlington, VA, US</t>
        </is>
      </c>
      <c r="H2" s="2" t="n">
        <v>45998</v>
      </c>
      <c r="I2"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in-74cac651a2cd5a1f</t>
        </is>
      </c>
      <c r="B3" t="inlineStr">
        <is>
          <t>Global Signage &amp; Wayfinding Designer Program Manager, Workplace Design &amp; Construction (WD&amp;C)</t>
        </is>
      </c>
      <c r="C3" t="inlineStr">
        <is>
          <t>Amazon.com</t>
        </is>
      </c>
      <c r="D3" t="inlineStr">
        <is>
          <t>indeed</t>
        </is>
      </c>
      <c r="E3" t="inlineStr"/>
      <c r="F3" t="inlineStr"/>
      <c r="G3" t="inlineStr">
        <is>
          <t>Seattle, WA, US</t>
        </is>
      </c>
      <c r="H3" s="2" t="n">
        <v>45998</v>
      </c>
      <c r="I3"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in-6df93f774477acc1</t>
        </is>
      </c>
      <c r="B4" t="inlineStr">
        <is>
          <t>Sr. Product Manager, Tech, Stores Privacy</t>
        </is>
      </c>
      <c r="C4" t="inlineStr">
        <is>
          <t>Amazon.com</t>
        </is>
      </c>
      <c r="D4" t="inlineStr">
        <is>
          <t>indeed</t>
        </is>
      </c>
      <c r="E4" t="inlineStr"/>
      <c r="F4" t="inlineStr"/>
      <c r="G4" t="inlineStr">
        <is>
          <t>Arlington, VA, US</t>
        </is>
      </c>
      <c r="H4" s="2" t="n">
        <v>45995</v>
      </c>
      <c r="I4" t="inlineStr">
        <is>
          <t>**DESCRIPTION**
---------------
Are you interested in defining and re\-imagining Amazon's privacy experiences across multiple businesses? If yes, you may have found the perfect role!  
The central Privacy team at Amazon owns customer choices and controls for businesses across Amazon such as data access and data deletion requests. We are looking for an experienced product leader to own the company\-wide roadmap for enhancing customer choices and help us innovate on behalf of our customers around the world.
The successful candidate will be able to think through business and technical integration challenges and drive product strategies and features to solve for them. A demonstrated ability to think strategically and analytically about business and product, with the ability to build and convey compelling value propositions, and work cross\-organizationally to build consensus is critical to this role.  
Key job responsibilities  
* Product strategy and direction: Continually assess the needs of our customers and partners in defining and evolving the product and business strategy.
* Roadmap Planning: Deliver innovative new features, usability and product performance in a consistent cadence of releases. Be the internal and external authority and advocate for your program.
* Ensure consistent execution of product lifecycle processes from concept to launch, driving value\-based prioritization of product development initiatives.
* Requirements Definition: Develop comprehensive product plans incorporating customer needs, defining the competitive arena, and establishing the objectives, strategies, and actions required to achieve business goals. Produce high\-quality requirements docs and effectively prioritize and manage the scope of each product launch to deliver key capabilities on time and on budget.
* Work with tech teams in your organization and others to craft business requirement documents and align on solutions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 5\+ years of technical product or program management experience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in-ed9c36ad42fb49fe</t>
        </is>
      </c>
      <c r="B5" t="inlineStr">
        <is>
          <t>Sr. Product Manager, Tech, Stores Privacy</t>
        </is>
      </c>
      <c r="C5" t="inlineStr">
        <is>
          <t>Amazon.com</t>
        </is>
      </c>
      <c r="D5" t="inlineStr">
        <is>
          <t>indeed</t>
        </is>
      </c>
      <c r="E5" t="inlineStr"/>
      <c r="F5" t="inlineStr"/>
      <c r="G5" t="inlineStr">
        <is>
          <t>Seattle, WA, US</t>
        </is>
      </c>
      <c r="H5" s="2" t="n">
        <v>45995</v>
      </c>
      <c r="I5" t="inlineStr">
        <is>
          <t>**DESCRIPTION**
---------------
Are you interested in defining and re\-imagining Amazon's privacy experiences across multiple businesses? If yes, you may have found the perfect role!  
The central Privacy team at Amazon owns customer choices and controls for businesses across Amazon such as data access and data deletion requests. We are looking for an experienced product leader to own the company\-wide roadmap for enhancing customer choices and help us innovate on behalf of our customers around the world.
The successful candidate will be able to think through business and technical integration challenges and drive product strategies and features to solve for them. A demonstrated ability to think strategically and analytically about business and product, with the ability to build and convey compelling value propositions, and work cross\-organizationally to build consensus is critical to this role.  
Key job responsibilities  
* Product strategy and direction: Continually assess the needs of our customers and partners in defining and evolving the product and business strategy.
* Roadmap Planning: Deliver innovative new features, usability and product performance in a consistent cadence of releases. Be the internal and external authority and advocate for your program.
* Ensure consistent execution of product lifecycle processes from concept to launch, driving value\-based prioritization of product development initiatives.
* Requirements Definition: Develop comprehensive product plans incorporating customer needs, defining the competitive arena, and establishing the objectives, strategies, and actions required to achieve business goals. Produce high\-quality requirements docs and effectively prioritize and manage the scope of each product launch to deliver key capabilities on time and on budget.
* Work with tech teams in your organization and others to craft business requirement documents and align on solutions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 5\+ years of technical product or program management experience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in-344092f7a8649e4d</t>
        </is>
      </c>
      <c r="B6" t="inlineStr">
        <is>
          <t>Sr. Product Manager, Tech, Stores Privacy</t>
        </is>
      </c>
      <c r="C6" t="inlineStr">
        <is>
          <t>Amazon.com</t>
        </is>
      </c>
      <c r="D6" t="inlineStr">
        <is>
          <t>indeed</t>
        </is>
      </c>
      <c r="E6" t="inlineStr"/>
      <c r="F6" t="inlineStr"/>
      <c r="G6" t="inlineStr">
        <is>
          <t>Austin, TX, US</t>
        </is>
      </c>
      <c r="H6" s="2" t="n">
        <v>45995</v>
      </c>
      <c r="I6" t="inlineStr">
        <is>
          <t>**DESCRIPTION**
---------------
Are you interested in defining and re\-imagining Amazon's privacy experiences across multiple businesses? If yes, you may have found the perfect role!  
The central Privacy team at Amazon owns customer choices and controls for businesses across Amazon such as data access and data deletion requests. We are looking for an experienced product leader to own the company\-wide roadmap for enhancing customer choices and help us innovate on behalf of our customers around the world.
The successful candidate will be able to think through business and technical integration challenges and drive product strategies and features to solve for them. A demonstrated ability to think strategically and analytically about business and product, with the ability to build and convey compelling value propositions, and work cross\-organizationally to build consensus is critical to this role.  
Key job responsibilities  
* Product strategy and direction: Continually assess the needs of our customers and partners in defining and evolving the product and business strategy.
* Roadmap Planning: Deliver innovative new features, usability and product performance in a consistent cadence of releases. Be the internal and external authority and advocate for your program.
* Ensure consistent execution of product lifecycle processes from concept to launch, driving value\-based prioritization of product development initiatives.
* Requirements Definition: Develop comprehensive product plans incorporating customer needs, defining the competitive arena, and establishing the objectives, strategies, and actions required to achieve business goals. Produce high\-quality requirements docs and effectively prioritize and manage the scope of each product launch to deliver key capabilities on time and on budget.
* Work with tech teams in your organization and others to craft business requirement documents and align on solutions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 5\+ years of technical product or program management experience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in-dce008e4c4662995</t>
        </is>
      </c>
      <c r="B7" t="inlineStr">
        <is>
          <t>Senior Product Manager, Ads</t>
        </is>
      </c>
      <c r="C7" t="inlineStr">
        <is>
          <t>Amazon.com</t>
        </is>
      </c>
      <c r="D7" t="inlineStr">
        <is>
          <t>indeed</t>
        </is>
      </c>
      <c r="E7" t="inlineStr"/>
      <c r="F7" t="inlineStr"/>
      <c r="G7" t="inlineStr">
        <is>
          <t>Los Angeles, CA, US</t>
        </is>
      </c>
      <c r="H7" s="2" t="n">
        <v>45994</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in-24887b78266d7bbe</t>
        </is>
      </c>
      <c r="B8" t="inlineStr">
        <is>
          <t>Senior Product Manager, Ads</t>
        </is>
      </c>
      <c r="C8" t="inlineStr">
        <is>
          <t>Amazon.com</t>
        </is>
      </c>
      <c r="D8" t="inlineStr">
        <is>
          <t>indeed</t>
        </is>
      </c>
      <c r="E8" t="inlineStr"/>
      <c r="F8" t="inlineStr"/>
      <c r="G8" t="inlineStr">
        <is>
          <t>Seattle, WA, US</t>
        </is>
      </c>
      <c r="H8" s="2" t="n">
        <v>45994</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in-c0e38401eca5bdc1</t>
        </is>
      </c>
      <c r="B9" t="inlineStr">
        <is>
          <t>Senior Product Manager, Ads</t>
        </is>
      </c>
      <c r="C9" t="inlineStr">
        <is>
          <t>Amazon.com</t>
        </is>
      </c>
      <c r="D9" t="inlineStr">
        <is>
          <t>indeed</t>
        </is>
      </c>
      <c r="E9" t="inlineStr"/>
      <c r="F9" t="inlineStr"/>
      <c r="G9" t="inlineStr">
        <is>
          <t>Los Angeles, CA, US</t>
        </is>
      </c>
      <c r="H9" s="2" t="n">
        <v>45994</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in-6863be73a443c24d</t>
        </is>
      </c>
      <c r="B10" t="inlineStr">
        <is>
          <t>Senior Product Manager, Ads</t>
        </is>
      </c>
      <c r="C10" t="inlineStr">
        <is>
          <t>Amazon.com</t>
        </is>
      </c>
      <c r="D10" t="inlineStr">
        <is>
          <t>indeed</t>
        </is>
      </c>
      <c r="E10" t="inlineStr"/>
      <c r="F10" t="inlineStr"/>
      <c r="G10" t="inlineStr">
        <is>
          <t>New York, NY, US</t>
        </is>
      </c>
      <c r="H10" s="2" t="n">
        <v>45994</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in-73896ea140a4758b</t>
        </is>
      </c>
      <c r="B11" t="inlineStr">
        <is>
          <t>Senior Product Manager, Ads</t>
        </is>
      </c>
      <c r="C11" t="inlineStr">
        <is>
          <t>Amazon.com</t>
        </is>
      </c>
      <c r="D11" t="inlineStr">
        <is>
          <t>indeed</t>
        </is>
      </c>
      <c r="E11" t="inlineStr"/>
      <c r="F11" t="inlineStr"/>
      <c r="G11" t="inlineStr">
        <is>
          <t>New York, NY, US</t>
        </is>
      </c>
      <c r="H11" s="2" t="n">
        <v>45994</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in-d92f1afda524db81</t>
        </is>
      </c>
      <c r="B12" t="inlineStr">
        <is>
          <t>Senior Product Manager, Ads</t>
        </is>
      </c>
      <c r="C12" t="inlineStr">
        <is>
          <t>Amazon.com</t>
        </is>
      </c>
      <c r="D12" t="inlineStr">
        <is>
          <t>indeed</t>
        </is>
      </c>
      <c r="E12" t="inlineStr"/>
      <c r="F12" t="inlineStr"/>
      <c r="G12" t="inlineStr">
        <is>
          <t>San Francisco, CA, US</t>
        </is>
      </c>
      <c r="H12" s="2" t="n">
        <v>45994</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in-a9d002ae41d49a5d</t>
        </is>
      </c>
      <c r="B13" t="inlineStr">
        <is>
          <t>Senior Product Manager, Ads</t>
        </is>
      </c>
      <c r="C13" t="inlineStr">
        <is>
          <t>Amazon.com</t>
        </is>
      </c>
      <c r="D13" t="inlineStr">
        <is>
          <t>indeed</t>
        </is>
      </c>
      <c r="E13" t="inlineStr"/>
      <c r="F13" t="inlineStr"/>
      <c r="G13" t="inlineStr">
        <is>
          <t>Seattle, WA, US</t>
        </is>
      </c>
      <c r="H13" s="2" t="n">
        <v>45994</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in-db32f69c7c3135d2</t>
        </is>
      </c>
      <c r="B14" t="inlineStr">
        <is>
          <t>Senior Product Manager, Ads</t>
        </is>
      </c>
      <c r="C14" t="inlineStr">
        <is>
          <t>Amazon.com</t>
        </is>
      </c>
      <c r="D14" t="inlineStr">
        <is>
          <t>indeed</t>
        </is>
      </c>
      <c r="E14" t="inlineStr"/>
      <c r="F14" t="inlineStr"/>
      <c r="G14" t="inlineStr">
        <is>
          <t>San Francisco, CA, US</t>
        </is>
      </c>
      <c r="H14" s="2" t="n">
        <v>45994</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in-92a4d2e2824ac023</t>
        </is>
      </c>
      <c r="B15" t="inlineStr">
        <is>
          <t>Senior Product Manager, Ads</t>
        </is>
      </c>
      <c r="C15" t="inlineStr">
        <is>
          <t>Amazon.com</t>
        </is>
      </c>
      <c r="D15" t="inlineStr">
        <is>
          <t>indeed</t>
        </is>
      </c>
      <c r="E15" t="inlineStr"/>
      <c r="F15" t="inlineStr"/>
      <c r="G15" t="inlineStr">
        <is>
          <t>Irvine, CA, US</t>
        </is>
      </c>
      <c r="H15" s="2" t="n">
        <v>45994</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in-a241ef7572b926fd</t>
        </is>
      </c>
      <c r="B16" t="inlineStr">
        <is>
          <t>Senior Product Manager, Ads</t>
        </is>
      </c>
      <c r="C16" t="inlineStr">
        <is>
          <t>Amazon.com</t>
        </is>
      </c>
      <c r="D16" t="inlineStr">
        <is>
          <t>indeed</t>
        </is>
      </c>
      <c r="E16" t="inlineStr"/>
      <c r="F16" t="inlineStr"/>
      <c r="G16" t="inlineStr">
        <is>
          <t>Irvine, CA, US</t>
        </is>
      </c>
      <c r="H16" s="2" t="n">
        <v>45994</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in-056676c4e50e3d06</t>
        </is>
      </c>
      <c r="B17" t="inlineStr">
        <is>
          <t>Sr. Product Manager</t>
        </is>
      </c>
      <c r="C17" t="inlineStr">
        <is>
          <t>Amazon.com</t>
        </is>
      </c>
      <c r="D17" t="inlineStr">
        <is>
          <t>indeed</t>
        </is>
      </c>
      <c r="E17" t="inlineStr"/>
      <c r="F17" t="inlineStr"/>
      <c r="G17" t="inlineStr">
        <is>
          <t>Los Angeles, CA, US</t>
        </is>
      </c>
      <c r="H17" s="2" t="n">
        <v>45979</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in-e75ee20a143e5deb</t>
        </is>
      </c>
      <c r="B18" t="inlineStr">
        <is>
          <t>Sr. Product Manager</t>
        </is>
      </c>
      <c r="C18" t="inlineStr">
        <is>
          <t>Amazon.com</t>
        </is>
      </c>
      <c r="D18" t="inlineStr">
        <is>
          <t>indeed</t>
        </is>
      </c>
      <c r="E18" t="inlineStr"/>
      <c r="F18" t="inlineStr"/>
      <c r="G18" t="inlineStr">
        <is>
          <t>Seattle, WA, US</t>
        </is>
      </c>
      <c r="H18" s="2" t="n">
        <v>45979</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in-05c28a49dd33e905</t>
        </is>
      </c>
      <c r="B19" t="inlineStr">
        <is>
          <t>Sr. Product Manager</t>
        </is>
      </c>
      <c r="C19" t="inlineStr">
        <is>
          <t>Amazon.com</t>
        </is>
      </c>
      <c r="D19" t="inlineStr">
        <is>
          <t>indeed</t>
        </is>
      </c>
      <c r="E19" t="inlineStr"/>
      <c r="F19" t="inlineStr"/>
      <c r="G19" t="inlineStr">
        <is>
          <t>New York, NY, US</t>
        </is>
      </c>
      <c r="H19" s="2" t="n">
        <v>45979</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in-1446ce609faa82f0</t>
        </is>
      </c>
      <c r="B20" t="inlineStr">
        <is>
          <t>Sr. Product Manager</t>
        </is>
      </c>
      <c r="C20" t="inlineStr">
        <is>
          <t>Amazon.com</t>
        </is>
      </c>
      <c r="D20" t="inlineStr">
        <is>
          <t>indeed</t>
        </is>
      </c>
      <c r="E20" t="inlineStr"/>
      <c r="F20" t="inlineStr"/>
      <c r="G20" t="inlineStr">
        <is>
          <t>San Francisco, CA, US</t>
        </is>
      </c>
      <c r="H20" s="2" t="n">
        <v>45979</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in-5433949e34154472</t>
        </is>
      </c>
      <c r="B21" t="inlineStr">
        <is>
          <t>Sr. Product Manager</t>
        </is>
      </c>
      <c r="C21" t="inlineStr">
        <is>
          <t>Amazon.com</t>
        </is>
      </c>
      <c r="D21" t="inlineStr">
        <is>
          <t>indeed</t>
        </is>
      </c>
      <c r="E21" t="inlineStr"/>
      <c r="F21" t="inlineStr"/>
      <c r="G21" t="inlineStr">
        <is>
          <t>Irvine, CA, US</t>
        </is>
      </c>
      <c r="H21" s="2" t="n">
        <v>45979</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in-da4a99be76794720</t>
        </is>
      </c>
      <c r="B22" t="inlineStr">
        <is>
          <t>Program Manager, Executive Content and Programs, Global Executive Marketing</t>
        </is>
      </c>
      <c r="C22" t="inlineStr">
        <is>
          <t>Amazon Web Services</t>
        </is>
      </c>
      <c r="D22" t="inlineStr">
        <is>
          <t>indeed</t>
        </is>
      </c>
      <c r="E22" t="inlineStr"/>
      <c r="F22" t="inlineStr"/>
      <c r="G22" t="inlineStr">
        <is>
          <t>Seattle, WA, US</t>
        </is>
      </c>
      <c r="H22" s="2" t="n">
        <v>45970</v>
      </c>
      <c r="I22"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in-54b481bd29c108f2</t>
        </is>
      </c>
      <c r="B23" t="inlineStr">
        <is>
          <t>Program Manager, Executive Content and Programs, Global Executive Marketing</t>
        </is>
      </c>
      <c r="C23" t="inlineStr">
        <is>
          <t>Amazon Web Services</t>
        </is>
      </c>
      <c r="D23" t="inlineStr">
        <is>
          <t>indeed</t>
        </is>
      </c>
      <c r="E23" t="inlineStr"/>
      <c r="F23" t="inlineStr"/>
      <c r="G23" t="inlineStr">
        <is>
          <t>Arlington, VA, US</t>
        </is>
      </c>
      <c r="H23" s="2" t="n">
        <v>45970</v>
      </c>
      <c r="I23"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in-9a26b845182641e4</t>
        </is>
      </c>
      <c r="B24" t="inlineStr">
        <is>
          <t>Senior Product Manager, Sub Same Day</t>
        </is>
      </c>
      <c r="C24" t="inlineStr">
        <is>
          <t>Amazon.com</t>
        </is>
      </c>
      <c r="D24" t="inlineStr">
        <is>
          <t>indeed</t>
        </is>
      </c>
      <c r="E24" t="inlineStr"/>
      <c r="F24" t="inlineStr"/>
      <c r="G24" t="inlineStr">
        <is>
          <t>Bellevue, WA, US</t>
        </is>
      </c>
      <c r="H24" s="2" t="n">
        <v>45957</v>
      </c>
      <c r="I24"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in-b45eb308ba70734e</t>
        </is>
      </c>
      <c r="B25" t="inlineStr">
        <is>
          <t>Senior Product Manager, Sub Same Day</t>
        </is>
      </c>
      <c r="C25" t="inlineStr">
        <is>
          <t>Amazon.com</t>
        </is>
      </c>
      <c r="D25" t="inlineStr">
        <is>
          <t>indeed</t>
        </is>
      </c>
      <c r="E25" t="inlineStr"/>
      <c r="F25" t="inlineStr"/>
      <c r="G25" t="inlineStr">
        <is>
          <t>New York, NY, US</t>
        </is>
      </c>
      <c r="H25" s="2" t="n">
        <v>45957</v>
      </c>
      <c r="I25"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in-f30f68c1876243b6</t>
        </is>
      </c>
      <c r="B26" t="inlineStr">
        <is>
          <t>Senior Product Manager, Sub Same Day</t>
        </is>
      </c>
      <c r="C26" t="inlineStr">
        <is>
          <t>Amazon.com</t>
        </is>
      </c>
      <c r="D26" t="inlineStr">
        <is>
          <t>indeed</t>
        </is>
      </c>
      <c r="E26" t="inlineStr"/>
      <c r="F26" t="inlineStr"/>
      <c r="G26" t="inlineStr">
        <is>
          <t>Nashville, TN, US</t>
        </is>
      </c>
      <c r="H26" s="2" t="n">
        <v>45957</v>
      </c>
      <c r="I26"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in-fceb6a5d8c11ca56</t>
        </is>
      </c>
      <c r="B27" t="inlineStr">
        <is>
          <t>Sr. Program Manager, Planning &amp; Automation, Global Fleet and Products Electrification and Infrastructure</t>
        </is>
      </c>
      <c r="C27" t="inlineStr">
        <is>
          <t>Amazon.com</t>
        </is>
      </c>
      <c r="D27" t="inlineStr">
        <is>
          <t>indeed</t>
        </is>
      </c>
      <c r="E27" t="inlineStr"/>
      <c r="F27" t="inlineStr"/>
      <c r="G27" t="inlineStr">
        <is>
          <t>Bellevue, WA, US</t>
        </is>
      </c>
      <c r="H27" s="2" t="n">
        <v>45949</v>
      </c>
      <c r="I27"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in-515a3d5464df2be8</t>
        </is>
      </c>
      <c r="B28" t="inlineStr">
        <is>
          <t>Sr. Program Manager, Planning &amp; Automation, Global Fleet and Products Electrification and Infrastructure</t>
        </is>
      </c>
      <c r="C28" t="inlineStr">
        <is>
          <t>Amazon.com</t>
        </is>
      </c>
      <c r="D28" t="inlineStr">
        <is>
          <t>indeed</t>
        </is>
      </c>
      <c r="E28" t="inlineStr"/>
      <c r="F28" t="inlineStr"/>
      <c r="G28" t="inlineStr">
        <is>
          <t>Nashville, TN, US</t>
        </is>
      </c>
      <c r="H28" s="2" t="n">
        <v>45949</v>
      </c>
      <c r="I28"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in-8c2355bcaf6099a1</t>
        </is>
      </c>
      <c r="B29" t="inlineStr">
        <is>
          <t>Sr. Program Manager, Planning &amp; Automation, Global Fleet and Products Electrification and Infrastructure</t>
        </is>
      </c>
      <c r="C29" t="inlineStr">
        <is>
          <t>Amazon.com</t>
        </is>
      </c>
      <c r="D29" t="inlineStr">
        <is>
          <t>indeed</t>
        </is>
      </c>
      <c r="E29" t="inlineStr"/>
      <c r="F29" t="inlineStr"/>
      <c r="G29" t="inlineStr">
        <is>
          <t>San Francisco, CA, US</t>
        </is>
      </c>
      <c r="H29" s="2" t="n">
        <v>45949</v>
      </c>
      <c r="I29"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in-c22f80019bb73560</t>
        </is>
      </c>
      <c r="B30" t="inlineStr">
        <is>
          <t>Sr Program Manager, Procurement Operations, SSD OI</t>
        </is>
      </c>
      <c r="C30" t="inlineStr">
        <is>
          <t>Amazon.com</t>
        </is>
      </c>
      <c r="D30" t="inlineStr">
        <is>
          <t>indeed</t>
        </is>
      </c>
      <c r="E30" t="inlineStr"/>
      <c r="F30" t="inlineStr"/>
      <c r="G30" t="inlineStr">
        <is>
          <t>New York, NY, US</t>
        </is>
      </c>
      <c r="H30" s="2" t="n">
        <v>45938</v>
      </c>
      <c r="I30"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in-0cb89a8d7380b080</t>
        </is>
      </c>
      <c r="B31" t="inlineStr">
        <is>
          <t>Sr Program Manager, Procurement Operations, SSD OI</t>
        </is>
      </c>
      <c r="C31" t="inlineStr">
        <is>
          <t>Amazon.com</t>
        </is>
      </c>
      <c r="D31" t="inlineStr">
        <is>
          <t>indeed</t>
        </is>
      </c>
      <c r="E31" t="inlineStr"/>
      <c r="F31" t="inlineStr"/>
      <c r="G31" t="inlineStr">
        <is>
          <t>Nashville, TN, US</t>
        </is>
      </c>
      <c r="H31" s="2" t="n">
        <v>45938</v>
      </c>
      <c r="I31"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in-2ad54d3a638d5377</t>
        </is>
      </c>
      <c r="B32" t="inlineStr">
        <is>
          <t>Sr Program Manager, Procurement Operations, SSD OI</t>
        </is>
      </c>
      <c r="C32" t="inlineStr">
        <is>
          <t>Amazon.com</t>
        </is>
      </c>
      <c r="D32" t="inlineStr">
        <is>
          <t>indeed</t>
        </is>
      </c>
      <c r="E32" t="inlineStr"/>
      <c r="F32" t="inlineStr"/>
      <c r="G32" t="inlineStr">
        <is>
          <t>Bellevue, WA, US</t>
        </is>
      </c>
      <c r="H32" s="2" t="n">
        <v>45938</v>
      </c>
      <c r="I32"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in-3ec248069454d78b</t>
        </is>
      </c>
      <c r="B33" t="inlineStr">
        <is>
          <t>Sr. Supply Chain Product Manager, Amazon Custom Modules</t>
        </is>
      </c>
      <c r="C33" t="inlineStr">
        <is>
          <t>Amazon.com</t>
        </is>
      </c>
      <c r="D33" t="inlineStr">
        <is>
          <t>indeed</t>
        </is>
      </c>
      <c r="E33" t="inlineStr"/>
      <c r="F33" t="inlineStr"/>
      <c r="G33" t="inlineStr">
        <is>
          <t>Cupertino, CA, US</t>
        </is>
      </c>
      <c r="H33" s="2" t="n">
        <v>45935</v>
      </c>
      <c r="I3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in-e6e8a4006af92bf1</t>
        </is>
      </c>
      <c r="B34" t="inlineStr">
        <is>
          <t>Sr. Supply Chain Product Manager, Amazon Custom Modules</t>
        </is>
      </c>
      <c r="C34" t="inlineStr">
        <is>
          <t>Amazon.com</t>
        </is>
      </c>
      <c r="D34" t="inlineStr">
        <is>
          <t>indeed</t>
        </is>
      </c>
      <c r="E34" t="inlineStr"/>
      <c r="F34" t="inlineStr"/>
      <c r="G34" t="inlineStr">
        <is>
          <t>Seattle, WA, US</t>
        </is>
      </c>
      <c r="H34" s="2" t="n">
        <v>45935</v>
      </c>
      <c r="I3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in-bda4437f88debb10</t>
        </is>
      </c>
      <c r="B35" t="inlineStr">
        <is>
          <t>Sr. Supply Chain Product Manager, Amazon Custom Modules</t>
        </is>
      </c>
      <c r="C35" t="inlineStr">
        <is>
          <t>Amazon.com</t>
        </is>
      </c>
      <c r="D35" t="inlineStr">
        <is>
          <t>indeed</t>
        </is>
      </c>
      <c r="E35" t="inlineStr"/>
      <c r="F35" t="inlineStr"/>
      <c r="G35" t="inlineStr">
        <is>
          <t>Austin, TX, US</t>
        </is>
      </c>
      <c r="H35" s="2" t="n">
        <v>45935</v>
      </c>
      <c r="I3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in-d649a5129a2ec239</t>
        </is>
      </c>
      <c r="B36" t="inlineStr">
        <is>
          <t>Sr. Program Manager, Same Day Programs,</t>
        </is>
      </c>
      <c r="C36" t="inlineStr">
        <is>
          <t>Amazon.com</t>
        </is>
      </c>
      <c r="D36" t="inlineStr">
        <is>
          <t>indeed</t>
        </is>
      </c>
      <c r="E36" t="inlineStr"/>
      <c r="F36" t="inlineStr"/>
      <c r="G36" t="inlineStr">
        <is>
          <t>Nashville, TN, US</t>
        </is>
      </c>
      <c r="H36" s="2" t="n">
        <v>45931</v>
      </c>
      <c r="I3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in-531a0da174ca1eb7</t>
        </is>
      </c>
      <c r="B37" t="inlineStr">
        <is>
          <t>Sr. Program Manager, Same Day Programs,</t>
        </is>
      </c>
      <c r="C37" t="inlineStr">
        <is>
          <t>Amazon.com</t>
        </is>
      </c>
      <c r="D37" t="inlineStr">
        <is>
          <t>indeed</t>
        </is>
      </c>
      <c r="E37" t="inlineStr"/>
      <c r="F37" t="inlineStr"/>
      <c r="G37" t="inlineStr">
        <is>
          <t>Bellevue, WA, US</t>
        </is>
      </c>
      <c r="H37" s="2" t="n">
        <v>45931</v>
      </c>
      <c r="I3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in-b9afac4ba90f07b7</t>
        </is>
      </c>
      <c r="B38" t="inlineStr">
        <is>
          <t>Sr. Program Manager, Same Day Programs</t>
        </is>
      </c>
      <c r="C38" t="inlineStr">
        <is>
          <t>Amazon.com</t>
        </is>
      </c>
      <c r="D38" t="inlineStr">
        <is>
          <t>indeed</t>
        </is>
      </c>
      <c r="E38" t="inlineStr"/>
      <c r="F38" t="inlineStr"/>
      <c r="G38" t="inlineStr">
        <is>
          <t>Bellevue, WA, US</t>
        </is>
      </c>
      <c r="H38" s="2" t="n">
        <v>45931</v>
      </c>
      <c r="I3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in-40c089fa862edcb9</t>
        </is>
      </c>
      <c r="B39" t="inlineStr">
        <is>
          <t>Sr. Program Manager, Same Day Programs</t>
        </is>
      </c>
      <c r="C39" t="inlineStr">
        <is>
          <t>Amazon.com</t>
        </is>
      </c>
      <c r="D39" t="inlineStr">
        <is>
          <t>indeed</t>
        </is>
      </c>
      <c r="E39" t="inlineStr"/>
      <c r="F39" t="inlineStr"/>
      <c r="G39" t="inlineStr">
        <is>
          <t>Nashville, TN, US</t>
        </is>
      </c>
      <c r="H39" s="2" t="n">
        <v>45931</v>
      </c>
      <c r="I3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in-ddf2bf47096dc40c</t>
        </is>
      </c>
      <c r="B40" t="inlineStr">
        <is>
          <t>Tech Infrastructure Program Manager - AV , IT Services - CIS</t>
        </is>
      </c>
      <c r="C40" t="inlineStr">
        <is>
          <t>Amazon.com</t>
        </is>
      </c>
      <c r="D40" t="inlineStr">
        <is>
          <t>indeed</t>
        </is>
      </c>
      <c r="E40" t="inlineStr"/>
      <c r="F40" t="inlineStr"/>
      <c r="G40" t="inlineStr">
        <is>
          <t>Austin, TX, US</t>
        </is>
      </c>
      <c r="H40" s="2" t="n">
        <v>45923</v>
      </c>
      <c r="I40"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in-42a70b4bc684fa17</t>
        </is>
      </c>
      <c r="B41" t="inlineStr">
        <is>
          <t>Tech Infrastructure Program Manager - AV , IT Services - CIS</t>
        </is>
      </c>
      <c r="C41" t="inlineStr">
        <is>
          <t>Amazon.com</t>
        </is>
      </c>
      <c r="D41" t="inlineStr">
        <is>
          <t>indeed</t>
        </is>
      </c>
      <c r="E41" t="inlineStr"/>
      <c r="F41" t="inlineStr"/>
      <c r="G41" t="inlineStr">
        <is>
          <t>Arlington, VA, US</t>
        </is>
      </c>
      <c r="H41" s="2" t="n">
        <v>45923</v>
      </c>
      <c r="I41"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in-6a6f06aa907577ea</t>
        </is>
      </c>
      <c r="B42" t="inlineStr">
        <is>
          <t>Tech Infrastructure Program Manager - AV , IT Services - CIS</t>
        </is>
      </c>
      <c r="C42" t="inlineStr">
        <is>
          <t>Amazon.com</t>
        </is>
      </c>
      <c r="D42" t="inlineStr">
        <is>
          <t>indeed</t>
        </is>
      </c>
      <c r="E42" t="inlineStr"/>
      <c r="F42" t="inlineStr"/>
      <c r="G42" t="inlineStr">
        <is>
          <t>Seattle, WA, US</t>
        </is>
      </c>
      <c r="H42" s="2" t="n">
        <v>45923</v>
      </c>
      <c r="I42"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in-19dcbdd95b8cd854</t>
        </is>
      </c>
      <c r="B43" t="inlineStr">
        <is>
          <t>Tech Infrastructure Program Manager - AV , IT Services - CIS</t>
        </is>
      </c>
      <c r="C43" t="inlineStr">
        <is>
          <t>Amazon.com</t>
        </is>
      </c>
      <c r="D43" t="inlineStr">
        <is>
          <t>indeed</t>
        </is>
      </c>
      <c r="E43" t="inlineStr"/>
      <c r="F43" t="inlineStr"/>
      <c r="G43" t="inlineStr">
        <is>
          <t>Sunnyvale, CA, US</t>
        </is>
      </c>
      <c r="H43" s="2" t="n">
        <v>45923</v>
      </c>
      <c r="I43"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in-1bba12540746ee83</t>
        </is>
      </c>
      <c r="B44" t="inlineStr">
        <is>
          <t>Amazon Last Mile Fleet Program Manager, In Life Services-Recalls, Retrofits, and Tires</t>
        </is>
      </c>
      <c r="C44" t="inlineStr">
        <is>
          <t>Amazon.com</t>
        </is>
      </c>
      <c r="D44" t="inlineStr">
        <is>
          <t>indeed</t>
        </is>
      </c>
      <c r="E44" t="inlineStr"/>
      <c r="F44" t="inlineStr"/>
      <c r="G44" t="inlineStr">
        <is>
          <t>Bellevue, WA, US</t>
        </is>
      </c>
      <c r="H44" s="2" t="n">
        <v>45911</v>
      </c>
      <c r="I4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in-47abae5c1735f778</t>
        </is>
      </c>
      <c r="B45" t="inlineStr">
        <is>
          <t>Amazon Last Mile Fleet Program Manager, In Life Services-Recalls, Retrofits, and Tires</t>
        </is>
      </c>
      <c r="C45" t="inlineStr">
        <is>
          <t>Amazon.com</t>
        </is>
      </c>
      <c r="D45" t="inlineStr">
        <is>
          <t>indeed</t>
        </is>
      </c>
      <c r="E45" t="inlineStr"/>
      <c r="F45" t="inlineStr"/>
      <c r="G45" t="inlineStr">
        <is>
          <t>Arlington, VA, US</t>
        </is>
      </c>
      <c r="H45" s="2" t="n">
        <v>45911</v>
      </c>
      <c r="I4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in-c102f464f5702069</t>
        </is>
      </c>
      <c r="B46" t="inlineStr">
        <is>
          <t>Amazon Last Mile Fleet Program Manager, In Life Services-Recalls, Retrofits, and Tires</t>
        </is>
      </c>
      <c r="C46" t="inlineStr">
        <is>
          <t>Amazon.com</t>
        </is>
      </c>
      <c r="D46" t="inlineStr">
        <is>
          <t>indeed</t>
        </is>
      </c>
      <c r="E46" t="inlineStr"/>
      <c r="F46" t="inlineStr"/>
      <c r="G46" t="inlineStr">
        <is>
          <t>Nashville, TN, US</t>
        </is>
      </c>
      <c r="H46" s="2" t="n">
        <v>45911</v>
      </c>
      <c r="I46"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in-82d8f39ff6845f16</t>
        </is>
      </c>
      <c r="B47" t="inlineStr">
        <is>
          <t>Sr. EHS Program Manager, Safety Learning and Development</t>
        </is>
      </c>
      <c r="C47" t="inlineStr">
        <is>
          <t>Amazon.com</t>
        </is>
      </c>
      <c r="D47" t="inlineStr">
        <is>
          <t>indeed</t>
        </is>
      </c>
      <c r="E47" t="inlineStr"/>
      <c r="F47" t="inlineStr"/>
      <c r="G47" t="inlineStr">
        <is>
          <t>Nashville, TN, US</t>
        </is>
      </c>
      <c r="H47" s="2" t="n">
        <v>45910</v>
      </c>
      <c r="I47"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in-40094aa601001d56</t>
        </is>
      </c>
      <c r="B48" t="inlineStr">
        <is>
          <t>Sr. EHS Program Manager, Safety Learning and Development</t>
        </is>
      </c>
      <c r="C48" t="inlineStr">
        <is>
          <t>Amazon.com</t>
        </is>
      </c>
      <c r="D48" t="inlineStr">
        <is>
          <t>indeed</t>
        </is>
      </c>
      <c r="E48" t="inlineStr"/>
      <c r="F48" t="inlineStr"/>
      <c r="G48" t="inlineStr">
        <is>
          <t>Bellevue, WA, US</t>
        </is>
      </c>
      <c r="H48" s="2" t="n">
        <v>45910</v>
      </c>
      <c r="I48"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in-264005c065a35514</t>
        </is>
      </c>
      <c r="B49" t="inlineStr">
        <is>
          <t>Sr. Product Manager, Sub-Same Day (SSD) - DOT, SSD Delivery Ops Tech</t>
        </is>
      </c>
      <c r="C49" t="inlineStr">
        <is>
          <t>Amazon.com</t>
        </is>
      </c>
      <c r="D49" t="inlineStr">
        <is>
          <t>indeed</t>
        </is>
      </c>
      <c r="E49" t="inlineStr"/>
      <c r="F49" t="inlineStr"/>
      <c r="G49" t="inlineStr">
        <is>
          <t>New York, NY, US</t>
        </is>
      </c>
      <c r="H49" s="2" t="n">
        <v>45876</v>
      </c>
      <c r="I49"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in-0e66d066217e0867</t>
        </is>
      </c>
      <c r="B50" t="inlineStr">
        <is>
          <t>Sr. Product Manager, Sub-Same Day (SSD) - DOT, SSD Delivery Ops Tech</t>
        </is>
      </c>
      <c r="C50" t="inlineStr">
        <is>
          <t>Amazon.com</t>
        </is>
      </c>
      <c r="D50" t="inlineStr">
        <is>
          <t>indeed</t>
        </is>
      </c>
      <c r="E50" t="inlineStr"/>
      <c r="F50" t="inlineStr"/>
      <c r="G50" t="inlineStr">
        <is>
          <t>Nashville, TN, US</t>
        </is>
      </c>
      <c r="H50" s="2" t="n">
        <v>45876</v>
      </c>
      <c r="I50"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in-d8ec5ea974dfee25</t>
        </is>
      </c>
      <c r="B51" t="inlineStr">
        <is>
          <t>Sr. Product Manager, Sub-Same Day (SSD) - DOT, SSD Delivery Ops Tech</t>
        </is>
      </c>
      <c r="C51" t="inlineStr">
        <is>
          <t>Amazon.com</t>
        </is>
      </c>
      <c r="D51" t="inlineStr">
        <is>
          <t>indeed</t>
        </is>
      </c>
      <c r="E51" t="inlineStr"/>
      <c r="F51" t="inlineStr"/>
      <c r="G51" t="inlineStr">
        <is>
          <t>Bellevue, WA, US</t>
        </is>
      </c>
      <c r="H51" s="2" t="n">
        <v>45876</v>
      </c>
      <c r="I51"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in-118e357ba8be7727</t>
        </is>
      </c>
      <c r="B52" t="inlineStr">
        <is>
          <t>Principal Product Manager - External Services, End User Computing</t>
        </is>
      </c>
      <c r="C52" t="inlineStr">
        <is>
          <t>Amazon Web Services</t>
        </is>
      </c>
      <c r="D52" t="inlineStr">
        <is>
          <t>indeed</t>
        </is>
      </c>
      <c r="E52" t="inlineStr"/>
      <c r="F52" t="inlineStr"/>
      <c r="G52" t="inlineStr">
        <is>
          <t>Sunnyvale, CA, US</t>
        </is>
      </c>
      <c r="H52" s="2" t="n">
        <v>45876</v>
      </c>
      <c r="I52" t="inlineStr">
        <is>
          <t>**DESCRIPTION**
---------------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features.**BASIC QUALIFICATIONS**
------------------------
* 7\+ years of working as a Technical Product Manager experience
* 7\+ years of technical (software development, network development, IT, other related) experience
**PREFERRED QUALIFICATIONS**
----------------------------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in-8ffaf99678c51660</t>
        </is>
      </c>
      <c r="B53" t="inlineStr">
        <is>
          <t>Principal Product Manager - External Services, End User Computing</t>
        </is>
      </c>
      <c r="C53" t="inlineStr">
        <is>
          <t>Amazon Web Services</t>
        </is>
      </c>
      <c r="D53" t="inlineStr">
        <is>
          <t>indeed</t>
        </is>
      </c>
      <c r="E53" t="inlineStr"/>
      <c r="F53" t="inlineStr"/>
      <c r="G53" t="inlineStr">
        <is>
          <t>Seattle, WA, US</t>
        </is>
      </c>
      <c r="H53" s="2" t="n">
        <v>45876</v>
      </c>
      <c r="I53" t="inlineStr">
        <is>
          <t>**DESCRIPTION**
---------------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features.**BASIC QUALIFICATIONS**
------------------------
* 7\+ years of working as a Technical Product Manager experience
* 7\+ years of technical (software development, network development, IT, other related) experience
**PREFERRED QUALIFICATIONS**
----------------------------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in-95b51bfabfc3b3d3</t>
        </is>
      </c>
      <c r="B54" t="inlineStr">
        <is>
          <t>Senior Product Manager - Tech, Fire TV</t>
        </is>
      </c>
      <c r="C54" t="inlineStr">
        <is>
          <t>Amazon.com</t>
        </is>
      </c>
      <c r="D54" t="inlineStr">
        <is>
          <t>indeed</t>
        </is>
      </c>
      <c r="E54" t="inlineStr"/>
      <c r="F54" t="inlineStr"/>
      <c r="G54" t="inlineStr">
        <is>
          <t>Sunnyvale, CA, US</t>
        </is>
      </c>
      <c r="H54" s="2" t="n">
        <v>45855</v>
      </c>
      <c r="I54"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in-6db32d942ca5c1be</t>
        </is>
      </c>
      <c r="B55" t="inlineStr">
        <is>
          <t>Senior Product Manager - Tech, Fire TV</t>
        </is>
      </c>
      <c r="C55" t="inlineStr">
        <is>
          <t>Amazon.com</t>
        </is>
      </c>
      <c r="D55" t="inlineStr">
        <is>
          <t>indeed</t>
        </is>
      </c>
      <c r="E55" t="inlineStr"/>
      <c r="F55" t="inlineStr"/>
      <c r="G55" t="inlineStr">
        <is>
          <t>Seattle, WA, US</t>
        </is>
      </c>
      <c r="H55" s="2" t="n">
        <v>45855</v>
      </c>
      <c r="I55"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in-56f949ec332d5ef8</t>
        </is>
      </c>
      <c r="B56" t="inlineStr">
        <is>
          <t>Principal Product Manager Tech - Devices, Fire TV Devices</t>
        </is>
      </c>
      <c r="C56" t="inlineStr">
        <is>
          <t>Amazon.com</t>
        </is>
      </c>
      <c r="D56" t="inlineStr">
        <is>
          <t>indeed</t>
        </is>
      </c>
      <c r="E56" t="inlineStr"/>
      <c r="F56" t="inlineStr"/>
      <c r="G56" t="inlineStr">
        <is>
          <t>Seattle, WA, US</t>
        </is>
      </c>
      <c r="H56" s="2" t="n">
        <v>45844</v>
      </c>
      <c r="I56"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in-444e4cbff8e3dcac</t>
        </is>
      </c>
      <c r="B57" t="inlineStr">
        <is>
          <t>Principal Product Manager Tech - Devices, Fire TV Devices</t>
        </is>
      </c>
      <c r="C57" t="inlineStr">
        <is>
          <t>Amazon.com</t>
        </is>
      </c>
      <c r="D57" t="inlineStr">
        <is>
          <t>indeed</t>
        </is>
      </c>
      <c r="E57" t="inlineStr"/>
      <c r="F57" t="inlineStr"/>
      <c r="G57" t="inlineStr">
        <is>
          <t>Sunnyvale, CA, US</t>
        </is>
      </c>
      <c r="H57" s="2" t="n">
        <v>45844</v>
      </c>
      <c r="I57"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in-91714485001e15c0</t>
        </is>
      </c>
      <c r="B58" t="inlineStr">
        <is>
          <t>Principal Product Manager-Technical, AGI, Artificial General Intellgence</t>
        </is>
      </c>
      <c r="C58" t="inlineStr">
        <is>
          <t>Amazon.com</t>
        </is>
      </c>
      <c r="D58" t="inlineStr">
        <is>
          <t>indeed</t>
        </is>
      </c>
      <c r="E58" t="inlineStr"/>
      <c r="F58" t="inlineStr"/>
      <c r="G58" t="inlineStr">
        <is>
          <t>Boston, MA, US</t>
        </is>
      </c>
      <c r="H58" s="2" t="n">
        <v>45824</v>
      </c>
      <c r="I58"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in-073ce9bc43685da3</t>
        </is>
      </c>
      <c r="B59" t="inlineStr">
        <is>
          <t>Principal Product Manager-Technical, AGI, Artificial General Intellgence</t>
        </is>
      </c>
      <c r="C59" t="inlineStr">
        <is>
          <t>Amazon.com</t>
        </is>
      </c>
      <c r="D59" t="inlineStr">
        <is>
          <t>indeed</t>
        </is>
      </c>
      <c r="E59" t="inlineStr"/>
      <c r="F59" t="inlineStr"/>
      <c r="G59" t="inlineStr">
        <is>
          <t>Sunnyvale, CA, US</t>
        </is>
      </c>
      <c r="H59" s="2" t="n">
        <v>45824</v>
      </c>
      <c r="I59"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in-c350f342a71ddd66</t>
        </is>
      </c>
      <c r="B60" t="inlineStr">
        <is>
          <t>Principal Product Manager-Technical, AGI, Artificial General Intellgence</t>
        </is>
      </c>
      <c r="C60" t="inlineStr">
        <is>
          <t>Amazon.com</t>
        </is>
      </c>
      <c r="D60" t="inlineStr">
        <is>
          <t>indeed</t>
        </is>
      </c>
      <c r="E60" t="inlineStr"/>
      <c r="F60" t="inlineStr"/>
      <c r="G60" t="inlineStr">
        <is>
          <t>Bellevue, WA, US</t>
        </is>
      </c>
      <c r="H60" s="2" t="n">
        <v>45824</v>
      </c>
      <c r="I6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in-189d2954461db784</t>
        </is>
      </c>
      <c r="B61" t="inlineStr">
        <is>
          <t>Sr. Product Manager Technical, Deal Tooling &amp; Insights, Strategic Customer Engagements</t>
        </is>
      </c>
      <c r="C61" t="inlineStr">
        <is>
          <t>Amazon Web Services</t>
        </is>
      </c>
      <c r="D61" t="inlineStr">
        <is>
          <t>indeed</t>
        </is>
      </c>
      <c r="E61" t="inlineStr"/>
      <c r="F61" t="inlineStr"/>
      <c r="G61" t="inlineStr">
        <is>
          <t>Seattle, WA, US</t>
        </is>
      </c>
      <c r="H61" s="2" t="n">
        <v>45994</v>
      </c>
      <c r="I6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2">
      <c r="A62" t="inlineStr">
        <is>
          <t>in-da768d9f3ccc5e75</t>
        </is>
      </c>
      <c r="B62" t="inlineStr">
        <is>
          <t>Sr. Product Manager Technical, Deal Tooling &amp; Insights, Strategic Customer Engagements</t>
        </is>
      </c>
      <c r="C62" t="inlineStr">
        <is>
          <t>Amazon Web Services</t>
        </is>
      </c>
      <c r="D62" t="inlineStr">
        <is>
          <t>indeed</t>
        </is>
      </c>
      <c r="E62" t="inlineStr"/>
      <c r="F62" t="inlineStr"/>
      <c r="G62" t="inlineStr">
        <is>
          <t>Austin, TX, US</t>
        </is>
      </c>
      <c r="H62" s="2" t="n">
        <v>45994</v>
      </c>
      <c r="I6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3">
      <c r="A63" t="inlineStr">
        <is>
          <t>in-01356bdb064c5418</t>
        </is>
      </c>
      <c r="B63" t="inlineStr">
        <is>
          <t>Sr. Product Manager Technical, Deal Tooling &amp; Insights, Strategic Customer Engagements</t>
        </is>
      </c>
      <c r="C63" t="inlineStr">
        <is>
          <t>Amazon Web Services</t>
        </is>
      </c>
      <c r="D63" t="inlineStr">
        <is>
          <t>indeed</t>
        </is>
      </c>
      <c r="E63" t="inlineStr"/>
      <c r="F63" t="inlineStr"/>
      <c r="G63" t="inlineStr">
        <is>
          <t>Dallas, TX, US</t>
        </is>
      </c>
      <c r="H63" s="2" t="n">
        <v>45994</v>
      </c>
      <c r="I6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4">
      <c r="A64" t="inlineStr">
        <is>
          <t>in-78d4945712cca35d</t>
        </is>
      </c>
      <c r="B64" t="inlineStr">
        <is>
          <t>Sr. Product Manager Technical, Deal Tooling &amp; Insights, Strategic Customer Engagements</t>
        </is>
      </c>
      <c r="C64" t="inlineStr">
        <is>
          <t>Amazon Web Services</t>
        </is>
      </c>
      <c r="D64" t="inlineStr">
        <is>
          <t>indeed</t>
        </is>
      </c>
      <c r="E64" t="inlineStr"/>
      <c r="F64" t="inlineStr"/>
      <c r="G64" t="inlineStr">
        <is>
          <t>Arlington, VA, US</t>
        </is>
      </c>
      <c r="H64" s="2" t="n">
        <v>45994</v>
      </c>
      <c r="I6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5">
      <c r="A65" t="inlineStr">
        <is>
          <t>in-335de7bf98d3c93f</t>
        </is>
      </c>
      <c r="B65" t="inlineStr">
        <is>
          <t>Sr. Product Manager Technical, Deal Tooling &amp; Insights, Strategic Customer Engagements</t>
        </is>
      </c>
      <c r="C65" t="inlineStr">
        <is>
          <t>Amazon Web Services</t>
        </is>
      </c>
      <c r="D65" t="inlineStr">
        <is>
          <t>indeed</t>
        </is>
      </c>
      <c r="E65" t="inlineStr"/>
      <c r="F65" t="inlineStr"/>
      <c r="G65" t="inlineStr">
        <is>
          <t>New York, NY, US</t>
        </is>
      </c>
      <c r="H65" s="2" t="n">
        <v>45994</v>
      </c>
      <c r="I6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6">
      <c r="A66" t="inlineStr">
        <is>
          <t>in-40d7230cff264ac2</t>
        </is>
      </c>
      <c r="B66" t="inlineStr">
        <is>
          <t>Sr. Product Manager Technical, Deal Tooling &amp; Insights, Strategic Customer Engagements</t>
        </is>
      </c>
      <c r="C66" t="inlineStr">
        <is>
          <t>Amazon Web Services</t>
        </is>
      </c>
      <c r="D66" t="inlineStr">
        <is>
          <t>indeed</t>
        </is>
      </c>
      <c r="E66" t="inlineStr"/>
      <c r="F66" t="inlineStr"/>
      <c r="G66" t="inlineStr">
        <is>
          <t>Herndon, VA, US</t>
        </is>
      </c>
      <c r="H66" s="2" t="n">
        <v>45994</v>
      </c>
      <c r="I6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67">
      <c r="A67" t="inlineStr">
        <is>
          <t>in-5da79a650c225c5b</t>
        </is>
      </c>
      <c r="B67" t="inlineStr">
        <is>
          <t>Sr. Product Manager - Tech, WHS Data-Tech</t>
        </is>
      </c>
      <c r="C67" t="inlineStr">
        <is>
          <t>Amazon.com</t>
        </is>
      </c>
      <c r="D67" t="inlineStr">
        <is>
          <t>indeed</t>
        </is>
      </c>
      <c r="E67" t="inlineStr"/>
      <c r="F67" t="inlineStr"/>
      <c r="G67" t="inlineStr">
        <is>
          <t>Arlington, VA, US</t>
        </is>
      </c>
      <c r="H67" s="2" t="n">
        <v>45836</v>
      </c>
      <c r="I67"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68">
      <c r="A68" t="inlineStr">
        <is>
          <t>in-3266252785f8daa5</t>
        </is>
      </c>
      <c r="B68" t="inlineStr">
        <is>
          <t>Sr. Product Manager - Tech, WHS Data-Tech</t>
        </is>
      </c>
      <c r="C68" t="inlineStr">
        <is>
          <t>Amazon.com</t>
        </is>
      </c>
      <c r="D68" t="inlineStr">
        <is>
          <t>indeed</t>
        </is>
      </c>
      <c r="E68" t="inlineStr"/>
      <c r="F68" t="inlineStr"/>
      <c r="G68" t="inlineStr">
        <is>
          <t>Bellevue, WA, US</t>
        </is>
      </c>
      <c r="H68" s="2" t="n">
        <v>45836</v>
      </c>
      <c r="I68"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69">
      <c r="A69" t="inlineStr">
        <is>
          <t>in-4c902c09cddb010e</t>
        </is>
      </c>
      <c r="B69" t="inlineStr">
        <is>
          <t>Sr. Product Manager - Tech, WHS Data-Tech</t>
        </is>
      </c>
      <c r="C69" t="inlineStr">
        <is>
          <t>Amazon.com</t>
        </is>
      </c>
      <c r="D69" t="inlineStr">
        <is>
          <t>indeed</t>
        </is>
      </c>
      <c r="E69" t="inlineStr"/>
      <c r="F69" t="inlineStr"/>
      <c r="G69" t="inlineStr">
        <is>
          <t>Nashville, TN, US</t>
        </is>
      </c>
      <c r="H69" s="2" t="n">
        <v>45836</v>
      </c>
      <c r="I69"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70">
      <c r="A70" t="inlineStr">
        <is>
          <t>in-baa87d5d27582d8b</t>
        </is>
      </c>
      <c r="B70" t="inlineStr">
        <is>
          <t>Principal Product Manager - Tech, Recommender Systems, Prime Video Personalization &amp; Discovery</t>
        </is>
      </c>
      <c r="C70" t="inlineStr">
        <is>
          <t>Amazon.com</t>
        </is>
      </c>
      <c r="D70" t="inlineStr">
        <is>
          <t>indeed</t>
        </is>
      </c>
      <c r="E70" t="inlineStr"/>
      <c r="F70" t="inlineStr"/>
      <c r="G70" t="inlineStr">
        <is>
          <t>Washington, DC, US</t>
        </is>
      </c>
      <c r="H70" s="2" t="n">
        <v>45753</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in-2413f830e640f5e8</t>
        </is>
      </c>
      <c r="B71" t="inlineStr">
        <is>
          <t>Principal Product Manager - Tech, Recommender Systems, Prime Video Personalization &amp; Discovery</t>
        </is>
      </c>
      <c r="C71" t="inlineStr">
        <is>
          <t>Amazon.com</t>
        </is>
      </c>
      <c r="D71" t="inlineStr">
        <is>
          <t>indeed</t>
        </is>
      </c>
      <c r="E71" t="inlineStr"/>
      <c r="F71" t="inlineStr"/>
      <c r="G71" t="inlineStr">
        <is>
          <t>Seattle, WA, US</t>
        </is>
      </c>
      <c r="H71" s="2" t="n">
        <v>45753</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in-4bfe96b952253a98</t>
        </is>
      </c>
      <c r="B72" t="inlineStr">
        <is>
          <t>Program Manager, Relo Ops Excellence, Relo Ops Integration</t>
        </is>
      </c>
      <c r="C72" t="inlineStr">
        <is>
          <t>Amazon.com</t>
        </is>
      </c>
      <c r="D72" t="inlineStr">
        <is>
          <t>indeed</t>
        </is>
      </c>
      <c r="E72" t="inlineStr"/>
      <c r="F72" t="inlineStr"/>
      <c r="G72" t="inlineStr">
        <is>
          <t>Phoenix, AZ, US</t>
        </is>
      </c>
      <c r="H72" s="2" t="n">
        <v>46020</v>
      </c>
      <c r="I7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73">
      <c r="A73" t="inlineStr">
        <is>
          <t>in-7c0839f0c18e6b8a</t>
        </is>
      </c>
      <c r="B73" t="inlineStr">
        <is>
          <t>Program Manager, Relo Ops Excellence, Relo Ops Integration</t>
        </is>
      </c>
      <c r="C73" t="inlineStr">
        <is>
          <t>Amazon.com</t>
        </is>
      </c>
      <c r="D73" t="inlineStr">
        <is>
          <t>indeed</t>
        </is>
      </c>
      <c r="E73" t="inlineStr"/>
      <c r="F73" t="inlineStr"/>
      <c r="G73" t="inlineStr">
        <is>
          <t>Nashville, TN, US</t>
        </is>
      </c>
      <c r="H73" s="2" t="n">
        <v>46020</v>
      </c>
      <c r="I7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74">
      <c r="A74" t="inlineStr">
        <is>
          <t>in-37107c89120b4a41</t>
        </is>
      </c>
      <c r="B74" t="inlineStr">
        <is>
          <t>Program Manager, Relo Ops Excellence, Relo Ops Integration</t>
        </is>
      </c>
      <c r="C74" t="inlineStr">
        <is>
          <t>Amazon.com</t>
        </is>
      </c>
      <c r="D74" t="inlineStr">
        <is>
          <t>indeed</t>
        </is>
      </c>
      <c r="E74" t="inlineStr"/>
      <c r="F74" t="inlineStr"/>
      <c r="G74" t="inlineStr">
        <is>
          <t>Dallas, TX, US</t>
        </is>
      </c>
      <c r="H74" s="2" t="n">
        <v>46020</v>
      </c>
      <c r="I7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75">
      <c r="A75" t="inlineStr">
        <is>
          <t>in-2239a2436d06c9bf</t>
        </is>
      </c>
      <c r="B75" t="inlineStr">
        <is>
          <t>Program Manager, Relo Ops Excellence, Relo Ops Integration</t>
        </is>
      </c>
      <c r="C75" t="inlineStr">
        <is>
          <t>Amazon.com</t>
        </is>
      </c>
      <c r="D75" t="inlineStr">
        <is>
          <t>indeed</t>
        </is>
      </c>
      <c r="E75" t="inlineStr"/>
      <c r="F75" t="inlineStr"/>
      <c r="G75" t="inlineStr">
        <is>
          <t>Bellevue, WA, US</t>
        </is>
      </c>
      <c r="H75" s="2" t="n">
        <v>46020</v>
      </c>
      <c r="I7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76">
      <c r="A76" t="inlineStr">
        <is>
          <t>in-9647c542cf3ed399</t>
        </is>
      </c>
      <c r="B76" t="inlineStr">
        <is>
          <t>Program Manager, Relo Ops Excellence, Relo Ops Integration</t>
        </is>
      </c>
      <c r="C76" t="inlineStr">
        <is>
          <t>Amazon.com</t>
        </is>
      </c>
      <c r="D76" t="inlineStr">
        <is>
          <t>indeed</t>
        </is>
      </c>
      <c r="E76" t="inlineStr"/>
      <c r="F76" t="inlineStr"/>
      <c r="G76" t="inlineStr">
        <is>
          <t>Bellevue, WA, US</t>
        </is>
      </c>
      <c r="H76" s="2" t="n">
        <v>46020</v>
      </c>
      <c r="I7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77">
      <c r="A77" t="inlineStr">
        <is>
          <t>in-c1b0123073cb4073</t>
        </is>
      </c>
      <c r="B77" t="inlineStr">
        <is>
          <t>Program Manager, Relo Ops Excellence, Relo Ops Integration</t>
        </is>
      </c>
      <c r="C77" t="inlineStr">
        <is>
          <t>Amazon.com</t>
        </is>
      </c>
      <c r="D77" t="inlineStr">
        <is>
          <t>indeed</t>
        </is>
      </c>
      <c r="E77" t="inlineStr"/>
      <c r="F77" t="inlineStr"/>
      <c r="G77" t="inlineStr">
        <is>
          <t>Nashville, TN, US</t>
        </is>
      </c>
      <c r="H77" s="2" t="n">
        <v>46020</v>
      </c>
      <c r="I7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78">
      <c r="A78" t="inlineStr">
        <is>
          <t>in-dbc93ec2ea4e3236</t>
        </is>
      </c>
      <c r="B78" t="inlineStr">
        <is>
          <t>Program Manager, Relo Ops Excellence, Relo Ops Integration</t>
        </is>
      </c>
      <c r="C78" t="inlineStr">
        <is>
          <t>Amazon.com</t>
        </is>
      </c>
      <c r="D78" t="inlineStr">
        <is>
          <t>indeed</t>
        </is>
      </c>
      <c r="E78" t="inlineStr"/>
      <c r="F78" t="inlineStr"/>
      <c r="G78" t="inlineStr">
        <is>
          <t>Phoenix, AZ, US</t>
        </is>
      </c>
      <c r="H78" s="2" t="n">
        <v>46020</v>
      </c>
      <c r="I7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79">
      <c r="A79" t="inlineStr">
        <is>
          <t>in-f67414d816515ee7</t>
        </is>
      </c>
      <c r="B79" t="inlineStr">
        <is>
          <t>Program Manager, Relo Ops Excellence, Relo Ops Integration</t>
        </is>
      </c>
      <c r="C79" t="inlineStr">
        <is>
          <t>Amazon.com</t>
        </is>
      </c>
      <c r="D79" t="inlineStr">
        <is>
          <t>indeed</t>
        </is>
      </c>
      <c r="E79" t="inlineStr"/>
      <c r="F79" t="inlineStr"/>
      <c r="G79" t="inlineStr">
        <is>
          <t>Dallas, TX, US</t>
        </is>
      </c>
      <c r="H79" s="2" t="n">
        <v>46020</v>
      </c>
      <c r="I7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80">
      <c r="A80" t="inlineStr">
        <is>
          <t>in-7537bd54a58c90b0</t>
        </is>
      </c>
      <c r="B80" t="inlineStr">
        <is>
          <t>Principal Product Manager Technical, Creative X - RAPID</t>
        </is>
      </c>
      <c r="C80" t="inlineStr">
        <is>
          <t>Amazon.com</t>
        </is>
      </c>
      <c r="D80" t="inlineStr">
        <is>
          <t>indeed</t>
        </is>
      </c>
      <c r="E80" t="inlineStr"/>
      <c r="F80" t="inlineStr"/>
      <c r="G80" t="inlineStr">
        <is>
          <t>Seattle, WA, US</t>
        </is>
      </c>
      <c r="H80" s="2" t="n">
        <v>45939</v>
      </c>
      <c r="I80"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81">
      <c r="A81" t="inlineStr">
        <is>
          <t>in-3d9feb3cd49f5547</t>
        </is>
      </c>
      <c r="B81" t="inlineStr">
        <is>
          <t>Principal Product Manager Technical, Creative X - RAPID</t>
        </is>
      </c>
      <c r="C81" t="inlineStr">
        <is>
          <t>Amazon.com</t>
        </is>
      </c>
      <c r="D81" t="inlineStr">
        <is>
          <t>indeed</t>
        </is>
      </c>
      <c r="E81" t="inlineStr"/>
      <c r="F81" t="inlineStr"/>
      <c r="G81" t="inlineStr">
        <is>
          <t>New York, NY, US</t>
        </is>
      </c>
      <c r="H81" s="2" t="n">
        <v>45939</v>
      </c>
      <c r="I81"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82">
      <c r="A82" t="inlineStr">
        <is>
          <t>in-a4f1fddaffe93c48</t>
        </is>
      </c>
      <c r="B82" t="inlineStr">
        <is>
          <t>Program Manager</t>
        </is>
      </c>
      <c r="C82" t="inlineStr">
        <is>
          <t>Encore Programs Incorporated</t>
        </is>
      </c>
      <c r="D82" t="inlineStr">
        <is>
          <t>indeed</t>
        </is>
      </c>
      <c r="E82">
        <f>HYPERLINK("https://www.indeed.com/viewjob?jk=a4f1fddaffe93c48", "https://www.indeed.com/viewjob?jk=a4f1fddaffe93c48")</f>
        <v/>
      </c>
      <c r="F82">
        <f>HYPERLINK("http://www.indeed.com/job/program-manager-a4f1fddaffe93c48", "http://www.indeed.com/job/program-manager-a4f1fddaffe93c48")</f>
        <v/>
      </c>
      <c r="G82" t="inlineStr">
        <is>
          <t>Huntington Beach, CA, US</t>
        </is>
      </c>
      <c r="H82" s="3" t="n">
        <v>46053</v>
      </c>
      <c r="I82" t="inlineStr">
        <is>
          <t>**Overview**  
We are seeking an experienced and dynamic Program Manager to lead and oversee projects at the program. The ideal candidate will possess strong leadership skills and the ability to be a forward thinker. Program managers are responsible for the administration, supervision and evaluation of comprehensive and integrated services of the Program. This position must have a deep abiding respect for personal rights, dignity and personhood of each client. The program manager must also demonstrate utmost discretion in management of confidential/private information and must be aware of HIPPA and Titles 22\&amp;17\.
**Duties**
* Supervises/oversees day\-to\-day functioning of Program, staff, clients and task\- daily schedule, including staff client \&amp; class assignments.
* Oversees implementation of overall program curriculum and therapeutic designs.
* Guides employees toward innovative program activities, materials and equipment.
* Testing/documenting client progress.
* Conducts staff meetings and trainings
* Conducts thorough orientation with new staff
* Keeps clients files orderly, complete and up to date.
* Ensures program site is safe and assist in completing fire drills
* Prepares/reviews, edits, Special Incident Reports (SIR's) in collaboration with the Executive Director.
* Conducts Individualized Personal Plan Meetings (IPP's) and works closely with Regional Center Service Coordinators.
* Keep accurate records of staff hours, attendance use of PTO, overtime.
* Communicates Disciplinary concerns to Executive DIrector in timely manner.
* Submits bi\-weekly employees time sheets to Executive DIrector.
* Ensures that Direct Support Professionals receives appropriate training for their position.
**Skills**
* Masters preferred, however Bachelors degree in Social work or related field will also be considered. Board Certified Behavioral Analyst (BCBA's) are also preferred.
* Minimum of two years supervisory experience is desired.
* Ability to remain calm and exercise sound judgment in an emergency.
* Administrative skills including the ability to recruit, select, train and supervise personnel.
* Computer literacy (especially Microsoft Office Suite); excellent verbal and written skills.
* Executive capacity for decision making and implementation of policy.
* Experience working with clients with developmental disabilities.
Pay: From $30\.00 per hour
Benefits:
* 401(k)
* Dental insurance
* Health insurance
* Paid time off
* Vision insurance
Work Location: In person</t>
        </is>
      </c>
    </row>
    <row r="83">
      <c r="A83" t="inlineStr">
        <is>
          <t>in-35604ff9ecb4fab1</t>
        </is>
      </c>
      <c r="B83" t="inlineStr">
        <is>
          <t>Part Time After School Site Program Manager (Mesquite)</t>
        </is>
      </c>
      <c r="C83" t="inlineStr">
        <is>
          <t>Right at School</t>
        </is>
      </c>
      <c r="D83" t="inlineStr">
        <is>
          <t>indeed</t>
        </is>
      </c>
      <c r="E83">
        <f>HYPERLINK("https://www.indeed.com/viewjob?jk=35604ff9ecb4fab1", "https://www.indeed.com/viewjob?jk=35604ff9ecb4fab1")</f>
        <v/>
      </c>
      <c r="F83">
        <f>HYPERLINK("https://rightatschool.sensehq.cloud/careers/jobs?jobId=5679&amp;utm_source=Indeed&amp;utm_medium=JOB_PORTAL", "https://rightatschool.sensehq.cloud/careers/jobs?jobId=5679&amp;utm_source=Indeed&amp;utm_medium=JOB_PORTAL")</f>
        <v/>
      </c>
      <c r="G83" t="inlineStr">
        <is>
          <t>Mesquite, TX, US</t>
        </is>
      </c>
      <c r="H83" s="3" t="n">
        <v>46053</v>
      </c>
      <c r="I83" t="inlineStr">
        <is>
          <t>Right At School – a place to be a kid!
**Part Time After School Site**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**giving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**Part\-Time Site Program Manager Details:**
 **Program Manager: $20\-$24** per hour (based on education, and experience). A part\-time position is available for an after\-school site program manager!
**Schedule/Hours:** Must be able to work Monday through Friday 3:00 pm to 6:00 pm (may vary slightly)
**Location: Inside Mesquite area schools**
 **Required:**
* Must be 21 years of age with a High School diploma/GED.
* One year of supervisor/management experience
* **70 clock hours** of training in child or youth development, recreational leadership, or management.
* At least **1 year** of experience in a licensed program.
\*\*\*\****Please note, all candidates will be required to provide proof of the previously listed qualifications in the job description (via transcript) and/or verifiable reference letters for viewing and verification during the interview process. ;***
 ***Please be prepared to show a copy of transcripts for the required educational requirements and references for verification of experience working in a licensed childcare setting for 6 months or more. ;***
 *\*\*\*\*If you do not meet the qualifications above or can not provide verification at the interview, we will be unable to move forward with your application for this particular position.\*\*\*\**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**Requirements:**
* Ability to meet state\-specific requirements;
* 21\+ years of age
* One year experience managing/supervising employees
* Proof of High School diploma/GED required
 **Benefits Offered with Right At School:**
* **Health \&amp; Wellness:**Medical/Virtual Care, Dental and Vision Insurance Plans
* **Pet Health:** Pet discount programs and pet insurance
* **Physical Wellness:**Supplemental Insurance (e.g. Short \&amp; Long Term Disability)
* **Financial Wellness:**401(k)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**THE RIGHT FIT FOR THIS ROLE:**
* High school diploma or GED completed
* 1 plus years experience working with children and knowledge of unique and special needs
* 1 years of supervisory experience
* Coursework or training in child development and/or related field is a PLUS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FA/CPR, Mandated Reporter, Cleared TB
* 21 years of age of older</t>
        </is>
      </c>
    </row>
    <row r="84">
      <c r="A84" t="inlineStr">
        <is>
          <t>in-23c77440b75f1d14</t>
        </is>
      </c>
      <c r="B84" t="inlineStr">
        <is>
          <t>Clinical Program Manager</t>
        </is>
      </c>
      <c r="C84" t="inlineStr">
        <is>
          <t>DV Therapy</t>
        </is>
      </c>
      <c r="D84" t="inlineStr">
        <is>
          <t>indeed</t>
        </is>
      </c>
      <c r="E84">
        <f>HYPERLINK("https://www.indeed.com/viewjob?jk=23c77440b75f1d14", "https://www.indeed.com/viewjob?jk=23c77440b75f1d14")</f>
        <v/>
      </c>
      <c r="F84">
        <f>HYPERLINK("https://jobs.apploi.com/view/baf43e30fb1a?utm_campaign=integration&amp;utm_medium=job-board-feed&amp;utm_source=indeed-apply-feed", "https://jobs.apploi.com/view/baf43e30fb1a?utm_campaign=integration&amp;utm_medium=job-board-feed&amp;utm_source=indeed-apply-feed")</f>
        <v/>
      </c>
      <c r="G84" t="inlineStr">
        <is>
          <t>Bakersfield, CA, US</t>
        </is>
      </c>
      <c r="H84" s="3" t="n">
        <v>46053</v>
      </c>
      <c r="I84" t="inlineStr">
        <is>
          <t>DV Therapy is seeking a dedicated and experienced **BCBA Clinical Supervisor** to join our multidisciplinary team. In this leadership role, you’ll oversee ABA treatment programs, mentor clinical staff, and collaborate with families to ensure effective, compassionate care. If you're a proactive leader with a strong clinical background and a passion for improving lives—we’d love to hear from you!
### **Responsibilities**
* Design, evaluate, and implement individualized ABA treatment plans
* Supervise and train clinical staff, providing ongoing feedback and support
* Conduct assessments, analyze data, and adjust treatment strategies
* Collaborate with caregivers to teach behavior intervention techniques
* Monitor documentation for accuracy, compliance, and timeliness
* Support recruitment, onboarding, and training of new staff
* Participate in staff meetings, case reviews, and professional development
* Assist with scheduling, billing, and documentation processes
* Uphold DV Therapy’s Core Values: Respect, Drive, Flexibility, Proficiency, Empathy, Communication, Tenacity
### **Qualifications**
* Master’s degree in Applied Behavior Analysis or related field
* BCBA certification in good standing with the BACB
* Minimum 2 years of experience in ABA services
* Proven leadership and team management skills
* Strong communication, organization, and analytical abilities
* Bilingual in Spanish is a plus
**Benefits Overview**</t>
        </is>
      </c>
    </row>
    <row r="85">
      <c r="A85" t="inlineStr">
        <is>
          <t>in-09927647bf322621</t>
        </is>
      </c>
      <c r="B85" t="inlineStr">
        <is>
          <t>Senior Product Manager, Fireblocks Trust Company</t>
        </is>
      </c>
      <c r="C85" t="inlineStr">
        <is>
          <t>Fireblocks</t>
        </is>
      </c>
      <c r="D85" t="inlineStr">
        <is>
          <t>indeed</t>
        </is>
      </c>
      <c r="E85">
        <f>HYPERLINK("https://www.indeed.com/viewjob?jk=09927647bf322621", "https://www.indeed.com/viewjob?jk=09927647bf322621")</f>
        <v/>
      </c>
      <c r="F85">
        <f>HYPERLINK("https://grnh.se/w9dk5it56us", "https://grnh.se/w9dk5it56us")</f>
        <v/>
      </c>
      <c r="G85" t="inlineStr">
        <is>
          <t>New York, NY, US</t>
        </is>
      </c>
      <c r="H85" s="3" t="n">
        <v>46052</v>
      </c>
      <c r="I85" t="inlineStr">
        <is>
          <t>The world of digital assets is accelerating in speed, magnitude, and complexity, opening the door to new ways for leveraging the blockchain. Fireblocks' platform and network provide the simplest and most secure way for companies to work with digital assets and it trusted by some of the largest financial institutions, banks, globally\-recognized brands, and Web3 companies in the world, including BNY Mellon, BNP Paribas, ANZ Bank, Revolut, and thousands more.
Founded in 2018, Fireblocks is a SaaS platform that helps companies to create innovative products on the blockchain and manage day\-to\-day crypto operations. Fireblocks is trusted by some of the largest financial institutions, banks, globally recognized brands, and Web3 companies in the world to securely scale digital asset operations through the Fireblocks Network and MPC\-based wallet infrastructure. We have offices in New York, London, Tel Aviv, and Singapore, and we are continuing to expand our teams to reach new customers globally.
We are seeking a highly experienced product professional with a passion for blockchain technology to join our corporate strategy team as we attempt to navigate a complex and evolving global regulatory environment.
#### **About The Role**
We are seeking an exceptional Senior Product Manager with a strong engineering background. Your expertise in aligning technical capabilities with market demands, coupled with your experience in scaling products and teams, will be instrumental in achieving Fireblocks' strategic goals. In this role you'll work closely with cross\-functional teams, including engineers, designers, and data analysts, ensuring seamless collaboration and effective delivery across domains.
#### **What You'll Do**
* Drive product development from conception to launch, collaborating closely with cross\-functional teams, including engineering, design, marketing, operations and legal
* Oversee and guide the product roadmap, prioritizing features and initiatives that align with business objectives and deliver maximum impact
* Create and maintain the roadmap/milestones with strategic priorities in mind
* Champion a user\-centric approach in product design and development, balancing user needs with regulatory compliance and risk management
* Deliver detailed product requirement documents and design; propose implementation plans; iterate on feedback; and ship products promptly
* Act as a key decision\-maker in defining product requirements and specifications, ensuring solutions are scalable, reliable, and deliver tangible value to users
* Prioritize initiatives and projects appropriately
* Perform User Acceptance Testing and ensure requirements were understood and implemented as requested
* Analyze product performance data, create product competition analysis, market research, and maintain the product's competitive advantage
#### **What You'll Bring**
* 8\+ years of product management experience or equivalent
* Experience managing technical software products from kick\-off to ship
* Experience in shipping and iterating on software or financial products
* Expertise in navigating complex environments and transforming challenges into scalable solutions
* Comprehensive understanding of Crypto Custody and Wallet management
* A demonstrated ability to make effective product prioritization decisions
* Strong ownership with a focus on getting things done autonomously
* Strong analytical skills and ability to use data to drive decisions and improve products
* The ability to collaborate well with designers and engineers
* Excellent interpersonal, communication, organization, and prioritization skills
* Experience in blockchain is preferred
For employees hired to work remotely from New York, or from our NYC HQ, Fireblocks is required by law to include a reasonable estimate of the compensation range for this role. This range is specific to New York City and takes into consideration a wide range of factors that are reviewed when making a hiring decision, such as years of experience, skills, and other business needs.
It is not typical for a candidate to be hired at or near the top of the pay range and each compensation decision is dependent on each individual case. A reasonable base salary range estimate for this position is $154,000 \- $203,000\. The base salary is one component of the total compensation package, which for some roles may include a target bonus, a very competitive equity grant, and very generous benefits.
While we believe competitive compensation is a critical aspect of your decision to join us, we do hope you also spend time considering why our mission and culture are right for you. We are creating something transformational here, and we hope you are as excited about the future as we are.
 *Fireblocks' mission is to enable every business to easily and securely access digital assets and cryptocurrencies. In order to do that, we strongly believe our workforce should be as diverse as our clients, and this is why we embrace diversity and inclusion in all its forms.*
###### ***Please see our candidate privacy policy here******.***</t>
        </is>
      </c>
    </row>
    <row r="86">
      <c r="A86" t="inlineStr">
        <is>
          <t>in-5b38ff867647b189</t>
        </is>
      </c>
      <c r="B86" t="inlineStr">
        <is>
          <t>Senior Product Owner</t>
        </is>
      </c>
      <c r="C86" t="inlineStr">
        <is>
          <t>Points North</t>
        </is>
      </c>
      <c r="D86" t="inlineStr">
        <is>
          <t>indeed</t>
        </is>
      </c>
      <c r="E86">
        <f>HYPERLINK("https://www.indeed.com/viewjob?jk=5b38ff867647b189", "https://www.indeed.com/viewjob?jk=5b38ff867647b189")</f>
        <v/>
      </c>
      <c r="F86">
        <f>HYPERLINK("https://pointsnorth.applytojob.com/apply/c6A8avYJOQ/Senior-Product-Owner?source=INDE&amp;~", "https://pointsnorth.applytojob.com/apply/c6A8avYJOQ/Senior-Product-Owner?source=INDE&amp;~")</f>
        <v/>
      </c>
      <c r="G86" t="inlineStr">
        <is>
          <t>Bloomington, MN, US</t>
        </is>
      </c>
      <c r="H86" s="3" t="n">
        <v>46052</v>
      </c>
      <c r="I86" t="inlineStr">
        <is>
          <t>Points North is looking for a Senior Product Owner to own product decisions and drive hands on execution for an established B2B software application that streamlines complex payroll calculations and compliance reporting for companies with prevailing wage and unionized workforces.
This seasoned individual contributor will be hybrid out of our Twin Cities office, responsible for developing a keen understanding and expertise of our existing systems, stabilizing and improving the legacy parts while developing new capabilities, and increasing retention, all while operating in a fast\-paced environment with a low tolerance for breaking changes. Sound like a challenge? Absolutely, but is a meaningful and highly visible one. You will work cross functionally with Engineering, QA, Implementation, Support, Sales, Finance, Managed Services, and domain SMEs, and you will have direct customer access. As a result, you will play a critical role in our continued growth, helping our clients work smarter, simplify complex payroll obligations, and ultimately give them back their time.
**What You Will Do:**
Influence Product Strategy and Decisions
* Own product direction and day\-to\-day product decisions for core platform capabilities in alignment with our overall company objectives.
* Define measurable outcomes and priorities that balance stability and retention, customer value, and modernization.
* Partner with Engineering on the overall product roadmap with a focus on determining what will deliver the most value to our clients and our business.
Be a Hands\-On Executor
* Write epics, user stories, and detailed acceptance criteria that engineers and QA can build and test against with confidence.
* Conduct discovery and user research: customer interviews, workflow mapping, pain point validation, and value testing.
* Maintain an organized product ticket backlog for our client\-facing teams, while prioritizing the development backlog, refining continuously in partnership with Engineering and ensuring work is ready for development.
* Triage defects and production issues in partnership with Implementation, Client Support and Engineering. Prioritize fixes based on customer impact, risk, and business outcomes.
* Participate in our Agile product development process.
Stabilize and Evolve a Critical, Complex Platform
* Drive improvements in reliability, performance, accuracy, and usability across complex payroll/compliance workflows.
* Ensure changes preserve the trust we have with our clients by considering and mitigating impacts to their existing workflows.
Enable Customer Facing Teams Through Product Improvements
* Partner with Support and Implementation to reduce friction, improve tooling, and increase effectiveness with clear, measurable outcomes.
* Use data and feedback loops (support trends, customer escalations, implementation insights, adoption signals) to target improvements that move retention.
Lead Integration Related Product Work
* Own requirements, documentation and outcomes for integrations with our partners.
* Translate integration needs into clear product workflows, API requirements, data mapping expectations, and operational support considerations.
Communicate Releases and Drive Readiness
* Coordinate and deliver release communications (what changed, who it impacts, why it matters, how to use it).
* Partner with Marketing on positioning/enablement, while personally owning release comms and internal readiness.
**What Success Looks Like (First 6–12 Months):**
* You have built strong working knowledge of our platform and the real\-world customer workflows it supports.
* Platform stability improves measurably (fewer high severity incidents, reduced customer pain in top friction areas, improved release confidence).
* Retention drivers are clearly understood and reflected in a focused, outcome\-based roadmap.
* Modernization begins with a pragmatic plan and sequenced execution without destabilizing the legacy system or forcing breaking changes.
 **What We Are Looking For:**
* Familiarity (not necessarily expertise) with one or more of:
	+ Prevailing wage compliance (federal/state/local), certified payroll reporting
	+ Union payroll rules, fringes, classifications, rate changes
	+ Construction payroll/compliance operations
* Experience in regulated domains where accuracy and explainability are critical (payroll, tax, HR, compliance, fintech).
* Experience improving product ops fundamentals: intake/triage, backlog health, release readiness, incident learning loops, customer feedback systems.
* Working Style Fit, you will likely thrive in this role if you:
	+ Like being close to the work: writing, refining, triaging, talking to customers, and shipping continuously.
	+ Can balance “keep the lights on” with meaningful forward progress.
	+ Prefer influence through clarity and execution over authority or managing a team.
	+ Are energized by complexity and can translate it into simple, usable experiences.
**Required Qualifications**
* Proven, extensive professional experience in product management experience with B2B SaaS products, ideally with complex financial calculations and integrations with payroll or ERP systems.
* Proven ability to be a strong individual contributor: owning outcomes end to end from discovery to delivery to results.
* Experience working with legacy systems and improving them incrementally while supporting production reliability.
* Strong track record partnering closely with Engineering and QA, with comfort going deep into edge cases, tradeoffs, and technical constraints.
* Demonstrated capability to define and deliver API based integrations, including understanding:
	+ Integration patterns (REST APIs, webhooks, file\-based interchange where applicable)
	+ Data mapping/validation, error handling, reconciliation, and operational support needs
	+ Enterprise integration expectations (security, reliability, versioning, backward compatibility)
* Excellent written communication (clear requirements, decision logs, release notes, stakeholder updates).
* Comfortable working cross functionally with Support, Implementation, Sales, SMEs, and Finance—driving alignment and momentum
At Points North, we believe that taking care of our team is the foundation of our success. That’s why we’ve created a benefits package designed to support you both personally and professionally:
* Health Insurance: Comprehensive medical, dental, and vision plans are available to keep you and your family healthy.
* Retirement Savings: Invest in your future with employer\-matching contributions to a SIMPLE Traditional and/or ROTH IRA plan.
* Time Off: Generous PTO, paid holidays, and Volunteer Time Off (VTO) are offered so that you can take time to recharge and give back to what matters to you.
* Growth Opportunities: Professional development is encouraged whether it be in training, certifications, or other opportunities to boost your career.
* Flexibility: Depending on the role, remote or hybrid arrangements may be made available to fit your lifestyle and business needs.
For this position the base salary range is $100,000\-135,000 per year, plus annual bonus eligibility. Final compensation determinations will reflect your unique experience, skills, and the responsibilities of the role.
At Points North, you’ll find an energizing, ambitious and supportive workplace where your contributions make a real impact. Ready to join our team? Apply today to take the next step in your career!
c6A8avYJOQ</t>
        </is>
      </c>
    </row>
    <row r="87">
      <c r="A87" t="inlineStr">
        <is>
          <t>in-a66899a8e6d03851</t>
        </is>
      </c>
      <c r="B87" t="inlineStr">
        <is>
          <t>Operations Program Manager</t>
        </is>
      </c>
      <c r="C87" t="inlineStr">
        <is>
          <t>Dhara Consulting Group</t>
        </is>
      </c>
      <c r="D87" t="inlineStr">
        <is>
          <t>indeed</t>
        </is>
      </c>
      <c r="E87">
        <f>HYPERLINK("https://www.indeed.com/viewjob?jk=a66899a8e6d03851", "https://www.indeed.com/viewjob?jk=a66899a8e6d03851")</f>
        <v/>
      </c>
      <c r="F87">
        <f>HYPERLINK("https://www.clearancejobs.com/jobs/8733213/operations-program-manager", "https://www.clearancejobs.com/jobs/8733213/operations-program-manager")</f>
        <v/>
      </c>
      <c r="G87" t="inlineStr">
        <is>
          <t>Ashburn, VA, US</t>
        </is>
      </c>
      <c r="H87" s="3" t="n">
        <v>46052</v>
      </c>
      <c r="I87" t="inlineStr">
        <is>
          <t>Posted today
Secret
Unspecified
Unspecified
Management
Ashburn, VA (On\-Site/Office)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Operations Program Manager  
Requisition Number: 33380  
Job Location: Ashburn, VA  
Work Schedule: 9/80  
Job Description:
The Operations Program Manager (OPM) will represent Production Operations as the primary responsible individual for achievement of cost and schedule commitments to the Program Office and external customer. The OPM will be the primary interface from Operations to the Program Management Office (PMO) and other functions (Engineering, Supply Chain, Quality, Finance), coordinating the action plans and needs of production operations. The OPM will work with other OPMs to resolve priority conflicts on the shop floor in support of all program objectives. The OPM will serve as the Earned Value Management Control Account Manager (CAM) responsible for establishing and maintaining labor baselines and assessing Risks \&amp; Opportunities. The OPM will develop and execute manufacturing program plans and schedules to ensure successful execution of production. The OPM will lead the manufacturing support team through problem resolution efforts by understanding program goals, tradeoffs and schedules. The OPM will also support proposal preparation for both new business and changes in scope to existing programs. The OPM will also participate in Capacity Planning for the site by providing details on future forecasted work to the Plant's Master Scheduling Team and by collaborating with Master Scheduling to maintain manufacturing \&amp; test schedules for active projects. The OPM will be a primary contributor to the development of process improvements aimed at improving cost and schedule performance by leading and engaging cross functional teams to identify and capitalize on areas of opportunity.  
In this role, you will be a part of the Agile Development Group which is a division that specializes in developing disruptive, next\-generation technologies for advanced Unmanned Air Systems (UAS / UAV), advanced radar systems, next\-generation weapon systems, and other RF sensor technologies using small company agility and big company experience.  
Essential Functions:
* Primary conduit between program office and the Operations organization for development, production and/or spares/repairs activity on assigned programs, driving overall program plan and day to day results.
* Has authority and accountability for the technical, cost, risk/opportunity, and schedule performance of all Operations scope on the assigned program.
* Demonstrated understanding and practice of Earned Value Management, serving as the Control Account Manager (CAM) responsible for managing and reporting on cost and schedule of Operations scope on assigned programs.
* Frequent collaboration with multiple functions (e.g., Engineering, Quality, Contracts, Manufacturing, etc.) and the program office to promote successful action planning and execution.
* Support overall Program by contributing schedule inputs and changes into the Integrated Master Schedule (IMS), maintaining timely and effective change management processes and procedures.
* Monitor RAIL (Rolling Action Item List) performance and ensuring that issues are addressed immediately and corrective actions and recovery plans are implemented expeditiously.
* Plan and coordinate activities to support verification and validation of new processes and product improvements.
* Support multidisciplinary program reviews and presentations throughout the different phases of development, certification, and production readiness with internal and external stakeholders.
* Project Management.
* Ensure all Mfg and Production Readiness Reviews are performed on assigned programs as applicable.
* Facilitate Operations, Manufacturing and Quality participation in design development to identify and address manufacturability, testability and inspectability issues.
* Support the organization in the development and implementation of operating philosophies and business strategies.
* Develop, implement and sustain success metrics, incorporating best practices, and effectively communicating improvements and promoting Lean initiatives that drive cost savings.
* Effectively manage performance and key deliverables across a matrix organization.
* Up to 10% travel may be required
* Other duties as required
Qualifications:
* Bachelor's Degree in Operations Management, Engineering, Supply Chain, or related field and a minimum of 6\+ years of prior relevant experience in leading a multi\-functional, technically oriented, Integrated Product Team in an operations environment.
* Master's Degree in Operations Management, Engineering, Supply Chain, or related field and a minimum of 4\+ years of prior relevant experience in leading a multi\-functional, technically oriented, Integrated Product Team in an operations environment.
* In lieu of a degree, minimum of 10\+ years of prior relevant experience in leading a multi\-functional, technically oriented, Integrated Product Team in an operations environment.
* Working experience with execution of earned value management (EVM);
* Experience in creating and managing budgets for both operational and capital expenses
* Experience in manufacturing; preferably experience in Shop Operations \- Operations Planning, Quality Assurance, Continuous Improvement also desirable.
* Prior experience in the deployment and use of Lean and 6 Sigma manufacturing tools/methods.
* U.S. citizen
* Ability to obtain and maintain a DoD clearance
Preferred Additional Skills:  
* Masters degree in relevant engineering field or related field and/or equivalent experience desired
* Experience and knowledge of manufacturing methods, specifically in composites, metals, and electronics.
* Experience leading small teams
* Prior experience in using computer based project management tools associated with resource planning, scheduling and cost monitoring is desirable.
* Experience with technical writing, specifically work instructions and process documentation.
* Experience in aviation or military systems manufacturing
* Experience with creating and presenting performance metrics.
* Experience with Capital Equipment justification and BOEs
* Experience using Microsoft Office products
* Excellent people skills to include collaborating in a multi\-disciplinary, diverse, and dynamic team environment
* Excellent communication skills (written, verbal, \&amp; presentation)
* Experience with Power BI or data analytics
* Experience/certification in lean practices; 5S, six sigma, etc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In compliance with pay transparency requirements, the salary range for this role in California, Massachusetts, New Jersey, Washington, and the Greater D.C, Denver, or NYC areas is $106,500\.00 Min \- $197,500\.00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\#LI\-KM1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Spanish.**GROUP ID:** harrisme**R****Recruiter**
**APPLY NOW**</t>
        </is>
      </c>
    </row>
    <row r="88">
      <c r="A88" t="inlineStr">
        <is>
          <t>in-1acca4074ab0e340</t>
        </is>
      </c>
      <c r="B88" t="inlineStr">
        <is>
          <t>Program Manager - Economic Development</t>
        </is>
      </c>
      <c r="C88" t="inlineStr">
        <is>
          <t>Humboldt County</t>
        </is>
      </c>
      <c r="D88" t="inlineStr">
        <is>
          <t>indeed</t>
        </is>
      </c>
      <c r="E88">
        <f>HYPERLINK("https://www.indeed.com/viewjob?jk=1acca4074ab0e340", "https://www.indeed.com/viewjob?jk=1acca4074ab0e340")</f>
        <v/>
      </c>
      <c r="F88">
        <f>HYPERLINK("https://www.governmentjobs.com/careers/humboldtcountyca/jobs/5215869/program-manager-economic-development", "https://www.governmentjobs.com/careers/humboldtcountyca/jobs/5215869/program-manager-economic-development")</f>
        <v/>
      </c>
      <c r="G88" t="inlineStr">
        <is>
          <t>Eureka, CA, US</t>
        </is>
      </c>
      <c r="H88" s="3" t="n">
        <v>46051</v>
      </c>
      <c r="I88" t="inlineStr">
        <is>
          <t>**DEFINITION**
--------------
**Job Highlights:**  
This position will:* Supervise Economic Development staff, including hiring, goal setting, and professional development. Promote consistent communication, collaboration, and integration across projects and programs. Oversee staff performance, program timelines, and budget adherence.
* Ensure compliance with county governance structures and processes. Support staff in drafting Board agenda items and preparing presentations for the Board of Supervisors. Provide guidance on identifying and managing grant opportunities, assist with budget development and monitoring, and represent the county at public meetings and events.
* Assist to define project objectives that align with the Comprehensive Economic Development Strategy (CEDS) and the county’s Strategic Plan. Identify project interdependencies, manage competing priorities, and coordinate resource allocation across initiatives.
Under direction, plans, organizes, and manages the work of staff supporting a program which provides direct services to targeted populations/groups within the County or internal services for a County\-wide program; program management responsibilities encompass designing, developing, and implementing program services; recommends and implements program goals and objectives, and ensures program compliance with mandated requirements; and performs related duties as assigned.  
**SUPERVISION RECEIVED AND EXERCISED**  
Receives direction from assigned supervisory or management personnel. Exercises direct supervision over supervisory, professional, technical, and administrative support staff through subordinate levels of supervision.  
**CLASS CHARACTERISTICS**  
This is the first level program management classification responsible for managing and directing a program which provides services and support to the community or to the County. Responsibilities include developing and implementing policies and procedures for assigned program, budget administration and reporting, and program evaluation. Incumbents serve as a professional\-level resource for organizational, managerial, and operational analyses and studies. Performance of the work requires the use of independence, initiative, and discretion within established guidelines. Employees serve as a specialist, liaison and advocate for the program, with regular contact with County management and peers, other government, private sector or community\-based organizations, and members of the public.  
This classification is distinguished from the Senior Program Manager by a combination of factors which may include, but are not limited to, the latter classification’s responsibilities for managing multiple programs with greater breadth, depth, and span of control; a greater preponderance of budgetary and administrative accountabilities; or more complex service delivery provisions.
**EXAMPLES OF DUTIES**
----------------------
*Management reserves the right to add, modify, change, or rescind the work assignment of different positions.*
* Plans, organizes, and manages the work of staff supporting a program which provides direct services to diverse populations/groups within the community, or within the County.
* Ensures that the program is staffed with qualified individuals by resolving performance problems, documenting performance according to policy; training and developing staff; and assisting in the selection, hiring, and promotion of staff; provides guidance to subordinate supervisors regarding personnel matters.
* Manages the program’s daily work activities and operations, directly or through subordinate supervisors, by establishing performance levels, communicating goals and performance expectations, and monitoring and reviewing work to ensure conformance to established policies and procedures, and standards for quality and timeliness.
* Assesses service delivery and communicates findings to upper management; implements changes to improve efficiency and service quality; maximizes effectiveness of program operations and ensures alignment with the department’s mission; recommends and implements goals and objectives, policies, procedures, work standards, and internal controls.
* Directs the collection and compilation of data and narratives for program evaluation; prepares reports for submission to County management and oversight agencies on program metrics and outcomes; takes action on program evaluation outcomes as directed by management.
* Directs and participates in resource acquisition and management; ensures that facilities used for program meet compliance requirements.
* Develops, communicates and implements program action and/or operational plans and creates resources for organizations or individuals participating in program execution; conducts program training, drills and other methods to ensure participants are properly trained and understand their role(s) within program operations.
* Interprets laws and regulations to determine relevancy to program operations and services; affirms program compliance, or recommends measures to ensure, compliance with laws and regulations.
* Prepares a variety of administrative and technical reports, as well business correspondence and presentations; presents reports and to internal and external stakeholders; conducts outreach presentations to community and advocacy groups.
* Serves as a staff resource by providing consultation and guidance to staff or other County management and employees with respect to service delivery or operational effectiveness issues.
* Assists in development of the budget for assigned program by preparing cost estimates and projections and performs ongoing monitoring of expenditures to ensure compliance with budget provisions.
* Works with internal County staff and external agencies, community groups, contractors, and other public and private organizations to determine needs for shared services and collaborative projects, or the provision of services by contracted agencies.
* Ensures that information regarding services and policies is provided accurately and thoroughly to interested parties and responds to sensitive complaints from the community and County staff.
* Attends and participates in professional group meetings; may serve as a committee chair or facilitator; stays abreast of new trends, innovations and best practices in the area of assignment.
* Performs related duties as assigned.
*Reasonable accommodations may be made to enable qualified individuals with disabilities to perform the essential functions.*  
**QUALIFICATIONS**
------------------
*The requirements listed below are representative of the knowledge and ability required.*  
**Knowledge of:**
* Principles and practices of employee supervision, including planning and assigning work, performance review and evaluation, discipline, and the training of staff in work procedures.
* Principles and practices of leadership.
* Operations and services provided within assigned program area, as well as its stated mission, scope and priorities.
* County, department, and program\-specific policies and procedures.
* Principles and practices of program management including planning, development, implementation, and evaluation.
* Basic principles and practices of budget development and monitoring.
* County socioeconomic and cultural demographics.
* Methods and techniques of communicating with diverse populations.
* Emergency management principles and practices.
* Public speaking principles.
* Methods and techniques of assessing community needs in assigned program area.
* Resources within the community available to program clients.
* Applicable federal, state and local laws, regulatory codes, ordinances and procedures relevant to assigned areas of responsibility including confidentiality laws.
* Principles and practices of complex recordkeeping and documentation.
* Principles and techniques for working with groups and fostering effective team interaction to ensure teamwork is conducted smoothly.
* Techniques for providing a high level of customer service by effectively dealing with the public, vendors, contractors, and County staff.
* The structure and content of the English language, including the meaning and spelling of words, rules of composition, and grammar.
* Modern equipment and communication tools used for business functions and program, project, and task coordination, including computers and software programs relevant to work performed.
**Ability to:*** Select and supervise staff, provide training and development opportunities, ensure work is performed effectively, and evaluate performance in an objective and positive manner.
* Develop and implement goals, objectives, practices, policies, procedures, and work standards.
* Effectively manage and administer program operations and activities.
* Adapt to changes in priorities or resources that impact pre\-established timelines and courses of action.
* Maintain awareness of the functioning and status of multiple work groups or program areas simultaneously.
* Navigate a large organization and its competing priorities for effective program management.
* Delegate work assignments and appropriate level of responsibility to employees in order to ensure the completion of work assignments and projects.
* Identify, analyze, and evaluate situations or problems to determine appropriate courses of action.
* Work with internal and external stakeholders to identify community care needs in assigned program.
* Ensure the maintenance and retention of complex records, files, reports, and other documents.
* Generate a variety of business documents including letters, memoranda, reports, and other written material.
* Understand, interpret, and apply all pertinent laws, codes, regulations, policies and procedures, and standards relevant to work performed.
* Effectively represent the department and the County in meetings with governmental agencies; community groups; various business, professional, and regulatory organizations; and in meetings with individuals.
* Independently organize work, set priorities, meet critical deadlines, and follow\-up on assignments.
* Use tact, initiative, prudence, and independent judgment within general policy, procedural and legal guidelines.
* Effectively use computer systems, software applications relevant to work performed, and modern business equipment to perform a variety of work tasks.
* Communicate clearly and concisely, both orally and in writing, using appropriate English grammar and syntax.
* Establish, maintain, and foster positive and effective working relationships with those contacted in the course of work.
**Education and Experience:**  
*Any combination of training and experience that would provide the required knowledge, skills, and abilities is qualifying. A typical way to obtain the required qualifications would be:*  
Equivalent to a bachelor’s degree from an accredited college or university with major coursework related to the assigned program area  
**and**  
five (5\) years of increasingly responsible experience in a program related to the assignment, two (2\) years of which should be in a supervisory capacity.  
**Licenses and Certifications:*** Must possess a valid US driver’s license upon date of application. Must obtain California driver’s license following hire date per California DMV regulations.
* Some positions may require specialized licensure or certifications as determined by law.
**WORKING CONDITIONS \&amp; ADDITIONAL INFORMATION**
------------------------------------------------
**PHYSICAL DEMANDS**
* Mobility to work in a standard office, out\-patient, clinic, jail or juvenile facility; use standard office equipment, including a computer; to operate a motor vehicle to visit various County and meeting sites; standing in and walking between work areas is frequently required; frequently bend, stoop, kneel, and reach to perform assigned duties, as well as push and pull drawers open and closed to retrieve and file information; ability to lift, carry, push, and pull materials and objects up to 25 pounds with the use of proper equipment.
* Vision to read printed materials and a computer screen.
* Hearing and speech to communicate in person and over the telephone.
* Finger dexterity is needed to access, enter, and retrieve data using a computer keyboard or calculator and to operate standard office equipment.
**ENVIRONMENTAL CONDITIONS*** Employees work in an office, out\-patient, clinic, jail or juvenile facility environment with moderate noise levels, controlled temperature conditions, and no direct exposure to hazardous physical substances.
* Employees may interact with clients with behavioral disorders/erratic and assaultive behavior, including those which require emergency crisis intervention.
* Employees may interact with upset staff and/or public and private representatives in interpreting and enforcing departmental policies and procedures.
**ADDITIONAL REQUIREMENTS*** Some departments may require pre\-employment screening measures before an offer of employment can be made (i.e. background screening, physical examination, etc.).
 **ADDITIONAL INFORMATION**
 **HOW TO APPLY**
**A complete, original application must be filed for each position you are interested in applying for.** Applicants must apply online through the County’s automated application system at https://www.governmentjobs.com/careers/humboldtcountyca.
Applications must be submitted no later than the final filing date and time listed on the job flyer.
It is important that your application shows all the relevant education and experience you possess. Human Resources staff does not consider or review resumes or attachments. Incomplete applications will be rejected.
Please read the job requirements section of the announcement. Be sure you meet these requirements since they will be carefully evaluated during the selection process.
Your performance in any employment examinations will be compared with the performance of others who take the tests. The examination results will be emailed to you as quickly as possible.
 **SELECTION PROCEDURE**
The County utilizes a set of rules to ensure that our hiring processes are fair and equitable. **Applications will be screened and those considered qualified will be invited to appear for an oral and/or written examination. Meeting the requirements does not guarantee inclusion into the selection process. Depending upon the number of applications received, the selection process may consist of additional application screening, written and/or practical exam(s), oral interview, or any combination thereof.**
 **FREQUENTLY ASKED QUESTIONS**
How long does it take to fill out the application?
* You should allow 30 – 45 minutes to fill out your application.
Can I change my application after submitting it?
* No. Once an application has been submitted, it is final. Applicants may submit a new application with updated information during the filing period if they wish. Only the most recent application submitted will be considered. All other applications will not be considered.
How long until I hear back from you and how can I check for updates on my application?
* You may receive communications regarding your application at different stages of the selection process. Important updates will be sent to the email address listed in your governmentjobs.com account at the time of notification. To ensure you don't miss any critical information, we recommend keeping your email address current and regularly checking both your inbox and junk mail folders throughout the process. You can also log into your governmentjobs.com account at any time to check your application status. If you have any questions about your application's progress, please contact the County of Humboldt Human Resources Personnel Division at 707\-476\-2349 or personnel@co.humboldt.ca.us.
Will I be informed if I am not selected for an interview / Oral Exam?
* Yes, you will be informed via email if you are not selected for an interview / Oral Exam.
 **OUR COMMITMENT TO DIVERSITY, EQUITY, AND INCLUSION**
Research indicates that individuals in protected classes can be less likely to submit a job application. The County of Humboldt is dedicated to building a diverse, inclusive, and authentic workplace where our employees are free to bring their full selves to work each day in an environment that allows them to reach their full potential. The County Board of Supervisors has made organizational commitments to Diversity, Equity, and Inclusion (DEI) and the County is working to ensure that these commitments are reflected in all we do. The County recognizes that certain populations (BIPOC, Disabled Persons, Veterans, LGBTQIA\+ community members, etc.) face systemic and structural challenges which may inhibit their ability to satisfy every requirement of the position. In recognition of these structural and systemic factors, the Human Resources Department understands that experience can be gained in many ways – oftentimes, outside of formal institutions – and strives to take a holistic approach in assessing an applicant’s qualifications for a position.
If you’re excited about this role but your past work experience doesn’t align perfectly with every qualification in the job description, we strongly encourage you to apply.
 **REASONABLE ACCOMMODATIONS**
The County of Humboldt is committed to providing equal access and opportunities in its programs, activities, and employment, and does not discriminate on the basis of mental or physical disabilities. The Human Resources Department is located in the Humboldt County Courthouse, which has an accessible entrance on 4th Street. Accessible parking is available adjacent to the 4th Street entrance and on the 4th Street side of the K Street lot. Special testing arrangements may be made to accommodate disabilities or religious convictions. If invited to an examination and you are in need of a reasonable accommodation, please contact Human Resources immediately at (707\) 476\-2349 so arrangements can be made.
 **EQUAL OPPORTUNITY EMPLOYER**
The county is an equal opportunity employer. We enthusiastically accept our responsibility to make employment decisions without regard to race, religion or religious creed, color, age, sex, sexual orientation, national origin, ancestry, marital status, medical condition, mental or physical disability, military service, or any other classification protected by federal, state, or local laws or ordinances.
 **MEDICAL EXAMINATION**
A pre\-employment medical examination provided by the County may be required upon offer of employment.
 **OTHER EXAMINATIONS**
Some positions also require psychological evaluation and/or extensive background investigation.
 **LICENSES**
Some classifications require possession of valid professional and/or technical licenses. Some classifications may require the possession of a valid California driver’s license.
 **PROBATIONARY PERIOD**
Persons appointed to regular County positions serve a probationary period. This is normally six (6\) months but could be up to one (1\) year. All designated safety employees serve a one\-year probationary period.
 **EMPLOYMENT ELIGIBILITY**
It is the County’s intention to hire only those workers who are authorized to work in the United States, pursuant to the Immigration Act of 1990\. If you are offered employment, you will be required to verify your eligibility to work in the United States. For law enforcement positions you will be required to verify your U.S. citizenship or legalized status.
 **DISASTER SERVICE WORKERS**
All County of Humboldt employees are designated Disaster Service Workers through state and local law (California Government Code Section 3100\-3109\). Employment with the County requires the affirmation of a loyalty oath to this effect. Employees are required to complete all Disaster Service Worker\-related training as assigned, and to return to work as ordered in the event of an emergency.
THE PROVISIONS OF THIS BULLETIN DO NOT CONSTITUTE AN EXPRESS OR IMPLIED CONTRACT. THE COUNTY OF HUMBOLDT RESERVES THE RIGHT TO MAKE NECESSARY MODIFICATIONS TO THE EXAMINATION PLAN IN ACCORDANCE WITH THE HUMBOLDT COUNTY MERIT SYSTEM RULES.</t>
        </is>
      </c>
    </row>
    <row r="89">
      <c r="A89" t="inlineStr">
        <is>
          <t>in-0b9c00b69a3e1198</t>
        </is>
      </c>
      <c r="B89" t="inlineStr">
        <is>
          <t>Engineering Program Manager - Data Center Design, Engineering, and Construction</t>
        </is>
      </c>
      <c r="C89" t="inlineStr">
        <is>
          <t>Meta</t>
        </is>
      </c>
      <c r="D89" t="inlineStr">
        <is>
          <t>indeed</t>
        </is>
      </c>
      <c r="E89">
        <f>HYPERLINK("https://www.indeed.com/viewjob?jk=0b9c00b69a3e1198", "https://www.indeed.com/viewjob?jk=0b9c00b69a3e1198")</f>
        <v/>
      </c>
      <c r="F89">
        <f>HYPERLINK("https://jsv3.recruitics.com/redirect?rx_cid=3239&amp;rx_jobId=a1KDp00000CZLZ9MAP_1001&amp;rx_url=https%3A%2F%2Fwww.metacareers.com%2Fjobs%2F1643878230078826%2F%3Frx_campaign%3Dindeed0%26rx_ch%3Dvp%26rx_group%3D187943%26rx_id%3D6fd82b0b-fec7-11f0-a182-97e4e07d5556%26rx_job%3Da1KDp00000CZLZ9MAP_1001%26rx_medium%3Dcpc%26rx_r%3Dnone%26rx_source%3Dindeed%26rx_ts%3D20260201T001206Z%26rx_vp%3Dcpc%26utm_campaign%3DJob%252Bboard%26utm_medium%3Djobs%26utm_source%3Dindeedorganic", "https://jsv3.recruitics.com/redirect?rx_cid=3239&amp;rx_jobId=a1KDp00000CZLZ9MAP_1001&amp;rx_url=https%3A%2F%2Fwww.metacareers.com%2Fjobs%2F1643878230078826%2F%3Frx_campaign%3Dindeed0%26rx_ch%3Dvp%26rx_group%3D187943%26rx_id%3D6fd82b0b-fec7-11f0-a182-97e4e07d5556%26rx_job%3Da1KDp00000CZLZ9MAP_1001%26rx_medium%3Dcpc%26rx_r%3Dnone%26rx_source%3Dindeed%26rx_ts%3D20260201T001206Z%26rx_vp%3Dcpc%26utm_campaign%3DJob%252Bboard%26utm_medium%3Djobs%26utm_source%3Dindeedorganic")</f>
        <v/>
      </c>
      <c r="G89" t="inlineStr">
        <is>
          <t>Menlo Park, CA, US</t>
        </is>
      </c>
      <c r="H89" s="3" t="n">
        <v>46050</v>
      </c>
      <c r="I89" t="inlineStr">
        <is>
          <t>Meta is seeking an Engineering Program Manager, Technical Operations to join our Data Center Engineering and Construction (DEC) team. Our data centers are the foundation upon which our rapidly growing infrastructure operates, and our innovative services are delivered as we continue our mission to build community and bring the world closer together. The Engineering Program Manager enables difficult design and decisions supporting the complex intersections of technical domains. Ultimately, this role focuses on Meta’s engineering expertise to bring complextechnical and cross\-functional problems from definition through design to produce executable engineering packages through ideation in new systems design and R\&amp;D to implementation into detailed building plans. This requires technical understanding of the building with a focus on electrical, mechanical, connectivity components and systems while also driving results with stakeholders across broader Infrastructure ecosystem. Finally, this person will be a motivated self\-starter taking charge of initiatives and be a forward thinker with a keen business sense.  
### **Engineering Program Manager \- Data Center Design, Engineering, and Construction Responsibilities:**
* Manage highly\-complex, cross\-functional systems designs and component research \&amp; development projects from concept through to completion
* Drive complex problem statement development and create milestone schedules that end in decisions and implementation
* Interface with Engineering, Facilities, Electrical/Mechanical Engineers, Construction, Network, Cabling, Security and business owners for project requirements and scope
* Provide hands\-on program management during analysis, design, development, and testing phases
* Digest technical drawings, questioning the inputs of the engineers across multiple highly technical engineering departments and helping to bring all of it together into a cohesive executable package
* Manage dependencies and handoffs effectively and optimize schedules accordingly
* Drive internal process improvements across multiple teams and functions
* Conduct business process re\-engineering reviews to innovate on business processes and define ways to improve their efficiency and effectiveness
* Drive continual improvement of productivity
* Identify areas of risk and drive solution with subject matter experts within the organization
* Lead training and education programs for internal and external partners
* Report and drive alignment and decisions from leadership across multiple organizations
* Travel to offices, vendors, and datacenter sites as required
### **Minimum Qualifications:**
* Bachelor's degree in a directly related field, or equivalent practical experience
* 7\+ years of experience in Technical Program Management/Project Management
* Proven track record driving results on complex problems with many stakeholders
* Large scale critical infrastructure, Research and Development, and/or data center experience
* Experience building relationships and driving collaboration from cross\-functional teams
* Analytical, problem\-solving, negotiation and organizational experience
* Understanding of engineering details and the impacts of change across multiple disciplines
### **Preferred Qualifications:**
* Experience managing projects related to design and construction of data centers, server hardware, and/or network systems
* Knowledge/specialty experience with design, construction, network systems, hardware systems, capacity management, contracting, and/or business management
* Experience adapting and learning new skill sets quickly
* Global infrastructure design experience
* Tooling and/or Product Development experience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$160,000/year to $223,000/year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0">
      <c r="A90" t="inlineStr">
        <is>
          <t>in-40c404ec3d05427f</t>
        </is>
      </c>
      <c r="B90" t="inlineStr">
        <is>
          <t>Engineering Program Manager - Data Center Design, Engineering, and Construction</t>
        </is>
      </c>
      <c r="C90" t="inlineStr">
        <is>
          <t>Meta</t>
        </is>
      </c>
      <c r="D90" t="inlineStr">
        <is>
          <t>indeed</t>
        </is>
      </c>
      <c r="E90">
        <f>HYPERLINK("https://www.indeed.com/viewjob?jk=40c404ec3d05427f", "https://www.indeed.com/viewjob?jk=40c404ec3d05427f")</f>
        <v/>
      </c>
      <c r="F90">
        <f>HYPERLINK("https://jsv3.recruitics.com/redirect?rx_cid=3239&amp;rx_jobId=a1KDp00000CZLZ9MAP&amp;rx_url=https%3A%2F%2Fwww.metacareers.com%2Fjobs%2F1643878230078826%2F%3Frx_campaign%3Dindeed0%26rx_ch%3Dvp%26rx_group%3D187943%26rx_id%3D6bd25a15-fec7-11f0-a182-cb023d64fbce%26rx_job%3Da1KDp00000CZLZ9MAP%26rx_medium%3Dcpc%26rx_r%3Dnone%26rx_source%3Dindeed%26rx_ts%3D20260201T001206Z%26rx_vp%3Dcpc%26utm_campaign%3DJob%252Bboard%26utm_medium%3Djobs%26utm_source%3Dindeedorganic", "https://jsv3.recruitics.com/redirect?rx_cid=3239&amp;rx_jobId=a1KDp00000CZLZ9MAP&amp;rx_url=https%3A%2F%2Fwww.metacareers.com%2Fjobs%2F1643878230078826%2F%3Frx_campaign%3Dindeed0%26rx_ch%3Dvp%26rx_group%3D187943%26rx_id%3D6bd25a15-fec7-11f0-a182-cb023d64fbce%26rx_job%3Da1KDp00000CZLZ9MAP%26rx_medium%3Dcpc%26rx_r%3Dnone%26rx_source%3Dindeed%26rx_ts%3D20260201T001206Z%26rx_vp%3Dcpc%26utm_campaign%3DJob%252Bboard%26utm_medium%3Djobs%26utm_source%3Dindeedorganic")</f>
        <v/>
      </c>
      <c r="G90" t="inlineStr">
        <is>
          <t>Reston, VA, US</t>
        </is>
      </c>
      <c r="H90" s="3" t="n">
        <v>46050</v>
      </c>
      <c r="I90" t="inlineStr">
        <is>
          <t>Meta is seeking an Engineering Program Manager, Technical Operations to join our Data Center Engineering and Construction (DEC) team. Our data centers are the foundation upon which our rapidly growing infrastructure operates, and our innovative services are delivered as we continue our mission to build community and bring the world closer together. The Engineering Program Manager enables difficult design and decisions supporting the complex intersections of technical domains. Ultimately, this role focuses on Meta’s engineering expertise to bring complextechnical and cross\-functional problems from definition through design to produce executable engineering packages through ideation in new systems design and R\&amp;D to implementation into detailed building plans. This requires technical understanding of the building with a focus on electrical, mechanical, connectivity components and systems while also driving results with stakeholders across broader Infrastructure ecosystem. Finally, this person will be a motivated self\-starter taking charge of initiatives and be a forward thinker with a keen business sense.  
### **Engineering Program Manager \- Data Center Design, Engineering, and Construction Responsibilities:**
* Manage highly\-complex, cross\-functional systems designs and component research \&amp; development projects from concept through to completion
* Drive complex problem statement development and create milestone schedules that end in decisions and implementation
* Interface with Engineering, Facilities, Electrical/Mechanical Engineers, Construction, Network, Cabling, Security and business owners for project requirements and scope
* Provide hands\-on program management during analysis, design, development, and testing phases
* Digest technical drawings, questioning the inputs of the engineers across multiple highly technical engineering departments and helping to bring all of it together into a cohesive executable package
* Manage dependencies and handoffs effectively and optimize schedules accordingly
* Drive internal process improvements across multiple teams and functions
* Conduct business process re\-engineering reviews to innovate on business processes and define ways to improve their efficiency and effectiveness
* Drive continual improvement of productivity
* Identify areas of risk and drive solution with subject matter experts within the organization
* Lead training and education programs for internal and external partners
* Report and drive alignment and decisions from leadership across multiple organizations
* Travel to offices, vendors, and datacenter sites as required
### **Minimum Qualifications:**
* 7\+ years of experience in Technical Program Management/Project Management
* Proven track record driving results on complex problems with many stakeholders
* Large scale critical infrastructure, Research and Development, and/or data center experience
* Experience building relationships and driving collaboration from cross\-functional teams
* Analytical, problem\-solving, negotiation and organizational experience
* Understanding of engineering details and the impacts of change across multiple disciplines
### **Preferred Qualifications:**
* Experience managing projects related to design and construction of data centers, server hardware, and/or network systems
* Knowledge/specialty experience with design, construction, network systems, hardware systems, capacity management, contracting, and/or business management
* Experience adapting and learning new skill sets quickly
* Global infrastructure design experience
* Tooling and/or Product Development experience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$160,000/year to $223,000/year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1">
      <c r="A91" t="inlineStr">
        <is>
          <t>in-83e68357571281bd</t>
        </is>
      </c>
      <c r="B91" t="inlineStr">
        <is>
          <t>Product Manager</t>
        </is>
      </c>
      <c r="C91" t="inlineStr">
        <is>
          <t>Meta</t>
        </is>
      </c>
      <c r="D91" t="inlineStr">
        <is>
          <t>indeed</t>
        </is>
      </c>
      <c r="E91">
        <f>HYPERLINK("https://www.indeed.com/viewjob?jk=83e68357571281bd", "https://www.indeed.com/viewjob?jk=83e68357571281bd")</f>
        <v/>
      </c>
      <c r="F91">
        <f>HYPERLINK("https://jsv3.recruitics.com/redirect?rx_cid=3239&amp;rx_jobId=a1KDp00000E2fWlMAJ_1004&amp;rx_url=https%3A%2F%2Fwww.metacareers.com%2Fjobs%2F24894480136873895%2F%3Frx_campaign%3Dindeed0%26rx_ch%3Dvp%26rx_group%3D187943%26rx_id%3D6fcae461-fec7-11f0-a182-593331ddf2bb%26rx_job%3Da1KDp00000E2fWlMAJ_1004%26rx_medium%3Dcpc%26rx_r%3Dnone%26rx_source%3Dindeed%26rx_ts%3D20260201T001206Z%26rx_vp%3Dcpc%26utm_campaign%3DJob%252Bboard%26utm_medium%3Djobs%26utm_source%3Dindeedorganic", "https://jsv3.recruitics.com/redirect?rx_cid=3239&amp;rx_jobId=a1KDp00000E2fWlMAJ_1004&amp;rx_url=https%3A%2F%2Fwww.metacareers.com%2Fjobs%2F24894480136873895%2F%3Frx_campaign%3Dindeed0%26rx_ch%3Dvp%26rx_group%3D187943%26rx_id%3D6fcae461-fec7-11f0-a182-593331ddf2bb%26rx_job%3Da1KDp00000E2fWlMAJ_1004%26rx_medium%3Dcpc%26rx_r%3Dnone%26rx_source%3Dindeed%26rx_ts%3D20260201T001206Z%26rx_vp%3Dcpc%26utm_campaign%3DJob%252Bboard%26utm_medium%3Djobs%26utm_source%3Dindeedorganic")</f>
        <v/>
      </c>
      <c r="G91" t="inlineStr">
        <is>
          <t>New York, NY, US</t>
        </is>
      </c>
      <c r="H91" s="3" t="n">
        <v>45948</v>
      </c>
      <c r="I91"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 **Preferred Qualifications:**
* Experience building and shipping high quality work and achieving high reliability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2">
      <c r="A92" t="inlineStr">
        <is>
          <t>in-0e21912bffee56e4</t>
        </is>
      </c>
      <c r="B92" t="inlineStr">
        <is>
          <t>Product Manager</t>
        </is>
      </c>
      <c r="C92" t="inlineStr">
        <is>
          <t>Meta</t>
        </is>
      </c>
      <c r="D92" t="inlineStr">
        <is>
          <t>indeed</t>
        </is>
      </c>
      <c r="E92">
        <f>HYPERLINK("https://www.indeed.com/viewjob?jk=0e21912bffee56e4", "https://www.indeed.com/viewjob?jk=0e21912bffee56e4")</f>
        <v/>
      </c>
      <c r="F92">
        <f>HYPERLINK("https://jsv3.recruitics.com/redirect?rx_cid=3239&amp;rx_jobId=a1KDp00000E2fWlMAJ_1003&amp;rx_url=https%3A%2F%2Fwww.metacareers.com%2Fjobs%2F24894480136873895%2F%3Frx_campaign%3Dindeed0%26rx_ch%3Dvp%26rx_group%3D187943%26rx_id%3D6b719cdf-fec7-11f0-a182-571358c17781%26rx_job%3Da1KDp00000E2fWlMAJ_1003%26rx_medium%3Dcpc%26rx_r%3Dnone%26rx_source%3Dindeed%26rx_ts%3D20260201T001206Z%26rx_vp%3Dcpc%26utm_campaign%3DJob%252Bboard%26utm_medium%3Djobs%26utm_source%3Dindeedorganic", "https://jsv3.recruitics.com/redirect?rx_cid=3239&amp;rx_jobId=a1KDp00000E2fWlMAJ_1003&amp;rx_url=https%3A%2F%2Fwww.metacareers.com%2Fjobs%2F24894480136873895%2F%3Frx_campaign%3Dindeed0%26rx_ch%3Dvp%26rx_group%3D187943%26rx_id%3D6b719cdf-fec7-11f0-a182-571358c17781%26rx_job%3Da1KDp00000E2fWlMAJ_1003%26rx_medium%3Dcpc%26rx_r%3Dnone%26rx_source%3Dindeed%26rx_ts%3D20260201T001206Z%26rx_vp%3Dcpc%26utm_campaign%3DJob%252Bboard%26utm_medium%3Djobs%26utm_source%3Dindeedorganic")</f>
        <v/>
      </c>
      <c r="G92" t="inlineStr">
        <is>
          <t>Seattle, WA, US</t>
        </is>
      </c>
      <c r="H92" s="3" t="n">
        <v>45948</v>
      </c>
      <c r="I92"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**Preferred Qualifications:**
* Experience building and shipping high quality work and achieving high reliability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li-4367944682</t>
        </is>
      </c>
      <c r="B2" t="inlineStr">
        <is>
          <t>Product Manager</t>
        </is>
      </c>
      <c r="C2" t="inlineStr">
        <is>
          <t>Giga</t>
        </is>
      </c>
      <c r="D2" t="inlineStr">
        <is>
          <t>linkedin</t>
        </is>
      </c>
      <c r="E2" t="inlineStr"/>
      <c r="F2" t="inlineStr"/>
      <c r="G2" t="inlineStr">
        <is>
          <t>San Francisco, CA</t>
        </is>
      </c>
      <c r="H2" t="inlineStr"/>
      <c r="I2" t="inlineStr">
        <is>
          <t>**About Giga**
 Giga is building AI agents that aim to automate 98% of enterprise support tickets and operations workflows. We deploy self\-improving, emotionally intelligent agents that handle millions of customer interactions across voice, chat, and email for Fortune 100 enterprises like DoorDash.
 Our agents don't just respond—they continuously learn and improve, automatically increasing resolution rates from 60% to 98% through pattern recognition and policy refinement. They orchestrate complex multi\-party workflows in real\-time: simultaneously coordinating between customers, delivery drivers, and internal systems while cross\-referencing policies and databases—all in under 500 milliseconds.
 Role Overview
 We're looking for a Product Manager to help us achieve our goal of automating 98% of enterprise support and operations workflows. You'll own critical parts of our AI agent platform—building the products that enable self\-improving agents to handle increasingly complex scenarios without human intervention.
 You'll work at the intersection of cutting\-edge AI capabilities and enterprise\-grade product development: defining how agents learn from every interaction, orchestrating multi\-party workflows across voice and chat, and expanding our platform into regulated industries like healthcare and financial services.
 This role requires someone who can think deeply about AI product strategy while also diving into the technical details of real\-time orchestration, emotional intelligence, and enterprise compliance.
 What You'll Own
 Self\-Improving Agent Platform
* Drive the product strategy for agents that automatically improve from 60% to 98% resolution
* Define how agents learn from every interaction—pattern recognition, policy refinement, edge case handling
* Build feedback loops that identify gaps and automatically expand agent capabilities
* Own the path from "agent handles simple cases" to "agent handles 98% of all cases"
 Multi\-Party Orchestration
* Lead product strategy for complex real\-time workflows (e.g., coordinating customer, driver, and merchant simultaneously)
* Define how agents make decisions by cross\-referencing multiple data sources, policies, and external systems in real\-time
* Own the sub\-500ms latency experience across voice, chat, and email channels
* Drive emotional intelligence features—sentiment detection, tone matching, natural conversation flow
 Agent Builder \&amp; Console
* Define the product vision for our no\-code/low\-code agent configuration platform
* Own the policy engine, scenario builder, and custom code execution capabilities
* Drive improvements to knowledge base management and RAG integrations
* Shape the developer experience for teams building and customizing agents
 Expansion into Regulated Industries
* Partner with healthcare, financial services, and compliance\-heavy customers to understand their unique requirements
* Define product capabilities for high\-compliance environments (audit trails, data privacy, regulatory adherence)
* Own integrations strategy (Zendesk, Salesforce, industry\-specific systems)
* Drive the 2\-week enterprise deployment goal that differentiates us from competitors
 Key Responsibilities
 Product Strategy \&amp; Execution
* Define and execute the roadmap toward 98% automation of support tickets and operations workflows
* Make hard prioritization decisions: which agent capabilities unlock the next 10% of automated resolution?
* Ship features that directly move resolution rates from 90% toward 98%
* Translate the "enterprise operations platform" vision into concrete milestones across support, compliance, and operations
 Technical Product Leadership
* Understand and communicate complex real\-time systems (sub\-500ms latency requirements)
* Work closely with engineering on architecture decisions and technical tradeoffs
* Evaluate AI model capabilities and translate them into product features
* Drive API design and developer experience for headless agents and integrations
 Customer Partnership
* Build deep relationships with Fortune 100 customers to understand why the last 10% of tickets still need humans
* Translate customer feedback into agent capabilities that close the gap toward 98% automation
* Monitor resolution rates, identify failure patterns, and drive systematic improvements
* Partner with customers in healthcare and finance to define compliance\-grade automation
 Cross\-Functional Collaboration
* Partner with AI/ML engineers on model integration and prompt optimization
* Work with Design to create intuitive experiences for complex agent configuration
* Collaborate with Sales on customer requirements and competitive positioning
* Coordinate with Customer Success on deployment and adoption
**Required Qualifications**
* 5\+ years combined experience in product management and software engineering
* Minimum 1 year as a software engineer \- hands\-on professional coding experience required
* Strong technical foundation \- ability to engage in architectural discussions, read code, and understand complex distributed systems
* Experience with real\-time systems \- voice, video, messaging, or similar latency\-sensitive products
* Enterprise product experience \- understanding of B2B sales cycles, enterprise requirements, and platform thinking
* Data\-driven mindset \- comfort with metrics, analytics, and making decisions with imperfect information
* Excellent communication \- ability to translate complex technical concepts for diverse audiences
**Preferred Qualifications**
* AI/ML product experience \- LLMs, conversational AI, or voice AI products
* Developer tools experience \- APIs, SDKs, platform products, or developer experience
* Experience with Python \- ability to prototype, analyze data, and work directly in our codebase
* Startup experience \- comfort with ambiguity, wearing multiple hats, and moving fast
* Contact center or customer support domain knowledge
 What Makes You Great for This Role
* Systems thinker: You can hold the complexity of multi\-channel, real\-time AI systems in your head while making pragmatic product decisions
* Customer obsessed: You build deep empathy for both enterprise buyers and the end\-users interacting with agents
* Technical depth: You can dive into voice pipeline latency issues, RAG retrieval quality, or webhook integration problems
* Bias for shipping: You prioritize getting features to customers over perfect specifications
* Comfort with ambiguity: You thrive when the path forward isn't clear and can make progress without complete information
* AI enthusiast: You use AI tools daily and have strong intuitions about AI capabilities and limitations
 Why Giga
* Audacious goal: We're building toward 98% automation of enterprise operations—support is just the beginning
* Self\-improving systems: Our agents get better with every interaction, automatically expanding what they can handle
* Production scale: Already handling millions of calls monthly for Fortune 100 companies with 90%\+ resolution
* Technical differentiation: Sub\-500ms multi\-party orchestration and emotional intelligence that competitors can't match
* Massive market: Customer support automation growing from $3B to $47B by 2034, and we're expanding into healthcare, finance, and beyond
* World\-class team: Founded by Forbes 30 Under 30, backed by Redpoint and YC, growing fast
* High impact: Every feature you ship directly moves us toward a world where enterprises operate with near\-complete automation
**Compensation \&amp; Benefits**
* Competitive base salary
* Comprehensive health, dental, and vision coverage
* In\-office culture with team lunches and events
* Fast\-growing startup with rapid career progression
 Work Arrangement
 In\-Person: San Francisco office
 We believe in the power of in\-person collaboration for building 0\-to\-1 products. Flexible hours to accommodate deep work.
 Compensation Range: $250K \- $400K</t>
        </is>
      </c>
    </row>
    <row r="3">
      <c r="A3" t="inlineStr">
        <is>
          <t>li-4367944240</t>
        </is>
      </c>
      <c r="B3" t="inlineStr">
        <is>
          <t>Sr. Digital Product Manager</t>
        </is>
      </c>
      <c r="C3" t="inlineStr">
        <is>
          <t>Petco</t>
        </is>
      </c>
      <c r="D3" t="inlineStr">
        <is>
          <t>linkedin</t>
        </is>
      </c>
      <c r="E3" t="inlineStr"/>
      <c r="F3" t="inlineStr"/>
      <c r="G3" t="inlineStr">
        <is>
          <t>San Diego, CA</t>
        </is>
      </c>
      <c r="H3" t="inlineStr"/>
      <c r="I3" t="inlineStr">
        <is>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what’s right for pets, people and our planet.
* We love all pets like our own
* We’re the future of the pet industry
* We’re here to improve lives
* We drive outstanding results together
* We’re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We’re focused on purpose\-driven work, and strongly believe what’s good for pets, people and our planet is good for Petco.
**Principle Duties and Responsibilities: (approximate percentage of time spent)**
* Studies end\-user needs, defines product features and coordinates activities across teams to meet quality standards, project deadlines and business objectives. Activities include: gathering and writing requirements for medium and large application features; conducting competitive analyses; and using product discovery techniques to aid in prioritization of features (e.g., A/B, surveys, interviews, etc.). (60%)
* Develops long\-term product plans (i.e., roadmaps), and leads stakeholders through the roadmap process for assigned product(s). Activities include: conferring with engineering, marketing, clients, prospects, operations, legal and others, and developing financial models to aid in prioritization. (20%)
* Monitors and reports on product utilization and identifies trends. (10%)
* Provides guidance to less\-experienced staff. (10%)
**Minimum Qualifications**
* Bachelor’s degree in information technology, computer science, marketing, business administration or related field, 4\+ years of experience as a Product Manager or a similar role in an Agile, Scrum, Kanban or similar software application development and/or project management team environment, or an equivalent combination of education, experience and/or training.
* Strong customer facing digital subject matter expertise with experience working on medium complexity features and/or an entire software application.
**Note:** 
 Current responsibilities are impacted by company and team priorities that may have evolved from what is displayed in the Workday job profile. The description provides general job duties and requirements, but the partner’s manager may assign additional responsibilities or tasks depending on business needs.
 \#CORP
 Qualified applications with arrest or conviction records will be considered for employment in accordance with the Los Angeles County Fair Chance Ordinance for Employers and the California Fair Chance Act.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$103,800\.00 \- $155,700\.00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4">
      <c r="A4" t="inlineStr">
        <is>
          <t>li-4358273576</t>
        </is>
      </c>
      <c r="B4" t="inlineStr">
        <is>
          <t>Product Manager</t>
        </is>
      </c>
      <c r="C4" t="inlineStr">
        <is>
          <t>Realtime Recruitment</t>
        </is>
      </c>
      <c r="D4" t="inlineStr">
        <is>
          <t>linkedin</t>
        </is>
      </c>
      <c r="E4" t="inlineStr"/>
      <c r="F4" t="inlineStr"/>
      <c r="G4" t="inlineStr"/>
      <c r="H4" t="inlineStr"/>
      <c r="I4" t="inlineStr">
        <is>
          <t>**Product Manager – Payments** 
**Location \- Greater Philadelphia** 
**Hybrid** 
**Please note that this role is open to US Citizens and Green Card holders only !!** 
**Primary Responsibilities** 
* Build and maintain strong, trusted relationships with external payment partners (e.g. processors, acquirers, card schemes) to ensure the product evolves alongside the wider payments industry
* Create, manage, and prioritise the product request backlog in collaboration with Product Owners, aligned to business value and ROI
* Own product release planning and set clear expectations for the delivery of new features and functionality
* Lead and mentor a team of Product Owners, overseeing the full development lifecycle to ensure delivery targets are achieved
* Actively identify and mitigate impediments that may impact successful completion of sprint and release goals
* Regularly present product requirements and progress updates to executive leadership and key stakeholders
* Develop and maintain a 6–12 month product roadmap aligned with overall business strategy
* Support Sales Engineering and Product Marketing teams by contributing to materials that clearly demonstrate product capabilities
* Own and continuously improve standards for processor and acquirer connectivity
* Collaborate with internal stakeholders to enhance and scale global payment gateway capabilities
**Secondary Responsibilities** 
* Contribute to the overall product vision, roadmap, and future growth opportunities
* Drive consistent product processes across the organisation to ensure requirements are well defined and scope creep is minimised
* Partner with compliance teams to ensure regulatory and industry standards are met (e.g. PCI DSS, 3DS, GDPR)
* Monitor and analyse product performance metrics to support data\-driven decision making
* Attend quarterly business reviews and client meetings as required to present current and future product capabilities
* Gather and incorporate feedback from internal and external stakeholders to support continuous product improvement
 This role is dynamic and evolving, and responsibilities may expand beyond those listed as the organisation continues to grow.
**Required Experience** 
* Bachelor’s degree in Computing, Information Systems, Software Engineering, or a related field
* 5\+ years’ experience working with a payment gateway, merchant services acquirer, or payment processor
* 2–5 years’ experience acting as a technical subject matter expert for gateway or integrated platform solutions
* Proven experience presenting to senior decision\-making stakeholders
**Preferred Experience** 
* MSc or MA in Computing, Information Systems, or a related field
* Experience working with an omnichannel payment gateway
* 2\+ years’ experience in a Product Manager role
* Experience using Azure DevOps
* Designing and implementing process flows within product or operational teams
* Experience leading a product team or group of technical SMEs
* Experience presenting to C\-suite or executive leadership
**Required Skills** 
* Excellent communication, presentation, and leadership skills
* Strong prioritisation, organisational, and time\-management abilities
* Highly developed analytical and problem\-solving skills
* Self\-motivated, proactive approach with the ability to drive work through to completion
* In\-depth understanding of Agile methodologies and principles
* Strong interest in and curiosity about the payments industry
**Preferred Skills** 
* Knowledge of global payment industry trends
* Understanding of regional payment behaviours, including local debit schemes and alternative payment methods
* Proactive, solution\-focused mindset with the ability to overcome obstacles creatively
* Ability to champion payments knowledge and act as a subject\-matter leader within the organisation
**Please note that this role is open to US Citizens and Green Card holders only !!**</t>
        </is>
      </c>
    </row>
    <row r="5">
      <c r="A5" t="inlineStr">
        <is>
          <t>li-4367948364</t>
        </is>
      </c>
      <c r="B5" t="inlineStr">
        <is>
          <t>Product Manager – Digital Banking</t>
        </is>
      </c>
      <c r="C5" t="inlineStr">
        <is>
          <t>Piermont Bank</t>
        </is>
      </c>
      <c r="D5" t="inlineStr">
        <is>
          <t>linkedin</t>
        </is>
      </c>
      <c r="E5" t="inlineStr"/>
      <c r="F5" t="inlineStr"/>
      <c r="G5" t="inlineStr">
        <is>
          <t>New York, NY</t>
        </is>
      </c>
      <c r="H5" t="inlineStr"/>
      <c r="I5" t="inlineStr">
        <is>
          <t>**About Us**
 Piermont Bank is a tech\-enabled digital commercial bank founded in 2019 with a mission of changing the face and pace of banking. It provides an unprecedented experience that blends the best of banking and agile Fintechs. At Piermont, we are purpose\-driven, and focused on creating and delivering banking products relevant to today’s digital economy. We are the go\-to Bank for the fintech ecosystem. For more information, visit www.piermontbank.com.
**The Role**
 This role reports to the bank’s Chief Banking and Innovation Officer and supports the ongoing management and development of digital banking products for the bank’s core commercial customer base. The ideal candidate is an experienced digital banking professional with a deep background in payments products (Debit Cards, ACH, Wires), core banking infrastructure, and emerging digital banking platforms. The Digital Banking Product Manager will support enhancing the bank’s existing digital banking platform as well as leading the implementation of new digital banking tools to support the ever\-evolving needs of the bank’s core commercial customer base.
**Responsibilities**
* Identify best\-in\-class digital banking tools, including e.g., for automated account opening, online banking/mobile banking, payments, etc.
* Develop a deep understanding of client/user needs and translate them into product specifications
* Lead the implementation of new digital banking tools, coordinating with the bank’s payments solutions, applications, and deposit operations teams
* Continually gather client feedback and market intelligence to ensure the bank is delivering a superior digital experience while informing new product enhancements or new feature implementations
* Design differentiated digital banking product offerings targeting the bank’s key customer segments and continually modernize the digital banking stack with new third\-party integrations, payments capabilities, etc.
* Stay abreast of new developments in digital banking and payments vis\-à\-vis client needs and work in collaboration with the Chief Banking \&amp; Innovation officer to own the bank’s digital banking product roadmap
* Lead new digital banking\-related initiatives and work with both internal and external stakeholders (risk, legal, operations) to ensure successful product implementations.
**Qualifications**
* 5\+ years of digital banking and/or payments\-related experience, ideally in a combination of relevant bank and fintech roles
* Strong verbal and written communication and interpersonal skills
* Strong analytical and problem\-solving skills
* Bachelor’s degree or equivalent.
 The hiring range for this position is $130,000 to $150,000 per year. The base pay actually offered will take into account internal equity and also may vary depending on the candidate’s job\-related knowledge, skills, and experience, among other factors. A bonus and/or incentives may be provided as part of the compensation package, in addition to the full range of medical, dental, vision, 401k, and other benefits.
 Piermont Bank is an equal\-opportunity employer. We celebrate diversity and are committed to creating an inclusive environment for all employees. We do not discriminate based upon race, religion, color, national origin, political affiliation, gender (including pregnancy, childbirth, or related medical conditions), sexual orientation, gender identity, gender expression, age, height, weight, status as a protected veteran, status as an individual with a disability, or other applicable legally protected characteristics.</t>
        </is>
      </c>
    </row>
    <row r="6">
      <c r="A6" t="inlineStr">
        <is>
          <t>li-4356982796</t>
        </is>
      </c>
      <c r="B6" t="inlineStr">
        <is>
          <t>Senior Product Owner</t>
        </is>
      </c>
      <c r="C6" t="inlineStr">
        <is>
          <t>Points North</t>
        </is>
      </c>
      <c r="D6" t="inlineStr">
        <is>
          <t>linkedin</t>
        </is>
      </c>
      <c r="E6" t="inlineStr"/>
      <c r="F6" t="inlineStr"/>
      <c r="G6" t="inlineStr">
        <is>
          <t>Bloomington, MN</t>
        </is>
      </c>
      <c r="H6" t="inlineStr"/>
      <c r="I6" t="inlineStr">
        <is>
          <t>Points North is looking for a Senior Product Owner to own product decisions and drive hands on execution for an established B2B software application that streamlines complex payroll calculations and compliance reporting for companies with prevailing wage and unionized workforces.
 This seasoned individual contributor will be hybrid out of our Twin Cities office, responsible for developing a keen understanding and expertise of our existing systems, stabilizing and improving the legacy parts while developing new capabilities, and increasing retention, all while operating in a fast\-paced environment with a low tolerance for breaking changes. Sound like a challenge? Absolutely, but is a meaningful and highly visible one. You will work cross functionally with Engineering, QA, Implementation, Support, Sales, Finance, Managed Services, and domain SMEs, and you will have direct customer access. As a result, you will play a critical role in our continued growth, helping our clients work smarter, simplify complex payroll obligations, and ultimately give them back their time.
**What You Will Do:** 
 Influence Product Strategy and Decisions
* Own product direction and day\-to\-day product decisions for core platform capabilities in alignment with our overall company objectives.
* Define measurable outcomes and priorities that balance stability and retention, customer value, and modernization.
* Partner with Engineering on the overall product roadmap with a focus on determining what will deliver the most value to our clients and our business.
 Be a Hands\-On Executor
* Write epics, user stories, and detailed acceptance criteria that engineers and QA can build and test against with confidence.
* Conduct discovery and user research: customer interviews, workflow mapping, pain point validation, and value testing.
* Maintain an organized product ticket backlog for our client\-facing teams, while prioritizing the development backlog, refining continuously in partnership with Engineering and ensuring work is ready for development.
* Triage defects and production issues in partnership with Implementation, Client Support and Engineering. Prioritize fixes based on customer impact, risk, and business outcomes.
* Participate in our Agile product development process.
 Stabilize and Evolve a Critical, Complex Platform
* Drive improvements in reliability, performance, accuracy, and usability across complex payroll/compliance workflows.
* Ensure changes preserve the trust we have with our clients by considering and mitigating impacts to their existing workflows.
 Enable Customer Facing Teams Through Product Improvements
* Partner with Support and Implementation to reduce friction, improve tooling, and increase effectiveness with clear, measurable outcomes.
* Use data and feedback loops (support trends, customer escalations, implementation insights, adoption signals) to target improvements that move retention.
 Lead Integration Related Product Work
* Own requirements, documentation and outcomes for integrations with our partners.
* Translate integration needs into clear product workflows, API requirements, data mapping expectations, and operational support considerations.
 Communicate Releases and Drive Readiness
* Coordinate and deliver release communications (what changed, who it impacts, why it matters, how to use it).
* Partner with Marketing on positioning/enablement, while personally owning release comms and internal readiness.
**What Success Looks Like (First 6–12 Months):** 
* You have built strong working knowledge of our platform and the real\-world customer workflows it supports.
* Platform stability improves measurably (fewer high severity incidents, reduced customer pain in top friction areas, improved release confidence).
* Retention drivers are clearly understood and reflected in a focused, outcome\-based roadmap.
* Modernization begins with a pragmatic plan and sequenced execution without destabilizing the legacy system or forcing breaking changes.
**What We Are Looking For:** 
* Familiarity (not necessarily expertise) with one or more of:
* Prevailing wage compliance (federal/state/local), certified payroll reporting
* Union payroll rules, fringes, classifications, rate changes
* Construction payroll/compliance operations
* Experience in regulated domains where accuracy and explainability are critical (payroll, tax, HR, compliance, fintech).
* Experience improving product ops fundamentals: intake/triage, backlog health, release readiness, incident learning loops, customer feedback systems.
* Working Style Fit, you will likely thrive in this role if you:
* Like being close to the work: writing, refining, triaging, talking to customers, and shipping continuously.
* Can balance “keep the lights on” with meaningful forward progress.
* Prefer influence through clarity and execution over authority or managing a team.
* Are energized by complexity and can translate it into simple, usable experiences.
**Required Qualifications:** 
* Proven, extensive professional experience in product management experience with B2B SaaS products, ideally with complex financial calculations and integrations with payroll or ERP systems.
* Proven ability to be a strong individual contributor: owning outcomes end to end from discovery to delivery to results.
* Experience working with legacy systems and improving them incrementally while supporting production reliability.
* Strong track record partnering closely with Engineering and QA, with comfort going deep into edge cases, tradeoffs, and technical constraints.
* Demonstrated capability to define and deliver API based integrations, including understanding:
* Integration patterns (REST APIs, webhooks, file\-based interchange where applicable)
* Data mapping/validation, error handling, reconciliation, and operational support needs
* Enterprise integration expectations (security, reliability, versioning, backward compatibility)
* Excellent written communication (clear requirements, decision logs, release notes, stakeholder updates).
* Comfortable working cross functionally with Support, Implementation, Sales, SMEs, and Finance—driving alignment and momentum
 At Points North, we believe that taking care of our team is the foundation of our success. That’s why we’ve created a benefits package designed to support you both personally and professionally:
* Health Insurance: Comprehensive medical, dental, and vision plans are available to keep you and your family healthy.
* Retirement Savings: Invest in your future with employer\-matching contributions to a SIMPLE Traditional and/or ROTH IRA plan.
* Time Off: Generous PTO, paid holidays, and Volunteer Time Off (VTO) are offered so that you can take time to recharge and give back to what matters to you.
* Growth Opportunities: Professional development is encouraged whether it be in training, certifications, or other opportunities to boost your career.
* Flexibility: Depending on the role, remote or hybrid arrangements may be made available to fit your lifestyle and business needs.
 For this position the base salary range is $100,000\-135,000 per year, plus annual bonus eligibility. Final compensation determinations will reflect your unique experience, skills, and the responsibilities of the role.
 At Points North, you’ll find an energizing, ambitious and supportive workplace where your contributions make a real impact. Ready to join our team? Apply today to take the next step in your career!</t>
        </is>
      </c>
    </row>
    <row r="7">
      <c r="A7" t="inlineStr">
        <is>
          <t>li-4353762865</t>
        </is>
      </c>
      <c r="B7" t="inlineStr">
        <is>
          <t>Product Manager</t>
        </is>
      </c>
      <c r="C7" t="inlineStr">
        <is>
          <t>Jobot</t>
        </is>
      </c>
      <c r="D7" t="inlineStr">
        <is>
          <t>linkedin</t>
        </is>
      </c>
      <c r="E7" t="inlineStr"/>
      <c r="F7" t="inlineStr"/>
      <c r="G7" t="inlineStr">
        <is>
          <t>Atlanta, GA</t>
        </is>
      </c>
      <c r="H7" t="inlineStr"/>
      <c r="I7" t="inlineStr">
        <is>
          <t>Want to learn more about this role and Jobot? Click our Jobot logo and follow our LinkedIn page!
 Job details
**Remote Role \- Drive innovation in spend risk analytics with a leading AI\-powered SaaS company!**
 This Jobot Job is hosted by Kat Lawrence
 Are you a fit? Easy Apply now by clicking the "Easy Apply" button and sending us your resume.
 Salary $140,000 \- $165,000 per year
**A Bit About Us**
 We are a fast\-growing technology company delivering advanced solutions that help organizations manage financial risk and optimize spend. Our platform leverages AI and machine learning to analyze billions of transactions, providing actionable insights that prevent fraud, waste, and misuse. We pride ourselves on creating tools that empower enterprises to strengthen compliance and improve operational efficiency. Our collaborative culture values innovation, data\-driven decision\-making, and continuous improvement.
****Why join us?****
* Comprehensive benefits package including health, dental, and vision coverage
* Generous paid time off and flexible remote work options
* Opportunity to work with cutting\-edge AI/ML technology in a dynamic, growth\-oriented environment
**Job Details**
**Responsibilities**
* Define and execute product roadmap for data\-driven solutions, ensuring alignment with business goals
* Collaborate with engineering, UX, and data science teams to deliver intuitive, user\-centric features
* Translate business challenges into actionable product requirements and functional specifications
* Conduct user research and analyze feedback to prioritize enhancements and improve adoption
* Partner with marketing and sales teams to support product launches and go\-to\-market strategies
* Monitor competitive landscape and identify opportunities to maintain product advantage
* Manage backlog prioritization using quantitative and qualitative inputs
**Qualifications**
* Bachelor’s degree in Science, Engineering, Math, Finance, Business, Economics, or similar area of study; Master's preferred
* 3\+ years of product management experience with a B2B SaaS
* Preferred experience with data\-driven or AI/ML\-enabled software products
* Experience with B2B SaaS products through full development lifecycle
* Familiarity with UX principles and ability to apply them to product design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8">
      <c r="A8" t="inlineStr">
        <is>
          <t>li-4367953238</t>
        </is>
      </c>
      <c r="B8" t="inlineStr">
        <is>
          <t>Product Manager</t>
        </is>
      </c>
      <c r="C8" t="inlineStr">
        <is>
          <t>Technix LLC</t>
        </is>
      </c>
      <c r="D8" t="inlineStr">
        <is>
          <t>linkedin</t>
        </is>
      </c>
      <c r="E8" t="inlineStr"/>
      <c r="F8" t="inlineStr"/>
      <c r="G8" t="inlineStr">
        <is>
          <t>Boca Raton, FL</t>
        </is>
      </c>
      <c r="H8" t="inlineStr"/>
      <c r="I8" t="inlineStr">
        <is>
          <t>**Position: Product Manager**
**Location: Ocoee, FL (Onsite from Day 1\)**
**Duration: 5 Months; High possibility of extension**
**Experience**
* A minimum of 7 years of tech industry, product engineering, operations, technology integration, or other related work experience.
**Education**
* Bachelor's or Master's Degree in Computer Science, Information Systems, Business Administration, Operations Management, Project Management or other related field. Or equivalent work experience.
**General Characteristics**
 Responsible for managing the lifecycle of SunPass products, solutions, and applications, ensuring they meet business requirements and align with the SunPass Operations roadmap. Oversees product development activities, reporting standards, and operational governance while coordinating with cross\-functional teams to deliver high\-quality, customer\-focused solutions. Acts as a liaison between SunPass Operations, Toll Operations leadership, and technical teams to ensure timely delivery, continuous improvement, and compliance with established standards.
**Essential Duties \&amp; Responsibilities**
* Product Development \&amp; Delivery
* Manages research and development activities related to the design, enhancement, and qualification of SunPass products and solutions.
* Works with cross\-functional teams to ensure fulfillment of product requirements and transition products from development to commercialization.
* Assists in determining product delivery and deployment schedules for new releases, feature updates, and maintenance cycles.
* Acts as a technical consultant to the SunPass Operations team, leading testing and evaluation of innovative technologies.
* Ensures technology and product specifications align with SunPass business objectives.
* Oversees product delivery, managing schedules and tasks related to all aspects of product development.
**Operational Governance \&amp; Reporting**
* Develops and maintains a centralized inventory of SunPass products, solutions, and applications.
* Captures and tracks SunPass Operations initiative updates in compliance with reporting standards.
* Monitors input from all business units to ensure products meet functional and performance requirements.
* Identifies opportunities for improvement and lifecycle replacement needs; prepares documentation and summaries for leadership visibility.
* Collaborates with Toll Operations Business Intelligence team to develop dashboards and reporting tools for program performance monitoring.
* Ensures Standard Operating Procedures (SOPs) are created and maintained, establishing a lifecycle process for updates.
**Strategic Support \&amp; Emergency Response**
* Gains detailed knowledge of all facets of SunPass Operations to support decision\-making and implementation of initiatives.
* Serves in times of emergency to support state response efforts and ensure continuity of operations.
* Performs other duties as assigned.</t>
        </is>
      </c>
    </row>
    <row r="9">
      <c r="A9" t="inlineStr">
        <is>
          <t>li-4352980463</t>
        </is>
      </c>
      <c r="B9" t="inlineStr">
        <is>
          <t>Product Manager</t>
        </is>
      </c>
      <c r="C9" t="inlineStr">
        <is>
          <t>Jobot</t>
        </is>
      </c>
      <c r="D9" t="inlineStr">
        <is>
          <t>linkedin</t>
        </is>
      </c>
      <c r="E9" t="inlineStr"/>
      <c r="F9" t="inlineStr"/>
      <c r="G9" t="inlineStr">
        <is>
          <t>San Diego, CA</t>
        </is>
      </c>
      <c r="H9" t="inlineStr"/>
      <c r="I9" t="inlineStr">
        <is>
          <t>Want to learn more about this role and Jobot? Click our Jobot logo and follow our LinkedIn page!
 Job details
**Digital Marketing firm seeking a Product Manager to work on internal systems! Great pay, onsite team environment!**
 This Jobot Job is hosted by Marcus Curiel
 Are you a fit? Easy Apply now by clicking the "Easy Apply" button and sending us your resume.
 Salary $150,000 \- $170,000 per year
**A Bit About Us**
 We build systems and products that power growth \- for our clients and our internal teams.
 We’re looking for a Product Manager to help define, prioritize, and deliver high\-impact products and features across our organization. In this role, you’ll act as the voice of the user, partner closely with engineering and cross\-functional teams, and ensure product initiatives drive real business value.
 If you’re excited by ownership, collaboration, and building products that actually get used, this role is for you.
 What You’ll Be Doing
****Why join us?****
**Benefits**
 Multiple medical plan options through Anthem Blue Cross
 Dental \&amp; vision insurance (including orthodontia and annual exams)
 Pet benefit program with savings on vet care and products
 Paid vacation (accruing up to 120\+ hours/year with rollover and cap)
 Paid holidays annually
 Coverage for spouses/domestic partners and dependents under 26
 Benefits begin on the first of the month after your hire date
**Job Details**
 Role Product Owner
 Location San Diego, CA 92101 (Onsite at Symphony Towers)
 What you will be doing?
 Own and manage the product backlog, including defining, prioritizing, and refining user stories and acceptance criteria
 Serve as the primary bridge between business stakeholders and engineering teams to ensure clarity and alignment
 Translate high\-level business goals into detailed, actionable product requirements
 Partner with engineers, designers, analysts, and operations teams to shape product features and improvements
 Drive the full product lifecycle — from ideation through launch and iteration
 Analyze user feedback, trends, and internal metrics to inform product decisions
 Define KPIs and track product performance using quantitative and qualitative insights
 Facilitate sprint planning, backlog grooming, and participate in Agile/Scrum ceremonies
 Communicate product vision, roadmap, and progress to leadership and cross\-functional partners
 Identify opportunities to improve customer experience, operational efficiency, and scalability
 Advocate for users in prioritization and decision\-making
 Ensure product initiatives remain aligned with company strategy and goals
 Skills you should have
 Bachelor’s degree in Business, Computer Science, Engineering, or a related field — or equivalent professional experience
 3–7\+ years of experience in product management, product ownership, or related roles
 Strong working knowledge of Agile and Scrum methodologies
 Proven experience owning backlogs and executing against product roadmaps
 Excellent written and verbal communication skills across technical and non\-technical audiences
 Strong analytical mindset with experience using data to guide decisions (SQL, analytics platforms, A/B testing, etc.)
 Ability to balance strategic thinking with hands\-on execution and attention to detail
 Exceptional organization and project management skills; comfortable juggling multiple initiatives
 Experience working cross\-functionally with engineering, design, marketing, operations, and client\-facing teams
 Familiarity with tools like Jira, Confluence, Trello, or similar platforms
 Customer\-first mindset with a passion for solving real problems
 Experience in eCommerce, SaaS, or technology\-driven products
 Exposure to data visualization or analytics products
 Basic technical literacy in modern web applications and APIs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0">
      <c r="A10" t="inlineStr">
        <is>
          <t>li-4367946611</t>
        </is>
      </c>
      <c r="B10" t="inlineStr">
        <is>
          <t>Senior Product Manager, Contact Center</t>
        </is>
      </c>
      <c r="C10" t="inlineStr">
        <is>
          <t>Zoom</t>
        </is>
      </c>
      <c r="D10" t="inlineStr">
        <is>
          <t>linkedin</t>
        </is>
      </c>
      <c r="E10" t="inlineStr"/>
      <c r="F10" t="inlineStr"/>
      <c r="G10" t="inlineStr"/>
      <c r="H10" t="inlineStr"/>
      <c r="I10" t="inlineStr">
        <is>
          <t>**What You Can Expect**
 Zoom is seeking a Senior Product Manager to lead the vision, strategy, and roadmap for Contact Center Agent Experiences and Workflows. This role focuses on building intuitive, intelligent, and integrated workflows that
 help agents resolve customer issues efficiently and effectively.
 You will partner with engineering, design, data science, and CX teams to deliver a scalable, high\-impact agent experience. Your work will shape how millions of customer interactions are handled each day. Providing agents with the tools, context, and insights needed to deliver exceptional service.
**About The Team**
 The Zoom CX Contact Center Product team builds the core platforms that power customer engagement across Zoom’s Contact Center and broader CX suite. The team orchestrates and measures interactions across voice, video, messaging, email, and work item channels to help customers deliver exceptional experiences. It also assists in making informed operational decisions.
 Within this organization, the Agent Experiences and Workflows team concentrates on user\-friendly agent tools, workflow automation, and AI\-enhanced experiences. This group streamlines complex processes, minimizes obstacles, and helps agents resolve customer issues efficiently with unified, data\-backed solutions.
**Responsibilities**
* Defining and executing the vision, strategy, and roadmap for agent experiences and workflows within Zoom Contact Center.
* Leading end\-to\-end product development, from discovery to launch, ensuring features meet customer and business goals.
* Partnering with engineering, design, and data science to deliver intuitive, performant, and scalable agent tools.
* Collaborating with analytics and AI teams to integrate insights, recommendations, and automation into agent workflows.
* Conducting user research and gathering feedback from agents, supervisors, and customers to identify pain points and opportunities.
* Developing and maintaining a roadmap that aligns with company objectives and customer success metrics.
* Partnering with cross\-functional teams to ensure seamless integration of agent workflows across channels and systems.
* Driving continuous improvement in agent productivity, customer satisfaction, and operational efficiency.
**What We’re Looking For**
* Have a Bachelor’s degree in Computer Science, Engineering, Business, or a related field.
* 10\+ years of product management experience in B2B SaaS, preferably in contact center, CX and case management domains
* Have experience defining and delivering complex user experiences and workflow products
* Have an understanding of contact center operations, agent lifecycle, and customer problem resolution processes
* Apply data and customer insights to drive prioritization and decision\-making
* Lead cross\-functional teams across engineering, design, and leadership.
**Minimum**
**Salary Range or On Target Earnings:**
 $124,000\.00
**Maximum**
 $271,200\.00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02/07/26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11">
      <c r="A11" t="inlineStr">
        <is>
          <t>li-4356952949</t>
        </is>
      </c>
      <c r="B11" t="inlineStr">
        <is>
          <t>Senior Product Manager</t>
        </is>
      </c>
      <c r="C11" t="inlineStr">
        <is>
          <t>NetApp</t>
        </is>
      </c>
      <c r="D11" t="inlineStr">
        <is>
          <t>linkedin</t>
        </is>
      </c>
      <c r="E11" t="inlineStr"/>
      <c r="F11" t="inlineStr"/>
      <c r="G11" t="inlineStr">
        <is>
          <t>San Jose, CA</t>
        </is>
      </c>
      <c r="H11" t="inlineStr"/>
      <c r="I11"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NetApp is seeking an experienced and results\-driven Senior Product Manager, Monetization to join our dynamic Cloud Storage \&amp; Services Business Unit.
 In this role, you’ll have the unique opportunity to shape impactful monetization strategies that drive business success while maintaining alignment with long\-term strategic objectives. By collaborating effectively with cross\-functional teams, you’ll lead initiatives from inception to execution with a focus on delivering measurable results.
**Responsibilities**
* To be successful in this highly visible role, you should be able to work in a dynamic environment, think big, and be comfortable navigating complexity and ambiguity. You should have strong business and communication skills, be comfortable analyzing data to provide data\-driven recommendations, and be able to partner with stakeholders to help define key business questions and build solutions that answer them.
* Drive the end\-to\-end execution of product initiatives by partnering with cross\-functional teams (engineering, operations, marketing, sales and customer success) to ensure seamless rollout of new models, feature bundles, and market offers
* Develop product enhancements and packaging options that elevate the customer value proposition and resonate with target enterprise segment
**Qualifications**
* 5\+ years leading integrated Hardware \&amp; Software products strategy, including release management, field\-reliability feedback, and compliance/readiness for enterprise customers aligning organizational priorities and the needs of customers.
* 3\+ years driving multi\-year product transformations for technical products (platform modernization, cloud/hyperscaler migrations, or pricing model shifts etc.) with operating\-model design, OKRs \&amp; KPI governance, and executive stakeholder alignment.
* Experience working directly with hyperscalers to leverage co\-marketing strategies and deploy advanced AI/ML solutions.
* Experience applying AI based solutions to conduct user interviews, run experiments, simplify customer experience and define innovative monetization/growth strategy
* 2 years of post\-MBA experience owning the creation and implementation of long\-term product strategies with an engineering background
* Expertise in owning and driving roadmap strategy, definition, and execution.
* Demonstrated ability to lead end\-to\-end product delivery processes effectively
* Experience in the cloud storage and services industry is preferred
* Advanced analytical skills with the ability to dive into product usage data and experiment results. Familiarity with data analysis tools (e.g., Python, Excel) and experience with statistical analysis and A/B testing frameworks is a must
**Education**
 Bachelor's degree in Engineering with a STEM focused MBA preferred.
 Compensation:
 The target salary range for this position is 154,700 \- 231,000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(PTO),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12">
      <c r="A12" t="inlineStr">
        <is>
          <t>li-4367594024</t>
        </is>
      </c>
      <c r="B12" t="inlineStr">
        <is>
          <t>Product Manager</t>
        </is>
      </c>
      <c r="C12" t="inlineStr">
        <is>
          <t>RemoteHunter</t>
        </is>
      </c>
      <c r="D12" t="inlineStr">
        <is>
          <t>linkedin</t>
        </is>
      </c>
      <c r="E12" t="inlineStr"/>
      <c r="F12" t="inlineStr"/>
      <c r="G12" t="inlineStr"/>
      <c r="H12" t="inlineStr"/>
      <c r="I12" t="inlineStr">
        <is>
          <t>About the Opportunity:
 The organization is a leading broad line distributor operating primarily in North America, Japan, and the United Kingdom. It serves millions of customers worldwide by providing maintenance, repair, and operating (MRO) products and services, including technical support and inventory management. The role of Product Manager focuses on guiding and developing generative AI solutions for deployment within the customer service center, contributing to the product vision and roadmap with a high degree of ownership over key features and the customer experience. The position involves collaboration with engineering, design, and operations teams within a matrix organization.
 Responsibilities:
 • Strategize, plan, and develop software related to generative AI and machine learning strategy.
 • Develop business plans using data to make recommendations that create competitive advantage.
 • Conceptualize customer and internal team member needs and build product roadmap and requirements.
 • Lead teams of software engineers, data engineers, and ML scientists by providing business context and establishing shared ownership of outcomes.
 • Lead software development activities including management, deployment, troubleshooting, and administration of new features.
 • Lead, communicate, and coordinate product launches across business, product, and engineering teams considering schedule, risk, and tradeoffs.
 • Facilitate product review discussions with C\-suite executives tailored to the audience.
 • Partner with analytics, UX, peer product managers, and operational business leaders to deliver quality capabilities and measure growth.
 Requirements:
 • Demonstrated experience designing solutions to complex problems by conceptualizing, building, or substantially modifying enterprise internal tools or external websites, preferably for B2B customers. Experience with AI and ML solutions strongly desired.
 • 7\+ years of product management or related experience, including leading agile sprint teams and working with design, analytics, and business partners.
 • Continuous improvement mindset with up\-to\-date technology knowledge.
 • Ability to guide team members to accomplish outcomes.
 • Ability to operate effectively with ambiguity and within a matrix organization under tight schedules.
 • Strong problem\-solving, planning, and creative time management skills, with a high degree of ownership and ability to influence teams to act urgently.
 • Analytical skills with the ability to use data metrics to support business cases for executive leadership and business partners.
 • Bachelor’s degree in computer science, engineering, science, math, or related field; Master’s or MBA preferred.
 Benefits \&amp; Perks:
 • Medical, dental, vision, and life insurance with coverage starting on day one.
 • Six free therapy sessions annually with a licensed therapist for emotional wellbeing.
 • 18 paid time off days annually for full\-time employees, prorated based on start date.
 • Six company holidays per year.
 • 6% company contribution to a 401(k) Retirement Savings Plan each pay period without employee contribution required.
 • Employee discounts, tuition reimbursement, student loan refinancing, and free access to financial counseling, education, and tools.
 • Maternity support programs, nursing benefits, and up to 14 weeks paid leave for birth parents and up to 4 weeks paid leave for non\-birth parents.
 Compensation:
 • Anticipated base pay range for this position is $110,500\.00 to $184,100\.00\.
 • Actual compensation depends on geographic location, relevant experience, and skills.
 • Compensation range is subject to change and may be higher or lower than stated.
 • The organization reserves the right to amend or terminate compensation and benefit programs at its discretion in accordance with applicable law.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
      <c r="A13" t="inlineStr">
        <is>
          <t>li-4357052839</t>
        </is>
      </c>
      <c r="B13" t="inlineStr">
        <is>
          <t>Product Owner Senior</t>
        </is>
      </c>
      <c r="C13" t="inlineStr">
        <is>
          <t>Concorde Career Colleges</t>
        </is>
      </c>
      <c r="D13" t="inlineStr">
        <is>
          <t>linkedin</t>
        </is>
      </c>
      <c r="E13" t="inlineStr"/>
      <c r="F13" t="inlineStr"/>
      <c r="G13" t="inlineStr">
        <is>
          <t>Phoenix, AZ</t>
        </is>
      </c>
      <c r="H13" t="inlineStr"/>
      <c r="I13" t="inlineStr">
        <is>
          <t>The Product Owner Senior plays a strategic and leadership role in defining and delivering high\-value digital products and enterprise solutions. Acting as the voice of the business and customer, they are accountable for shaping the product roadmap, prioritizing outcomes, and guiding multiple Agile teams in delivering solutions that drive measurable business impact. With deep domain expertise, strong stakeholder management skills, and a focus on customer value, the Product Owner Senior not only manages product backlogs but also mentors other Product Owners and contributes to the overall product strategy.
**Pay Range: $110,000 \- $126,000**
**What We Offer**
* Tuition Waiver: Enjoy a tuition waiver after 6 months of employment for you AND your immediate family offered at UTI and Concorde campuses
* Paid Time Off: Competitive paid time off programs for employees (Vacation, Sick, Flexible)
* Retirement Matching: 50% match on the first 6% of your contributions after 90 days
* Paid Parental Leave: 4 weeks of paid leave for both birthing and non\-birthing parents to bond with a new baby
* Competitive Insurance: Health, vision, and dental coverage for you and your dependents
* Pet Insurance: Competitive coverage for your furry family members through ASPCA
* Health Plan Enrollment: Eligibility starts first of the month following completing one full month of employment
**Responsibilities**
* Partner with Product Managers and business leaders to define product strategy, roadmap, and long\-term vision
* Lead and manage multiple product backlogs across teams, ensuring alignment with strategic business objectives
* Translate complex business needs into epics, features, and user stories with clear acceptance criteria
* Prioritize initiatives by balancing customer value, business outcomes, technical dependencies, and risk
* Drive cross\-functional collaboration between design, engineering, architecture, and business stakeholders
* Ensure Agile teams deliver high\-quality product increments that meet performance, scalability, and usability standard.
* Represent the product in stakeholder meetings, steering committees, and executive updates
* Track and report product KPIs, measure business outcomes, and adapt strategy based on insights
* Mentor and coach junior Product Owners, Business Analysts, and team members to build product management capability
* Champion Agile and product management best practices across the organization
* Establish/maintain a high performance team of professional, motivated and engaged staff utilizing effective training, performance management and career\-development activities while leading them to achieve established business results and performance metrics
* Recognizes and rewards employee contributions and achievements
* Other duties as assigned
**Qualifications**
**Education / Experience:**
* Bachelor’s degree in Business, Computer Science, or related field (required)
* Five (5\) years of experience as a Product Owner, Business Analyst, or Product Manager in an Agile environment (required)
* Strong background with Intranets
* Strong background with Sharepoint and Power Platform
* Strong experience managing Product and Solutions within a product driven organization
* Experience managing a team and must have previous people management experience in IT or Product
* Strong expertise in Agile/Scrum frameworks, backlog management, and product delivery (required)
* Experience with Agile tools (e.g., Jira, Azure DevOps, Rally) (required)
* Experience leading digital transformations or large\-scale enterprise product initiatives (preferred)
* Strong understanding of UX/UI design principles, customer journey mapping, and analytics (preferred)
* Background in data\-driven decision\-making and product performance measurement
**Skills**
* Skilled in managing complex products or multiple backlogs in a large enterprise setting
* Strong expertise in Agile/Scrum frameworks, backlog management, and product delivery
* Excellent stakeholder engagement, facilitation, and negotiation skills
* Background of delivering products that create measurable customer and business value
**Abilities**
* Able and willing to:
+ Communicate, think, learn, and reason
+ Use computers and computer systems (including hardware and software) to process transactions, store documents, enter data, or perform assigned tasks
+ Safely ambulate and/or maneuver when on\-site at Company locations
+ Demonstrate and utilize active listening, inductive reasoning, information ordering and category flexibility
* Ability to use good judgment, problem\-solving and decision\-making skills
* Ability to maintain confidentiality and manage sensitive information with discretion
* Ability to work in a fast\-paced environment where deadlines are essential and multiple projects are worked simultaneously
* Ability to gain, understand and apply information and data as it relates essential functions of the position
* Ability to foster long\-term relationships with stakeholders
* Ability to influence product strategy at senior leadership levels and across organizational boundaries
**Work Environment**
* Work is performed indoors in a climate\-controlled environment when on site at assigned company location. Employees must be able to safely ambulate when on company premises.
* This position is designated as Remote. Employees must meet minimum technical standards for eligibility and participation.
* No travel required</t>
        </is>
      </c>
    </row>
    <row r="14">
      <c r="A14" t="inlineStr">
        <is>
          <t>li-4367953456</t>
        </is>
      </c>
      <c r="B14" t="inlineStr">
        <is>
          <t>Product Manager</t>
        </is>
      </c>
      <c r="C14" t="inlineStr">
        <is>
          <t>FNP</t>
        </is>
      </c>
      <c r="D14" t="inlineStr">
        <is>
          <t>linkedin</t>
        </is>
      </c>
      <c r="E14" t="inlineStr"/>
      <c r="F14" t="inlineStr"/>
      <c r="G14" t="inlineStr">
        <is>
          <t>Stone Head, IN</t>
        </is>
      </c>
      <c r="H14" t="inlineStr"/>
      <c r="I14" t="inlineStr">
        <is>
          <t>Product Management Backend Property for FNP.com/FNP.ae/FNP.sg
* Collaborate with Developers, Business users \&amp;amp; Call Centre team / Partner Team for visualizing requirements better.
* Defining features and requirements, Visualize, Plan \&amp;amp; Execute / drive POCs for data configuration where needed. And Building Roadmaps.
* Recommends the nature and scope of present and future product lines by reviewing requirements specifications for new product ideas.
* Support training to Supporting operation team/QA/Backend Team/Partners
* Coordinate with back\-end developers in integrating with front\-end/backend configuration
* Perform analysis / debugging of issues/ data configuration in production systems during troubleshooting / escalating issues for bug fixing.
* UAT \&amp;amp; Live testing / Perform (pre/post development) cross\-browser/devices compatibility test.
 Handling Team Responsible for data\-mapping, backend configuration \&amp; production support on mentioned properties.
* Fnp.com (Web/Mobile/App)
* Fnp.ae (Web/Mobile/App)
* Fnp.sg (Web/Mobile/App)
* International (Web/Mobile/App)
* Affiliate/Market Place
* Corporate</t>
        </is>
      </c>
    </row>
    <row r="15">
      <c r="A15" t="inlineStr">
        <is>
          <t>li-4355787406</t>
        </is>
      </c>
      <c r="B15" t="inlineStr">
        <is>
          <t>Senior Product Manager</t>
        </is>
      </c>
      <c r="C15" t="inlineStr">
        <is>
          <t>Jobot</t>
        </is>
      </c>
      <c r="D15" t="inlineStr">
        <is>
          <t>linkedin</t>
        </is>
      </c>
      <c r="E15" t="inlineStr"/>
      <c r="F15" t="inlineStr"/>
      <c r="G15" t="inlineStr">
        <is>
          <t>Mooresville, NC</t>
        </is>
      </c>
      <c r="H15" t="inlineStr"/>
      <c r="I15" t="inlineStr">
        <is>
          <t>Want to learn more about this role and Jobot? Click our Jobot logo and follow our LinkedIn page!
 Job details
**A Growing Company With Fantastic Benefits**
 This Jobot Job is hosted by Kirk Morgan
 Are you a fit? Easy Apply now by clicking the "Easy Apply" button and sending us your resume.
 Salary $120,000 \- $150,000 per year
**A Bit About Us**
 A fantastic company with a product that is best in market.
****Why join us?****
 Fantastic benefits and room for growth.
**Job Details**
 Job Details
 We are seeking a dynamic and experienced Senior Product Manager to join our Tech Services team. This is an exciting opportunity for a seasoned professional to help shape and guide the future of our technology services. The successful candidate will be responsible for overseeing the development and execution of our product strategy, ensuring that our services meet the needs of our customers and align with our company goals. This is a hands\-on role that requires a deep understanding of the tech industry, a passion for customer success, and a proven track record in product management.
**Responsibilities**
* Define and execute the product strategy and roadmap, working closely with stakeholders to align business and customer needs.
* Act as the voice of the customer, leveraging user experience insights to drive product development and enhancements.
* Lead the product management team, fostering a culture of innovation and continuous improvement.
* Collaborate with the IT Project Management team to ensure timely and successful product launches.
* Utilize your hands\-on proficiency with SQL and API testing to ensure the technical feasibility and performance of our services.
* Leverage your deep understanding of SASS and integrations to create innovative and efficient solutions for our customers.
* Drive customer success by developing and implementing strategies to increase product adoption and customer satisfaction.
* Regularly review and analyze product performance, using data\-driven insights to inform decision making and strategic planning.
**Qualifications**
* Minimum of 5 years of experience in a product management role within the B2B industry.
* Proven experience in managing and delivering large\-scale IT projects.
* Strong knowledge of SQL, API testing, and integrations.
* Exceptional customer success and stakeholder management skills.
* Excellent understanding of user experience principles and techniques.
* Strong leadership skills, with the ability to inspire and motivate a team.
* Excellent problem\-solving skills, with a proven ability to navigate complex challenges and deliver results.
* Bachelor’s degree in Computer Science, Information Systems, or a related field.
* Excellent verbal and written communication skills, with the ability to clearly articulate complex concepts to a variety of audiences.
* Proven ability to work effectively in a fast\-paced, dynamic environment.
 If you are a strategic thinker with a passion for technology and a commitment to customer success, we would love to hear from you. Apply today to join our team and help shape the future of our tech services.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6">
      <c r="A16" t="inlineStr">
        <is>
          <t>li-4367701009</t>
        </is>
      </c>
      <c r="B16" t="inlineStr">
        <is>
          <t>Senior Product Manager, Marketplace Growth</t>
        </is>
      </c>
      <c r="C16" t="inlineStr">
        <is>
          <t>RemoteHunter</t>
        </is>
      </c>
      <c r="D16" t="inlineStr">
        <is>
          <t>linkedin</t>
        </is>
      </c>
      <c r="E16" t="inlineStr"/>
      <c r="F16" t="inlineStr"/>
      <c r="G16" t="inlineStr"/>
      <c r="H16" t="inlineStr"/>
      <c r="I16" t="inlineStr">
        <is>
          <t>About the Organization:
 The organization is building America’s first AI\-powered super app to simplify car ownership. It aims to redefine how people manage one of their most expensive and time\-consuming assets. The app is the top\-rated and most downloaded in its category with a 4\.7\-star rating in the App Store and over 5 million users. It helps customers find better auto insurance and plans to expand its offerings.
 About the Opportunity:
 A Senior Product Manager is needed to own marketplace growth and automation products. These systems enable the delivery of accurate, low\-cost quotes quickly. The role involves scaling systems, establishing new integrations with top carriers, improving data quality, and enhancing the quoting experience.
 Responsibilities:
 • Lead end\-to\-end product development for quoting or automation systems, including new carrier integrations and maintenance.
 • Manage high\-profile integrations with major partners to grow the marketplace.
 • Collaborate with engineering, operations, and insurance experts to improve back\-end performance and customer experience.
 • Identify opportunities to use AI and automation to reduce maintenance costs and improve system resilience.
 Requirements:
 • 4\+ years of experience in management consulting, technical product management, data analytics, or operations at a fast\-paced startup.
 • Strong technical and systems thinking skills; able to translate complex ideas into simple terms.
 • Data\-driven with the ability to independently analyze data.
 • Metric ownership mindset with a focus on continuous improvement.
 • Passionate about AI and experienced in leveraging it for automation and personalized customer communications.
 Benefits \&amp; Perks:
 • Comprehensive benefits package including health, dental, and vision coverage.
 • Paid time off and paid parental leave.
 • 401(k) plan with employer matching.
 • Wellness benefits.
 • Equity opportunities may be offered.
 • Note: Part\-time, contract, or freelance roles may have limited benefits eligibility.
 Compensation:
 • Starting pay within the posted range, based on skills, experience, qualifications, work location, and market factors.
 • Compensation may include equity grants.
 • Pay ranges are market\-dependent and subject to change.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
      <c r="A17" t="inlineStr">
        <is>
          <t>li-4367945273</t>
        </is>
      </c>
      <c r="B17" t="inlineStr">
        <is>
          <t>Senior Product Manager</t>
        </is>
      </c>
      <c r="C17" t="inlineStr">
        <is>
          <t>Microsoft</t>
        </is>
      </c>
      <c r="D17" t="inlineStr">
        <is>
          <t>linkedin</t>
        </is>
      </c>
      <c r="E17" t="inlineStr"/>
      <c r="F17" t="inlineStr"/>
      <c r="G17" t="inlineStr">
        <is>
          <t>Redmond, WA</t>
        </is>
      </c>
      <c r="H17" t="inlineStr"/>
      <c r="I17"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Are you committed to defending customers from cyber threats and advancing security research at Microsoft? The Microsoft Threat Protection (MTP) Engine powers core protection, detection, and disruption capabilities across cloud, devices, identity, email and beyond. Our mission is to enable Microsoft’s best of breed security research and response capabilities through our platform and accelerate AI first transformation throughout research workflows.
 As part of this mission, we power advanced protection, detection, and response capabilities across cloud, devices, identity, email, and more. Our platform lays the foundation for Microsoft's premier security research and response functions, leveraging AI, agents, and automation to transform research workflows and operational processes for productivity, accuracy, and speed of response.
 We are looking for a Senior Product Manager to join our team. In this role, you’ll have the opportunity to design, build, and deliver a unified, intelligent, and scalable system that transforms the way security research and SOC operations are conducted. You will define how AI and automation can be used to support fast and safe experimentation, in\-depth threat analysis, rapid research iteration, and end\-to\-end security insights to enhance global protection. Our diverse team values curiosity, continuous learning, engineering excellence, and a deep commitment to delivering customer\-obsessed security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Define and evolve the product vision and roadmap for Research Enablement and tooling within the MTP Engine ecosystem.
* Own feature backlog and ensure clarity, urgency, and accountability in delivery.
* Drive experimentation plans and data\-driven decision\-making to validate hypotheses and measure impact.
* Collaborate with engineering, design, research, and partner teams to deliver end\-to\-end solutions.
* Derive insights from customer feedback, telemetry, and competitive analysis to inform product decisions.
* Establish and run rhythm of business processes to ensure close coordination and collaboration with parters and customers.
* Embody our culture and values
**Qualifications**
**Required Qualifications:**
* Bachelor's Degree AND 5\+ years of experience in product/service/program management or software development OR equivalent experience.
* 4\+ years designing and implementing large scale, distributed, cloud\-based commercial services.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 Bachelor's Degree AND 8\+ years experience in product/service/program management or software development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\#MSFTSecurity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
      <c r="A18" t="inlineStr">
        <is>
          <t>li-4367708384</t>
        </is>
      </c>
      <c r="B18" t="inlineStr">
        <is>
          <t>Sr. Principal Product Manager - Scorpio</t>
        </is>
      </c>
      <c r="C18" t="inlineStr">
        <is>
          <t>Astera Labs</t>
        </is>
      </c>
      <c r="D18" t="inlineStr">
        <is>
          <t>linkedin</t>
        </is>
      </c>
      <c r="E18" t="inlineStr"/>
      <c r="F18" t="inlineStr"/>
      <c r="G18" t="inlineStr">
        <is>
          <t>San Jose, CA</t>
        </is>
      </c>
      <c r="H18" t="inlineStr"/>
      <c r="I18" t="inlineStr">
        <is>
          <t>Astera Labs (NASDAQ: ALAB) provides rack\-scale AI infrastructure through purpose\-built connectivity solutions. By collaborating with hyperscalers and ecosystem partners, Astera Labs enables organizations to unlock the full potential of modern AI. Astera Labs’ Intelligent Connectivity Platform integrates CXL®, Ethernet, NVLink, PCIe®, and UALink™ semiconductor\-based technologies with the company’s COSMOS software suite to unify diverse components into cohesive, flexible systems that deliver end\-to\-end scale\-up, and scale\-out connectivity. The company’s custom connectivity solutions business complements its standards\-based portfolio, enabling customers to deploy tailored architectures to meet their unique infrastructure requirements. Discover more at www.asteralabs.com.
 Are you passionate about creating differentiated products and working with hyperscale and AI platform providers to deploy the next generation of data center infrastructure?
 We are seeking a highly technical and experienced product manager to join our team at Astera Labs. As a key member of our product management team, you will work closely with customers, product marketing and other cross\-functional teams to define and deliver competitive silicon, hardware and software solutions. With high visibility to the executive team and customers, this role requires strong leadership and communication skills, and a blend of technical expertise and market insight within your product domain.
 This is a unique opportunity to play a pivotal role in the success of our Scorpio Smart Fabric Switch portfolio. We are scaling our product team to support our worldwide customers, offering ample opportunities for growth and advancement within the product team.
 Based in San Jose, CA or Vancouver, BC, this position requires an in\-person presence with travel to customers.
**Key Responsibilities** 
* Own product definition: Define detailed product requirements and prioritize features, enhancements, and bug fixes based on business goals and customer feedback.
* Lead customer technical engagement: Work closely with lighthouse customers to translate their needs to competitive product requirements and secure new design\-wins throughout the product lifecycle.
* Support go\-to\-market: Leverage technical and product expertise to support product marketing and corporate marketing teams on go\-to\-market planning and execution, sales enablement, competitive analysis, and product positioning.
* Lead product planning: Work closely with product marketing to translate product strategy into executable product plans and collaborate with Astera Labs cross\-functional teams to drive products from ideation to launch.
**Qualifications**
* Bachelor’s degree in engineering or compute science
* 5\-10 years of experience in product management, technical product marketing, applications or other customer\-facing product roles within the semiconductor industry
* Proven track record of defining and launching successful semiconductor products (switch products are a plus)
* Deep understanding of high\-speed protocols (PCIe/CXL and/or UALink are required; Ethernet and other protocols are a plus) and system architectures used in cloud and AI infrastructure
* Strong strategic thinking and analytical skills, with the ability to translate customer pain points into competitive products
* Excellent communication and presentation skills, with the ability to articulate complex technical concepts in a clear and compelling manner
* Proven ability to collaborate effectively with cross\-functional teams and drive consensus in a fast\-paced, dynamic environment
* Results\-oriented mindset with a focus on driving measurable impact and achieving business objectives
* Experience working with customers and partners to understand their needs and drive product definition
* Willingness to travel as needed for customer meetings, industry events, and trade shows
 If you are passionate about driving innovation and shaping the future of data center connectivity through world\-class products, we encourage you to apply. Join Astera Labs in unleashing the potential of cloud and AI infrastructure!
 Compensation will be based on leveling and experience. Base Salary Range $210,000 \- $255,000
 We know that creativity and innovation happen more often when teams include diverse ideas, backgrounds, and experiences, and we actively encourage everyone with relevant experience to apply, including people of color, LGBTQ\+ and non\-binary people, veterans, parents, and individuals with disabilities.</t>
        </is>
      </c>
    </row>
    <row r="19">
      <c r="A19" t="inlineStr">
        <is>
          <t>li-4367595006</t>
        </is>
      </c>
      <c r="B19" t="inlineStr">
        <is>
          <t>Senior Product Manager, Marketplace Growth</t>
        </is>
      </c>
      <c r="C19" t="inlineStr">
        <is>
          <t>RemoteHunter</t>
        </is>
      </c>
      <c r="D19" t="inlineStr">
        <is>
          <t>linkedin</t>
        </is>
      </c>
      <c r="E19" t="inlineStr"/>
      <c r="F19" t="inlineStr"/>
      <c r="G19" t="inlineStr"/>
      <c r="H19" t="inlineStr"/>
      <c r="I19" t="inlineStr">
        <is>
          <t>About the Organization:
 The organization is developing America’s first AI\-powered super app to simplify car ownership. It redefines how people manage one of their most expensive and time\-consuming assets. It is the top\-rated and most downloaded app in its category with a 4\.7 star rating in the App Store and over 5 million users. The organization has helped millions find better auto insurance and continues to grow.
 About the Opportunity:
 • Own marketplace growth and automation products critical to delivering accurate, low\-cost quotes quickly.
 • Scale systems, integrate with top carriers, improve data quality and accuracy.
 • Explore new methods to provide faster, smarter, and easier quoting experiences.
 Responsibilities:
 • Lead end\-to\-end product development for quoting or automation systems, including new carrier integrations and maintenance.
 • Manage high\-profile integrations with major partners to drive marketplace growth.
 • Collaborate with engineering, operations, and insurance experts to improve back\-end performance and customer experience.
 • Identify opportunities to leverage AI and automation to reduce costs and enhance system resilience.
 Requirements:
 • 4\+ years of experience in management consulting, technical product management, data analytics, or operations at a fast\-paced startup.
 • Technologist and systems thinker comfortable with technical discussions and simplifying complex ideas.
 • Data\-driven with the ability to independently analyze data.
 • Metric owner with a continuous improvement mindset.
 • Passionate about AI, experienced in automating daily tasks, early adopter of new technologies, and eager to leverage AI at scale for personalized customer communications.
 Benefits \&amp; Perks:
 • Comprehensive health, dental, and vision coverage.
 • Paid time off and paid parental leave.
 • 401(K) plan with employer matching.
 • Wellness benefits.
 • Equity opportunities as part of total rewards package.
 • Note: Part\-time, contract, or freelance roles may not be eligible for certain benefits.
 Compensation:
 • Starting pay within the listed range based on skills, experience, qualifications, work location, and market conditions.
 • Compensation may include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
      <c r="A20" t="inlineStr">
        <is>
          <t>li-4354047854</t>
        </is>
      </c>
      <c r="B20" t="inlineStr">
        <is>
          <t>Product Manager (SaaS Cybersecurity)</t>
        </is>
      </c>
      <c r="C20" t="inlineStr">
        <is>
          <t>Jobot</t>
        </is>
      </c>
      <c r="D20" t="inlineStr">
        <is>
          <t>linkedin</t>
        </is>
      </c>
      <c r="E20" t="inlineStr"/>
      <c r="F20" t="inlineStr"/>
      <c r="G20" t="inlineStr">
        <is>
          <t>Eagle Mountain, UT</t>
        </is>
      </c>
      <c r="H20" t="inlineStr"/>
      <c r="I20" t="inlineStr">
        <is>
          <t>Want to learn more about this role and Jobot? Click our Jobot logo and follow our LinkedIn page!
 Job details
**SaaS startup in GRC**
 This Jobot Job is hosted by Mallory Schreiner
 Are you a fit? Easy Apply now by clicking the "Easy Apply" button and sending us your resume.
 Salary $90,000 \- $115,000 per year
**A Bit About Us**
 SaaS startup in GRC
****Why join us?****
 Competitive salary with equity options
 100% employer\-paid medical, dental, and vision
 At least 20 days of PTO
 Fully paid parental leave
 Flexible work schedule and hybrid work structure
 Ongoing training and professional development support
 Collaborative, growth\-oriented company culture
**Job Details**
 A fast\-growing SaaS company focused on cybersecurity and compliance solutions is looking to hire a customer\-focused Product Manager. This role is ideal for someone with a background in Governance, Risk, and Compliance (GRC) or cybersecurity who wants to grow their product career in a highly collaborative, user\-led development environment.
 You’ll work closely with engineering and UX design teams to explore user needs, define product direction, and continuously evolve the platform. Even if you don’t come from a traditional product background, if you’re a strategic thinker with domain knowledge and a drive to learn, you’ll be supported every step of the way.
 What You'll Be Doing
 Drive continuous discovery to uncover user needs and pain points in the security and compliance space.
 Partner within a cross\-functional trio (UX, Eng, PM) to define solutions, run experiments, and validate concepts.
 Translate business goals into actionable product initiatives that deliver measurable impact.
 Use data and feedback to prioritize work, inform product strategy, and evaluate success.
 Create strong feedback loops with both customers and internal teams to ensure alignment.
 Champion a culture of experimentation and rapid learning grounded in lean product principles.
 Act as the advocate for the user, ensuring their needs shape development priorities.
 What You’ll Bring
 Background in cybersecurity, compliance, or GRC\-related fields.
 Interest or experience in product management, continuous discovery, and agile methodologies.
 Analytical mindset with a bias toward evidence\-based decision\-making.
 Ability to work across teams and communicate effectively with technical and non\-technical stakeholders.
 Exposure to or interest in lean product frameworks, rapid prototyping, and outcome\-driven development.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21">
      <c r="A21" t="inlineStr">
        <is>
          <t>li-4367948156</t>
        </is>
      </c>
      <c r="B21" t="inlineStr">
        <is>
          <t>Senior Product Manager (Practice OS)</t>
        </is>
      </c>
      <c r="C21" t="inlineStr">
        <is>
          <t>Blue Heron Capital</t>
        </is>
      </c>
      <c r="D21" t="inlineStr">
        <is>
          <t>linkedin</t>
        </is>
      </c>
      <c r="E21" t="inlineStr"/>
      <c r="F21" t="inlineStr"/>
      <c r="G21" t="inlineStr">
        <is>
          <t>Salt Lake City, UT</t>
        </is>
      </c>
      <c r="H21" t="inlineStr"/>
      <c r="I21" t="inlineStr">
        <is>
          <t>Location
 Remote
 Employment Type
 Full time
 Location Type
 Remote
 Department
 R\&amp;D
 OverviewApplication
**About Tava**
 If you could spend your time doing something truly meaningful, chances are you’d choose work that could change people's lives for the better. At Tava Health, that's exactly what we do every day. Tava Health is a quickly growing venture\-backed startup, focused on scaling access to behavioral healthcare.
 We make meaningful connections between providers and clients accessible and easy by partnering with organizations to bring high\-quality mental health care to their employees, members, and communities.
**About The Role**
 Tava Health is seeking a Senior Product Manager to lead the discovery and development of provider\-facing product experiences. This role is responsible for building a comprehensive practice operating system that enables individual therapists and groups to run successful practices with Tava. The scope spans administrative, clinical, billing, and operational workflows.
 Key Responsibilities
* Lead development of new platform capabilities that support practice growth, operational efficiency, and high\-quality care delivery.
* Collaborate and coordinate effectively with other provider\-facing product managers
* Partner closely with clinical, operational, and payer\-focused stakeholders
* Leverage AI tools to improve product insight, efficiency, and provider workflows.
* Prioritize high\-impact opportunities and drive measurable outcomes through rapid iteration and experimentation.
* Communicate clearly with leadership, manage up and down to align on priorities, and drive execution
**Qualifications**
* 5\+ years of product management experience, with ownership of complex, customer\-facing platforms.
* Experience building products for providers, practices, or operationally complex domains (healthcare, fintech, marketplaces, or similar).
* Strong track record of shipping high\-quality software and driving measurable business and customer outcomes.
* Comfort operating across ambiguous problem spaces and balancing short\-term execution with long\-term platform strategy.
* Experience working cross\-functionally with engineering, design, clinical, operations, and external partners.
* High product judgment, strong written and verbal communication skills, and a bias toward action.
* Demonstrated ability to use AI tools to accelerate product discovery, execution, and learning.
* For tax purposes, priority will be given to candidates living in states where we already have employees. These states are Alabama, Arizona, California, Connecticut, Florida, Georgia, Idaho, Indiana, Nevada, North Carolina, Maine, Maryland, Massachusetts, New Jersey, New York, Oregon, Tennessee, Texas, Virginia, and Utah.
 Tava is unable to sponsor employment visas (such as the H\-1B). Candidates must have authorization to work in the U.S. without company sponsorship now or in the future.
 All hiring activities at Tava Health are handled by company representatives using @tavahealth.com or @us.tavahealth.com email addresses.
 Please beware of unauthorized recruiting communications requesting personal information. We never hire anyone without first completing a real\-time, face\-to\-face interview (conducted by video or in\-person), nor do we use encrypted instant messaging services like Signal. If you have questions regarding the authenticity of any outreach, please do not hesitate to use the chat feature on our website or contact us at careers@tavahealth.com
 Tava Health does not discriminate on the basis of race, sex, color, religion, age, national origin, marital status, disability, veteran status, genetic information, sexual orientation, gender identity, or any other reason prohibited by law in provision of employment opportunities and benefits.
 This site is protected by reCAPTCHA and the Google Privacy Policy and Terms of Service apply.
 Powered by Ashby
 Privacy PolicySecurityVulnerability Disclosure</t>
        </is>
      </c>
    </row>
    <row r="22">
      <c r="A22" t="inlineStr">
        <is>
          <t>li-4356471650</t>
        </is>
      </c>
      <c r="B22" t="inlineStr">
        <is>
          <t>Partnerships Product Manager</t>
        </is>
      </c>
      <c r="C22" t="inlineStr">
        <is>
          <t>Jobot</t>
        </is>
      </c>
      <c r="D22" t="inlineStr">
        <is>
          <t>linkedin</t>
        </is>
      </c>
      <c r="E22" t="inlineStr"/>
      <c r="F22" t="inlineStr"/>
      <c r="G22" t="inlineStr">
        <is>
          <t>Denver, CO</t>
        </is>
      </c>
      <c r="H22" t="inlineStr"/>
      <c r="I22" t="inlineStr">
        <is>
          <t>Want to learn more about this role and Jobot? Click our Jobot logo and follow our LinkedIn page!
 Job details
**We recognize, reward, and develop those individuals who make an outsized impact**
 This Jobot Job is hosted by Tarik Grant
 Are you a fit? Easy Apply now by clicking the "Easy Apply" button and sending us your resume.
 Salary $100,000 \- $130,000 per year
**A Bit About Us**
 We are a full\-service, premier commercial bank serving businesses and their principals in Colorado and Utah. We provide loans, deposits, cash management, and self\-directed retirement banking solutions. Our Strategic Partnerships team focuses on developing and maintaining long\-term, high\-value partner relationships, delivering innovative financial services while integrating technology solutions that scale efficiently.
****Why join us?****
 As a Partnerships Product Manager, you will shape the future of our Bank’s self\-directed technology offerings, leading product strategy, partner integrations, and enhancements that directly impact growth. This role is perfect for a results\-driven professional who thrives in fast\-paced, collaborative environments and enjoys building client\-centric solutions that improve partner experience and drive measurable business impact.
 You’ll work across technology, compliance, operations, and marketing teams, executing strategic initiatives and influencing product roadmaps. If you enjoy blending product vision with execution, and delivering tangible outcomes for both partners and internal stakeholders, this role is an excellent fit.
**Job Details**
 As a Partnerships Product Manager, you will
 Translate partner agreements into actionable product plans and drive successful launches.
 Productize integration layers via reusable components, dashboards, and configuration tools to accelerate onboarding.
 Review opportunities for growth within existing partnerships.
 Conduct cross\-functional execution and launch plans, collaborating with internal teams and vendors.
 Monitor and optimize partner performance using data\-driven insights (Cognos, Tableau).
 Enhance the self\-directed provider onboarding process and troubleshoot product issues.
 Implement performance tracking and maintain quality, reliability, and scalability standards.
**Requirements**
 7\+ years in product management (financial services, fintech, BaaS, platform, or embedded services)
 Proven record of delivering measurable product growth
 Go\-to\-market strategy knowledge and cross\-functional execution experience
 Excellent relationship\-building, negotiation, and communication skills
 Bachelor’s degree preferred
 Startup or scale\-up experience is a plus
 Work Environment Hybrid role, based in our office 4–5 days per week.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23">
      <c r="A23" t="inlineStr">
        <is>
          <t>li-4367567741</t>
        </is>
      </c>
      <c r="B23" t="inlineStr">
        <is>
          <t>Sr. Applied AI Product Manager</t>
        </is>
      </c>
      <c r="C23" t="inlineStr">
        <is>
          <t>Adobe</t>
        </is>
      </c>
      <c r="D23" t="inlineStr">
        <is>
          <t>linkedin</t>
        </is>
      </c>
      <c r="E23" t="inlineStr"/>
      <c r="F23" t="inlineStr"/>
      <c r="G23" t="inlineStr">
        <is>
          <t>San Jose, CA</t>
        </is>
      </c>
      <c r="H23" t="inlineStr"/>
      <c r="I23"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GTM Agentic AI Operations team is leading the shift to an Agentic operating model for Adobe GTM and Sales. This function is the orchestration layer that operationalizes Adobe GTM and Sales strategy into end to end Agentic AI workflows that compress planning cycles from months to weeks, launch more personalized campaigns across every route to market, and streamline manual tasks so sellers can focus on talking to customers. We are building an always\-on Agentic operating layer that connects strategy, data, and frontline execution for the Digital Media business.
 The AI industry is changing quickly, so success in this role requires first principles thinking, intellectual curiosity, and the ability to adapt as the landscape evolves. This opportunity is ideal for a Senior Product Manager who brings a founder approach, enjoys building zero to one products, and has the grit to see them through to impact.
**Role Overview**
**Agentic Planning**
* Define the product vision and strategy for Planning Agents that support annual and in year planning across multiple products, segments, and regions.
* Build Agentic workflows that propose territories, coverage models, capacity plans, quotas, and targeted subgroup plays from live data and clear business constraints.
* Embed these Planning Agents into existing planning cadences so leaders can review, adjust, and approve plans instead of starting from scratch.
**Campaign Orchestration and Execution**
* Own the roadmap for Execution Agents that help GTM teams select audiences, prioritize accounts, choose plays, and orchestrate campaigns across key channels and tools.
* Partner with marketing, sales development, and Sales teams to codify successful campaigns into reusable Agentic workflows that can be adapted by different segments and regions.
* Build a standard experimentation framework so campaigns can be launched in days, tested with clear hypotheses and metrics, and scaled when they work.
**Seller Productivity and AI Assistants**
* Define and deliver seller facing AI assistants that support account research, meeting preparation, opportunity insights, next best actions, and follow\-up content.
* Map complete seller workflows and identify where Agents can remove friction, from territory and account review to renewal and expansion motions.
* Partner with Sales Systems to embed assistants into CRM, email, calendar, and other daily tools, so they fit naturally into seller workflows.
**What You Will Bring**
* 8\+ years of product management (2\+ years of Agentic AI) experience, with meaningful work in one or more of the following: sales planning, GTM systems, marketing technology, sales tools, or AI powered products.
* Experience mapping complex business workflows and translating them into clear product requirements and step by step experiences.
* Comfort working with data and experimentation, including defining success metrics, reviewing analyses, and using insights to drive roadmap decisions.
* Solid understanding of modern AI technologies such as large language models and agentic workflows, or a demonstrable ability to ramp quickly.
* A builder mentality, high ownership, and resilience in a fast moving environment.
**Technical Requirements**
* Experience using SQL to explore data, validate hypotheses, and define requirements with analytics partners.
* Experience with LLM and agentic architectures, such as prompt design, retrieval augmented generation, tool calling, and evaluation.
* Experience partnering with engineers on API design, data contracts, and integration patterns between systems.
* Proficiency with product and design tools including Figma, FigJam, Miro, or similar for mapping workflows and defining user experiences.
* Experience using product delivery tools such as Jira, Confluence, or similar to manage backlogs, write clear tickets, and track progress.
 Our compensation reflects the cost of labor across several  U.S. geographic markets, and we pay differently based on those defined markets. The U.S. pay range for this position is $125,800 \-\- $239,725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4">
      <c r="A24" t="inlineStr">
        <is>
          <t>li-4367593095</t>
        </is>
      </c>
      <c r="B24" t="inlineStr">
        <is>
          <t>Senior Product Manager, Performance Platform &amp; Integrations</t>
        </is>
      </c>
      <c r="C24" t="inlineStr">
        <is>
          <t>RemoteHunter</t>
        </is>
      </c>
      <c r="D24" t="inlineStr">
        <is>
          <t>linkedin</t>
        </is>
      </c>
      <c r="E24" t="inlineStr"/>
      <c r="F24" t="inlineStr"/>
      <c r="G24" t="inlineStr"/>
      <c r="H24" t="inlineStr"/>
      <c r="I24" t="inlineStr">
        <is>
          <t>About the Opportunity:
 This organization provides a data governance layer that makes web analytics tools HIPAA\-compliant for healthcare businesses. It enables healthcare marketers to promote access to care while safeguarding patient privacy by automating HIPAA compliance for websites and apps. The core product helps healthcare providers manage customer data securely and serves as a platform for building marketing applications. The role focuses on building and maintaining integrations connecting diverse revenue events such as appointments, billing, and clinical outcomes into the data platform, supporting bottom\-of\-funnel marketing efforts.
 Responsibilities:
 • Architect and maintain a growing ecosystem of integrations with EHRs (e.g., Epic), booking platforms (e.g., Solv), and billing systems.
 • Identify and explore new potential data source integrations to support advertising and marketing performance.
 • Manage reconciliation and alignment through scalable platform logic as the bottom\-of\-funnel network expands.
 • Collaborate with the Identity Team, Ad Platform Team, and Insights Team to resolve user journeys, align top\-of\-funnel signals, and power ROI\-driving recommendations.
 • Use AI tools daily to increase productivity, accelerate documentation, and automate complex data mapping.
 Requirements:
 • Experience as an integrations architect with a platform\-oriented view managing complex, disparate data sources at scale.
 • Outcome\-driven mindset focused on business and customer results.
 • Early adopter of AI tooling such as large language models, coding assistants, and data agents.
 • Collaborative strategist who understands the importance of fueling peer product teams with well\-integrated data.
 Benefits \&amp; Perks:
 • Competitive pay and generous equity with a 10\-year exercise window.
 • Fully remote within the U.S. with a $150/month coworking stipend.
 • Half\-day Fridays every week.
 • Unlimited paid time off with a required 2\-week minimum.
 • Top\-tier health, dental, and vision insurance (100% covered for employees, 80% for dependents).
 • Two annual “Treat Yourself” days featuring $100 and a day off.
 • Generous parental leave.
 • Twice\-yearly offsite gatherings.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
      <c r="A25" t="inlineStr">
        <is>
          <t>li-4345391841</t>
        </is>
      </c>
      <c r="B25" t="inlineStr">
        <is>
          <t>Associate Director, Product Owner</t>
        </is>
      </c>
      <c r="C25" t="inlineStr">
        <is>
          <t>Gartner</t>
        </is>
      </c>
      <c r="D25" t="inlineStr">
        <is>
          <t>linkedin</t>
        </is>
      </c>
      <c r="E25" t="inlineStr"/>
      <c r="F25" t="inlineStr"/>
      <c r="G25" t="inlineStr">
        <is>
          <t>Stamford, CT</t>
        </is>
      </c>
      <c r="H25" t="inlineStr"/>
      <c r="I25" t="inlineStr">
        <is>
          <t>**About this role:**
 We’re looking for a dynamic, tech\-savvy Product Owner to lead our Pendo platform strategy and execution—driving internal user engagement, improving UX, and integrating with our CRM platform. This role sits at the intersection of technology, user experience, and business impact, and is critical to enabling our Sales and Services teams to operate with clarity, agility, and scale.
**What you’ll do:**
* Own the Pendo platform: Manage vendor relationship, roadmap, and day\-to\-day operations including guide creation, user segmentation, and platform optimization.
* Drive user engagement: Build and iterate in\-app communications and guides that help users discover value, take action, and build momentum.
* Analyze user behavior: Leverage Pendo analytics to uncover insights, identify friction points, and inform UX improvements and product strategy.
* Improve UX across surfaces: Collaborate with UX, product owners, and business stakeholders to enhance user journeys and drive intuitive, impactful experiences.
* Partner on cross\-functional pilots and initiatives: Partner with Sales and Services Ops, IT, and Product teams to align on goals, define requirements, and deliver solutions that scale.
* Champion agility and innovation: Operate with a no\-limits mindset, continuously seeking new ways to improve tools, processes, and outcomes.
* Support change management: Drive adoption through thoughtful communication, training, and enablement programs.
**What you will need:**
* 6–8 years of experience in product management, marketing technology, or related roles
* Hands\-on experience with Pendo or similar platforms (e.g., WalkMe, Gainsight PX)
* Strong understanding of Salesforce and its capabilities
* Light development experience (e.g., HTML/CSS/JS) and comfort working with technical teams
* Proven ability to manage vendors and drive strategic partnerships
* Deep empathy for users and a passion for improving user experience
* Strong communication skills and ability to influence across functions
* Experience working in Agile/Scrum environments
* Strategic thinker with a bias for action and experimentation
* Bachelor's degree required
**What you will get:**
* Competitive salary, generous paid time off policy, charity match program, Medical, Dental \&amp; Vision Plans, Parental Leave, Employee Assistance Program (EAP), 401K matching, and more!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108,000 USD \- 148,000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ID:106566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row>
    <row r="26">
      <c r="A26" t="inlineStr">
        <is>
          <t>li-4353524601</t>
        </is>
      </c>
      <c r="B26" t="inlineStr">
        <is>
          <t>Senior Product Manager (Firmware Platform)</t>
        </is>
      </c>
      <c r="C26" t="inlineStr">
        <is>
          <t>Jobot</t>
        </is>
      </c>
      <c r="D26" t="inlineStr">
        <is>
          <t>linkedin</t>
        </is>
      </c>
      <c r="E26" t="inlineStr"/>
      <c r="F26" t="inlineStr"/>
      <c r="G26" t="inlineStr">
        <is>
          <t>Seattle, WA</t>
        </is>
      </c>
      <c r="H26" t="inlineStr"/>
      <c r="I26" t="inlineStr">
        <is>
          <t>Want to learn more about this role and Jobot? Click our Jobot logo and follow our LinkedIn page!
 Job details
 This Jobot Job is hosted by Christina Finster
 Are you a fit? Easy Apply now by clicking the "Easy Apply" button and sending us your resume.
 Salary $150,000 \- $190,000 per year
**A Bit About Us**
 Our client is an early\-stage Series B, venture\-backed startup building the world’s first direct\-to\-satellite Bluetooth® network. With applications in logistics, AgTech, and maritime, their mission is to become the first billion\-endpoint\-connected network in the world. The founding team has already launched billions in space assets, raised hundreds of millions in venture funding, and built household\-name IoT networks. Now, they’re expanding the team to bring this vision to life.
****Why join us?****
 🚀 Shape the future of IoT and satellite connectivity with cutting\-edge tech
 💰 Competitive salary $160K–$195K (DOE)
 🩺 Comprehensive health, dental, and vision coverage \+ HSA options
 🌍 Unlimited PTO \&amp; a global sabbatical program to recharge
 💪 Health \&amp; wellness stipends \+ commuter benefits
 🎓 Learning \&amp; development allowance
 🌎 Opportunity to work in Seattle, San Francisco, or remotely in PST
**Job Details**
 We’re looking for a Senior Product Manager, Firmware Platform, to drive the evolution of Hubble’s embedded developer experience—from SDKs and provisioning workflows to identity, logging, and chip integrations. You’ll define how developers build on Hubble\-enabled devices, bridging the gap between embedded software, network infrastructure, and cloud APIs.
 This role sits at the intersection of firmware and platform engineering. You’ll own the "why" and the "what" behind our device SDKs, provisioning flows, and developer\-facing tools. You’ll partner closely with firmware engineers, hardware teams, and developer relations to create smooth, reliable, and scalable embedded integration experiences.
 What You’ll Do
 Lead the product roadmap for Hubble’s firmware platform, including embedded SDKs, provisioning and authentication systems, device logging/debugging, and chip\-vendor integrations.
 Translate technical and developer needs into clear product requirements, milestones, and success metrics.
 Work directly with firmware, hardware, backend, and SDK teams to ensure seamless end\-to\-end device onboarding and operation.
 Define and evolve embedded developer workflows—from first firmware flash to production deployment.
 Collaborate with chip vendors and module partners to streamline integration and certification of Hubble\-enabled hardware.
 Partner with design and developer experience teams to make embedded SDKs intuitive, well\-documented, and easy to adopt.
 Establish instrumentation, telemetry, and observability for device performance, connectivity, and provisioning reliability.
 Balance feature velocity with firmware stability and maintainability in highly constrained environments.
 What You Bring
 5–10 years of technical product management experience, including deep familiarity with firmware, embedded systems, or IoT devices.
 Proven success driving execution across cross\-functional technical teams (firmware, hardware, backend, developer experience).
 Hands\-on understanding of embedded developer workflows (build systems, provisioning, device identity, logging/debugging).
 Strong technical fluency—able to navigate conversations with firmware and systems engineers at the implementation level.
 Experience managing SDKs, APIs, or developer tools used by external partners.
 Bonus experience with chip\-vendor integration, BLE/LoRa/Satellite connectivity, or embedded Linux/RTOS environments.
 Candidate Must\-Haves
 U.S. Citizenship or Green Card (ITAR requirement)
 Located in Seattle, San Francisco, or Remote (PST time zone)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27">
      <c r="A27" t="inlineStr">
        <is>
          <t>li-4366592645</t>
        </is>
      </c>
      <c r="B27" t="inlineStr">
        <is>
          <t>Senior Product Manager</t>
        </is>
      </c>
      <c r="C27" t="inlineStr">
        <is>
          <t>Jobs via Dice</t>
        </is>
      </c>
      <c r="D27" t="inlineStr">
        <is>
          <t>linkedin</t>
        </is>
      </c>
      <c r="E27" t="inlineStr"/>
      <c r="F27" t="inlineStr"/>
      <c r="G27" t="inlineStr">
        <is>
          <t>New York, NY</t>
        </is>
      </c>
      <c r="H27" t="inlineStr"/>
      <c r="I27" t="inlineStr">
        <is>
          <t>Duration: 3\+ Months
 Location: NY\-New York, Hybrid 1\-2 days onsite
 Overview: Every Turnberry consultant belongs to a practice, an internal group of consultants and leaders with shared experience and expertise. Each of these practices aligns to one of the core services Turnberry offers to clients. As a Senior Product Manager, you will join Turnberry's Digital Modernization practice, where technology and strategy combine to deliver exceptional digital experiences, empowering organizations to thrive in today's digital market.
 Responsibilities:
 Lead agile pods and cross\-functional teams, acting as a resource and influencer across merchandising, planning, and technical groups
 Evangelize a vision that bridges business operations and technology strategy, fostering collaboration and trust
 Design solutions that integrate seamlessly with merchandising and planner workflows
 Resolve conflicts between operational constraints and technical capabilities
 Address gaps in pricing and inventory optimization processes while ensuring adoption by business teams
 Build trust with merchandising, planning, and allocation teams by demonstrating empathy and understanding of their daily challenges
 Communicate complex technical strategies in a way that resonates with business stakeholders
 Influence and persuade diverse teams to adopt new processes and technologies
 Revenue Growth: Optimize markdowns and pricing strategies aligned with merchandising goals
 Operational Efficiency: Streamline planning and allocation processes through tech\-enabled solutions
 Customer Satisfaction: Deliver tools that improve omni\-channel experiences and inventory availability
 Innovation: Introduce advanced analytics that empower merchandisers and planners to make smarter decisions
 Qualifications:
 5\+ years in product management, with at least 3 years leading enterprise\-level products in markdown optimization, pricing, demand forecasting, or inventory optimization
**Minimum 3 Years Of Management Experience For Manager\-level Roles**
 Bachelor's degree required; MBA or Master's preferred
 Direct experience or strong exposure to merchandising, planning, and allocation processes
 Ability to translate operational realities into tech solutions that improve efficiency and outcomes
 Demonstrates ability to align tech strategy with merchandising and planning workflows, ensuring solutions are practical and impactful
 Use data\-driven insights to make informed decisions and drive innovation in pricing and inventory optimization
 Navigate ambiguity and complex challenges while maintaining alignment with company goals for omni\-channel excellence and customer experience
 The salary range for this role is $110,000 to $155,000 or the hourly equivalent. Pay is based on several factors including but not limited to education, work experience, certifications, etc. In addition to your salary, Turnberry Solutions offers benefits such as a comprehensive healthcare package (medical, dental, vision), disability and group term life insurance, health and flexible spending accounts, a utilization bonus, 401(k) with match, flexible time off for salaried employees, parental leave for salaried employees, and flexible work arrangements (all benefits are subject to eligibility requirements). No matter where or when you begin a career with Turnberry, you'll find a far\-reaching choice of benefits and incentives.
 At Turnberry, inclusion is one of our core values. We are committed to creating a positive and connected work environment for all and are fully invested in and focused on hiring and growing a diverse team of high performers. We believe that uniqueness in ideas, experiences, and backgrounds make us a better Turnberry: Turnberry is an Equal Employment Opportunity employer, and recruits, employs, trains, compensates, and promotes regardless of age, ancestry, family medical or genetic information, gender identity and expression, marital, military, or veteran status; national and ethnic origin; physical or mental disability; political affiliation; pregnancy; race; religion; sex; sexual orientation; and any other protected characteristics.
 Americans with Disabilities Act (ADA)
 Turnberry will provide reasonable accommodation with our application process upon request as required to comply with applicable laws. If you have a disability and require accommodation assistance in this application process, please send an email to our Human Resources department at</t>
        </is>
      </c>
    </row>
    <row r="28">
      <c r="A28" t="inlineStr">
        <is>
          <t>li-4366478338</t>
        </is>
      </c>
      <c r="B28" t="inlineStr">
        <is>
          <t>Product Owner</t>
        </is>
      </c>
      <c r="C28" t="inlineStr">
        <is>
          <t>Jobs via Dice</t>
        </is>
      </c>
      <c r="D28" t="inlineStr">
        <is>
          <t>linkedin</t>
        </is>
      </c>
      <c r="E28" t="inlineStr"/>
      <c r="F28" t="inlineStr"/>
      <c r="G28" t="inlineStr">
        <is>
          <t>Phoenix, AZ</t>
        </is>
      </c>
      <c r="H28" t="inlineStr"/>
      <c r="I28" t="inlineStr">
        <is>
          <t>RESPONSIBILITIES:
 Kforce is looking for a seasoned Product Owner in Phoenix, AZ to lead the development of our client's Web and API Platform in a dynamic, collaborative environment. This individual will play a critical role in transforming business requirements into powerful digital solutions that enhance customer experiences and support operational goals.
 Duties:
* Product Owner will own and manage the product backlog, ensuring alignment with strategic goals and user needs
* Prioritize stories and features within Agile sprints to maximize value delivery
* Collaborate closely with engineering, UX, QA, and cross\-functional stakeholders
* Define clear and detailed user stories, requirements, and acceptance criteria
* Drive and facilitate backlog grooming, sprint planning, and discovery sessions
* As a Product Owner, you will break down complex features into actionable work items for development teams
* Act as a subject matter expert and central point of contact for the product domain
* Stay informed on industry trends, API development, and web technologies to support continuous improvement and innovation
 REQUIREMENTS:
* Experienced in web and API product development
* Highly adaptable, and proficient in Agile methodologies
* A natural problem\-solver with strong communication and decision\-making skills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29">
      <c r="A29" t="inlineStr">
        <is>
          <t>li-4366037481</t>
        </is>
      </c>
      <c r="B29" t="inlineStr">
        <is>
          <t>Product Owner (Deposits)</t>
        </is>
      </c>
      <c r="C29" t="inlineStr">
        <is>
          <t>Jobs via Dice</t>
        </is>
      </c>
      <c r="D29" t="inlineStr">
        <is>
          <t>linkedin</t>
        </is>
      </c>
      <c r="E29" t="inlineStr"/>
      <c r="F29" t="inlineStr"/>
      <c r="G29" t="inlineStr">
        <is>
          <t>Charlotte, NC</t>
        </is>
      </c>
      <c r="H29" t="inlineStr"/>
      <c r="I29" t="inlineStr">
        <is>
          <t>job summary:
 I am looking to hire a L1 Product Owner that can manage a team of BA's as well as technology team.
 Product Owner \- Deposits
 Location: Charlotte, NC
 Work Model: Hybrid (3 days in office / 2 days remote)
 Visa Sponsorship: Not available
 We are seeking an Agile Product Owner to lead product delivery execution for the Deposits domain. This role will play a critical part in shaping how deposit data is captured, analyzed, and consumed across Finance by driving consistent requirements intake, rigorous data analysis, and structured change and release management processes.
 The ideal candidate will partner deeply with various Finance teams, Technology, Upstream and Downstream partners to define business needs, complete end to end data profiling and rationalization, and ensure high quality delivery of capabilities that support Finance reporting, analytics, and transformation priorities.
 In this role, you will:
 Requirements Management \&amp; Analysis
 Lead end to end requirements collection for Deposit data, partnering with various Finance LOBs, Cross Product teams, Operations, and Technology stakeholders.
 Perform data profiling, lineage validation, and source to target analysis to ensure requirements are accurate, complete, and grounded in data realities.
 Analyze, rationalize, and validate business requirements to eliminate redundancy, simplify complexity, and align with enterprise data standards.
 Translate business needs into clear epics, features, and user stories with proper acceptance criteria.
 Backlog Ownership \&amp; Delivery Support
 Own and maintain the product backlog, ensuring transparency, prioritization, and alignment with strategic objectives.
 Work closely with Agile delivery teams using both Scrum and Kanban methodologies to ensure clarity of scope and timely delivery.
 Facilitate grooming sessions, sprint planning, demos, and retrospectives to drive consistent execution.
 Change Management \&amp; Release Management
 Oversee change management processes including impact assessments, communication plans, stakeholder alignment, and readiness activities.
 Partner with Technology teams to lead release management, including deployment planning, validation, and post release monitoring.
 Ensure traceability of requirements through development, testing, and deployment.
 Stakeholder Engagement \&amp; Leadership
 Act as the primary liaison between business partners and delivery teams, ensuring effective communication of scope, risks, and design decisions.
 Indirectly lead cross functional teams to drive initiatives, resolve issues, and deliver measurable business value.
 Collaborate with mid level and senior managers to align on objectives and remove roadblocks.
 Required Qualifications:
 5\+ years of experience in Agile product ownership or product management (Scrum and Kanban).
 Demonstrated experience collecting and analyzing requirements for data, reporting, or financial systems.
 Strong communication and storytelling skills with the ability to influence and gain alignment across stakeholders.
 Experience with data profiling, data lineage, and analytical/data flows.
 Understanding of financial services products \- preferably Deposits
 Desired Qualifications:
 Experience developing roadmaps, OKRs, and KPIs
 Highly skilled in simplifying complex data and business concepts for multiple audiences.
 Excellent critical thinking and problem solving abilities with a strong focus on customer and team member experience.
 Ability to analyze and test data via SQL
 Job Expectations:
 Candidate has to be local to Charlotte
 Hybrid work schedule: 3 days in office / 2 days remote (subject to change based on business needs).
 This position is not eligible for Visa sponsorship.
 location: Charlotte, North Carolina
 job type: Contract
 salary: $75\.75 \- 78\.00 per hour
 work hours: 8am to 5pm
 education: Bachelors
 responsibilities:
 I am looking to hire a L1 Product Owner that can manage a team of BA's as well as technology team.
**Product Owner \- Deposits**
**Location:** 
 Charlotte, NC
**Work Model:** 
 Hybrid (3 days in office / 2 days remote)
**Visa Sponsorship:** 
 Not available
 We are seeking an
 **Agile Product Owner** 
 to lead product delivery execution for the
 **Deposits domain** 
 . This role will play a critical part in shaping how deposit data is captured, analyzed, and consumed across Finance by driving consistent requirements intake, rigorous data analysis, and structured change and release management processes.
 The ideal candidate will partner deeply with various Finance teams, Technology, Upstream and Downstream partners to define business needs, complete end to end data profiling and rationalization, and ensure high quality delivery of capabilities that support Finance reporting, analytics, and transformation priorities.
**In this role, you will:**
**Requirements Management \&amp; Analysis**
* Lead end to end requirements collection for Deposit data, partnering with various Finance LOBs, Cross Product teams, Operations, and Technology stakeholders.
* Perform data profiling, lineage validation, and source to target analysis to ensure requirements are accurate, complete, and grounded in data realities.
* Analyze, rationalize, and validate business requirements to eliminate redundancy, simplify complexity, and align with enterprise data standards.
* Translate business needs into clear epics, features, and user stories with proper acceptance criteria.
**Backlog Ownership \&amp; Delivery Support**
* Own and maintain the product backlog, ensuring transparency, prioritization, and alignment with strategic objectives.
* Work closely with Agile delivery teams using both Scrum and Kanban methodologies to ensure clarity of scope and timely delivery.
* Facilitate grooming sessions, sprint planning, demos, and retrospectives to drive consistent execution.
**Change Management \&amp; Release Management**
* Oversee change management processes including impact assessments, communication plans, stakeholder alignment, and readiness activities.
* Partner with Technology teams to lead release management , including deployment planning, validation, and post release monitoring.
* Ensure traceability of requirements through development, testing, and deployment.
**Stakeholder Engagement \&amp; Leadership**
* Act as the primary liaison between business partners and delivery teams, ensuring effective communication of scope, risks, and design decisions.
* Indirectly lead cross functional teams to drive initiatives, resolve issues, and deliver measurable business value.
* Collaborate with mid level and senior managers to align on objectives and remove roadblocks.
**Required Qualifications:**
* 5\+ years of experience in Agile product ownership or product management (Scrum and Kanban).
* Demonstrated experience collecting and analyzing requirements for data, reporting, or financial systems.
* Strong communication and storytelling skills with the ability to influence and gain alignment across stakeholders.
* Experience with data profiling, data lineage, and analytical/data flows .
* Understanding of financial services products \- preferably Deposits
**Desired Qualifications:**
* Experience developing roadmaps, OKRs, and KPIs
* Highly skilled in simplifying complex data and business concepts for multiple audiences.
* Excellent critical thinking and problem solving abilities with a strong focus on customer and team member experience.
* Ability to analyze and test data via SQL
**Job Expectations:**
* Candidate has to be local to Charlotte
* Hybrid work schedule: 3 days in office / 2 days remote (subject to change based on business needs).
* This position is not eligible for Visa sponsorship.
 qualifications:
 Required Qualifications:
 5\+ years of experience in Agile product ownership or product management (Scrum and Kanban).
 Demonstrated experience collecting and analyzing requirements for data, reporting, or financial systems.
 Strong communication and storytelling skills with the ability to influence and gain alignment across stakeholders.
 Experience wit</t>
        </is>
      </c>
    </row>
    <row r="30">
      <c r="A30" t="inlineStr">
        <is>
          <t>li-4366866262</t>
        </is>
      </c>
      <c r="B30" t="inlineStr">
        <is>
          <t>Analytics Program Manager - AI Data</t>
        </is>
      </c>
      <c r="C30" t="inlineStr">
        <is>
          <t>McKesson</t>
        </is>
      </c>
      <c r="D30" t="inlineStr">
        <is>
          <t>linkedin</t>
        </is>
      </c>
      <c r="E30" t="inlineStr"/>
      <c r="F30" t="inlineStr"/>
      <c r="G30" t="inlineStr"/>
      <c r="H30" t="inlineStr"/>
      <c r="I3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We are seeking a Business Intelligence Solutions Lead to join the Generics Specialty Products \&amp; Programs team, contributing to the advancement of enterprise\-grade analytics and AI capabilities for McKesson’s private label biosimilars portfolio.
**Key Responsibilities** 
* Develop intuitive, self\-service dashboards and analytics for McKesson’s private label biosimilars, empowering stakeholders to monitor business objectives, track KPIs, and make data\-driven decisions.
* Support monitoring and analysis of competitive intelligence including reimbursement levels, other biosimilar manufacturers, acute care GPOs, and provider activity
* Implement AI agents that proactively analyze workflows and transactional data to uncover untapped revenue and margin improvement opportunities—accelerating adoption, growth and profitability.
* Establish scalable AI foundation in partnership and execute on an enterprise\-grade AI platform to enable advanced capabilities such as anomaly detection, inventory optimization, and service\-level forecasting—laying the groundwork for long\-term automation and efficiency.
* Create robust tools and reporting capabilities to strengthen FLW (Full Line Wholesale) Passport and Injectables workflow, improving operational transparency, reducing manual effort, and enabling faster, more informed actions
* Collaborate in knowledge sharing and best practices, and provide backup support for analytics team as needed
**Minimum Requirement** 
 Degree or equivalent and typically requires 7\+ years of relevant experience.
**Education** 
 Bachelor’s or Master’s degree in Engineering, Computer Science, Business, or a related field.
**Critical Skills** 
 • 7\+ years of relevant professional experience, including 2\+ years in AI/automation solution deployment or technical enablement roles.
 •
 **Data \&amp; Analytics:** 
 Strong proficiency in data architecture and engineering, building scalable cloud\-based data infrastructure, harmonized data assets, and AI\-driven analytics solutions; Proficient in Power BI for dashboard development and visualization.
 •
 **AI \&amp; Automation Expertise:** 
 Hands\-on experience with Generative AI, Large Language Models (LLMs), and agentic/AI workflow platforms; skilled in designing and implementing automation solutions.
 •
 **Programming \&amp; Engineering:** 
 Proficient in Python (preferred), SQL, API integration, and modern AI frameworks such as LangChain and OpenAI; strong foundation in software engineering principles.
 •
 **Collaboration \&amp; Communication:** 
 Excellent ability to work cross\-functionally and communicate effectively with both technical and non\-technical stakeholders.
 Unable to Visa sponsor for this role
 This is Dallas \- Ft, Worth based role, we cannot consider candidates outside this area</t>
        </is>
      </c>
    </row>
    <row r="31">
      <c r="A31" t="inlineStr">
        <is>
          <t>li-4367934505</t>
        </is>
      </c>
      <c r="B31" t="inlineStr">
        <is>
          <t>Project Coordinator / Program Manager</t>
        </is>
      </c>
      <c r="C31" t="inlineStr">
        <is>
          <t>Technix LLC</t>
        </is>
      </c>
      <c r="D31" t="inlineStr">
        <is>
          <t>linkedin</t>
        </is>
      </c>
      <c r="E31" t="inlineStr"/>
      <c r="F31" t="inlineStr"/>
      <c r="G31" t="inlineStr">
        <is>
          <t>Carson City, NV</t>
        </is>
      </c>
      <c r="H31" t="inlineStr"/>
      <c r="I31" t="inlineStr">
        <is>
          <t>**Position: Project / Program Manager 1**
**Location:201 South Carson Street, Carson City, Nevada**
**Duration: 6 Months with Extension**
**Agency: Nevada Supreme Court**
**Position ID: 154776**
**Work Mode: Negotiable\-Remote is a possibility**
**Special Requirement**
 Need W2 Candidates only
 Need local candidates only
**Job Description**
 We are seeking a Project Coordinator to support complex, multi\-phase court application implementation initiatives. This role will support subset projects within larger programs and work closely with program leadership, project managers, vendors, and business analysts to ensure deliverables, dependencies, and risks are tracked and addressed.
 The ideal candidate brings prior experience supporting technical or software implementation projects and is comfortable working independently on assigned tasks while escalating issues as needed. This role requires strong organizational skills, attention to detail, and the ability to manage competing priorities in a fast\-moving environment.
**Responsibilities**
* Support requirements development and documentation for new court implementations and data conversion activities
* Assist in planning and coordinating data conversion efforts, including tracking dependencies and deliverables
* Maintain project plans, schedules, risk logs, and issue trackers
* Follow up on deliverables across internal teams, vendors, and external partners
* Facilitate requirements sessions, technical discussions, and solution walkthroughs as needed
* Track progress and support scope, timeline, and dependency management
* Support testing, validation, and deployment activities
* Identify gaps, risks, and process issues and escalate appropriately
* Contribute to continuous process improvement and documentation standards
**Required Experience**
* 2 4 years of experience in a project coordination, project support, or technical analyst role
* Experience supporting software implementations, system integrations, or data\-driven projects
* Working knowledge of project management methodologies (Agile, Waterfall, or hybrid)
* Ability to translate business needs into clear documentation and requirements
* Strong communication, facilitation, and documentation skills
* Experience using project tracking and documentation tools (Jira, Confluence, MS Project, or similar)
**Preferred Qualifications**
* Experience working with courts, in the public sector, or in government IT environments
* Familiarity with data conversion processes and implementation lifecycles
* Experience coordinating vendors and cross\-functional stakeholders
* Ability to manage assigned workstreams with moderate oversight</t>
        </is>
      </c>
    </row>
    <row r="32">
      <c r="A32" t="inlineStr">
        <is>
          <t>li-4357052838</t>
        </is>
      </c>
      <c r="B32" t="inlineStr">
        <is>
          <t>IT Program Manager - ERP</t>
        </is>
      </c>
      <c r="C32" t="inlineStr">
        <is>
          <t>Concorde Career Colleges</t>
        </is>
      </c>
      <c r="D32" t="inlineStr">
        <is>
          <t>linkedin</t>
        </is>
      </c>
      <c r="E32" t="inlineStr"/>
      <c r="F32" t="inlineStr"/>
      <c r="G32" t="inlineStr">
        <is>
          <t>Phoenix, AZ</t>
        </is>
      </c>
      <c r="H32" t="inlineStr"/>
      <c r="I32" t="inlineStr">
        <is>
          <t>The IT Program Manager provides strategic leadership across multiple interrelated IT projects within enterprise programs. This role manages program resources, budgets, risks, cross\-functional dependencies, and ensures delivery of integrated solutions that support long\-term business value. The IT Program Manager leads governance structures, facilitates executive stakeholder engagement, and oversees change management and benefits realization across the program lifecycle.
**Pay Range: $108,000 \- $150,000**
**What We Offer**
* Tuition Waiver: Enjoy a tuition waiver after 6 months of employment for you AND your immediate family offered at UTI and Concorde campuses
* Paid Time Off: Competitive paid time off programs for employees (Vacation, Sick, Flexible)
* Retirement Matching: 50% match on the first 6% of your contributions after 90 days
* Paid Parental Leave: 4 weeks of paid leave for both birthing and non\-birthing parents to bond with a new baby
* Competitive Insurance: Health, vision, and dental coverage for you and your dependents
* Pet Insurance: Competitive coverage for your furry family members through ASPCA
* Health Plan Enrollment: Eligibility starts first of the month following completing one full month of employment
**Responsibilities**
**Specific Accountabilities**
* Lead End\-to\-End Implementation Drive planning, coordination, and execution of ERP (Workday), CRM, and SIS programs across all phases: requirements, design, development/configuration, testing, business readiness, OCM, and deployment.
* Business \&amp; IT Alignment Partner with functional leaders to align technology solutions with business processes and compliance requirements.
* Vendor \&amp; Partner Management Manage relationships with Workday and Salesforce implementation partners, ensuring deliverables meet contractual obligations and quality standards.
* Risk \&amp; Issue Management Proactively identify risks related to data migration, system performance, and change adoption; develop mitigation strategies.
* Governance \&amp; Steering Committees Facilitate executive\-level governance forums, presenting program health, KPIs, and strategic recommendations.
* Organizational Change Management (OCM) Oversee OCM strategies to ensure stakeholder engagement, training, and adoption of new systems.
**Qualifications**
**Education / Experience:**
* Bachelor’s degree in Computer Science, Information Technology, Business Administration, or related field (required)
* Master’s degree (preferred)
* Ten (10\) years of experience in IT program and project management, including enterprise\-level initiatives (required)
* Experience in management of complex, cross\-functional IT initiatives
* Expert understanding of Program Management, and Adaptive Project Management methodologies as well as agile frameworks and ways of working
**Licenses / Certifications**
* PMP Certification (Required)
* PgMT Certification (preferred)
* Valid, state\-issued driver's license (required)
**Skills**
* Deep ERP/CRM Expertise: Hands\-on experience with Workday Finance modules and Salesforce Sales/Service Cloud.
* Data Migration \&amp; Integration: Strong understanding of ETL processes, APIs, and middleware for large\-scale system integrations.
* Testing Leadership: Expertise in managing UAT, SIT, and regression testing for enterprise applications.
* Budget \&amp; Financial Control: Ability to manage multi\-million\-dollar program budgets and vendor contracts.
* Executive Communication: Skilled in presenting complex program updates to C\-suite stakeholders.
**Abilities**
* Strategic Leadership: Ability to lead multi\-year, multi\-system transformation programs.
* Decision\-Making Under Ambiguity: Navigate complex organizational structures and competing priorities.
* Cross\-Functional Collaboration: Build strong partnerships across Finance, Marketing, Student Services, and IT.
**Experience**
* Mandatory:
* Direct leadership of at least one Workday ERP or Salesforce CRM implementation from initiation to deployment.
* Preferred:
* Experience with Student Information Systems.
* Background in higher education or large\-scale corporate environments
**Standard Abilities**
* Able and willing to:
* Communicate, think, learn, and reason
* Use computers and computer systems (including hardware and software) to process transactions, store documents, enter data, or perform assigned tasks
* Safely ambulate and/or maneuver when on\-site at Company locations
* Demonstrate and utilize active listening, inductive reasoning, information ordering and category flexibility
* Ability to use good judgment, problem\-solving and decision\-making skills
* Ability to maintain confidentiality and manage sensitive information with discretion
* Ability to work in a fast\-paced environment where deadlines are essential and multiple projects are worked simultaneously
* Ability to gain, understand and apply information and data as it relates essential functions of the position
* Ability to foster long\-term relationships with stakeholders</t>
        </is>
      </c>
    </row>
    <row r="33">
      <c r="A33" t="inlineStr">
        <is>
          <t>li-4367949320</t>
        </is>
      </c>
      <c r="B33" t="inlineStr">
        <is>
          <t>Procurement Program Manager</t>
        </is>
      </c>
      <c r="C33" t="inlineStr">
        <is>
          <t>RealTruck, Inc.</t>
        </is>
      </c>
      <c r="D33" t="inlineStr">
        <is>
          <t>linkedin</t>
        </is>
      </c>
      <c r="E33" t="inlineStr"/>
      <c r="F33" t="inlineStr"/>
      <c r="G33" t="inlineStr">
        <is>
          <t>Ann Arbor, MI</t>
        </is>
      </c>
      <c r="H33" t="inlineStr"/>
      <c r="I33" t="inlineStr">
        <is>
          <t>**Position Summary**
 The Manager of Procurement Programs will direct new program launches and product life cycle maintenance processes for the procurement department. This will be accomplished through the development of procurement project plans for new product launches, cost\-down projects, and effective escalation/resourcing projects. The Procurement Program Manager will be the main stakeholder interface into and out of the procurement team and will be responsible for executing sourcing decisions and contracts created by the commodity teams.
**Core Functions** 
* Act as primary Procurement interface to cross\-functional Product Line Teams working on execution of New Product Development Process (NPD) deliverables.
* Lead procurement communications within the product line team (Product Line Management, Engineering, Commercial Management, Project Management and Operations Management).
* Maintain a product line procurement roadmap to support:
+ Increases in product line profitability and achieve minimum targets.
+ Identification and execution of commodity strategy within the assigned product lines—consolidation and right sourcing.
+ Identification and execution of VA/VE improvement projects within the assigned product lines.
* Responsible for leading a team of procurement professionals, which may include direct supervision, mentorship, performance review, and work prioritization and assignments.
* Manage the procurement function within the ECR/PCR systems. Allocate and assign requirements within the procurement team as needed to achieve timely and transparent execution.
* Identify potential risks and develop mitigation strategies to safeguard the company's interests.
* Maintain supply chain value stream maps for existing and launching product.
* Maintain product line capacity database for RT and OEM\-owned assets.
* Organize new product and new product potential projects. Effectively introduce and direct work within the procurement team to support project objectives—timing, quality and financial.
* Provide program deliverable (e.g. sourcing, cost, PPAP, etc.) tracking and status reporting.
* Support the performance escalation process as needed.
* Lead process improvement initiatives to streamline procurement processes, enhance efficiency, and drive operational excellence.
**Qualifications \&amp; Requirements**
**Education and Experience**
* Bachelor’s degree required; preferred majors are engineering (electrical, mechanical), business management, supply chain management or finance.
* 7 to 10 years of negotiation and buying experience in manufacturing environment required; preferably in automotive or electronics industries.
* 3\+ years of Program Management experience preferred.
* Working experience in a multi\-national company is preferred.
* 5\+ years effective experience leading international and cross functional teams required.
* Experience in new program launch support activities is preferred.
* Solid experience working with international procurement practices and regulation.
* Experience of IATF16949 quality standards; quality techniques.
* Experience MRO, capex and/or metal, plastic and rubber, and other electro\-mechanical commodity market.
**Licenses**
* Certification in procurement or supply chain management preferred.
**Skills, Abilities, And Knowledge**
* Excellent communication and interpersonal skills.
* Ability to work in a fast\-paced environment and manage multiple priorities.
* Strong proficiency in Excel and PowerPoint a must for competitive analysis, commodity market indexes and sourcing requirements.
* Ability to respond to common inquiries from stakeholders.
* Ability to understand contracts and negotiations to pricing strategies.
* Ability to effectively present information to top management and public groups. Write, speak and comprehend English.
* Ability to add, subtract, multiply, and divides in all units of measure, using whole numbers, common fractions, and decimals. Ability to compute rate, \&amp; ratio.
* Ability to solve practical problems and deal with a variety of concrete variables in situations where only limited standardization exists. Ability to interpret a variety of instructions furnished in written, oral, diagram, or schedule form.
* Ability to negotiate (tactics, techniques, and strategies).
* Ability to handle multiple tasks simultaneously.
* Confidence to work independently.
* Creative and excellent organizational and coordination skills.
* Positive and team oriented.
**Travel**
* Occasional travel may be required, roughly 25%.
**Supervisor Responsibilities**
* Manager\+: Plans, organizes, evaluates, and directs the employees within the department function. Has direct reports.
**Physical Requirements**
* This position is subject to sedentary work; exerting up to 10 pounds of force occasionally and/or a negligible amount of force frequently or constantly to lift, carry, push, pull or otherwise move objects. Sedentary work involves sitting most of the time. Walking and standing are required only occasionally.
**Physical Activities**
* This role may be subject to the following physical activities: walking, talking, and hearing.
**Visual Acuity**
* The worker is required to have close visual acuity to perform an activity such as preparing and analyzing data and figures; transcribing; viewing a computer terminal; expansive reading; visual inspection involving small defects, small parts and/or operation of machines (including inspection); using measurement devices; and/or assembly of fabrication of parts at distances close to the eyes.
**Working Conditions**
* The worker is subject to inside environmental conditions.
**About RealTruck**
 RealTruck is the premier manufacturer and digital destination of accessories for truck, Jeep®, Bronco® and off\-road enthusiasts around the world. Globally headquartered in Ann Arbor, Michigan, Real Truck’s 5,000\+ associates operate from 78 facilities across four continents. RealTruck’s industry leading product portfolio, which includes the Husky Liners total vehicle protection brand, boasts over 850 patents and pending applications. The company’s omni\-channel retail approach delivers a seamless consumer experience online at RealTruck.com, as well as through its 12,000\+ dealer network and automotive (OEM) partnerships. For more information, visit www.realtruck.com.
**Perks That Go The Extra Mile**
 At RealTruck, we take care of our people—because they drive our success. Enjoy great benefits like medical, dental, and vision coverage, company\-paid life insurance and disability, and a 401(k) with company match (eligible the first of the month after you start). Need balance? We’ve got wellbeing days and parental leave. Want to grow? Take advantage of educational reimbursement. Plus, earn referral bonuses and score exclusive employee discounts on RealTruck products. Great benefits. Great people. Even better careers.</t>
        </is>
      </c>
    </row>
    <row r="34">
      <c r="A34" t="inlineStr">
        <is>
          <t>li-4353049702</t>
        </is>
      </c>
      <c r="B34" t="inlineStr">
        <is>
          <t>Commissioning Program Manager</t>
        </is>
      </c>
      <c r="C34" t="inlineStr">
        <is>
          <t>Jobot</t>
        </is>
      </c>
      <c r="D34" t="inlineStr">
        <is>
          <t>linkedin</t>
        </is>
      </c>
      <c r="E34" t="inlineStr"/>
      <c r="F34" t="inlineStr"/>
      <c r="G34" t="inlineStr">
        <is>
          <t>Addison, TX</t>
        </is>
      </c>
      <c r="H34" t="inlineStr"/>
      <c r="I34" t="inlineStr">
        <is>
          <t>Want to learn more about this role and Jobot? Click our Jobot logo and follow our LinkedIn page!
 Job details
**🤖 Commissioning Program Manager / Great Place To Work!**
 This Jobot Job is hosted by Alex Console
 Are you a fit? Easy Apply now by clicking the "Easy Apply" button and sending us your resume.
 Salary $150,000 \- $200,000 per year
**A Bit About Us**
 We’re a group of dedicated innovators focused on empowering large\-scale project stakeholders to maximize value through advanced systems and analytics.
****Why join us?****
 Competitive compensation
 Health insurance
 401k with employer match
 Flexible PTO
 Remote work
 Philanthropic Matching Gift Program
**Job Details**
 We are seeking a seasoned, dynamic, and innovative Permanent Commissioning Program Manager to join our Tech Services team. This role will provide you with an opportunity to lead and manage exciting projects in the tech industry. The ideal candidate will have a robust background in managing complex projects involving chillers, building management systems (BMS), power, and cooling. This is an exceptional opportunity for those who enjoy working in a fast\-paced, high\-energy environment and who have a passion for driving efficiency and excellence in the tech services industry.
**Responsibilities**
* Oversee the commissioning process for major technical projects, ensuring that all systems and components of a building or industrial plant are designed, installed, tested, operated, and maintained according to the operational requirements of the owner or final client.
* Lead and manage cross\-functional teams in the delivery of complex projects, ensuring that all project milestones are met on time and within budget.
* Develop and implement project plans, including risk management, quality assurance, and communication plans.
* Collaborate with internal and external stakeholders to ensure that all projects are aligned with strategic objectives and comply with regulatory requirements.
* Provide technical expertise on chillers, BMS, power, and cooling systems.
* Drive continuous improvement in project delivery, leveraging best practices and lessons learned.
* Act as a point of escalation for project issues and risks, ensuring that they are appropriately managed and resolved.
**Qualifications**
* Bachelor's degree in Engineering, Project Management, or a related field. A Master's degree or professional certification in Project Management would be a plus.
* Minimum of 5 years' experience in a project management role, preferably in the Tech Services industry.
* Proven experience in managing complex projects involving chillers, BMS, power, and cooling systems.
* Strong leadership skills, with the ability to lead and manage cross\-functional teams.
* Excellent problem\-solving skills, with a proven ability to manage and resolve project issues and risks.
* Strong communication skills, with the ability to effectively collaborate with internal and external stakeholders.
* Proficient in project management software and tools.
* Strong understanding of regulatory requirements in the Tech Services industry.
* Ability to work in a fast\-paced, high\-energy environment, and manage multiple projects simultaneously.
* Demonstrated commitment to continuous improvement, with a proven track record in driving efficiency and excellence in project delivery.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5">
      <c r="A35" t="inlineStr">
        <is>
          <t>li-4366364824</t>
        </is>
      </c>
      <c r="B35" t="inlineStr">
        <is>
          <t>Senior Customer Project/Program Manager</t>
        </is>
      </c>
      <c r="C35" t="inlineStr">
        <is>
          <t>Cox Automotive Inc.</t>
        </is>
      </c>
      <c r="D35" t="inlineStr">
        <is>
          <t>linkedin</t>
        </is>
      </c>
      <c r="E35" t="inlineStr"/>
      <c r="F35" t="inlineStr"/>
      <c r="G35" t="inlineStr">
        <is>
          <t>Draper, UT</t>
        </is>
      </c>
      <c r="H35" t="inlineStr"/>
      <c r="I35" t="inlineStr">
        <is>
          <t>The
 **Sr. Project Manager** 
 provides project management leadership for moderately complex, cross\-functional initiatives within a diverse customer and stakeholder base. This role partners closely with both customers and internal teams to define project needs, develop structured project plans, and drive successful execution from initiation through close\-out. The Sr Project Manager ensures consistent application of project management methodologies, tools, and best practices while identifying opportunities for continuous improvement.
**Candidates will come into the office 1 day/week and should be located within 25 miles of the posted location (Atlanta, GA; Burlington, VT; Draper, UT; and Overland Park, KS).**
**Key Responsibilities**
**Customer \&amp; Stakeholder Engagement**
* Collaborates with customer stakeholders to understand key business challenges, operational needs, and process issues.
* Identifies where and how organizational capabilities and solutions can address customer requirements and deliver value.
**Project Planning \&amp; Scope Definition**
* Works with internal functional teams to define detailed project scope, objectives, deliverables, and success measures based on client expectations.
* Creates and maintains comprehensive project plans covering schedule, tasks, resources, risks, and dependencies.
**Project Execution \&amp; Management**
* Supports end\-to\-end project execution, including:
* Requirements gathering and documentation
* Project charter creation
* Scope definition and validation
* Detailed project planning and timeline management
* Change control processes
* Risk and issue identification, tracking, and mitigation
* Project close\-out activities and lessons learned
* Status reporting and communication across stakeholders
**Financial \&amp; Resource Management**
* Facilitates resource planning and allocation across project teams.
* Supports cost estimation, budget development, forecasting, and ongoing cost control.
**Process Governance \&amp; Quality Assurance**
* Ensures consistent application of project management methodology, standards, tools, and documentation throughout the project lifecycle.
* Monitors project health and compliance with internal governance requirements.
**Continuous Improvement**
* Evaluates project outcomes and operational processes, identifying opportunities for improvements in efficiency, communication, and delivery effectiveness.
* Recommends enhancements to project management practices, tools, and workflows.
**Minimum Qualifications**
* Bachelor's degree in a related discipline and 4 years experience in a related field. The right candidate could also have a different combination, such as a master's degree and 2 years experience; a Ph.D. and up to 1 year of experience; or 8 years experience in a related field
* Experience with Excel, PowerPoint and Copilot.
* Experience managing moderately complex projects across cross\-functional teams.
* Strong understanding of project management principles, methodologies, and tools.
* Excellent communication, facilitation, and stakeholder management skills.
* Ability to lead requirements gathering, documentation, and scope definition.
* Strong organizational, analytical, and problem\-solving abilities.
**Preferred Qualifications**
* Experience working with customer\-facing projects or operational process enhancements.
* PMP, CAPM, Scrum Master, or similar certification.
* Experience in budget development, cost control, and resource planning.
 USD 81,400\.00 \- 122,000\.00 per year
**Compensation**
 Compensation includes a base salary of $81,400\.00 \- $122,000\.00\.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36">
      <c r="A36" t="inlineStr">
        <is>
          <t>li-4367712288</t>
        </is>
      </c>
      <c r="B36" t="inlineStr">
        <is>
          <t>Program Manager, Navy Combat System Modernization</t>
        </is>
      </c>
      <c r="C36" t="inlineStr">
        <is>
          <t>hackajob</t>
        </is>
      </c>
      <c r="D36" t="inlineStr">
        <is>
          <t>linkedin</t>
        </is>
      </c>
      <c r="E36" t="inlineStr"/>
      <c r="F36" t="inlineStr"/>
      <c r="G36" t="inlineStr">
        <is>
          <t>Washington, DC</t>
        </is>
      </c>
      <c r="H36" t="inlineStr"/>
      <c r="I36" t="inlineStr">
        <is>
          <t>***hackajob** 
 is collaborating with
 **MANTECH** 
 to connect them with exceptional tech professionals for this role.*
**MANTECH** 
 seeks a motivated, career and customer\-oriented
 **Program Manager, Navy Combat System Modernization** 
 to join our team working in
 **Washington D.C.** 
 This is an
 **onsite** 
 position.
 As a
 **Strategic Program Manager** 
 , you will lead the evolution of U.S. Navy combat system infrastructure, transforming legacy hardware into modern, high\-performance computing environments. We are looking for a leader who can steer cross\-functional teams through the full program lifecycle—from initial requirements to final implementation—ensuring that every initiative is backed by data\-driven risk analysis and remains relentlessly aligned with fleet readiness and mission success.
**Responsibilities Include But Are Not Limited To**
* Support strategic planning and execution of initiatives to modernize computing and data center infrastructure across U.S. Navy combat ships
* Lead and coordinate cross\-functional teams to ensure projects meet objectives, stay on schedule, and remain within budget
* Participate in the full program lifecycle, including requirements development, risk analysis, implementation, and stakeholder engagement
* Analyze program performance data to identify trends, assess risks, and develop effective mitigation strategies
* Design infrastructure solutions that account for the physical constraints of shipboard environments, including power, cooling, and space limitations
* Prepare technical documentation, including program status reports, system specifications, and stakeholder presentations
* Facilitate team meetings and communications to maintain alignment on project goals and deliverables
* Assist with developing and executing risk management plans to ensure program success
**Minimum Qualifications**
* Master’s degree in a technical or business field and 10\+ years of relevant Navy Program Management experience; OR Bachelor’s degree in a technical field and 15\+ years of relevant Navy Program Management experience
* Directed a multi\-million dollar portfolio of shipboard infrastructure modernizations, overseeing the full project lifecycle across multiple combat platforms
**Preferred Qualifications**
* Demonstrated knowledge of Navy Combat System modernization programs
* Demonstrated experience in DoD systems architectures, design, development, test and evaluation
* Familiarity with DoD/DoN systems engineering policies and lifecycle processes
**Clearance Requirements**
* Must be a U.S. Citizen and possess a current or active secret security clearance.
**Physical Requirements**
* The person in this position must be able to remain in a stationary position 50% of the time.
* Occasionally move about inside the office to access file cabinets, office machinery, or to communicate with co\-workers, management, and customers, via email, phone, and or virtual communication, which may involve delivering presentations.</t>
        </is>
      </c>
    </row>
    <row r="37">
      <c r="A37" t="inlineStr">
        <is>
          <t>li-4367941530</t>
        </is>
      </c>
      <c r="B37" t="inlineStr">
        <is>
          <t>EMS QUALITY ASSURANCE PROGRAM MANAGER - 40000856</t>
        </is>
      </c>
      <c r="C37" t="inlineStr">
        <is>
          <t>Durham County Government</t>
        </is>
      </c>
      <c r="D37" t="inlineStr">
        <is>
          <t>linkedin</t>
        </is>
      </c>
      <c r="E37" t="inlineStr"/>
      <c r="F37" t="inlineStr"/>
      <c r="G37" t="inlineStr">
        <is>
          <t>Durham, NC</t>
        </is>
      </c>
      <c r="H37" t="inlineStr"/>
      <c r="I37" t="inlineStr">
        <is>
          <t>**Join Durham County Government**
 Durham County Government is home to over 2,000 dedicated professionals working together to deliver essential services that strengthen and support our vibrant, diverse community. As the heart of a fast\-growing region, we offer meaningful careers across a wide range of fields—giving you the opportunity to make a real impact where you live, work, grow, and play. Learn more at www.dconc.gov.
****DEPARTMENT:****
 Emergency Medical Services
****DATE POSTED** 
 :**
 January 06, 2026
****CLOSING DATE** 
 :**
 Open Until Filled
****HIRING RANGE:****
 $57,886 \- $98,637
****POSITION NUMBER:****
 40000856
****JOB TYPE:****
 Full\-Time, 40 hrs/week,
 Non\-Exempt
****GENERAL DESCRIPTION:****
 The purpose of this position is to assist the Assistant Chief Paramedic – Clinical Affairs position with quality management, data interpretation and visualization, protocol development and revision. This position will assist with managing clinical research activities, safety and compliance, finding alternative funding sources, monitoring EMS care and clinical performance, incident investigation and staff remediation.
 This class works under general supervision of the Assistant Chief Paramedic – Clinical Affairs.
****ESSENTIAL FUNCTIONS:****
**The essential functions listed below are those that represent the majority of the time spent working in this class. Management may assign additional functions related to the type of work of the class as necessary.**
* Participates in review of activities and processes for area of work, assist in implementing changes to affect continual improvement in services provided and ensures compliance with regulatory and legal requirements.
* Develops reports of clinical performance for dissemination within the EMS command structure and EMS Peer Review Committee.
* Analyzes data and develops reports and ensures completeness of relevant call data.
* Assist with gathering data needed for statistical reports.
* Reviews and observes care provided by Emergency Medical Services.
* Meets with EMS staff as needed to investigate complaints and incidents involving clinical performance.
* Participates in meetings with community partners and stakeholders.
* Performs quality assurance and quality improvement review of patient care reports and refers issues/concerns to EMS Educational Coordinator or designee.
* Ensures compliance with the Medical Incident Review Policy.
* Determines the need for and methods of remediation to address gaps in care delivery.
* Works with district supervisors and senior paramedic field training officers to ensure quality management activities are completed.
* Performs related work as assigned.
****KNOWLEDGE, SKILLS AND ABILITIES****
* Understanding of Emergency Medical Dispatch.
* Proficiency with Microsoft Office Products and EMS related software.
* Understanding statistical data analysis and visualization.
* Skilled in preparing clear, accurate, and concise reports and presentations.
* Ability to express ideas effectively – both orally and in writing.
* Ability to interpret clinical information, evaluate care quality, and apply clinical standards.
* Ability to establish and maintain effective working relationships with employees, clinical partners, community agencies, and the public.
* Ability to interact with tact, courtesy, and professionalism when engaging with patients, families, employees, and external partners.
* Ability to function as a clinically qualified paramedic within the Durham County EMS System
****MINIMUM EDUCATION AND EXPERIENCE REQUIREMENTS****
* Bachelor’s degree in Emergency Medical Services, Health Sciences, Emergency Management, or related field from an appropriately accredited College or University or an equivalent combination of education, training, and experience.
* Three (3\) years of Paramedic experience or related experience.
* Completion of National Incident Management System (NIMS) courses 100, 200, 700 and 800 prior to hire. NIMS 300 and 400 must be completed within one year of hire if not completed prior to hire.
* Completion of the Department of Homeland Security (DHS) Major Incident Command School, Enhanced Incident Management/Unified Command 314 (E/IMUC 314\) Texas A\&amp;M, or equivalent within 12 months of hire.
****SPECIAL CERTIFICATIONS AND LICENSES:****
* NC Paramedic Certification or ability to apply for NC Paramedic reciprocity.
* Must possess and maintain a valid North Carolina State Driver’s License with an acceptable three\-year driving history.
****PHYSICAL DEMANDS:****
 Physical demands refer to the requirements for physical exertion and coordination of limb and body movement.
* Performs medium work that involves walking, standing, stooping, jumping, dancing, stretching, or lifting all the time and involves exerting between 20 and 50 pounds of force on a regular and recurring basis or exceptional skill, adeptness and speed in the use of the fingers, hands or limbs in tasks involving very close tolerances or limits of accuracy.
****(UNAVOIDABLE HAZARDS (WORK ENVIRONMENT):****
 Unavoidable hazards refer to the job conditions that may lead to injury or health hazards even though precautions have been taken.
* Involves routine and frequent exposure to:
* Bright / dim light; Dusts and pollen.
* Extreme heat and/or cold; Wet or humid conditions.
* Extreme noise levels, Animals/wildlife.
* Vibration; Fumes and/or noxious odors.
* Traffic; Moving machinery.
* Electrical shock; Heights.
* Radiation; Disease/pathogens.
* Toxic/ caustic chemicals; Explosives; Violence.
* Other extreme hazards not listed above.
****STANDARD CLAUSES:****
 May be required to work nights, weekends, holidays and emergencies (man\-made or natural) to meet the business needs of Durham County.
 This job description is not designed to cover or contain a comprehensive listing of essential functions and responsibilities that are required of an employee for this job. Other duties, responsibilities, and activities may change or be assigned at any time with or without notice.
****ESSENTIAL FUNCTIONS:****
 It is the responsibility of each employee to comply with established policies, procedures and safe work practices. Each employee must follow safety training and instructions provided by their supervisor. Each employee must also properly wear and maintain all personal protective equipment required for their job. Finally, each employee must immediately report any unsafe work practices or unsafe conditions as well as any on\-the\-job injury or illnesses.
 Every manager/supervisor is responsible for enforcing all safety rules and regulations. In addition, they are responsible for ensuring that a safe work environment is maintained, safe work practices are followed, and employees are properly trained.
****AMERICANS WITH DISABILITIES ACT COMPLIANCE:****
**Durham County is an Equal Opportunity Employer.** 
 ADA requires Durham County to provide reasonable accommodations to qualified persons with disabilities. Prospective and current employees are encouraged to discuss ADA accommodations with management.</t>
        </is>
      </c>
    </row>
    <row r="38">
      <c r="A38" t="inlineStr">
        <is>
          <t>li-4367932939</t>
        </is>
      </c>
      <c r="B38" t="inlineStr">
        <is>
          <t>Program Manager – Federal Infrastructure and Operations</t>
        </is>
      </c>
      <c r="C38" t="inlineStr">
        <is>
          <t>Network Designs, Inc.</t>
        </is>
      </c>
      <c r="D38" t="inlineStr">
        <is>
          <t>linkedin</t>
        </is>
      </c>
      <c r="E38" t="inlineStr"/>
      <c r="F38" t="inlineStr"/>
      <c r="G38" t="inlineStr">
        <is>
          <t>Leesburg, VA</t>
        </is>
      </c>
      <c r="H38" t="inlineStr"/>
      <c r="I38" t="inlineStr">
        <is>
          <t>**About NDi**
 Network Designs, Inc. (NDi) is a leading Federal contractor that specializes in designing, developing, and delivering information technology and network solutions for government customers. Founded in 1985, NDi's firmly defined core values have driven all aspects of the business, which have been paramount to our company's success and the establishment of an enjoyable workplace atmosphere. At NDi, we believe that our people are the cornerstone of our success, and we value collaboration, career growth, and winning ideas.
 **Military Veterans Encouraged to Apply.**
**Job Description**
 We are seeking an experienced on\-site Program Manager to lead a large, complex federal IT program supporting the Federal Agency's Infrastructure \&amp; Operations (I\&amp;O) Services. This position requires both technical expertise and strong managerial capabilities to oversee enterprise IT operations, engineering projects, and multi\-disciplinary contractor teams. The Program Manager will serve as the Government's primary point of contact, ensuring delivery excellence, adherence to Agency and federal standards, and continuous improvement in IT service delivery.
**Requirements**
* U.S. Citizenship is required
* Must be able to obtain a Public Trust clearance
* This position requires working onsite in Leesburg, VA, 5 days per week
**Qualifications And Experience**
* Bachelor's degree in Project Management, Business Management or an IT\- related field
* Minimum 12\-15 years of relevant program/project management experience supporting large\-scale federal IT programs
* Project Management Professional (PMP) certification or equivalent.
* ITIL certification (v3 or v4\).
* Strong technical knowledge of enterprise IT service delivery, operations, and engineering.
* Experience with Agile development and IT service management practices.
* Proven ability to manage cost, schedule, performance, and risk in a complex, multi\-stakeholder environment.
* Exceptional written, verbal, and interpersonal communication skills.
**Desired Skills**
* Experience managing programs similar in scope and complexity
* Expertise in performance management, project controls, and resource planning.
* Demonstrated success in implementing process improvements and innovation initiatives.
* Federal IT program management experience with FAA, DOT, DOJ or similar agency.
**Responsibilities**
* Provide day\-to\-day leadership, management, and oversight for all contractor personnel performing under the Services Task Order.
* Serve as the primary liaison with the Federal Contracting Officer's Representative (COR) and Government leadership, ensuring responsive, transparent, and effective communication.
* Manage program cost, schedule, performance, and quality in accordance with contract requirements, Federal policies, and industry best practices.
* Oversee the execution of services across multiple Agency operational divisions, including:
* Enterprise Operations Center \- 24x7x365 monitoring, alerting, and incident response.
* Business Management Services \- performance reporting, configuration and change management, and resource allocation.
* Service Delivery \- deployment, release, and pre\-production environment management.
* Operations Support \- authentication services, directory services, account management, and network operations.
* Cloud \&amp; Hosting Services \- hosting solutions, data centers, and cloud service provisioning.
* Product \&amp; Services Management \- continuous development and optimization of managed services.
* Monitor staff performance, address issues promptly, and ensure compliance with service level agreements (SLAs).
* Lead risk management, issue resolution, and escalation processes for all program activities.
* Ensure smooth transitions during phase\-in and phase\-out periods, including staffing, onboarding, and knowledge transfer.
* Drive process improvement initiatives, applying ITIL best practices and Agile methodologies.
* Develop, maintain, and deliver required contract reports, metrics, and deliverables on schedule.
**Compensation And Benefits**
 At NDi, we value our team and are committed to retaining top talent by offering competitive benefits and compensation packages. Our employee benefits package includes comprehensive health, dental, vision, pet, and legal insurance. Our corporate benefits include 401(k) retirement matching, paid leave, paid holidays, and health and wellness programs. In addition, we provide employer\-paid life and disability insurance, professional development, education benefits, and much more to ensure our team has the resources they need to thrive on and off the job.
**Veterans First Commitment**
 As a Service\-Disabled Veteran\-Owned Small Business (SDVOSB), NDi is dedicated to hiring veterans and providing a supportive work environment that honors their service while recognizing the unique skills and experiences they bring to our organization.
**Commitment To Diversity**
 NDi is an Equal Opportunity Employer. We are committed to creating a diverse environment and are proud to be an equal\-opportunity employer. All qualified applicants will receive consideration for employment without regard to race, color, religion, sex, sexual orientation, gender identity, national origin, age, disability, veteran or military status, citizenship, national origin, or any other basis prohibited by law in all phases of the employment process and compliance with applicable federal, state, and local laws and regulations. As a federal government contractor, NDi complies with all applicable affirmative action requirements.
**Apply Now:** 
 Take advantage of this unique opportunity to join one of the fastest\-growing companies in Federal contracting!</t>
        </is>
      </c>
    </row>
    <row r="39">
      <c r="A39" t="inlineStr">
        <is>
          <t>li-4367935398</t>
        </is>
      </c>
      <c r="B39" t="inlineStr">
        <is>
          <t>Program Manager</t>
        </is>
      </c>
      <c r="C39" t="inlineStr">
        <is>
          <t>Exos</t>
        </is>
      </c>
      <c r="D39" t="inlineStr">
        <is>
          <t>linkedin</t>
        </is>
      </c>
      <c r="E39" t="inlineStr"/>
      <c r="F39" t="inlineStr"/>
      <c r="G39" t="inlineStr">
        <is>
          <t>Redwood City, CA</t>
        </is>
      </c>
      <c r="H39" t="inlineStr"/>
      <c r="I39" t="inlineStr">
        <is>
          <t>**Job Summary:**
 We’re looking for a Manager who will play a pivotal role in driving our fitness programs and creating a positive experience for our clients and members. This individual will lead and inspire a team of fitness professionals, delivering engaging health promotion and wellness programs that meet both immediate and long\-term objectives. This is a hands\-on management position, perfect for a leader passionate about fitness, client relationships, and results.
**Responsibilities:**
* Hire, train, and supervise a team of qualified fitness professionals, ensuring staff deliver high\-quality services to all participants.
* Design, implement, and evaluate a variety of fitness, health promotion, and incentive programs tailored to client needs.
* Align fitness programs with annual strategic planning to meet and exceed short\- and long\-term goals.
* Manage the program budget, monitor expenses, and generate detailed reports on program performance and outcomes.
* Build and maintain proactive relationships with client liaisons, ensuring client satisfaction and program alignment.
* Perform initial fitness assessments, craft personalized exercise plans, and guide clients through their first workouts.
* Offer fitness services to a diverse range of clients, including high\-risk participants, with a focus on safety and individual needs.
* Ensure the fitness center and exercise areas are supervised, safe, and compliant with health and safety guidelines.
* Lead and manage the group exercise program, including scheduling and instruction.
* Perform other tasks as required to support the department’s success and exceed client expectations.
****Qualifications:****
* Bachelor’s Degree in Exercise Science, Kinesiology, or a related field.
* Current CPR/AED and First Aid certifications required.
* Minimum of 3 years of experience in a fitness environment, including hands\-on training and client interaction.
* Proven experience leading group exercise classes and tailoring workouts for various fitness levels.
* Prior management experience in a fitness or wellness setting.
 Per pay transparency requirements, the compensation for this position ranges from $24\.04 \- $45/hour. Minimum rates may vary based on local wage laws. Pay is dependent on factors including site location, specialty, certifications and work experience as well as other business needs. Exos offers a comprehensive benefits package for all full time employees (all benefits are subject to eligibility requirements), which includes health insurance, life and disability benefits, 401(k) plan, and paid time off. Additionally, Exos offers a variety of part time benefits (subject to eligibility requirements).
**Who We Are**
 For nearly 30 years, Exos has been dedicated to getting people ready for the moments that matter by promoting a holistic approach to health. As an elite coaching company, Exos applies its evidence\-based methodology to programming designed to unlock the potential in everyone from corporate employees, to elite athletes, military operators, and beyond.
 Simply put, we “get you ready” for the moments that matter — whether that’s striving to excel at work, or training for a major athletic event. How do we do it? Our employer solutions include fitness center management, on\-site coaching and classes, and the Exos app, as well as immersive team\-building experiences, executive coaching, and personal development programming. Our professional athlete training programs propel elite athletes to new heights in the NFL combine and NBA Draft each year, and our practitioner education courses and workshops provide industry professionals ongoing opportunities for development.
 We’ve never been the type to accept the status quo. We’re all about studying, learning, innovating, and making waves. And we feel that it’s our responsibility to help others because we know there’s a better way. That better way is Exos Readiness.
**We are an equal opportunity employer**
 EXOS is proud to be an equal opportunity employer. We are committed to creating an inclusive and welcoming workplace for all. We invite applicants from a wide variety of identities, ideas, perspectives and experiences and encourage people from underrepresented backgrounds to apply. Exos offers reasonable accommodations to job applicants with disabilities.
 Learn more here:
* EEO is the Law
* EEO is the Law Supplement</t>
        </is>
      </c>
    </row>
    <row r="40">
      <c r="A40" t="inlineStr">
        <is>
          <t>li-4367942451</t>
        </is>
      </c>
      <c r="B40" t="inlineStr">
        <is>
          <t>Community Health Worker Initiative Program Manager-Public Health</t>
        </is>
      </c>
      <c r="C40" t="inlineStr">
        <is>
          <t>State of Nebraska</t>
        </is>
      </c>
      <c r="D40" t="inlineStr">
        <is>
          <t>linkedin</t>
        </is>
      </c>
      <c r="E40" t="inlineStr"/>
      <c r="F40" t="inlineStr"/>
      <c r="G40" t="inlineStr">
        <is>
          <t>Lincoln, NE</t>
        </is>
      </c>
      <c r="H40" t="inlineStr"/>
      <c r="I40" t="inlineStr">
        <is>
          <t>**The work we do matters!**
**Hiring Agency**
 Health \&amp; Human Services \- Agency 25
**Location:**
 Lincoln, NE
**Hiring Rate**
 $28\.371
**Job Posting**
 JR2026\-00022627 Community Health Worker Initiative Program Manager\-Public Health (Open)
**Applications No Longer Accepted On** 
 (If no date is displayed, job is posted as open until closed):
 02\-06\-2026
**Job Description**
 DHHS is seeking an experience public health professional to support effective implementation of a statewide community health worker initiative across diverse partners to strengthen coordination, consistency, and accountability within a hub\-and\-spoke model and provide practical technical assistance to partners while centering equity and community voice development.
 The Program Manager will support the implementation, coordination, and continuous improvement of the statewide Community Health Worker (CHW) initiative.
**Primary Duties Include**
* Coordinate implementation of CHW activities across multiple hubs (local health departments, Tribal Nations, and community\-based organizations)
* Serve as a primary liaison between the state office and hub partners to support contract compliance, workplan execution, and reporting
* Provide technical assistance to hubs related to CHW roles, scope of practice, supervision structures, and implementation expectations
* Monitor program performance, timelines, and deliverables; support corrective actions as needed
* Support data collection, documentation, and reporting requirements in collaboration with evaluation and performance management partners
* Assist with development and refinement of guidance documents, playbooks, and implementation tools
* Facilitate meetings, learning communities, and technical assistance sessions with hub partners
* Contribute to continuous learning, sustainability planning, and scaling strategies for the CHW workforce
**Requirements/Qualifications**
**Minimum Qualifications:**
 Bachelor’s degree in business or public administration, social/behavioral sciences, education, health sciences, public health, law or related field and experience in program planning, implementation, monitoring, evaluating program functions or supervising/management staff and budgets. Related coursework, training and/or education may substitute for the Bachelor’s degree on a year\-for year basis.
**Preferred Qualifications**
* Experience working with community\-based organizations, local health departments, or Tribal programs
* Familiarity with CHW programs, workforce development, or community\-based health initiatives
* Experience supporting implementation of multi\-site or regional initiatives
* Background in public health, social services, community development, or a related field
* Lived experience in or strong connection to communities disproportionately impacted by health inequities
* Experience working with Tribal Nations or understanding of Tribal sovereignty
**Knowledge, Skills, And Abilities**
**Knowledge**
* Public health systems and community\-based service delivery models
* Public Health principles and social determinants of health
* Grant\-funded program administration and contract monitoring
* Community Health Worker models (or willingness to learn)
**Skills**
* Strong project and program management skills
* Ability to manage multiple partners, timelines, and priorities
* Clear written and verbal communication
* Facilitation and relationship\-building across diverse stakeholders
* Ability to translate policy or guidance into practical implementation steps
* Data\-informed decision making and basic performance monitoring
**Abilities**
* Work independently while collaborating within a team environment
* Navigate complex systems and ambiguity
* Provide structured technical assistance without direct authority
* Learn new subject matter quickly and apply it in practice
* Engage respectfully with Tribal Nations and culturally diverse communities
 If you're
 **currently** 
 employed by the State of Nebraska, please don't apply through this external career site. Instead, log in to Workday and open the
 **Jobs Hub \- Internal Apply** 
 app from your home landing page. You can access Workday anytime through the Link web page: https://link.nebraska.gov/
**Benefits**
 We offer a comprehensive package of pay, benefits, paid time off, retirement and professional development opportunities to help you get the most out of your career and life. Your paycheck is just part of your total compensation.
 Check out all that the State of Nebraska has to offer! Benefit eligibility may vary by position, agency and employment status. For more information on benefits, please visit: https://statejobs.nebraska.gov/index.html\#benefits
**Equal Opportunity Statement**
 The State of Nebraska values our teammates as well as a supportive environment that strives to promote diversity, inclusion, and belonging. We recruit, hire, train, and promote in all job classifications and at all levels without regard to race, color, religion, sex. age, national origin, disability, marital status or genetics.</t>
        </is>
      </c>
    </row>
    <row r="41">
      <c r="A41" t="inlineStr">
        <is>
          <t>li-4366528281</t>
        </is>
      </c>
      <c r="B41" t="inlineStr">
        <is>
          <t>ERP Program Manager</t>
        </is>
      </c>
      <c r="C41" t="inlineStr">
        <is>
          <t>Jobs via Dice</t>
        </is>
      </c>
      <c r="D41" t="inlineStr">
        <is>
          <t>linkedin</t>
        </is>
      </c>
      <c r="E41" t="inlineStr"/>
      <c r="F41" t="inlineStr"/>
      <c r="G41" t="inlineStr">
        <is>
          <t>Andover, MA</t>
        </is>
      </c>
      <c r="H41" t="inlineStr"/>
      <c r="I41" t="inlineStr">
        <is>
          <t>RESPONSIBILITIES:
 Kforce has a client in need of an ERP Program Manager in Andover, MA.
 Responsibilities:
* Lead the Finance workstream of the ERP transformation program, ensuring alignment with business goals and timelines
* Manage multiple concurrent projects, including inflight AP/AR initiatives and future\-state finance systems
* Serve as the primary liaison between Finance and IT, ensuring accountability and transparency
* Oversee vendor and contract management, ensuring deliverables are met and budgets are maintained
* Maintain continuity of finance operations (\-keep the lights on\-) while driving transformation
* Ensure service\-oriented architecture principles are followed across finance systems
* Provide hands\-on program management, including detailed planning, risk mitigation, and stakeholder communication
* Communicate effectively across all levels of the organization, including executive leadership and operational teams
* Hold vendors accountable for delivery, quality, and scope
 REQUIREMENTS:
* 10\-15\+ years of experience in program/project management, with a focus on Finance and ERP implementations
* Proven track record managing large\-scale ERP programs (SAP, Oracle NetSuite preferred)
* Strong understanding of finance operations (AP, AR, Atoning); FP\&amp;A experience not required
* Experience managing multi\-year, multi\-million\-dollar programs
* Demonstrated ability to lead cross\-functional teams and manage external vendors/consultants
* Excellent communication and stakeholder management skills
* Ability to challenge and guide consulting partners to ensure value delivery
* Experience working in regulated or life sciences environments is a plus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42">
      <c r="A42" t="inlineStr">
        <is>
          <t>li-4367955540</t>
        </is>
      </c>
      <c r="B42" t="inlineStr">
        <is>
          <t>Dialysis Program Manager</t>
        </is>
      </c>
      <c r="C42" t="inlineStr">
        <is>
          <t>Encompass Health</t>
        </is>
      </c>
      <c r="D42" t="inlineStr">
        <is>
          <t>linkedin</t>
        </is>
      </c>
      <c r="E42" t="inlineStr"/>
      <c r="F42" t="inlineStr"/>
      <c r="G42" t="inlineStr">
        <is>
          <t>Glen Mills, PA</t>
        </is>
      </c>
      <c r="H42" t="inlineStr"/>
      <c r="I42" t="inlineStr">
        <is>
          <t>**Recognized for your expertise as a Dialysis Program Manager**
 Are you a compassionate leader eager to steer and elevate a crucial healthcare program? Join Encompass Health, the nation's largest inpatient rehabilitation company, as a Dialysis Program Manager. In this role, you'll direct, organize, and advance our hemodialysis program, implementing policies and procedures for safety and effectiveness. Supervise dedicated dialysis staff and be the face of the program in hospital management, meetings, and community outreach. This isn't just a career move; it's an opportunity to shape a program close to home and close to your heart, making a meaningful impact on our community's patient care.
**A Glimpse into Our World**
 At Encompass Health, you'll experience the difference the moment you become a part of our team. Working with us means aligning with a rapidly growing national inpatient rehabilitation leader. We take pride in the growth opportunities we offer and how our team unites for the greater good of our patients. Our achievements include being named one of the "World's Most Admired Companies" and receiving the Fortune 100 Best Companies to Work For Award, among other accolades, which is nothing short of amazing.
**Starting Perks And Benefits**
 At Encompass Health, we are committed to creating a supportive, inclusive, and caring environment where you can thrive.
 **From day one** 
 , you will have access to:
* Affordable medical, dental, and vision plans for both full\-time and part\-time employees and their families
* Generous paid time off that accrues over time.
* Opportunities for tuition reimbursement and continuous education.
* Company\-matching 401(k) and employee stock purchase plans.
* Flexible spending and health savings accounts.
* A vibrant community of individuals passionate about the work they do!
* Be the Dialysis Program Manager you have always wanted to be
* Oversee performance of safe and effective hemodialysis following all applicable guidelines.
* Direct and organize the hospital's hemodialysis program.
* Implement policies for safe and effective care.
* Supervise dialysis staff to ensure high\-quality patient care.
* Represent the program within hospital management and community settings.
* Collaborate with an interdisciplinary team to communicate patient concerns and changes promptly.
**Qualifications**
* License or Certification:
* Current RN licensure as per state regulations.
* CPR certification.
* ACLS within 1 year of hire.
* Preferred: CRRN certification.
* Minimum Qualifications:
* One year of inpatient hospital experience (preferred).
* One year of dialysis nursing experience (preferred).
* Inpatient rehabilitation experience (preferred).
* Excellent communication skills.
* Strong organizational and time management abilities.
* Critical thinking and problem\-solving skills.
* Ability to work independently and make informed decisions.
* Flexible availability for weekdays, weekends, and evening/night shifts as needed.
**The Encompass Health Way**
 We proudly set the standard in care by leading with empathy, doing what's right, focusing on the positive, and standing stronger together. Encompass Health is a trusted leader in post\-acute care with over 150 nationwide locations and a team of 36,000 exceptional individuals and growing!
 At Encompass Health, we celebrate and welcome diversity in our inclusive culture. We provide equal employment opportunities regardless of race, ethnicity, gender, sexual orientation, gender identity or expression, religion, national origin, color, creed, age, mental or physical disability, or any other protected classification.
 We're eagerly looking forward to meeting you, and we genuinely mean that. Join us on this remarkable journey!</t>
        </is>
      </c>
    </row>
    <row r="43">
      <c r="A43" t="inlineStr">
        <is>
          <t>li-4367944682</t>
        </is>
      </c>
      <c r="B43" t="inlineStr">
        <is>
          <t>Product Manager</t>
        </is>
      </c>
      <c r="C43" t="inlineStr">
        <is>
          <t>Giga</t>
        </is>
      </c>
      <c r="D43" t="inlineStr">
        <is>
          <t>linkedin</t>
        </is>
      </c>
      <c r="E43">
        <f>HYPERLINK("https://www.linkedin.com/jobs/view/4367944682", "https://www.linkedin.com/jobs/view/4367944682")</f>
        <v/>
      </c>
      <c r="F43">
        <f>HYPERLINK("https://jobs.ashbyhq.com/GigaML/06954bfa-8917-436f-b442-a473c576bfef/application?utm_source=6p28rgeQLE&amp;urlHash=Q7-r", "https://jobs.ashbyhq.com/GigaML/06954bfa-8917-436f-b442-a473c576bfef/application?utm_source=6p28rgeQLE&amp;urlHash=Q7-r")</f>
        <v/>
      </c>
      <c r="G43" t="inlineStr">
        <is>
          <t>San Francisco, CA</t>
        </is>
      </c>
      <c r="H43" t="inlineStr"/>
      <c r="I43" t="inlineStr">
        <is>
          <t>**About Giga**
 Giga is building AI agents that aim to automate 98% of enterprise support tickets and operations workflows. We deploy self\-improving, emotionally intelligent agents that handle millions of customer interactions across voice, chat, and email for Fortune 100 enterprises like DoorDash.
 Our agents don't just respond—they continuously learn and improve, automatically increasing resolution rates from 60% to 98% through pattern recognition and policy refinement. They orchestrate complex multi\-party workflows in real\-time: simultaneously coordinating between customers, delivery drivers, and internal systems while cross\-referencing policies and databases—all in under 500 milliseconds.
 Role Overview
 We're looking for a Product Manager to help us achieve our goal of automating 98% of enterprise support and operations workflows. You'll own critical parts of our AI agent platform—building the products that enable self\-improving agents to handle increasingly complex scenarios without human intervention.
 You'll work at the intersection of cutting\-edge AI capabilities and enterprise\-grade product development: defining how agents learn from every interaction, orchestrating multi\-party workflows across voice and chat, and expanding our platform into regulated industries like healthcare and financial services.
 This role requires someone who can think deeply about AI product strategy while also diving into the technical details of real\-time orchestration, emotional intelligence, and enterprise compliance.
 What You'll Own
 Self\-Improving Agent Platform
* Drive the product strategy for agents that automatically improve from 60% to 98% resolution
* Define how agents learn from every interaction—pattern recognition, policy refinement, edge case handling
* Build feedback loops that identify gaps and automatically expand agent capabilities
* Own the path from "agent handles simple cases" to "agent handles 98% of all cases"
 Multi\-Party Orchestration
* Lead product strategy for complex real\-time workflows (e.g., coordinating customer, driver, and merchant simultaneously)
* Define how agents make decisions by cross\-referencing multiple data sources, policies, and external systems in real\-time
* Own the sub\-500ms latency experience across voice, chat, and email channels
* Drive emotional intelligence features—sentiment detection, tone matching, natural conversation flow
 Agent Builder \&amp; Console
* Define the product vision for our no\-code/low\-code agent configuration platform
* Own the policy engine, scenario builder, and custom code execution capabilities
* Drive improvements to knowledge base management and RAG integrations
* Shape the developer experience for teams building and customizing agents
 Expansion into Regulated Industries
* Partner with healthcare, financial services, and compliance\-heavy customers to understand their unique requirements
* Define product capabilities for high\-compliance environments (audit trails, data privacy, regulatory adherence)
* Own integrations strategy (Zendesk, Salesforce, industry\-specific systems)
* Drive the 2\-week enterprise deployment goal that differentiates us from competitors
 Key Responsibilities
 Product Strategy \&amp; Execution
* Define and execute the roadmap toward 98% automation of support tickets and operations workflows
* Make hard prioritization decisions: which agent capabilities unlock the next 10% of automated resolution?
* Ship features that directly move resolution rates from 90% toward 98%
* Translate the "enterprise operations platform" vision into concrete milestones across support, compliance, and operations
 Technical Product Leadership
* Understand and communicate complex real\-time systems (sub\-500ms latency requirements)
* Work closely with engineering on architecture decisions and technical tradeoffs
* Evaluate AI model capabilities and translate them into product features
* Drive API design and developer experience for headless agents and integrations
 Customer Partnership
* Build deep relationships with Fortune 100 customers to understand why the last 10% of tickets still need humans
* Translate customer feedback into agent capabilities that close the gap toward 98% automation
* Monitor resolution rates, identify failure patterns, and drive systematic improvements
* Partner with customers in healthcare and finance to define compliance\-grade automation
 Cross\-Functional Collaboration
* Partner with AI/ML engineers on model integration and prompt optimization
* Work with Design to create intuitive experiences for complex agent configuration
* Collaborate with Sales on customer requirements and competitive positioning
* Coordinate with Customer Success on deployment and adoption
**Required Qualifications**
* 5\+ years combined experience in product management and software engineering
* Minimum 1 year as a software engineer \- hands\-on professional coding experience required
* Strong technical foundation \- ability to engage in architectural discussions, read code, and understand complex distributed systems
* Experience with real\-time systems \- voice, video, messaging, or similar latency\-sensitive products
* Enterprise product experience \- understanding of B2B sales cycles, enterprise requirements, and platform thinking
* Data\-driven mindset \- comfort with metrics, analytics, and making decisions with imperfect information
* Excellent communication \- ability to translate complex technical concepts for diverse audiences
**Preferred Qualifications**
* AI/ML product experience \- LLMs, conversational AI, or voice AI products
* Developer tools experience \- APIs, SDKs, platform products, or developer experience
* Experience with Python \- ability to prototype, analyze data, and work directly in our codebase
* Startup experience \- comfort with ambiguity, wearing multiple hats, and moving fast
* Contact center or customer support domain knowledge
 What Makes You Great for This Role
* Systems thinker: You can hold the complexity of multi\-channel, real\-time AI systems in your head while making pragmatic product decisions
* Customer obsessed: You build deep empathy for both enterprise buyers and the end\-users interacting with agents
* Technical depth: You can dive into voice pipeline latency issues, RAG retrieval quality, or webhook integration problems
* Bias for shipping: You prioritize getting features to customers over perfect specifications
* Comfort with ambiguity: You thrive when the path forward isn't clear and can make progress without complete information
* AI enthusiast: You use AI tools daily and have strong intuitions about AI capabilities and limitations
 Why Giga
* Audacious goal: We're building toward 98% automation of enterprise operations—support is just the beginning
* Self\-improving systems: Our agents get better with every interaction, automatically expanding what they can handle
* Production scale: Already handling millions of calls monthly for Fortune 100 companies with 90%\+ resolution
* Technical differentiation: Sub\-500ms multi\-party orchestration and emotional intelligence that competitors can't match
* Massive market: Customer support automation growing from $3B to $47B by 2034, and we're expanding into healthcare, finance, and beyond
* World\-class team: Founded by Forbes 30 Under 30, backed by Redpoint and YC, growing fast
* High impact: Every feature you ship directly moves us toward a world where enterprises operate with near\-complete automation
**Compensation \&amp; Benefits**
* Competitive base salary
* Comprehensive health, dental, and vision coverage
* In\-office culture with team lunches and events
* Fast\-growing startup with rapid career progression
 Work Arrangement
 In\-Person: San Francisco office
 We believe in the power of in\-person collaboration for building 0\-to\-1 products. Flexible hours to accommodate deep work.
 Compensation Range: $250K \- $400K</t>
        </is>
      </c>
    </row>
    <row r="44">
      <c r="A44" t="inlineStr">
        <is>
          <t>li-4357073204</t>
        </is>
      </c>
      <c r="B44" t="inlineStr">
        <is>
          <t>Product Manager</t>
        </is>
      </c>
      <c r="C44" t="inlineStr">
        <is>
          <t>Meta</t>
        </is>
      </c>
      <c r="D44" t="inlineStr">
        <is>
          <t>linkedin</t>
        </is>
      </c>
      <c r="E44">
        <f>HYPERLINK("https://www.linkedin.com/jobs/view/4357073204", "https://www.linkedin.com/jobs/view/4357073204")</f>
        <v/>
      </c>
      <c r="F44" t="inlineStr"/>
      <c r="G44" t="inlineStr">
        <is>
          <t>New York, NY</t>
        </is>
      </c>
      <c r="H44" t="inlineStr"/>
      <c r="I44"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5">
      <c r="A45" t="inlineStr">
        <is>
          <t>li-4367717304</t>
        </is>
      </c>
      <c r="B45" t="inlineStr">
        <is>
          <t>Product Manager - Industrial CT Software</t>
        </is>
      </c>
      <c r="C45" t="inlineStr">
        <is>
          <t>Lumafield</t>
        </is>
      </c>
      <c r="D45" t="inlineStr">
        <is>
          <t>linkedin</t>
        </is>
      </c>
      <c r="E45">
        <f>HYPERLINK("https://www.linkedin.com/jobs/view/4367717304", "https://www.linkedin.com/jobs/view/4367717304")</f>
        <v/>
      </c>
      <c r="F45" t="inlineStr"/>
      <c r="G45" t="inlineStr">
        <is>
          <t>San Francisco, CA</t>
        </is>
      </c>
      <c r="H45" t="inlineStr"/>
      <c r="I45" t="inlineStr">
        <is>
          <t>**About Lumafield: 
 Founded in 2019, Lumafield has developed the world's first accessible X\-Ray CT scanner for engineers. Our easy\-to\-use scanner and cloud\-based software give engineers the ability to see their work clearly, inside and out, at an extremely affordable price. 
 Engineers make million\-dollar decisions every day, and they need tools that give them the greatest possible insight into their products. By offering unprecedented visibility into products, as well as AI\-driven tools that highlight problems and generate quantitative data, Lumafield promises to revolutionize the way complex products are created, manufactured, and used across industries.
 We are an impact driven company obsessed with providing the best value to our customers keeping their needs at the center of our evolution. Our team today includes world\-class researchers and industrial designers, PhDs, creators, founders of successful startups, and zero egos. We are backed by top venture capital funds like Kleiner Perkins, Lux Capital, DCVC, Spark Capital, and others.
 The company is headquartered in Cambridge, MA and has an office in San Francisco, CA.
**About the Role:
 As a Product Manager at Lumafield, you will help shape the future of our industrial CT software platform, which powers inspection and analysis for manufacturers around the world. You will work closely with our engineers, designers, and customers to deliver features that make CT data more accessible, intuitive, and impactful. This role is a great fit for someone excited to grow as a product leader, eager to work on technically sophisticated tools, and passionate about transforming how physical products are designed, built, and validated.
**What you'll do:** 
* Own the scoping and design for key features of our CT software, from data visualization to workflow automation.
* Translate customer needs into product requirements, user stories, and intuitive UI/UX strategies.
* Partner with engineering and design to deliver high\-impact features, balancing technical feasibility, usability, and business outcomes.
* Work directly with customers to understand use cases, gather feedback, and prioritize enhancements.
* Collaborate with marketing, sales, and customer success teams to ensure smooth product launches and adoption.
* Design and prototype key analysis and visualization features using cutting edge AI workflows.
**About you:** 
* 2–4 years of product management or related experience (e.g. product design, program management, or technical support for software tools).
* Hands\-on experience with CAD or industrial analysis software (e.g. SolidWorks, Siemens NX, Creo, Volume Graphics, Rhino, Geomagics Design X, or similar). You know what it’s like to use tools engineers rely on.
* Strong communication and collaboration skills—you can partner across engineering, design, and commercial functions with clarity and empathy.
* Analytical mindset and comfort with technical products, especially in areas like 3D visualization, geometry, or workflow automation.
* Experience with AI prototyping workflows and a familiarity with data analysis, experimental process and image processing.
**Bonus points for:** 
* Experience with 3D graphics, imaging, or spatial data workflows (e.g. point clouds, meshes, voxels).
* Exposure to CT scanning, X\-ray imaging, or industrial inspection processes.
* Familiarity with agile software development practices.
* Background in engineering, physics, or applied sciences.
* Direct experience in one of the following industries: CAD / Mechanical Software; Manufacturing; Industrial Inspection; Medical Devices; Automotive; Consumer Packaged Goods; Consumer Electronics; Aero / Defense
 We are unable to sponsor or take over sponsorship of employment visas at this time. All applicants must be legally authorized to work in the United States without current or future sponsorship.
 Lumafield offers both competitive cash and equity compensation, as well as a health \&amp; wellness stipend, 401k, parental leave, flexible PTO, commuter benefits, company wide events and more! 
 Lumafield is committed to building a team that represents a variety of backgrounds, perspectives, and skills, because the more inclusive we are, the better our work will be. Do you feel like your skills don’t meet every single requirement listed? We encourage you to apply anyway – If you’re excited about our technology, the opportunity, and are eager to learn more we’d love to hear from you! 
 In keeping with our beliefs and goals, no employee or applicant will face discrimination or harassment based on: race, color, ancestry, national origin, religion, age, gender, marital domestic partner status, sexual orientation, gender identity, disability, genetic information or veteran status.
 Reach out if you want to be a part of what we are building.
 San Francisco Applicants: Review the San Francisco Fair Chance Ordinance
 guidelines
 applicable in your area.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6">
      <c r="A46" t="inlineStr">
        <is>
          <t>li-4367972064</t>
        </is>
      </c>
      <c r="B46" t="inlineStr">
        <is>
          <t>Entry Level Product Manager: 2026</t>
        </is>
      </c>
      <c r="C46" t="inlineStr">
        <is>
          <t>Lensa</t>
        </is>
      </c>
      <c r="D46" t="inlineStr">
        <is>
          <t>linkedin</t>
        </is>
      </c>
      <c r="E46">
        <f>HYPERLINK("https://www.linkedin.com/jobs/view/4367972064", "https://www.linkedin.com/jobs/view/4367972064")</f>
        <v/>
      </c>
      <c r="F46">
        <f>HYPERLINK("https://lensa.com/cgw/092c1d90db82402aaf47faac644ab2cctjo1?jpsi=directemployers_no_redirect&amp;publisher_preference=easier_apply&amp;utm_campaign=Other%20Management%20Occupations&amp;utm_medium=slot&amp;utm_source=linkedin&amp;utm_term=jse&amp;urlHash=vPH3", "https://lensa.com/cgw/092c1d90db82402aaf47faac644ab2cctjo1?jpsi=directemployers_no_redirect&amp;publisher_preference=easier_apply&amp;utm_campaign=Other%20Management%20Occupations&amp;utm_medium=slot&amp;utm_source=linkedin&amp;utm_term=jse&amp;urlHash=vPH3")</f>
        <v/>
      </c>
      <c r="G46" t="inlineStr">
        <is>
          <t>Austin, TX</t>
        </is>
      </c>
      <c r="H46" t="inlineStr"/>
      <c r="I4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47">
      <c r="A47" t="inlineStr">
        <is>
          <t>li-4367959285</t>
        </is>
      </c>
      <c r="B47" t="inlineStr">
        <is>
          <t>Entry Level Product Manager: 2026</t>
        </is>
      </c>
      <c r="C47" t="inlineStr">
        <is>
          <t>Lensa</t>
        </is>
      </c>
      <c r="D47" t="inlineStr">
        <is>
          <t>linkedin</t>
        </is>
      </c>
      <c r="E47">
        <f>HYPERLINK("https://www.linkedin.com/jobs/view/4367959285", "https://www.linkedin.com/jobs/view/4367959285")</f>
        <v/>
      </c>
      <c r="F47" t="inlineStr"/>
      <c r="G47" t="inlineStr">
        <is>
          <t>San Jose, CA</t>
        </is>
      </c>
      <c r="H47" t="inlineStr"/>
      <c r="I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48">
      <c r="A48" t="inlineStr">
        <is>
          <t>li-4356923512</t>
        </is>
      </c>
      <c r="B48" t="inlineStr">
        <is>
          <t>Product Manager</t>
        </is>
      </c>
      <c r="C48" t="inlineStr">
        <is>
          <t>Meta</t>
        </is>
      </c>
      <c r="D48" t="inlineStr">
        <is>
          <t>linkedin</t>
        </is>
      </c>
      <c r="E48">
        <f>HYPERLINK("https://www.linkedin.com/jobs/view/4356923512", "https://www.linkedin.com/jobs/view/4356923512")</f>
        <v/>
      </c>
      <c r="F48">
        <f>HYPERLINK("https://jsv3.recruitics.com/redirect?rx_cid=3239&amp;rx_jobId=a1KDp00000E2fWlMAJ_1003&amp;rx_url=https%3A%2F%2Fwww.metacareers.com%2Fjobs%2F24894480136873895%2F%3Frx_campaign%3DLinkedin1%26rx_ch%3Dconnector%26rx_group%3D126320%26rx_id%3D6b719cdf-fec7-11f0-a182-571358c17781%26rx_job%3Da1KDp00000E2fWlMAJ_1003%26rx_medium%3Dpost%26rx_r%3Dnone%26rx_source%3DLinkedin%26rx_ts%3D20260201T001203Z%26rx_vp%3Dslots%26utm_campaign%3DJob%252Bboard%26utm_medium%3Djobs%26utm_source%3DLIpaid&amp;urlHash=lrDQ", "https://jsv3.recruitics.com/redirect?rx_cid=3239&amp;rx_jobId=a1KDp00000E2fWlMAJ_1003&amp;rx_url=https%3A%2F%2Fwww.metacareers.com%2Fjobs%2F24894480136873895%2F%3Frx_campaign%3DLinkedin1%26rx_ch%3Dconnector%26rx_group%3D126320%26rx_id%3D6b719cdf-fec7-11f0-a182-571358c17781%26rx_job%3Da1KDp00000E2fWlMAJ_1003%26rx_medium%3Dpost%26rx_r%3Dnone%26rx_source%3DLinkedin%26rx_ts%3D20260201T001203Z%26rx_vp%3Dslots%26utm_campaign%3DJob%252Bboard%26utm_medium%3Djobs%26utm_source%3DLIpaid&amp;urlHash=lrDQ")</f>
        <v/>
      </c>
      <c r="G48" t="inlineStr">
        <is>
          <t>Seattle, WA</t>
        </is>
      </c>
      <c r="H48" t="inlineStr"/>
      <c r="I48"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9">
      <c r="A49" t="inlineStr">
        <is>
          <t>li-4367718191</t>
        </is>
      </c>
      <c r="B49" t="inlineStr">
        <is>
          <t>Product Manager, Platform, Apple Store Online</t>
        </is>
      </c>
      <c r="C49" t="inlineStr">
        <is>
          <t>Apple</t>
        </is>
      </c>
      <c r="D49" t="inlineStr">
        <is>
          <t>linkedin</t>
        </is>
      </c>
      <c r="E49">
        <f>HYPERLINK("https://www.linkedin.com/jobs/view/4367718191", "https://www.linkedin.com/jobs/view/4367718191")</f>
        <v/>
      </c>
      <c r="F49">
        <f>HYPERLINK("https://jobs.apple.com/en-us/details/200643744?board_id=17682&amp;urlHash=tVRC", "https://jobs.apple.com/en-us/details/200643744?board_id=17682&amp;urlHash=tVRC")</f>
        <v/>
      </c>
      <c r="G49" t="inlineStr">
        <is>
          <t>Cupertino, CA</t>
        </is>
      </c>
      <c r="H49" t="inlineStr"/>
      <c r="I49" t="inlineStr">
        <is>
          <t>**Summary**
 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The ASO Platform Product management team is responsible for the infrastructure and tooling that builds our e\-commerce experience. We are looking for an experienced Product Manage to lead some of Apple Retail’s most significant growth initiatives. This team is responsible for building seamless, personalized, and innovative digital commerce experiences and capabilities for all our online customers. This is a technical role that links between business, design, and engineering to bring to life incredible products for our customers.
**Description**
 Working together with key cross functional partners, such as other product managers, Product Marketing, Merchandising, Digital Content Management, Engineering, Operations and more, you will help chart a course to evolve our platform architecture. Your role is to challenge old assumptions, and bring them flexibility and dynamism that our business teams need to take us into the future \- all while keeping our existing multi\-billion dollar business running flawlessly. Your experience building and scaling complex distributed systems, will guide critical architecture decisions and drive the adoption of cloud native patterns, Infrastructure as Code and modern delivery pipelines. Beyond strategy and roadmaps, you’ll dive into the details and help drive projects leading cross\-functional efforts deliver platform upgrades and optimize our tools and processes.
**Responsibilities**
* Develop multi\-year strategies, roadmaps, and plans to achieve business objectives.
* Drive product discovery, requirements, and delivery of new capabilities.
* Hand\-on drive technical projects.
* Communicate ideas, plans, and program status to senior partners and executives.
* Contribute to an inclusive environment through respecting each others' differences and having the curiosity to learn.
**Minimum Qualifications**
* 7\+ years combined experience in Product Management and Project/Program Management, driving e\-commerce or consumer digital experiences.
* Ability to dive into technical details and designs including data platform, CRM, web technologies, large\-scale service architectures, and app platforms.
* Ability to communicate effectively, across all levels of the organization, including the ability to communicate technical concepts to non\-technical audiences.
* BA/BS in Computer Science or a technical degree, or 7\+ years of relevant professional experience.
**Preferred Qualifications**
* SaaS experience including CRM tools (e.g. Salesforce, Adobe).
* Experience working with publishing, merchandising, and other key e\-commerce systems, with a focus on ensuring scalability, automation and seamless integration to the larger platform.
* Experience working with globally distributed teams, in a multi\-lingual/cultural environment.
* Experience working with external partnerships and cross functional teams to drive requirements and align on solutions to provide the best possible customer experience and technology.
* Ability to challenge conventions and debate solutions to identify the best possible outcome for customers.
* Possess strong technical skills with the ability to dive into architecture and designs in order to partner with solution architects and engineering teams.
* Capable of moving from high\-level conceptual ideas to detailed, systematically organized plans and implementations.
* Proven ability to translate complex information into concise, and compelling narratives appropriate for different stakeholders, fostering alignment across all organizational levels.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0">
      <c r="A50" t="inlineStr">
        <is>
          <t>li-4367973160</t>
        </is>
      </c>
      <c r="B50" t="inlineStr">
        <is>
          <t>Sr Product Manager</t>
        </is>
      </c>
      <c r="C50" t="inlineStr">
        <is>
          <t>Lensa</t>
        </is>
      </c>
      <c r="D50" t="inlineStr">
        <is>
          <t>linkedin</t>
        </is>
      </c>
      <c r="E50">
        <f>HYPERLINK("https://www.linkedin.com/jobs/view/4367973160", "https://www.linkedin.com/jobs/view/4367973160")</f>
        <v/>
      </c>
      <c r="F50" t="inlineStr"/>
      <c r="G50" t="inlineStr">
        <is>
          <t>Houston, TX</t>
        </is>
      </c>
      <c r="H50" t="inlineStr"/>
      <c r="I5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Cengage Group. Clicking "Apply Now" or "Read more" on Lensa redirects you to the job board/employer site. Any information collected there is subject to their terms and privacy notice.
**We believe in the power and joy of learning**
 At Cengage Group, our employees have a direct impact in helping students around the world discover the power and joy of learning. We are bonded by our shared purpose – driving innovation that helps millions of learners improve their lives and achieve their dreams through education.
**Our culture values inclusion, engagement, and discovery**
 Our business is driven by our strong culture, and we know that creating an inclusive workplace is absolutely essential to the success of our company and our learners, as well as our individual well\-being. We recognize the value of diverse perspectives in everything we do and strive to ensure employees of all levels and backgrounds feel empowered to voice their ideas and bring their authentic selves to work. We achieve these priorities through programs, benefits, and initiatives that are integrated into the fabric of how we work every day. To learn more, please see https://www.cengagegroup.com/about/inclusion\-and\-belonging/
 As a Senior Product Manager on the ed2go team at Cengage Group, you’ll help shape the technology foundation that connects learners, partners, and enterprise systems. You’ll guide the vision and roadmap for platform capabilities, data pipelines, and integrations that make learning experiences more connected, efficient, and insightful.
 You’ll work across teams to design systems that scale, improve data quality, and enable better decision\-making. This role is ideal for someone who enjoys solving complex technical challenges, connecting ideas across teams, and driving results that make a measurable impact on learners and business outcomes.
**What You’ll Do Here**
**Lead Strategy and Vision**
* Define and evolve the roadmap for ed2go’s platform, data, and integration capabilities.
* Collaborate with engineering, architecture, and analytics teams to align technical investments with business goals.
* Drive initiatives that improve platform scalability, data reliability, and system interoperability.
**Build and Strengthen Integrations**
* Lead the end\-to\-end lifecycle for integrations across Salesforce, SAP, enrollment, and learning systems.
* Partner with enterprise teams to enhance data exchange through modern APIs and event\-driven architectures.
* Ensure that systems share accurate, secure, and timely information to support operational and learner outcomes.
**Collaborate Across Teams**
* Work closely with product, engineering, analytics, and design teams to deliver shared services and tools that enable faster, smarter decisions.
* Partner with marketing, service, finance, and operations teams to ensure alignment and adoption of shared capabilities.
* Foster transparent communication and collaboration across technical and business partners.
**Deliver and Improve**
* Write clear, outcome\-based epics and user stories that guide development and measure success.
* Balance priorities across short\-term needs and long\-term technical investments.
* Promote agile best practices, documentation, and continuous improvement across teams.
**Skills You’ll Need Here**
* Bachelor’s degree or equivalent experience.
* 6\+ years in product management or related technical product roles.
* Experience leading platform, data, or integration\-focused initiatives.
* Understanding of SaaS architecture, APIs, data pipelines, and system design.
* Familiarity with tools such as Jira, Confluence, Amplitude, and GA4\.
* Strong communication and documentation skills, with the ability to translate complexity into clarity.
* Experience working in collaborative, cross\-functional environments.
* Curiosity, empathy, and a growth mindset—combined with a drive for delivering real\-world outcomes.
* Experience in edtech, ecommerce, or enterprise SaaS environments is a plus.
 Cengage Group is committed to working with broad talent pools to attract and hire strong and most qualified individuals. Our job applicants are considered regardless of any classification protected by applicable federal, state, provincial or local laws.
 Cengage is also committed to providing reasonable accommodations for qualified individuals with disabilities including during our job application process. If you are an applicant with a disability and require reasonable accommodation in our job application process, please contact us at accommodations.ta@cengage.com .
**About Cengage Group**
 Cengage Group, a global education technology company serving millions of learners, provides affordable, quality digital products and services that equip students with the skills and competencies needed to be job ready. For more than 100 years, we have enabled the power and joy of learning with trusted, engaging content, and now, integrated digital platforms. We serve the higher education, workforce skills, secondary education, English language teaching and research markets worldwide. Through our scalable technology, including MindTap and Cengage Unlimited, we support all learners who seek to improve their lives and achieve their dreams through education.
**Compensation**
 At Cengage Group, we take great pride in our commitment to providing a comprehensive and rewarding Total Rewards package designed to support and empower our employees. Click here (https://www.cengagegroup.com/news/perspectives/2024/cengage\-group\-total\-rewards\-philosophy/) to learn more about our
 *Total Rewards Philosophy* 
 .
 The full base pay range has been provided for this position. Individual base pay will vary based on work schedule, qualifications, experience, internal equity, and geographic location. Sales roles often incorporate a significant incentive compensation program beyond this base pay range.
 In this position, you will be eligible to participate in the company’s discretionary incentive bonus program. This position's bonus target amount, which is not guaranteed and is dependent on individual performance and overall company results among other factors, is provided below.
 15% Annual: Individual Target
 $117,100\.00 \- $152,200\.00 USD
**Cengage Group** 
 , a global education technology company serving millions of learners, provides affordable, quality digital products and services that equip students with the skills and competencies needed to be job ready. For more than 100 years, we have enabled the power and joy of learning with trusted, engaging content, and now, integrated digital platforms.
 We serve the higher education, workforce skills, secondary education, English language teaching and research markets worldwide. Through our scalable technology, including MindTap and Cengage Unlimited, we support all learners who seek to improve their lives and achieve their dreams through education.
***Warning: Be aware, there has been an increase of targeted recruitment***
*scams perpetrated by bad actors falsely providing job offers on behalf Cengage Group to candidates as a means of obtaining personal information. Note that Cengage will always interview candidates via live in\-person meetings, phone calls and video calls before an offer would be extended. Also, be sure to check that communication is coming from an @cengage.com email address.*
 If you have questions about this posting, please contact support@lensa.com</t>
        </is>
      </c>
    </row>
    <row r="51">
      <c r="A51" t="inlineStr">
        <is>
          <t>li-4367957310</t>
        </is>
      </c>
      <c r="B51" t="inlineStr">
        <is>
          <t>product manager, North America At Home Coffee</t>
        </is>
      </c>
      <c r="C51" t="inlineStr">
        <is>
          <t>Lensa</t>
        </is>
      </c>
      <c r="D51" t="inlineStr">
        <is>
          <t>linkedin</t>
        </is>
      </c>
      <c r="E51">
        <f>HYPERLINK("https://www.linkedin.com/jobs/view/4367957310", "https://www.linkedin.com/jobs/view/4367957310")</f>
        <v/>
      </c>
      <c r="F51">
        <f>HYPERLINK("https://lensa.com/cgw/344414d1fc1f4e15ae87892b062d8125tjo1?jpsi=directemployers_no_redirect&amp;publisher_preference=easier_apply&amp;utm_campaign=Other%20Management%20Occupations&amp;utm_medium=slot&amp;utm_source=linkedin&amp;utm_term=jse&amp;urlHash=Fso5", "https://lensa.com/cgw/344414d1fc1f4e15ae87892b062d8125tjo1?jpsi=directemployers_no_redirect&amp;publisher_preference=easier_apply&amp;utm_campaign=Other%20Management%20Occupations&amp;utm_medium=slot&amp;utm_source=linkedin&amp;utm_term=jse&amp;urlHash=Fso5")</f>
        <v/>
      </c>
      <c r="G51" t="inlineStr">
        <is>
          <t>Seattle, WA</t>
        </is>
      </c>
      <c r="H51" t="inlineStr"/>
      <c r="I5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Starbucks. Clicking "Apply Now" or "Read more" on Lensa redirects you to the job board/employer site. Any information collected there is subject to their terms and privacy notice.
**Now Brewing \- Product Manager, North America At Home Coffee!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In this role you will represent Starbucks brand in our Creamers and Instant Coffee categories, while supporting near\-in innovation and marketing in partnership with Nestlé. You will ensure that the products, packaging, and marketing (down the aisle and out of store) elevate our brand and deliver on business objectives.
*As a product manager, you will...*
- Assist in reporting our consumption and financial reports on a monthly basis to our leadership
- Be the Starbucks Brand Steward to elevate and influence all marketing across Creamer, Instant Coffee and Hot Cocoa platforms for US and Canada markets
- Manage packaging changes and updates to encourage a cohesive brand perspective
 Guide and manage short\-term innovation strategy and pipeline (\&lt;18 months) for designated platforms, including seasonal offerings to drive business results
 - Coordinate cross\-functional resources to align and deliver on brand initiatives across multiple workstreams to drive efficiency and brand cohesion
- Enjoy working with a collaborative, dynamic, and results\-driven team
**We'd Love To Hear From People With**
* Bachelor's degree or equivalent related work experience or four years US military experience in a related MOS/C. MBA strongly preferred.
* Strong interpersonal skills
* Ability to communicate clearly and concisely, both orally and in writing
* Ability to work both independently and as part of a team
* Ability to confidently present objectives and desired outcomes to leadership and cross functional teams
* Ability to resolve issues or debates independently in most situations
* Ability to balance multiple priorities and meet deadlines
* Progressive experience in product or brand management: 2\-3 years
* Ability to influencing others without authority to complete things in a timely manner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(file:///C:/Users/rofunk/AppData/Local/Microsoft/Windows/INetCache/Content.Outlook/EHRXPAYM/starbucksbenefits.com) .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 every cup. Apply today!**
*Starbucks Coffee Company is an equal opportunity employer. All qualified applicants will receive consideration for employment without regard to race, color, religion, sex, sexual orientation, gender identity, age, national origin, disability, or protected veteran status, or any other characteristic protected by law.*
*Qualified applicants with criminal histories will be considered for employment in a manner consistent with all federal, state and local ordinances.*
*Starbucks Coffee Company is committed to offering reasonable accommodations to job applicants with disabilities. If you need assistance or an accommodation due to a disability, please contact us at* 
*applicantaccommodation@starbucks.com* 
*or 1(888\) 611\-2258\.*
 If you have questions about this posting, please contact support@lensa.com</t>
        </is>
      </c>
    </row>
    <row r="52">
      <c r="A52" t="inlineStr">
        <is>
          <t>li-4351708385</t>
        </is>
      </c>
      <c r="B52" t="inlineStr">
        <is>
          <t>Senior Product Manager - AI Workflows (Hedge Funds)</t>
        </is>
      </c>
      <c r="C52" t="inlineStr">
        <is>
          <t>AlphaSense</t>
        </is>
      </c>
      <c r="D52" t="inlineStr">
        <is>
          <t>linkedin</t>
        </is>
      </c>
      <c r="E52">
        <f>HYPERLINK("https://www.linkedin.com/jobs/view/4351708385", "https://www.linkedin.com/jobs/view/4351708385")</f>
        <v/>
      </c>
      <c r="F52" t="inlineStr"/>
      <c r="G52" t="inlineStr">
        <is>
          <t>New York, NY</t>
        </is>
      </c>
      <c r="H52" t="inlineStr"/>
      <c r="I52"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S\&amp;P 500\. Founded in 2011, AlphaSense is headquartered in New York City with more than 2,000 employees across the globe and offices in the U.S., U.K., Finland, India, Singapore, Canada, and Ireland. Come join us!
**About The Team**
 AlphaSense's Product team stands at the forefront of innovation, developing AI\-powered solutions that enable professionals to make smarter, faster, and more informed decisions. Our team, a diverse and global collective of operators, craftspeople, innovators, and visionaries, shares a passion for solving complex problems and delivering exceptional user experiences.
 If you're passionate about creating industry\-leading tools that shape the future of business intelligence, we’d love to meet you.
**About The Role**
 We are seeking a visionary Senior Product Manager with deep, first\-hand experience in the investment research process to drive the evolution of our product in an AI\-first world.
 We are looking for a domain expert first and foremost. Whether you are currently a Product Manager or are a Senior Analyst looking to make a career switch, your value lies in your \~5 years of experience at a top\-tier Hedge Fund. You understand the pressure, the workflows, from thesis generation to deep due diligence, and the friction points that exist today.
 In this role, you will leverage your domain expertise to teach our AI how to think like an analyst. You will challenge conventional thinking and ensure that our AI solutions are not just technically impressive, but rigorously accurate and valuable to an investment professional.
**What You’ll Do**
* Champion the Customer Perspective: Act as the voice of the user. Translate your deep knowledge of buy\-side workflows (financial modeling, earnings analysis, idea generation) into actionable product strategies.
* Lead AI Prompt Engineering \&amp; Validation: You will be the primary architect of "quality." Design, test, and refine prompts to ensure our AI output meets the high standards of a professional investor. You will look at an AI summary or extraction and immediately know if it "sounds right" to a PM or Analyst.
* Identify Opportunities: Analyze market trends and competitor moves to identify where we can leap ahead, using your industry intuition to spot gaps that generalist product managers might miss.
* Collaborate Across Teams: Work side\-by\-side with Engineering, Design, and Product Marketing. You will bridge the gap between technical capability and business value, explaining why a specific nuance in data matters to a user.
* Drive Continuous Improvement: Relentlessly push for better accuracy and speed. You will constantly test our tools against real\-world investment scenarios to ensure reliability.
**Who You Are**
* Domain Expert: You have at least 2\+ years of direct experience working as an Analyst or Associate at a top\-tier Hedge Fund. You have lived the workflow and understand the nuance of financial data and research.
* AI Enthusiast \&amp; Practitioner: You may not be a coder, but you have a strong grasp of Generative AI. You are comfortable with prompt engineering and have a knack for tweaking inputs to get the best outputs. You understand the limitations of LLMs and how to work around them.
* Strategic Thinker: You can look at a manual process you used to do (e.g., spreading comps, summarizing expert calls) and visualize exactly how AI should automate it.
* Clear Communicator: You can articulate complex financial concepts to engineers and designers who may not have a finance background.
* Adaptable \&amp; Resilient: You are excited to move from a role defined by market positions to one defined by user problem\-solving. You are ready to learn the craft of Product Management on the fly.
* Analytical Mindset: Ability to leverage basic data analytics and SQL is a plus, but your ability to analyze the quality of text and financial data is paramount.
 For base compensation, we set standard ranges for all roles based on function and level benchmarked against similar stage growth companies and internal comparables. In order to be compliant with local legislation, as well as to provide greater transparency to candidates, we share salary ranges on all job postings regardless of desired hiring location. Final offer amounts are determined by multiple factors including candidate experience/expertise and may vary from the amounts listed below.
 You may also be offered a performance\-based bonus, equity, and a generous benefits program.
 Base Compensation Range
 $177,000—$256,000 USD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 AlphaSense never asks candidates to pay for job applications, equipment, or training.
* All official communications will come from an @alpha\-sense.com email address.
* If you’re unsure about a job posting or recruiter, verify it on our Careers page.
 If you believe you’ve been targeted by a scam or have any doubts regarding the authenticity of any job listing purportedly from or on behalf of AlphaSense please contact us. Your security and trust matter to us.</t>
        </is>
      </c>
    </row>
    <row r="53">
      <c r="A53" t="inlineStr">
        <is>
          <t>li-4367939836</t>
        </is>
      </c>
      <c r="B53" t="inlineStr">
        <is>
          <t>Product Manager, Trading Card Games (TCG)</t>
        </is>
      </c>
      <c r="C53" t="inlineStr">
        <is>
          <t>GamblingCareers.com</t>
        </is>
      </c>
      <c r="D53" t="inlineStr">
        <is>
          <t>linkedin</t>
        </is>
      </c>
      <c r="E53">
        <f>HYPERLINK("https://www.linkedin.com/jobs/view/4367939836", "https://www.linkedin.com/jobs/view/4367939836")</f>
        <v/>
      </c>
      <c r="F53">
        <f>HYPERLINK("https://www.gamblingcareers.com/job/142926/product-manager-trading-card-games-tcg/&amp;urlHash=Y8LN", "https://www.gamblingcareers.com/job/142926/product-manager-trading-card-games-tcg/&amp;urlHash=Y8LN")</f>
        <v/>
      </c>
      <c r="G53" t="inlineStr">
        <is>
          <t>Seattle, WA</t>
        </is>
      </c>
      <c r="H53" t="inlineStr"/>
      <c r="I53" t="inlineStr">
        <is>
          <t>**About The Team**
 Fanatics TCG is a new trading card game business, the newest member of the Fanatics Collectibles family. We are here to build the best TCG studio and games in the world.
 If you have passion, and skill, and if you believe trading card games represent the very best of what games have to offer, please reach out to us.
**Role Summary**
 The Product Manager is responsible for delivering specific features, releases, or product areas within the trading card game business, working closely with cross\-functional partners to bring new experiences to fans and collectors.
**Responsibilities**
* Own product requirements and execution for defined features or initiatives
* Collaborate with Design, Art, Engineering, and Operations on delivery
* Manage backlogs, timelines, and release planning
* Gather and synthesize fan feedback, data, and business inputs
* Support live updates, iteration, and continuous improvement
**Qualifications \&amp; Experience**
* Minimum 3 years of product management experience
* Experience shipping consumer\-facing products or services
* Familiarity with product development lifecycles and agile practices
* Experience working in cross\-functional teams
**Skills \&amp; Abilities**
* Strong organizational and execution skills
* Clear communication and collaboration abilities
* Analytical mindset with attention to detail
* Passion for trading card games, collectibles, or fan\-driven products
**Location \&amp; Compensation**
 Achieving our goals requires strong collaboration and partnership between our teams and internal stakeholders. To best support this, the person who accepts this role is expected to be onsite in\-office five days per week.
 The salary range for this position is $88,000 \- $110,000, which represents base pay only and does not include short\-term or long\-term incentive compensation.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t>
        </is>
      </c>
    </row>
    <row r="54">
      <c r="A54" t="inlineStr">
        <is>
          <t>li-4367977016</t>
        </is>
      </c>
      <c r="B54" t="inlineStr">
        <is>
          <t>Sr. Technical Product Manager (Remote)</t>
        </is>
      </c>
      <c r="C54" t="inlineStr">
        <is>
          <t>Lensa</t>
        </is>
      </c>
      <c r="D54" t="inlineStr">
        <is>
          <t>linkedin</t>
        </is>
      </c>
      <c r="E54">
        <f>HYPERLINK("https://www.linkedin.com/jobs/view/4367977016", "https://www.linkedin.com/jobs/view/4367977016")</f>
        <v/>
      </c>
      <c r="F54" t="inlineStr"/>
      <c r="G54" t="inlineStr">
        <is>
          <t>Austin, TX</t>
        </is>
      </c>
      <c r="H54" t="inlineStr"/>
      <c r="I5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The Technical Product Manager is responsible for overseeing the full software development lifecycle for assigned products, in support of the VA Office of Connected Care.
 This position will a fully remote position located within the United States.
**Responsibilities**
* Manage the full software development process lifecycle for assigned product(s)
* Facilitate strategy and prioritization discussions
* Transform high\-level vision into detailed action plans
* Build and maintain the product roadmap, ensuring prioritization aligns with customer needs, technical feasibility and stakeholder input.
* Collaborate with engineering, design, data, QA and operations teams to ensure product quality and delivery.
* Lead and/or support sprint planning, backlog refinement, sprint review and retrospective sessions in partnership with the development team(s).
* Ensure continuous communication across cross\-functional teams to remove blockers, track progress, and maintain alignment.
* Partner with data teams to analyze product usage, optimize user experience, and define KPIs
* Use Scrum Master experience or knowledge to foster agile best practices, improve team velocity and drive execution discipline.
* Consult and coordinate with experts and cross\-disciplinary teams to conduct discovery and establish clear requirements that meet user needs
* Manage multiple projects, to include planning, risk management and mitigation, training and communication, regular status reporting, and associated documentation
* Lead and participate in dynamic meetings with cross\-functional teams, orchestrating discussions and ensuring clear objectives are met
* Conceptualize, analyze, and advise clients on solution options to achieve their objectives
* Work closely with strategic delivery partners, subcontractors, and vendors
* Coordinate efforts across numerous teams through frequent and effective communication
**Qualifications**
**Requ** 
**ired Skills and Experience**
* Bachelor's with 8\+ years (or commensurate experience)
* You have at least 7 years of experience applying product and/or or project management principles in a healthcare and/or technical environment.
* You'll be responsible for managing a product, or a suite of products from requirements gathering through the testing and production release cycle.
* You have helped build products or complex feature sets from the ground up, organizing efforts to incrementally deliver on product direction and goals.
* You have excellent presentation skills to include building slide decks and effective communication with executive leadership.
* You are strong in Agile Project Management methodologies and procedures.
* You are proficient in use of Microsoft Excel, Microsoft PowerPoint, and Agile Tools such as Jira.
* You have a bachelor's degree, and preferably also a master's and/or applicable certifications (PMP, ITIL, SAFe Agile).
**Clearance Required:** 
 Ability to obtain and maintain a Suitability/Public Trust clearance
**Preferred Skills And Experience**
* You can articulate the difference between product and project management and provide concrete examples of both.
* You possess strong emotional intelligence, enabling you to tailor your communication style and convey technical concepts across interdisciplinary teams.
* Prior experience working with or delivering solutions on the Appian platform.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$150,000\.00 \- USD $160,000\.00 /Yr.
 Submit a referral to this job (https://careers\-govcio.icims.com/jobs/7096/sr.\-technical\-product\-manager\-%28remote%29/job?mode\=apply\&amp;apply\=yes\&amp;in\_iframe\=1\&amp;hashed\=\-1834385473\)
**Location** 
*US\-Remote*
**ID** 
*2025\-7096*
**Category** 
*Project/Program Management*
**Position Type** 
*Full\-Time*
 If you have questions about this posting, please contact support@lensa.com</t>
        </is>
      </c>
    </row>
    <row r="55">
      <c r="A55" t="inlineStr">
        <is>
          <t>li-4367948707</t>
        </is>
      </c>
      <c r="B55" t="inlineStr">
        <is>
          <t>Principal Product Manager, Topps</t>
        </is>
      </c>
      <c r="C55" t="inlineStr">
        <is>
          <t>GamblingCareers.com</t>
        </is>
      </c>
      <c r="D55" t="inlineStr">
        <is>
          <t>linkedin</t>
        </is>
      </c>
      <c r="E55">
        <f>HYPERLINK("https://www.linkedin.com/jobs/view/4367948707", "https://www.linkedin.com/jobs/view/4367948707")</f>
        <v/>
      </c>
      <c r="F55">
        <f>HYPERLINK("https://www.gamblingcareers.com/job/143041/principal-product-manager-topps/&amp;urlHash=ACCi", "https://www.gamblingcareers.com/job/143041/principal-product-manager-topps/&amp;urlHash=ACCi")</f>
        <v/>
      </c>
      <c r="G55" t="inlineStr">
        <is>
          <t>Los Angeles, CA</t>
        </is>
      </c>
      <c r="H55" t="inlineStr"/>
      <c r="I55" t="inlineStr">
        <is>
          <t>**Principal Product Manager, eCommerce – Topps.com**
**Location:** 
 Los Angeles
**About The Role**
**Fanatics Collect** 
 is seeking an experienced
 **Principal Product Manager** 
 to lead the eCommerce strategy and execution for
 **Topps.com** 
 . As the owner of this direct\-to\-consumer channel, you’ll be responsible for evolving our Shopify\-based storefront into a best\-in\-class destination for collectors and fans. You’ll work cross\-functionally across design, engineering, marketing, operations, and business teams to build experiences that are both customer\-centric and revenue\-generating.
 This is a high\-impact role for a product leader who thrives in a fast\-paced environment, understands the nuances of eCommerce and digital merchandising, and can balance long\-term vision with rapid iteration.
**Key Responsibilities**
* Own the product vision, roadmap, and execution for Topps.com, spanning both front\-end user experiences and back\-end operational tools.
* Lead Shopify\-based platform evolution and customization to support both limited\-edition product drops and evergreen merchandising strategies.
* Partner with marketing and growth teams to drive conversion, retention, and site traffic through optimized UX, content placement, and personalization.
* Collaborate with engineering and design partners to deliver seamless, mobile\-first customer journeys from discovery through checkout and fulfillment.
* Define and monitor key metrics (e.g., conversion rate, average order value, cart abandonment) to guide decision\-making and assess business impact.
* Proactively identify friction in the purchase journey and lead initiatives to enhance site performance, navigation, search, and merchandising capabilities.
* Serve as the internal subject matter expert for Shopify and consumer eCommerce experience, helping guide cross\-functional planning and investments.
* Help establish a culture of experimentation through A/B testing and rapid iteration grounded in user insights and behavioral data.
**Qualifications**
* Minimum of 7 years of product management experience, ideally focused on consumer eCommerce, Shopify, or other digital retail platforms.
* Proven ability to manage consumer\-facing product development from inception to launch, with a keen eye for user experience and commercial outcomes.
* Highly analytical and fluent in using data to inform roadmap decisions, evaluate experiments, and uncover optimization opportunities.
* Strong communicator and collaborator, with the ability to synthesize complex requirements and align diverse stakeholders.
* Comfortable operating in a matrixed, cross\-functional environment with fast\-moving priorities.
* Familiarity with SEO, conversion rate optimization (CRO), and digital merchandising best practices.
* Passion for collectibles, sports, or fandom\-driven communities is a plus.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t>
        </is>
      </c>
    </row>
    <row r="56">
      <c r="A56" t="inlineStr">
        <is>
          <t>li-4353762865</t>
        </is>
      </c>
      <c r="B56" t="inlineStr">
        <is>
          <t>Product Manager</t>
        </is>
      </c>
      <c r="C56" t="inlineStr">
        <is>
          <t>Jobot</t>
        </is>
      </c>
      <c r="D56" t="inlineStr">
        <is>
          <t>linkedin</t>
        </is>
      </c>
      <c r="E56">
        <f>HYPERLINK("https://www.linkedin.com/jobs/view/4353762865", "https://www.linkedin.com/jobs/view/4353762865")</f>
        <v/>
      </c>
      <c r="F56" t="inlineStr"/>
      <c r="G56" t="inlineStr">
        <is>
          <t>Atlanta, GA</t>
        </is>
      </c>
      <c r="H56" t="inlineStr"/>
      <c r="I56" t="inlineStr">
        <is>
          <t>Want to learn more about this role and Jobot? Click our Jobot logo and follow our LinkedIn page!
 Job details
**Remote Role \- Drive innovation in spend risk analytics with a leading AI\-powered SaaS company!**
 This Jobot Job is hosted by Kat Lawrence
 Are you a fit? Easy Apply now by clicking the "Easy Apply" button and sending us your resume.
 Salary $140,000 \- $165,000 per year
**A Bit About Us**
 We are a fast\-growing technology company delivering advanced solutions that help organizations manage financial risk and optimize spend. Our platform leverages AI and machine learning to analyze billions of transactions, providing actionable insights that prevent fraud, waste, and misuse. We pride ourselves on creating tools that empower enterprises to strengthen compliance and improve operational efficiency. Our collaborative culture values innovation, data\-driven decision\-making, and continuous improvement.
****Why join us?****
* Comprehensive benefits package including health, dental, and vision coverage
* Generous paid time off and flexible remote work options
* Opportunity to work with cutting\-edge AI/ML technology in a dynamic, growth\-oriented environment
**Job Details**
**Responsibilities**
* Define and execute product roadmap for data\-driven solutions, ensuring alignment with business goals
* Collaborate with engineering, UX, and data science teams to deliver intuitive, user\-centric features
* Translate business challenges into actionable product requirements and functional specifications
* Conduct user research and analyze feedback to prioritize enhancements and improve adoption
* Partner with marketing and sales teams to support product launches and go\-to\-market strategies
* Monitor competitive landscape and identify opportunities to maintain product advantage
* Manage backlog prioritization using quantitative and qualitative inputs
**Qualifications**
* Bachelor’s degree in Science, Engineering, Math, Finance, Business, Economics, or similar area of study; Master's preferred
* 3\+ years of product management experience with a B2B SaaS
* Preferred experience with data\-driven or AI/ML\-enabled software products
* Experience with B2B SaaS products through full development lifecycle
* Familiarity with UX principles and ability to apply them to product design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57">
      <c r="A57" t="inlineStr">
        <is>
          <t>li-4345392588</t>
        </is>
      </c>
      <c r="B57" t="inlineStr">
        <is>
          <t>Product Manager, Fusion Data Management</t>
        </is>
      </c>
      <c r="C57" t="inlineStr">
        <is>
          <t>hackajob</t>
        </is>
      </c>
      <c r="D57" t="inlineStr">
        <is>
          <t>linkedin</t>
        </is>
      </c>
      <c r="E57">
        <f>HYPERLINK("https://www.linkedin.com/jobs/view/4345392588", "https://www.linkedin.com/jobs/view/4345392588")</f>
        <v/>
      </c>
      <c r="F57" t="inlineStr"/>
      <c r="G57" t="inlineStr">
        <is>
          <t>New York, NY</t>
        </is>
      </c>
      <c r="H57" t="inlineStr"/>
      <c r="I57" t="inlineStr">
        <is>
          <t>***hackajob** 
 is collaborating with
 **J.P. Morgan** 
 to connect them with exceptional tech professionals for this role.*
* Base Pay/SalaryNew York,NY $122,550\.00\-$201,000\.00
**Job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Fusion Data Management,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Manages all aspects the product development process, including but not limited to defining product requirements, overseeing implementation, ensuring product adoption, continuous product expansion and demonstrating advocacy for specific product and solutions across securities/asset services data.
* Contributes meaningfully to the analysis, design, quality control, and documentation for securities/asset services data.
* Serves as a key leader in production ideation, management, requirements gathering, vendor engagement and roadmap execution
* Documents and maintain clear product requirements that will act as a guide for business and technical teams to build, launch and market products
* Collaborates cross\-functionally with multiple lines of business (Sales, Client Solutions, Engineering, Product, Data Science)
* Serves as a trusted advisor for Sales and Client Solution teams to lean on and establish long\-term partnerships
* Identifies expansion opportunities through market research and customer interactions to develop strategies that align with business objectives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Demonstrate strong relationship and interpersonal skills, along with the ability to interact with senior business and technology executives
* Familiarity with technical concepts, data models and a strong passion for product development
* Organize, prioritize and escalate critical issues and required information to facilitate efficient decision making; establish priorities, and provide oversight and guidance to team of those priorities
* Ability to distill widely variant feedback into root cause issues and provide actionable feedback to other stakeholders
* Excellent business presentation, writing and verbal communication skills
* Proven expertise in leading strategic product initiatives
* Strong facilitation, process and influencing skills
* Functional knowledge of common programming languages (such as Python or R) and database languages (such as SQL)
**Preferred Qualifications, Capabilities, And Skills**
* Demonstrated prior experience working in a highly matrixed, complex organization
* Experience applying data analysis to solve business problems in fast\-moving environment
* Prior experience with data management offerings, focusing on Securities Services Data
* Understanding of needs and obligations specific to Asset Owners and Asset Managers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58">
      <c r="A58" t="inlineStr">
        <is>
          <t>li-4367972113</t>
        </is>
      </c>
      <c r="B58" t="inlineStr">
        <is>
          <t>Sr. Technical Product Manager (Remote)</t>
        </is>
      </c>
      <c r="C58" t="inlineStr">
        <is>
          <t>Lensa</t>
        </is>
      </c>
      <c r="D58" t="inlineStr">
        <is>
          <t>linkedin</t>
        </is>
      </c>
      <c r="E58">
        <f>HYPERLINK("https://www.linkedin.com/jobs/view/4367972113", "https://www.linkedin.com/jobs/view/4367972113")</f>
        <v/>
      </c>
      <c r="F58">
        <f>HYPERLINK("https://lensa.com/cgw/51b85aa4ed44402cb717d797d7836ec8tjo1?jpsi=directemployers&amp;publisher_preference=easier_apply&amp;utm_campaign=Operations%20Specialties%20Managers&amp;utm_medium=slot&amp;utm_source=linkedin&amp;utm_term=jse&amp;urlHash=3BvW", "https://lensa.com/cgw/51b85aa4ed44402cb717d797d7836ec8tjo1?jpsi=directemployers&amp;publisher_preference=easier_apply&amp;utm_campaign=Operations%20Specialties%20Managers&amp;utm_medium=slot&amp;utm_source=linkedin&amp;utm_term=jse&amp;urlHash=3BvW")</f>
        <v/>
      </c>
      <c r="G58" t="inlineStr">
        <is>
          <t>Richmond, VA</t>
        </is>
      </c>
      <c r="H58" t="inlineStr"/>
      <c r="I5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The Technical Product Manager is responsible for overseeing the full software development lifecycle for assigned products, in support of the VA Office of Connected Care.
 This position will a fully remote position located within the United States.
**Responsibilities**
* Manage the full software development process lifecycle for assigned product(s)
* Facilitate strategy and prioritization discussions
* Transform high\-level vision into detailed action plans
* Build and maintain the product roadmap, ensuring prioritization aligns with customer needs, technical feasibility and stakeholder input.
* Collaborate with engineering, design, data, QA and operations teams to ensure product quality and delivery.
* Lead and/or support sprint planning, backlog refinement, sprint review and retrospective sessions in partnership with the development team(s).
* Ensure continuous communication across cross\-functional teams to remove blockers, track progress, and maintain alignment.
* Partner with data teams to analyze product usage, optimize user experience, and define KPIs
* Use Scrum Master experience or knowledge to foster agile best practices, improve team velocity and drive execution discipline.
* Consult and coordinate with experts and cross\-disciplinary teams to conduct discovery and establish clear requirements that meet user needs
* Manage multiple projects, to include planning, risk management and mitigation, training and communication, regular status reporting, and associated documentation
* Lead and participate in dynamic meetings with cross\-functional teams, orchestrating discussions and ensuring clear objectives are met
* Conceptualize, analyze, and advise clients on solution options to achieve their objectives
* Work closely with strategic delivery partners, subcontractors, and vendors
* Coordinate efforts across numerous teams through frequent and effective communication
**Qualifications**
**Requ** 
**ired Skills and Experience**
* Bachelor's with 8\+ years (or commensurate experience)
* You have at least 7 years of experience applying product and/or or project management principles in a healthcare and/or technical environment.
* You’ll be responsible for managing a product, or a suite of products from requirements gathering through the testing and production release cycle.
* You have helped build products or complex feature sets from the ground up, organizing efforts to incrementally deliver on product direction and goals.
* You have excellent presentation skills to include building slide decks and effective communication with executive leadership.
* You are strong in Agile Project Management methodologies and procedures.
* You are proficient in use of Microsoft Excel, Microsoft PowerPoint, and Agile Tools such as Jira.
* You have a bachelor’s degree, and preferably also a master’s and/or applicable certifications (PMP, ITIL, SAFe Agile).
**Clearance Required:** 
 Ability to obtain and maintain a Suitability/Public Trust clearance
**Preferred Skills And Experience**
* You can articulate the difference between product and project management and provide concrete examples of both.
* You possess strong emotional intelligence, enabling you to tailor your communication style and convey technical concepts across interdisciplinary teams.
* Prior experience working with or delivering solutions on the Appian platform.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$150,000\.00 \- USD $160,000\.00 /Yr.
 Submit a referral to this job (https://careers\-govcio.icims.com/jobs/7096/sr.\-technical\-product\-manager\-%28remote%29/job?mode\=apply\&amp;apply\=yes\&amp;in\_iframe\=1\&amp;hashed\=\-1834385473\)
**Location** 
*US\-Remote*
**ID** 
*2025\-7096*
**Category** 
*Project/Program Management*
**Position Type** 
*Full\-Time*
 If you have questions about this posting, please contact support@lensa.com</t>
        </is>
      </c>
    </row>
    <row r="59">
      <c r="A59" t="inlineStr">
        <is>
          <t>li-4352980463</t>
        </is>
      </c>
      <c r="B59" t="inlineStr">
        <is>
          <t>Product Manager</t>
        </is>
      </c>
      <c r="C59" t="inlineStr">
        <is>
          <t>Jobot</t>
        </is>
      </c>
      <c r="D59" t="inlineStr">
        <is>
          <t>linkedin</t>
        </is>
      </c>
      <c r="E59">
        <f>HYPERLINK("https://www.linkedin.com/jobs/view/4352980463", "https://www.linkedin.com/jobs/view/4352980463")</f>
        <v/>
      </c>
      <c r="F59" t="inlineStr"/>
      <c r="G59" t="inlineStr">
        <is>
          <t>San Diego, CA</t>
        </is>
      </c>
      <c r="H59" t="inlineStr"/>
      <c r="I59" t="inlineStr">
        <is>
          <t>Want to learn more about this role and Jobot? Click our Jobot logo and follow our LinkedIn page!
 Job details
**Digital Marketing firm seeking a Product Manager to work on internal systems! Great pay, onsite team environment!**
 This Jobot Job is hosted by Marcus Curiel
 Are you a fit? Easy Apply now by clicking the "Easy Apply" button and sending us your resume.
 Salary $150,000 \- $170,000 per year
**A Bit About Us**
 We build systems and products that power growth \- for our clients and our internal teams.
 We’re looking for a Product Manager to help define, prioritize, and deliver high\-impact products and features across our organization. In this role, you’ll act as the voice of the user, partner closely with engineering and cross\-functional teams, and ensure product initiatives drive real business value.
 If you’re excited by ownership, collaboration, and building products that actually get used, this role is for you.
 What You’ll Be Doing
****Why join us?****
**Benefits**
 Multiple medical plan options through Anthem Blue Cross
 Dental \&amp; vision insurance (including orthodontia and annual exams)
 Pet benefit program with savings on vet care and products
 Paid vacation (accruing up to 120\+ hours/year with rollover and cap)
 Paid holidays annually
 Coverage for spouses/domestic partners and dependents under 26
 Benefits begin on the first of the month after your hire date
**Job Details**
 Role Product Owner
 Location San Diego, CA 92101 (Onsite at Symphony Towers)
 What you will be doing?
 Own and manage the product backlog, including defining, prioritizing, and refining user stories and acceptance criteria
 Serve as the primary bridge between business stakeholders and engineering teams to ensure clarity and alignment
 Translate high\-level business goals into detailed, actionable product requirements
 Partner with engineers, designers, analysts, and operations teams to shape product features and improvements
 Drive the full product lifecycle — from ideation through launch and iteration
 Analyze user feedback, trends, and internal metrics to inform product decisions
 Define KPIs and track product performance using quantitative and qualitative insights
 Facilitate sprint planning, backlog grooming, and participate in Agile/Scrum ceremonies
 Communicate product vision, roadmap, and progress to leadership and cross\-functional partners
 Identify opportunities to improve customer experience, operational efficiency, and scalability
 Advocate for users in prioritization and decision\-making
 Ensure product initiatives remain aligned with company strategy and goals
 Skills you should have
 Bachelor’s degree in Business, Computer Science, Engineering, or a related field — or equivalent professional experience
 3–7\+ years of experience in product management, product ownership, or related roles
 Strong working knowledge of Agile and Scrum methodologies
 Proven experience owning backlogs and executing against product roadmaps
 Excellent written and verbal communication skills across technical and non\-technical audiences
 Strong analytical mindset with experience using data to guide decisions (SQL, analytics platforms, A/B testing, etc.)
 Ability to balance strategic thinking with hands\-on execution and attention to detail
 Exceptional organization and project management skills; comfortable juggling multiple initiatives
 Experience working cross\-functionally with engineering, design, marketing, operations, and client\-facing teams
 Familiarity with tools like Jira, Confluence, Trello, or similar platforms
 Customer\-first mindset with a passion for solving real problems
 Experience in eCommerce, SaaS, or technology\-driven products
 Exposure to data visualization or analytics products
 Basic technical literacy in modern web applications and APIs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60">
      <c r="A60" t="inlineStr">
        <is>
          <t>li-4360632801</t>
        </is>
      </c>
      <c r="B60" t="inlineStr">
        <is>
          <t>Product Manager II, Partner Identity</t>
        </is>
      </c>
      <c r="C60" t="inlineStr">
        <is>
          <t>Uber</t>
        </is>
      </c>
      <c r="D60" t="inlineStr">
        <is>
          <t>linkedin</t>
        </is>
      </c>
      <c r="E60">
        <f>HYPERLINK("https://www.linkedin.com/jobs/view/4360632801", "https://www.linkedin.com/jobs/view/4360632801")</f>
        <v/>
      </c>
      <c r="F60">
        <f>HYPERLINK("https://tnl2.jometer.com/v2/job?jz=5wqzs421704b3da02362da8652080131c66bcLUALBBQAAADQ&amp;iis=Job%20Board%20-%20Recruitment%20Marketing&amp;iisn=LinkedIn&amp;urlHash=FyiT", "https://tnl2.jometer.com/v2/job?jz=5wqzs421704b3da02362da8652080131c66bcLUALBBQAAADQ&amp;iis=Job%20Board%20-%20Recruitment%20Marketing&amp;iisn=LinkedIn&amp;urlHash=FyiT")</f>
        <v/>
      </c>
      <c r="G60" t="inlineStr">
        <is>
          <t>San Francisco, CA</t>
        </is>
      </c>
      <c r="H60" t="inlineStr"/>
      <c r="I60" t="inlineStr">
        <is>
          <t>**About The Role**
 Uber actively partners with third parties to enhance the user experience. The Partner Identity team enables these experiences by connecting an Uber identity and a 3rd party identity in a seamless and secure way. We help enable embedded Uber experiences on a third party, loyalty program integrations, M\&amp;A integrations, social signup \&amp; login and other use cases.
 From a user perspective, we will make interaction with third parties as seamless as possible, giving them more value simply by being an Uber user. From an Uber perspective, we will drastically reduce our time to market with third parties from weeks to hours, enabling more third party engagements, creating a flywheel that will drive user engagement higher and higher.
* Note this role will require working from our San Francisco headquarters.
**What The Candidate Will Do**
* Create platform features to enable seamless and secure linking of a third party identity and Uber
* Manage complex stakeholder groups across multiple products and geographies
* Built superb documentation \+ easy to use products that any team at Uber can use
**Basic Qualifications**
* 3\+ years of experience as a technical product manager working on consumer facing products
* Bachelors degree in Computer Science or similar
* Experience working with cross functional and external stakeholders
* Aptitude and excitement to constantly learn about new partnerships / products within Uber
**Preferred Qualifications**
* Experience with Identity domain
* Experience with consumer growth and A/B testing
* Technical background
 For San Francisco, CA\-based roles: The base salary range for this role is USD$161,000 per year \- USD$179,000 per year. You will be eligible to participate in Uber's bonus program, and may be offered an equity award \&amp; other types of comp. You will also be eligible for various benefits. More details can be found at the following link https://www.uber.com/careers/benefits.</t>
        </is>
      </c>
    </row>
    <row r="61">
      <c r="A61" t="inlineStr">
        <is>
          <t>li-4367941805</t>
        </is>
      </c>
      <c r="B61" t="inlineStr">
        <is>
          <t>Senior Product Manager, Trading Card Games (TCG)</t>
        </is>
      </c>
      <c r="C61" t="inlineStr">
        <is>
          <t>GamblingCareers.com</t>
        </is>
      </c>
      <c r="D61" t="inlineStr">
        <is>
          <t>linkedin</t>
        </is>
      </c>
      <c r="E61">
        <f>HYPERLINK("https://www.linkedin.com/jobs/view/4367941805", "https://www.linkedin.com/jobs/view/4367941805")</f>
        <v/>
      </c>
      <c r="F61">
        <f>HYPERLINK("https://www.gamblingcareers.com/job/142927/senior-product-manager-trading-card-games-tcg/&amp;urlHash=J_Pi", "https://www.gamblingcareers.com/job/142927/senior-product-manager-trading-card-games-tcg/&amp;urlHash=J_Pi")</f>
        <v/>
      </c>
      <c r="G61" t="inlineStr">
        <is>
          <t>Seattle, WA</t>
        </is>
      </c>
      <c r="H61" t="inlineStr"/>
      <c r="I61" t="inlineStr">
        <is>
          <t>**About The Team**
 Fanatics TCG is a new trading card game business, the newest member of the Fanatics Collectibles family. We are here to build the best TCG studio and games in the world.
 If you have passion, and skill, and if you believe trading card games represent the very best of what games have to offer, please reach out to us.
**Role Summary**
 The Senior Product Manager owns major product initiatives or systems within the trading card game ecosystem, driving strategy and execution across physical products, digital experiences, or live gameplay features.
**Responsibilities**
* Own product strategy, requirements, and roadmaps for key TCG initiatives
* Partner closely with Design, Art, Engineering, and Operations teams
* Lead discovery, planning, and delivery for complex cross\-functional work
* Balance fan experience, business goals, and operational constraints
* Use data, insights, and feedback to inform iteration and prioritization
**Qualifications \&amp; Experience**
* Minimum 6 years of product management experience
* Experience owning and shipping complex consumer\-facing products
* Strong understanding of product discovery and delivery best practices
* Experience working on live products or platforms preferred
**Skills \&amp; Abilities**
* Strong strategic thinking and execution skills
* Excellent written and verbal communication
* Ability to lead through influence across disciplines
* Comfort managing multiple priorities and timelines
**Location \&amp; Compensation**
 Achieving our goals requires strong collaboration and partnership between our teams and internal stakeholders. To best support this, the person who accepts this role is expected to be onsite in\-office five days per week.
 The salary range for this position is $110,000 \- $138,000, which represents base pay only and does not include short\-term or long\-term incentive compensation.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t>
        </is>
      </c>
    </row>
    <row r="62">
      <c r="A62" t="inlineStr">
        <is>
          <t>li-4367966246</t>
        </is>
      </c>
      <c r="B62" t="inlineStr">
        <is>
          <t>Principal Product Manager Tech - Devices, Fire TV Devices</t>
        </is>
      </c>
      <c r="C62" t="inlineStr">
        <is>
          <t>Lensa</t>
        </is>
      </c>
      <c r="D62" t="inlineStr">
        <is>
          <t>linkedin</t>
        </is>
      </c>
      <c r="E62">
        <f>HYPERLINK("https://www.linkedin.com/jobs/view/4367966246", "https://www.linkedin.com/jobs/view/4367966246")</f>
        <v/>
      </c>
      <c r="F62">
        <f>HYPERLINK("https://lensa.com/cgw/7ca04b15d7554b288a6dacfddc37f354tjo1?jpsi=directemployers&amp;publisher_preference=easier_apply&amp;utm_campaign=Advertising%2C%20Marketing%2C%20Promotions%2C%20Public%20Relations%2C%20and%20Sales%20Managers&amp;utm_medium=slot&amp;utm_source=linkedin&amp;utm_term=jse&amp;urlHash=_XZ0", "https://lensa.com/cgw/7ca04b15d7554b288a6dacfddc37f354tjo1?jpsi=directemployers&amp;publisher_preference=easier_apply&amp;utm_campaign=Advertising%2C%20Marketing%2C%20Promotions%2C%20Public%20Relations%2C%20and%20Sales%20Managers&amp;utm_medium=slot&amp;utm_source=linkedin&amp;utm_term=jse&amp;urlHash=_XZ0")</f>
        <v/>
      </c>
      <c r="G62" t="inlineStr">
        <is>
          <t>Seattle, WA</t>
        </is>
      </c>
      <c r="H62" t="inlineStr"/>
      <c r="I6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63">
      <c r="A63" t="inlineStr">
        <is>
          <t>li-4354047854</t>
        </is>
      </c>
      <c r="B63" t="inlineStr">
        <is>
          <t>Product Manager (SaaS Cybersecurity)</t>
        </is>
      </c>
      <c r="C63" t="inlineStr">
        <is>
          <t>Jobot</t>
        </is>
      </c>
      <c r="D63" t="inlineStr">
        <is>
          <t>linkedin</t>
        </is>
      </c>
      <c r="E63">
        <f>HYPERLINK("https://www.linkedin.com/jobs/view/4354047854", "https://www.linkedin.com/jobs/view/4354047854")</f>
        <v/>
      </c>
      <c r="F63" t="inlineStr"/>
      <c r="G63" t="inlineStr">
        <is>
          <t>Eagle Mountain, UT</t>
        </is>
      </c>
      <c r="H63" t="inlineStr"/>
      <c r="I63" t="inlineStr">
        <is>
          <t>Want to learn more about this role and Jobot? Click our Jobot logo and follow our LinkedIn page!
 Job details
**SaaS startup in GRC**
 This Jobot Job is hosted by Mallory Schreiner
 Are you a fit? Easy Apply now by clicking the "Easy Apply" button and sending us your resume.
 Salary $90,000 \- $115,000 per year
**A Bit About Us**
 SaaS startup in GRC
****Why join us?****
 Competitive salary with equity options
 100% employer\-paid medical, dental, and vision
 At least 20 days of PTO
 Fully paid parental leave
 Flexible work schedule and hybrid work structure
 Ongoing training and professional development support
 Collaborative, growth\-oriented company culture
**Job Details**
 A fast\-growing SaaS company focused on cybersecurity and compliance solutions is looking to hire a customer\-focused Product Manager. This role is ideal for someone with a background in Governance, Risk, and Compliance (GRC) or cybersecurity who wants to grow their product career in a highly collaborative, user\-led development environment.
 You’ll work closely with engineering and UX design teams to explore user needs, define product direction, and continuously evolve the platform. Even if you don’t come from a traditional product background, if you’re a strategic thinker with domain knowledge and a drive to learn, you’ll be supported every step of the way.
 What You'll Be Doing
 Drive continuous discovery to uncover user needs and pain points in the security and compliance space.
 Partner within a cross\-functional trio (UX, Eng, PM) to define solutions, run experiments, and validate concepts.
 Translate business goals into actionable product initiatives that deliver measurable impact.
 Use data and feedback to prioritize work, inform product strategy, and evaluate success.
 Create strong feedback loops with both customers and internal teams to ensure alignment.
 Champion a culture of experimentation and rapid learning grounded in lean product principles.
 Act as the advocate for the user, ensuring their needs shape development priorities.
 What You’ll Bring
 Background in cybersecurity, compliance, or GRC\-related fields.
 Interest or experience in product management, continuous discovery, and agile methodologies.
 Analytical mindset with a bias toward evidence\-based decision\-making.
 Ability to work across teams and communicate effectively with technical and non\-technical stakeholders.
 Exposure to or interest in lean product frameworks, rapid prototyping, and outcome\-driven development.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64">
      <c r="A64" t="inlineStr">
        <is>
          <t>li-4356471650</t>
        </is>
      </c>
      <c r="B64" t="inlineStr">
        <is>
          <t>Partnerships Product Manager</t>
        </is>
      </c>
      <c r="C64" t="inlineStr">
        <is>
          <t>Jobot</t>
        </is>
      </c>
      <c r="D64" t="inlineStr">
        <is>
          <t>linkedin</t>
        </is>
      </c>
      <c r="E64">
        <f>HYPERLINK("https://www.linkedin.com/jobs/view/4356471650", "https://www.linkedin.com/jobs/view/4356471650")</f>
        <v/>
      </c>
      <c r="F64" t="inlineStr"/>
      <c r="G64" t="inlineStr">
        <is>
          <t>Denver, CO</t>
        </is>
      </c>
      <c r="H64" t="inlineStr"/>
      <c r="I64" t="inlineStr">
        <is>
          <t>Want to learn more about this role and Jobot? Click our Jobot logo and follow our LinkedIn page!
 Job details
**We recognize, reward, and develop those individuals who make an outsized impact**
 This Jobot Job is hosted by Tarik Grant
 Are you a fit? Easy Apply now by clicking the "Easy Apply" button and sending us your resume.
 Salary $100,000 \- $130,000 per year
**A Bit About Us**
 We are a full\-service, premier commercial bank serving businesses and their principals in Colorado and Utah. We provide loans, deposits, cash management, and self\-directed retirement banking solutions. Our Strategic Partnerships team focuses on developing and maintaining long\-term, high\-value partner relationships, delivering innovative financial services while integrating technology solutions that scale efficiently.
****Why join us?****
 As a Partnerships Product Manager, you will shape the future of our Bank’s self\-directed technology offerings, leading product strategy, partner integrations, and enhancements that directly impact growth. This role is perfect for a results\-driven professional who thrives in fast\-paced, collaborative environments and enjoys building client\-centric solutions that improve partner experience and drive measurable business impact.
 You’ll work across technology, compliance, operations, and marketing teams, executing strategic initiatives and influencing product roadmaps. If you enjoy blending product vision with execution, and delivering tangible outcomes for both partners and internal stakeholders, this role is an excellent fit.
**Job Details**
 As a Partnerships Product Manager, you will
 Translate partner agreements into actionable product plans and drive successful launches.
 Productize integration layers via reusable components, dashboards, and configuration tools to accelerate onboarding.
 Review opportunities for growth within existing partnerships.
 Conduct cross\-functional execution and launch plans, collaborating with internal teams and vendors.
 Monitor and optimize partner performance using data\-driven insights (Cognos, Tableau).
 Enhance the self\-directed provider onboarding process and troubleshoot product issues.
 Implement performance tracking and maintain quality, reliability, and scalability standards.
**Requirements**
 7\+ years in product management (financial services, fintech, BaaS, platform, or embedded services)
 Proven record of delivering measurable product growth
 Go\-to\-market strategy knowledge and cross\-functional execution experience
 Excellent relationship\-building, negotiation, and communication skills
 Bachelor’s degree preferred
 Startup or scale\-up experience is a plus
 Work Environment Hybrid role, based in our office 4–5 days per week.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65">
      <c r="A65" t="inlineStr">
        <is>
          <t>li-4352451028</t>
        </is>
      </c>
      <c r="B65" t="inlineStr">
        <is>
          <t>Data Product Manager - (AI - Data Platforms)</t>
        </is>
      </c>
      <c r="C65" t="inlineStr">
        <is>
          <t>Jobot</t>
        </is>
      </c>
      <c r="D65" t="inlineStr">
        <is>
          <t>linkedin</t>
        </is>
      </c>
      <c r="E65">
        <f>HYPERLINK("https://www.linkedin.com/jobs/view/4352451028", "https://www.linkedin.com/jobs/view/4352451028")</f>
        <v/>
      </c>
      <c r="F65" t="inlineStr"/>
      <c r="G65" t="inlineStr">
        <is>
          <t>Philadelphia, PA</t>
        </is>
      </c>
      <c r="H65" t="inlineStr"/>
      <c r="I65" t="inlineStr">
        <is>
          <t>Want to learn more about this role and Jobot? Click our Jobot logo and follow our LinkedIn page!
 Job details
**Drive data products that turn cloud platforms into measurable business outcomes**
 This Jobot Job is hosted by Robert Donohue
 Are you a fit? Easy Apply now by clicking the "Easy Apply" button and sending us your resume.
 Salary $175,000 \- $215,000 per year
**A Bit About Us**
 We’re a global leader in data and AI/ML services and one of the fastest\-growing companies in the modern data stack space. We partner with top cloud platforms like Snowflake, AWS, Azure, GCP,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$175,000 – $215,000 base salary (depending on experience) \+ Bonus
* Remote\-First Work from anywhere in the US with occasional customer\-site travel nationwide
* Massive Growth Be part of a company growing 40% YOY, creating career advancement opportunities
* Cutting\-Edge Tech Build enterprise\-scale solutions leveraging Snowflake, Databricks, AWS, GCP,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The Data Product Manager is the senior owner of client data and AI solutions, responsible for aligning business goals with modern data platforms and products.
 What You’ll Do
* Own solution vision and roadmap for client data and AI platforms and products.
* Serve as the primary advisor to executive stakeholders, defining objectives, KPIs, and success metrics tied to business value and ROI.
* Translate business requirements into technical direction in partnership with architects, engineers, analysts, and change leaders.
* Lead planning and execution using agile practices across multiple initiatives, managing scope, risk, dependencies, and timelines.
* Establish and track KPIs across business, product, customer, and delivery teams.
* Drive solution quality, adoption, testing, validation, and iteration, connecting solution updates to organizational change needs.
* Support business development by contributing to proposals and participating in client presentations.
* Monitor industry trends in data, analytics, and AI and share insights with internal teams and clients.
 What You’ll Bring
* Experience in product management roles focused on data, analytics, or AI platforms.
* Consulting experience managing multiple stakeholders and priorities.
* Working knowledge of cloud data platforms, data modeling, analytics, AI/ML use cases, and data governance concepts.
* Experience leading cross\-functional technical and non\-technical teams in an agile environment.
* Ability to work directly with executive stakeholders and translate business needs into technical solutions.
* Understanding of product development life cycles, backlog management, and KPI\-driven delivery.
* Experience supporting digital, data, or AI transformation programs.
* Proficiency with project and product management tools.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66">
      <c r="A66" t="inlineStr">
        <is>
          <t>li-4357063269</t>
        </is>
      </c>
      <c r="B66" t="inlineStr">
        <is>
          <t>Senior Product Manager – AI &amp; Agentic Solutions, Oracle Cloud ERP Financials</t>
        </is>
      </c>
      <c r="C66" t="inlineStr">
        <is>
          <t>Oracle</t>
        </is>
      </c>
      <c r="D66" t="inlineStr">
        <is>
          <t>linkedin</t>
        </is>
      </c>
      <c r="E66">
        <f>HYPERLINK("https://www.linkedin.com/jobs/view/4357063269", "https://www.linkedin.com/jobs/view/4357063269")</f>
        <v/>
      </c>
      <c r="F66" t="inlineStr"/>
      <c r="G66" t="inlineStr">
        <is>
          <t>Redwood City, CA</t>
        </is>
      </c>
      <c r="H66" t="inlineStr"/>
      <c r="I66" t="inlineStr">
        <is>
          <t>**Job Description**
 At Oracle, we’re redefining how the world does business by delivering cutting\-edge cloud, infrastructure, and data solutions. Driven by a passion for innovation and a commitment to pushing technological boundaries, we believe that AI\-powered cloud computing accelerates how businesses discover and capitalize on new opportunities. Global leaders across industries rely on Oracle to gain a competitive edge.
 Our Oracle ERP Cloud Product Management team is seeking a high\-energy, creative Senior Product Manager to shape the future of Financials applications. If you’re passionate about leveraging AI—generative, predictive, and agentic—to solve real business problems and drive next\-generation ERP solutions, we want to hear from you.
**About the Role:**
 As a Senior Product Manager, you'll be at the forefront of designing AI\-powered solutions that transform customer financial operations. You’ll drive innovation by automating complex tasks, streamlining workflows, and delivering actionable insights. Your work will reduce manual effort, improve accuracy, and empower proactive decision\-making for Oracle Cloud ERP customers. You must be willing to work from the office in Redwood Shores, CA.
**Why Oracle?**
 Join a diverse team of experts—ranging from patent holders to recent graduates—in a fast\-paced, collaborative, and intellectually stimulating environment. You’ll have opportunities to learn, grow, and make a direct impact on Oracle’s industry\-leading ERP Cloud solutions.
 Help us drive the next wave of intelligent business transformation. Apply today to shape the future of finance with Oracle Cloud and AI.
**Responsibilities**
 As a member of the product development division, you will define product specifications and or strategy. Gather and analyze information to define product specifications and review design specifications. Communicate product strategy and functionality. Initiate and foster relationships with other groups. Review product documentation and collateral. Ensure successful product releases based on corporate priorities. Responsibilities include:
* Challenge the status quo and champion innovation in cloud financial solutions.
* Translate customer requirements into a strategic product vision and drive it throughout the development lifecycle.
* Employ design thinking to create ideal user experiences, developing user personas and understanding core business motivations.
* Collaborate cross\-functionally—especially with development and technology teams—to shape and define AI\-driven features and ensure seamless implementation.
* Continuously incorporate customer feedback to iterate and evolve solutions.
* Analyze usage data to guide decisions and maximize customer value.
* Guide customers on their journey to adopt agentic solutions.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$74,700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7">
      <c r="A67" t="inlineStr">
        <is>
          <t>li-4367973392</t>
        </is>
      </c>
      <c r="B67" t="inlineStr">
        <is>
          <t>Product Manager, Bioproduction Analytics &amp; AI Intiaitives (Maryland)</t>
        </is>
      </c>
      <c r="C67" t="inlineStr">
        <is>
          <t>Thermo Fisher Scientific</t>
        </is>
      </c>
      <c r="D67" t="inlineStr">
        <is>
          <t>linkedin</t>
        </is>
      </c>
      <c r="E67">
        <f>HYPERLINK("https://www.linkedin.com/jobs/view/4367973392", "https://www.linkedin.com/jobs/view/4367973392")</f>
        <v/>
      </c>
      <c r="F67" t="inlineStr"/>
      <c r="G67" t="inlineStr">
        <is>
          <t>Buffalo, NY</t>
        </is>
      </c>
      <c r="H67" t="inlineStr"/>
      <c r="I67" t="inlineStr">
        <is>
          <t>**Work Schedule**
 Standard (Mon\-Fri)
**Environmental Conditions**
 Office
**Job Description**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Thermo Fisher Scientific is an EEO/Affirmative Action Employer and does not discriminate on the basis of race, color, religion, sex, sexual orientation, gender identity, national origin, protected veteran status, disability or any other legally protected status.</t>
        </is>
      </c>
    </row>
    <row r="68">
      <c r="A68" t="inlineStr">
        <is>
          <t>li-4365916648</t>
        </is>
      </c>
      <c r="B68" t="inlineStr">
        <is>
          <t>MarTech Product Manager – Insurance (Financial Services)</t>
        </is>
      </c>
      <c r="C68" t="inlineStr">
        <is>
          <t>Capgemini</t>
        </is>
      </c>
      <c r="D68" t="inlineStr">
        <is>
          <t>linkedin</t>
        </is>
      </c>
      <c r="E68">
        <f>HYPERLINK("https://www.linkedin.com/jobs/view/4365916648", "https://www.linkedin.com/jobs/view/4365916648")</f>
        <v/>
      </c>
      <c r="F68">
        <f>HYPERLINK("https://careers.capgemini.com/job-invite/392689/&amp;urlHash=uWBJ", "https://careers.capgemini.com/job-invite/392689/&amp;urlHash=uWBJ")</f>
        <v/>
      </c>
      <c r="G68" t="inlineStr">
        <is>
          <t>New York, NY</t>
        </is>
      </c>
      <c r="H68" t="inlineStr"/>
      <c r="I68" t="inlineStr">
        <is>
          <t>**Role Overview** 
 We are seeking an experienced
 **MarTech Product Manager** 
 to lead the strategy, roadmap, and delivery of marketing technology platforms within the
 **Insurance domain** 
 . This role will own the end‑to‑end product lifecycle for MarTech capabilities that drive customer acquisition, engagement, and retention while operating within a highly regulated financial services environment.
 You will partner closely with Marketing, Technology, Data, and Business stakeholders to modernize digital marketing capabilities and deliver measurable business impact.
**Key Responsibilities** 
* Define and execute the
 **MarTech product roadmap** 
 , aligning business goals, customer journeys, and platform capabilities
* Own the
 **end‑to‑end product lifecycle** 
 from discovery and prioritization through delivery, adoption, and optimization
* Partner with marketing, CRM, data, and engineering teams to deliver integrated MarTech solutions
* Lead integration and optimization of platforms such as
 **CRM, marketing automation, analytics, CDP, and personalization tools**
* Translate business and marketing requirements into
 **clear product requirements and technical user stories**
* Analyze customer data, campaign performance, and market trends to identify opportunities for growth and experience improvement
* Ensure solutions meet
 **insurance regulatory, compliance, and data privacy requirements**
* Define KPIs, track product performance, and continuously optimize based on ROI and customer impact
**Required Skills \&amp; Experience** 
* 5\+ years of experience in
 **Product Management** 
 , with a focus on
 **MarTech or digital marketing platforms**
* Strong knowledge of the
 **Insurance or Financial Services** 
 domain
* Hands‑on experience with MarTech platforms such as
 **Salesforce, Adobe Experience Cloud, Marketo, HubSpot, Dynamics 365, or similar**
* Experience working with
 **CRM, campaign management, analytics, and personalization technologies**
* Ability to bridge business, marketing, and technology teams with clear communication and leadership
* Experience operating in
 **Agile / Scrum** 
 product delivery environments
* Strong analytical mindset with experience defining and measuring product KPIs
**Nice to Have** 
* Experience with
 **CDP, data integration, or customer analytics platforms**
* Exposure to
 **agent\-based or omnichannel insurance models**
* Prior experience driving digital transformation initiatives
**About Capgemini:** 
 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
 Make it real \| www.capgemini.com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t>
        </is>
      </c>
    </row>
    <row r="69">
      <c r="A69" t="inlineStr">
        <is>
          <t>li-4367956992</t>
        </is>
      </c>
      <c r="B69" t="inlineStr">
        <is>
          <t>Product Manager, Bioproduction Analytics &amp; AI Intiaitives (Maryland)</t>
        </is>
      </c>
      <c r="C69" t="inlineStr">
        <is>
          <t>Thermo Fisher Scientific</t>
        </is>
      </c>
      <c r="D69" t="inlineStr">
        <is>
          <t>linkedin</t>
        </is>
      </c>
      <c r="E69">
        <f>HYPERLINK("https://www.linkedin.com/jobs/view/4367956992", "https://www.linkedin.com/jobs/view/4367956992")</f>
        <v/>
      </c>
      <c r="F69" t="inlineStr"/>
      <c r="G69" t="inlineStr">
        <is>
          <t>Mount Airy, MD</t>
        </is>
      </c>
      <c r="H69" t="inlineStr"/>
      <c r="I69" t="inlineStr">
        <is>
          <t>**Work Schedule**
 Standard (Mon\-Fri)
**Environmental Conditions**
 Office
**Job Description**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Thermo Fisher Scientific is an EEO/Affirmative Action Employer and does not discriminate on the basis of race, color, religion, sex, sexual orientation, gender identity, national origin, protected veteran status, disability or any other legally protected status.</t>
        </is>
      </c>
    </row>
    <row r="70">
      <c r="A70" t="inlineStr">
        <is>
          <t>li-4367975326</t>
        </is>
      </c>
      <c r="B70" t="inlineStr">
        <is>
          <t>Product Manager, Bioproduction Analytics &amp; AI Intiaitives (Maryland)</t>
        </is>
      </c>
      <c r="C70" t="inlineStr">
        <is>
          <t>Thermo Fisher Scientific</t>
        </is>
      </c>
      <c r="D70" t="inlineStr">
        <is>
          <t>linkedin</t>
        </is>
      </c>
      <c r="E70">
        <f>HYPERLINK("https://www.linkedin.com/jobs/view/4367975326", "https://www.linkedin.com/jobs/view/4367975326")</f>
        <v/>
      </c>
      <c r="F70" t="inlineStr"/>
      <c r="G70" t="inlineStr">
        <is>
          <t>Baltimore, MD</t>
        </is>
      </c>
      <c r="H70" t="inlineStr"/>
      <c r="I70" t="inlineStr">
        <is>
          <t>**Work Schedule**
 Standard (Mon\-Fri)
**Environmental Conditions**
 Office
**Job Description**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Thermo Fisher Scientific is an EEO/Affirmative Action Employer and does not discriminate on the basis of race, color, religion, sex, sexual orientation, gender identity, national origin, protected veteran status, disability or any other legally protected status.</t>
        </is>
      </c>
    </row>
    <row r="71">
      <c r="A71" t="inlineStr">
        <is>
          <t>li-4367968427</t>
        </is>
      </c>
      <c r="B71" t="inlineStr">
        <is>
          <t>Product Manager, Bioproduction Analytics &amp; AI Intiaitives (Maryland)</t>
        </is>
      </c>
      <c r="C71" t="inlineStr">
        <is>
          <t>Thermo Fisher Scientific</t>
        </is>
      </c>
      <c r="D71" t="inlineStr">
        <is>
          <t>linkedin</t>
        </is>
      </c>
      <c r="E71">
        <f>HYPERLINK("https://www.linkedin.com/jobs/view/4367968427", "https://www.linkedin.com/jobs/view/4367968427")</f>
        <v/>
      </c>
      <c r="F71">
        <f>HYPERLINK("https://www.businessworkforce.com/job.asp?id=3145822310&amp;aff=52EFF1C4-FB9D-4BBB-9F72-E231CF9CFD29&amp;urlHash=R5Bc", "https://www.businessworkforce.com/job.asp?id=3145822310&amp;aff=52EFF1C4-FB9D-4BBB-9F72-E231CF9CFD29&amp;urlHash=R5Bc")</f>
        <v/>
      </c>
      <c r="G71" t="inlineStr">
        <is>
          <t>Hunt Valley, MD</t>
        </is>
      </c>
      <c r="H71" t="inlineStr"/>
      <c r="I71" t="inlineStr">
        <is>
          <t>**Work Schedule**
 Standard (Mon\-Fri)
**Environmental Conditions**
 Office
**Job Description**
 We are seeking a highly motivated and experienced Product Manager to lead the strategy, development, and commercialization of our Bioproduction Analytical Services portfolio. This is a global role at the intersection of biotechnology, analytical chemistry, data analytics, and artificial intelligence, with direct impact on customer success, innovation, and business growth.
 The ideal candidate brings deep scientific expertise, strong product leadership, and a passion for translating complex customer challenges into differentiated analytical and AI\-enabled solutions. This role is critical to shaping the future of bioproduction analytics and delivering exceptional customer experiences in the rapidly evolving biologics landscape.
**Location:**
 This is an onsite position in Hunt Valley, MD or Grand Island, NY. Residency within commuting distance of either locations required. No relocation assistance provided.
**Key Responsibilities**
 Product Strategy \&amp; Portfolio Leadership
* Own and manage the global bioproduction analytical services portfolio, including media analytics, protein analytics, stability studies and investigative analytics
* Develop and execute comprehensive product strategies encompassing:
* Market and customer needs assessment
* Competitive and pricing analysis
* Service positioning and lifecycle management
* Identify future service requirements and growth opportunities aligned with biologics and advanced therapies trends.
* Collaborate closely with R\&amp;D, technical teams, marketing, sales, and manufacturing to ensure seamless service development, launch, and execution.
* Lead and facilitate Voice of Customer (VOC) activities to enable data\-driven decisions across the portfolio.
* Maintain close relationships with field organizations (sales, technical support) through training and active participation in the sales and support process
* Stay current on industry trends, emerging technologies and regulatory requirements impacting analytical services. Apply insights to proactively evolve the service portfolio.
**Innovation, AI \&amp; Advanced Analytics**
* Lead initiatives to integrate AI and data\-driven solutions into analytical services and media development workflows
* Drive innovation through internal development and external partnerships or collaborations.
* Translate emerging technologies into scalable, customer\-ready offerings.
 Hands\-On Scientific Contribution
* Contribute directly to hands\-on analytical chemistry work, as needed, including (but not limited to) raw materials analysis.
* Serve as a technical thought partner to laboratory and scientific teams.
**Business \&amp; Financial Ownership**
* Deliver against annual revenue, growth, and profitability commitments for bioproduction analytical services.
* Partner with commercial teams to position and present analytical service offerings to customers, driving market adoption and top\-line growth.
* Act as the product champion, clearly articulating value propositions internally and externally.
* Collaborate closely with R\&amp;D, technical teams, marketing, sales, and manufacturing to ensure seamless service development, launch, and execution.
**Qualifications \&amp; Experience**
 Required Qualifications
* Bachelor's degree in Biotechnology, Biochemistry, Analytical Chemistry, Chemical Engineering, or a related scientific discipline.
* 5\+ years of experience in product management, scientific services, analytical development, or a related role
* Strong technical background in bioproduction analytics, such as media analytics, protein characterization, stability studies, or investigative analytics.
* Demonstrated ability to develop and execute product or service strategies, including market assessment, positioning, pricing, and lifecycle management.
* Proven experience working cross\-functionally with R\&amp;D, laboratory teams, marketing, sales, and commercial organizations.
* Strong customer\-facing experience, including customer engagements, presentations, and VOC activities.
* Ability to translate complex scientific concepts into clear value propositions for diverse audiences.
* Strong business acumen with experience supporting revenue growth, financial targets, and profitability.
* Excellent communication, leadership, and stakeholder management skills.
**Preferred Qualifications**
* Advanced degree (MS or PhD) in Analytical Chemistry, Biochemistry, or a related field.
* Hands\-on experience in an analytical chemistry laboratory, particularly within bioproduction or biologics development.
* Experience integrating or deploying data analytics, digital solutions, or AI/ML technologies within scientific or laboratory workflows.
* Familiarity with bioprocess development, biologics manufacturing, and upstream/downstream workflows.
* Experience working in a global, matrixed organization and supporting international markets.
**Compensation And Benefits**
 The salary range estimated for this position based in Maryland is $114,000\.00\-$151,000\.00\.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Thermo Fisher Scientific is an EEO/Affirmative Action Employer and does not discriminate on the basis of race, color, religion, sex, sexual orientation, gender identity, national origin, protected veteran status, disability or any other legally protected status.</t>
        </is>
      </c>
    </row>
    <row r="72">
      <c r="A72" t="inlineStr">
        <is>
          <t>li-4367595925</t>
        </is>
      </c>
      <c r="B72" t="inlineStr">
        <is>
          <t>Software Engineering Program Manager - Apple Vision Pro</t>
        </is>
      </c>
      <c r="C72" t="inlineStr">
        <is>
          <t>Apple</t>
        </is>
      </c>
      <c r="D72" t="inlineStr">
        <is>
          <t>linkedin</t>
        </is>
      </c>
      <c r="E72">
        <f>HYPERLINK("https://www.linkedin.com/jobs/view/4367595925", "https://www.linkedin.com/jobs/view/4367595925")</f>
        <v/>
      </c>
      <c r="F72" t="inlineStr"/>
      <c r="G72" t="inlineStr">
        <is>
          <t>Culver City, CA</t>
        </is>
      </c>
      <c r="H72" t="inlineStr"/>
      <c r="I72"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The Vision Products Group (VPG) is looking for a a software engineering project manager (EPM) to help us push the limits of the next generation of interactive experiences on our platforms. This team is working with some of Apple’s most advanced technologies including spatial computing, augmented reality (AR), and 3D rendering and simulation. As a member of our organization you will lead teams crafting features and products which will delight, inspire and empower millions of people.
**Description**
 This is a hands\-on position where you will be involved in the product development lifecycle from concept to delivery in a rapidly changing industry. An ideal candidate for this role has experience with and understanding of interactive content production, AR application or game development. They must also be good at establishing and communicating clear directions, setting primary and stretch objectives, reporting in a well\-planned and organized manner and driving all aspects of the program while constantly looking for ways to improve upon and learn from experience.
**Responsibilities**
* Drive all aspects of large, cross\-functional programs for the development of visionOS applications and interactive content.
* Collaborate with cross\-functional teams to define project scope, goals, and deliverables.
* Manage daily execution of engineering and design tasks, keeping the development team informed about the priorities, components, scope, and goals of the visionOS program
* Advocate on behalf of the engineering and design team to ensure they are receiving appropriate cross\-functional frameworks and tools support.
* Identify potential risks and challenges in project execution and develop proactive mitigation strategies.
* Ensure effective communication of project risks to stakeholders and implement contingency plans as needed.
**Minimum Qualifications**
* BS/MS, Computer Science / Engineering or relevant industry experience
* 5\+ years in a software or technical program management role
* Prior experience and consistent track record leading and shipping multiple complex projects simultaneously
* Solid knowledge of software development practices
* Experience driving and delivering critical project features which involve integration with multiple different teams
* Experience putting together structure and schedules to mitigate ambiguity
**Preferred Qualifications**
* Familiarity with augmented and virtual reality concepts, 3D rendering engines, 3D content creator workflows, machine learning and artificial intelligence
* A track record of quickly understanding technical concepts in a wide range of fields
* Passion for immersive technologies and a keen interest in pushing the boundaries of interactive experiences.
* Ability to provide succinct and accurate executive communication and drive what matters
* Excellent communication and presentation skills, written and verbal
* Ability to thrive in a fast\-paced, dynamic work environment
**Pay \&amp; Benefits**
 At Apple, base pay is one part of our total compensation package and is determined within a range. This provides the opportunity to progress as you grow and develop within a role. The base pay range for this role is between $163,300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3">
      <c r="A73" t="inlineStr">
        <is>
          <t>li-4367962463</t>
        </is>
      </c>
      <c r="B73" t="inlineStr">
        <is>
          <t>Customer Program Manager</t>
        </is>
      </c>
      <c r="C73" t="inlineStr">
        <is>
          <t>Atlassian</t>
        </is>
      </c>
      <c r="D73" t="inlineStr">
        <is>
          <t>linkedin</t>
        </is>
      </c>
      <c r="E73">
        <f>HYPERLINK("https://www.linkedin.com/jobs/view/4367962463", "https://www.linkedin.com/jobs/view/4367962463")</f>
        <v/>
      </c>
      <c r="F73" t="inlineStr"/>
      <c r="G73" t="inlineStr">
        <is>
          <t>Magna, UT</t>
        </is>
      </c>
      <c r="H73" t="inlineStr"/>
      <c r="I73" t="inlineStr">
        <is>
          <t>**Overview**
 DX is headquartered in Salt Lake City, Utah and is one of the fastest\-growing SaaS companies globally. We help engineering leaders build high\-performing, productive teams. DX collects millions of data points daily, powering insights into developer productivity and experience at companies like Pinterest, GitHub, BNY, Xero, and many more .
 Our business has scaled profitably and grown rapidly—tripling annual recurring revenue in the last several years.
 DX recently closed on its acquisition by Atlassian . By joining Atlassian, we will expand our resources, accelerate growth and R\&amp;D, and ultimately deliver greater impact to our customers
**Working at Atlassian**
 To help our teams work together effectively, this role is fully remote, but requires you to be located in Salt Lake City, Utah.
**Your future team**
 As an associate on the Program Manager Services team, you will work directly with DX’s customers to coordinate the planning, execution, and analysis of their quarterly developer experience surveys. In addition, you will work closely with our Customer Success team to develop and strengthen relationships with executive stakeholders at customer accounts.
**Responsibilities**
**What You’ll Do**
* Create and drive execution of detailed projects, working in collaboration with customer stakeholders
* Own communication with clients regularly to provide our recommendations and manage expectations
* Directly communicate with VP\+ level executive stakeholders at customer accounts
* Identify the needs of technology executives and prepare relevant analyses and reports to help inform decision\-making and provide clarity into the health of their engineering organization and actions required to improve
 In partnership with our Customer Success and Product teams, you will also:
* Refine the strategies to deliver great value to customers through DX Program Manager services
* Recommend and contribute to process improvements to maximize accuracy and efficiency within the Program Manager Services offering
**Qualifications**
* 1\-4 years experience in a customer facing role
* Prior experience in change management, consulting, business analytics, client services, project management, operations, etc
* Excellent verbal and written communication skills; comfort presenting to strategic stakeholders/leadership
* Highly organized and able to effectively manage a high volume of parallel projects at once
* Able to provide great, consistent service to clients who are sometimes assertive and demanding
* Self\-motivated, able to work effectively under deadlines without much supervision, excellent follow\-through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$109,800 \- $143,350
 Zone B: $99,000 \- $129,250
 Zone C: $91,800 \- $119,850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74">
      <c r="A74" t="inlineStr">
        <is>
          <t>li-4367289564</t>
        </is>
      </c>
      <c r="B74" t="inlineStr">
        <is>
          <t>Sr Program Manager / Client Partner - ROI &amp; Delivery</t>
        </is>
      </c>
      <c r="C74" t="inlineStr">
        <is>
          <t>techolution</t>
        </is>
      </c>
      <c r="D74" t="inlineStr">
        <is>
          <t>linkedin</t>
        </is>
      </c>
      <c r="E74">
        <f>HYPERLINK("https://www.linkedin.com/jobs/view/4367289564", "https://www.linkedin.com/jobs/view/4367289564")</f>
        <v/>
      </c>
      <c r="F74" t="inlineStr"/>
      <c r="G74" t="inlineStr">
        <is>
          <t>Ridgewood, NJ</t>
        </is>
      </c>
      <c r="H74" t="inlineStr"/>
      <c r="I74" t="inlineStr">
        <is>
          <t>We are seeking a
 **Sr Program Manager / Client Partner \- ROI \&amp; Delivery** 
 with the authority to serve as the
 **economic conscience** 
 for our AI and transformation portfolio. This role is not about after\-the\-fact reporting—it’s about
 **rigorous upfront evaluation** 
 , ensuring every initiative proves its worth
 **before any investment or execution begins** 
 .
**Job Title: Sr Program Manager / Client Partner \- ROI \&amp; Delivery** 
**Location: Ridgewood, NJ (hybrid work, 3 days onsite)** 
**Core Responsibilities** 
* Lead structured discovery to define
 **business problems, process ownership, baseline economics, success metrics, and risks** 
 before solutioning or investment decisions.
* Drive
 **upfront ROI and business case development** 
 , translating complex challenges into clear financial and operating models.
* Define
 **ROI thresholds, payback expectations, and go / redesign / stop decisions** 
 , ensuring initiatives proceed only with validated economic justification.
* Analyze and optimize
 **end\-to\-end business processes** 
 using Lean, Six Sigma, or equivalent methodologies to eliminate waste before automation or AI adoption.
* Advise on AI, automation, and SaaS investments with a focus on
 **measurable business impact** 
 , avoiding unnecessary complexity or low\-return initiatives.
* Build and validate
 **bottom\-up effort, cost, capacity, and scale models** 
 , including scenario and sensitivity analysis.
* Shape and govern
 **client transformation portfolios** 
 around high\-ROI initiatives, sequencing work to maximize value realization.
* Establish and monitor
 **ROI\-driven KPIs and dashboards** 
 to track realized value through execution.
* Course\-correct initiatives that deviate from expected economics to protect client outcomes.
* Identify and drive
 **client expansion opportunities** 
 by scaling proven ROI use cases across additional processes, functions, and business units.
* Use delivered results to support
 **data\-backed expansion and long\-term transformation roadmaps** 
 .
* Partner with client business, finance, IT, and operations leaders to align funding decisions, priorities, and accountability.
* Confidently challenge assumptions and prioritize
 **long\-term client value and sustainable expansion** 
 .
**Required Qualifications \&amp; Mindset:**
* Strong Experience in client\-facing roles such as
 **Program Manager,Client Partner, Management Consultant, Engagement Lead, or Strategic Advisor**
* Demonstrated experience owning
 **ROI, value realization, and economic outcomes** 
 for AI, automation, SaaS, or digital transformation initiatives
* Proven ability to lead
 **upfront discovery, business case development, and go / no\-go investment decisions**
* Strong expertise in
 **business process analysis and optimization** 
 using Lean, Six Sigma, or equivalent frameworks
* Hands\-on experience building
 **bottom\-up financial, effort, cost, and capacity models** 
 , including scenario and sensitivity analysis
* Experience advising enterprise clients on
 **AI, automation, and SaaS investments** 
 with a focus on measurable business impact
* Ability to influence and challenge senior stakeholders using
 **data\-driven insights**
* Excellent executive communication, stakeholder management, and cross\-functional collaboration skills
**About Techolution:** 
 Techolution is a next gen AI consulting firm on track to become one of the most admired brands in the world for "AI done right". Our purpose is to harness our expertise in novel technologies to deliver more profits for our enterprise clients while helping them deliver a better human experience for the communities they serve.
 At Techolution, we build
 **custom AI solutions** 
 that produce revolutionary outcomes for enterprises worldwide. Specializing in "AI Done Right," we leverage our expertise and proprietary IP to transform operations and help achieve business goals efficiently.
 We are honored to have recently received the prestigious
 Inc 500 Best In Business award
 , a testament to our commitment to excellence. We were also awarded \-
 AI Solution Provider of the Year
 by The AI Summit 2023, Platinum sponsor at
 **Advantage DoD 2024 Symposium** 
 and a lot more exciting stuff! While we are big enough to be trusted by some of the greatest brands in the world, we are small enough to care about delivering meaningful ROI\-generating innovation at a guaranteed price for each client that we serve.
 Our thought leader, Luv Tulsidas, wrote and published a book in collaboration with Forbes, “Failing Fast? Secrets to succeed fast with AI”. Refer here for more details on the content \-
 https://www.luvtulsidas.com/
**Let's explore further!** 
**Uncover our unique AI accelerators with us:** 
 1\.
 Enterprise LLM Studio
 : Our no\-code DIY AI studio for enterprises. Choose an LLM, connect it to your data, and create an expert\-level agent in 20 minutes.
 2\.
 AppMod. AI
 : Modernizes ancient tech stacks quickly, achieving over 80% autonomy for major brands!
 3\.
 ComputerVision. AI
 : Our ComputerVision. AI Offers customizable Computer Vision and Audio AI models, plus DIY tools and a Real\-Time Co\-Pilot for human\-AI collaboration!
 4\.
 Robotics and Edge Device Fabrication
 : Provides comprehensive robotics, hardware fabrication, and AI\-integrated edge design services.
 5\.
 RLEF AI Platform
 : Our proven Reinforcement Learning with Expert Feedback (RLEF) approach bridges Lab\-Grade AI to Real\-World AI.
**Some videos you wanna watch!** 
* Computer Vision demo at The AI Summit New York 2023
* Life at Techolution
* GoogleNext 2023
* Ai4 \- Artificial Intelligence Conferences 2023
* WaWa \- Solving Food Wastage
* Saving lives \- Brooklyn Hospital
* Innovation Done Right on Google Cloud
* Techolution featured on Worldwide Business with KathyIreland
* Techolution presented by ION World’s Greatest
 Visit us @
 www.techolution.com
 : To know more about our revolutionary core practices and getting to know in detail about how we enrich the human experience with technology.</t>
        </is>
      </c>
    </row>
    <row r="75">
      <c r="A75" t="inlineStr">
        <is>
          <t>li-4352715534</t>
        </is>
      </c>
      <c r="B75" t="inlineStr">
        <is>
          <t>Junior M&amp;O Program Manager</t>
        </is>
      </c>
      <c r="C75" t="inlineStr">
        <is>
          <t>Jobot</t>
        </is>
      </c>
      <c r="D75" t="inlineStr">
        <is>
          <t>linkedin</t>
        </is>
      </c>
      <c r="E75">
        <f>HYPERLINK("https://www.linkedin.com/jobs/view/4352715534", "https://www.linkedin.com/jobs/view/4352715534")</f>
        <v/>
      </c>
      <c r="F75" t="inlineStr"/>
      <c r="G75" t="inlineStr">
        <is>
          <t>Los Angeles, CA</t>
        </is>
      </c>
      <c r="H75" t="inlineStr"/>
      <c r="I75" t="inlineStr">
        <is>
          <t>Want to learn more about this role and Jobot? Click our Jobot logo and follow our LinkedIn page!
 Job details
**🤖 Junior M\&amp;O Program Manager/ Great Place To Work!**
 This Jobot Job is hosted by Jay O'Brien
 Are you a fit? Easy Apply now by clicking the "Easy Apply" button and sending us your resume.
 Salary $115,000 \- $125,000 per year
**About Us**
**A bit about us**
 We are a full\-service construction firm recognized for delivering high\-quality commercial, residential, and infrastructure projects with precision and reliability. Our team is built on craftsmanship, innovation, and accountability — from preconstruction planning through final delivery. We take pride in our reputation for exceeding client expectations through transparent communication, attention to detail, and a commitment to safety and sustainability on every job site.
****Why join us?****
 Why Join Us
 Joining our team means becoming part of a company that values integrity, collaboration, and professional growth. We offer opportunities to work on diverse, high\-impact projects that shape communities while supporting your development through hands\-on experience and mentorship. Our culture emphasizes teamwork, respect, and continuous learning, ensuring that every employee has the tools and environment to build a rewarding and long\-term career.
**Job Details**
 Job Details
 We are seeking a highly motivated and detail\-oriented Permanent Junior M\&amp;O Program Manager to join our dynamic team in the Construction industry. This is an exceptional opportunity for a talented professional to contribute to a thriving team while gaining invaluable experience in the field of Maintenance and Operations (M\&amp;O). The successful candidate will be responsible for managing and coordinating various M\&amp;O projects, ensuring that all project goals are met while adhering to approved budgets.
**Responsibilities**
* Oversee the planning, implementation, and tracking of specific M\&amp;O projects with specified deliverables.
* Define project scope, goals, and deliverables in collaboration with senior management and stakeholders.
* Develop and manage full\-scale project plans and associated communication documents.
* Plan, schedule, and track project timelines, milestones, and deliverables using appropriate tools.
* Effectively communicate project expectations to team members and stakeholders in a timely and clear manner.
* Liaise with project stakeholders on an ongoing basis.
* Estimate the resources and participants needed to achieve project goals.
* Delegate tasks and responsibilities to appropriate personnel.
* Identify and manage project dependencies and critical path.
* Develop and deliver progress reports, proposals, requirements documentation, and presentations.
* Proactively manage changes in project scope, identify potential crises, and devise contingency plans.
* Coach, mentor, motivate, and supervise project team members and contractors, and influence them to take positive action and accountability for their assigned work.
**Qualifications**
* Bachelor’s degree in Construction Management, Engineering, or related field required.
* A minimum of 5 years of experience in a project management role, preferably in the construction industry.
* Demonstrated experience in project management processes, strategies, and methods.
* Exceptional leadership, team management, and motivation skills.
* Excellent time management and organizational skills, with the ability to handle multiple projects simultaneously.
* Proficient in project management software tools, applications, and methodologies.
* Exceptional verbal, written, and presentation skills.
* Ability to work effectively both independently and as part of a team.
* Knowledge of project management techniques and tools.
* Direct work experience in project management capacity.
* Proven experience in strategic planning.
* Proven experience in risk management.
* Proven experience in change management.
* Proficient in project management software.
* Project Management Professional (PMP) / PRINCE II certification is a plus.
 This position offers an exciting opportunity to contribute to a team\-oriented, high\-performance company that values its employees and offers a comprehensive benefits package, competitive salary, and a dynamic work environment. If you are a dedicated and ambitious professional who enjoys working in a fast\-paced, challenging environment, we would love to hear from you.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76">
      <c r="A76" t="inlineStr">
        <is>
          <t>li-4367964178</t>
        </is>
      </c>
      <c r="B76" t="inlineStr">
        <is>
          <t>Program Manager, PMO</t>
        </is>
      </c>
      <c r="C76" t="inlineStr">
        <is>
          <t>Lensa</t>
        </is>
      </c>
      <c r="D76" t="inlineStr">
        <is>
          <t>linkedin</t>
        </is>
      </c>
      <c r="E76">
        <f>HYPERLINK("https://www.linkedin.com/jobs/view/4367964178", "https://www.linkedin.com/jobs/view/4367964178")</f>
        <v/>
      </c>
      <c r="F76" t="inlineStr"/>
      <c r="G76" t="inlineStr">
        <is>
          <t>Santa Clara, CA</t>
        </is>
      </c>
      <c r="H76" t="inlineStr"/>
      <c r="I7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Palo Alto Networks. Clicking "Apply Now" or "Read more" on Lensa redirects you to the job board/employer site. Any information collected there is subject to their terms and privacy notice.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**Your Career**
 The Program Manager (IT Operations Excellence) will support initiatives aimed at improving the stability, reliability, and efficiency of GTM and Customer Experience technology platforms. This role is focused on driving programs that reduce incidents, tickets, and recurring operational issues by improving processes, visibility, and cross\-team coordination.
 This is an execution\-focused role that works closely with IT Operations, Support, Engineering, Sales Ops, and CX teams to identify problem patterns, track improvement initiatives, and ensure follow\-through on operational excellence priorities.
**Key Responsibilities**
**Operational Excellence \&amp; Incident Reduction**
* Support programs focused on:
* Reducing high\-volume incidents and recurring tickets
* Improving incident response and escalation flows
* Strengthening root cause analysis and follow\-through
* Partner with IT Ops and Engineering teams to:
* Track top drivers of incidents across GTM and CX systems
* Ensure corrective actions are captured, prioritized, and monitored
* Help establish simple, repeatable operating rhythms for:
* Incident trend reviews
* Post\-incident follow\-ups
* Preventive improvement initiatives
**Program \&amp; Execution Support**
* Manage day\-to\-day execution of operational improvement initiatives, including:
* Workplans, milestones, dependencies, and risks
* Status tracking and issue escalation
* Coordinate across teams to ensure:
* Action items are clear, owned, and progressing
* Hand\-offs between Support, IT, and business teams are smooth
* Prepare clear, concise updates for:
* Operational reviews
* Leadership check\-ins
* Program working sessions
**Data, Visibility \&amp; Reporting**
* Build and maintain basic reporting to support operational excellence, including:
* Incident and ticket trends
* Repeat issue analysis
* Progress against improvement actions
* Help translate data into:
* Clear insights for stakeholders
* Practical next steps for delivery teams
* Support continuous improvement by ensuring the right metrics are visible and consistently reviewed
**Stakeholder \&amp; Executive Engagement**
* Work closely with:
* IT Operations and Support teams
* Engineering and Platform owners
* Sales Ops and CX Operations
* Serve as a connector between technical teams and business stakeholders, helping align on:
* Priorities
* Timelines
* Expectations for operational improvements
**Your Experience**
* 8\+ years of experience in:
* Program management, operations, or IT delivery roles
* Previous consulting experience preferred, particularly in:
* Technology transformation
* Operational excellence
* Process improvement or service management environments
* Exposure to:
* IT operations, support, or service management
* GTM, CX, or other enterprise business systems is a plus
**Skills \&amp; Capabilities**
* Strong organizational skills with the ability to:
* Track multiple workstreams
* Follow through on action items
* Keep teams aligned to commitments
* Comfortable working with:
* Incident data, dashboards, and basic reporting
* Cross\-functional stakeholders with different priorities
* Clear communicator who can:
* Summarize issues simply
* Escalate risks appropriately
* Keep updates practical and action\-oriented
**Local SF Bay Area Candidates Who Can Be Onsite.**
**The Team**
 You will be part of a growing, passionate, and dynamic team with an opportunity to work on challenging and exciting projects — centered on what we believe is one of the most significant mission statements in the world. We also strive to be the most people\-centric company ever! That means we’re constantly working to make your experience amazing, and you are part of the team breaking boundaries of what the workplace can be!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$132000 \- $214500/YR. The offered compensation may also include restricted stock units and a bonus. A description of our employee benefits may be found here (http://benefits.paloaltonetworks.com/) .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
 If you have questions about this posting, please contact support@lensa.com</t>
        </is>
      </c>
    </row>
    <row r="77">
      <c r="A77" t="inlineStr">
        <is>
          <t>li-4367962274</t>
        </is>
      </c>
      <c r="B77" t="inlineStr">
        <is>
          <t>Senior Technical Program Manager</t>
        </is>
      </c>
      <c r="C77" t="inlineStr">
        <is>
          <t>Lensa</t>
        </is>
      </c>
      <c r="D77" t="inlineStr">
        <is>
          <t>linkedin</t>
        </is>
      </c>
      <c r="E77">
        <f>HYPERLINK("https://www.linkedin.com/jobs/view/4367962274", "https://www.linkedin.com/jobs/view/4367962274")</f>
        <v/>
      </c>
      <c r="F77" t="inlineStr"/>
      <c r="G77" t="inlineStr">
        <is>
          <t>Redmond, WA</t>
        </is>
      </c>
      <c r="H77" t="inlineStr"/>
      <c r="I7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Microsoft Corporation. Clicking "Apply Now" or "Read more" on Lensa redirects you to the job board/employer site. Any information collected there is subject to their terms and privacy notice.
**Overview**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Customer Success Digital Experience (CSDE) team creates compelling digital experiences by leveraging the full breadth of Microsoft technology and solutions to realize business outcomes and results, across CE\&amp;S teams and dependencies.
 As a Senior Technical Program Manager on the Business Innovation Services team in CSDE, you will drive the delivery of innovative digital customer engagement experiences. You will orchestrate cross\-functional initiatives that bring new customer offerings to market, working across CE\&amp;S teams and dependencies. Your work will directly impact on how customers interact with Microsoft’s digital solutions, focusing on business outcomes and continuous improvement.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proactive customer success by architecting and executing customer facing delivery strategies that anticipate evolving customer needs, deliver measurable business outcomes, and foster deep adoption of Microsoft solutions.
* Drive CoE of citizen development community program, including intake, prioritisation, and manage program metrics and KPIs to measure innovation impact and adoption.
* Coordinate citizen development community to innovate scalable AI/Agentic solutions and community engagement events (e.g. showcases, hackathons, office hours) to sustain momentum and visibility.
* Gather and synthesize technical requirements from stakeholders, translating business objectives into actionable program goals.
* Manage complex cross\-functional projects, building relationships and driving integration efforts across internal teams and external partners.
* Partner with engineering teams to contribute to and deliver on product roadmaps, ensuring alignment with business outcomes.
* Lead the development of staging and implementation plans for piloting and releasing new digital experiences.
* Drive customer supportability, including documentation, troubleshooting guidelines, and best practices.
* Act as a technical advisor and evangelist, educating stakeholders and customers about new digital engagement capabilities.
* Continuously seek opportunities to improve processes, validate use cases, and ensure delivery excellence.
**Qualifications**
 Required Qualifications
* Bachelor’s Degree (or equivalent) AND 4\+ years experience in engineering, technical programme management, data analysis, or product development.
* 3\+ years managing and delivering technical solutions (e.g. business intelligence projects), with data\-driven analysis provided to senior leadership and team members.
* 3\+ years leading cross\-functional and multi\-team projects, demonstrating effective collaboration across diverse groups.
* Hands\-on experience architecting solutions using Microsoft Dynamics 365, Power Platform (Power Apps, Power Automate, Power BI), and Microsoft Copilot Studio.
* Strong leadership and communication skills – able to influence without direct authority and communicate effectively with both technical teams and executives.
**Preferred Qualifications**
* Bachelor’s Degree (or equivalent) AND 8\+ years experience in engineering, technical programme management, data analysis, or product development.
* 6\+ years experience managing cross\-team programmes or large\-scale projects, especially in high\-ambiguity or matrixed environments.
* Demonstrated experience driving citizen development initiatives – enabling or governing low\-code solutions built by non\-developers within an organisation.
* 1\+ years experience reading and/or writing code (e.g. building prototype apps or scripts), indicating ability to engage with technical details when needed.
* 2\+ years experience with Customer Success processes, including reactive support and designing customer enablement programmes (service offerings, adoption training, etc.).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(https://careers.microsoft.com/v2/global/en/accessibility.html)
 If you have questions about this posting, please contact support@lensa.com</t>
        </is>
      </c>
    </row>
    <row r="78">
      <c r="A78" t="inlineStr">
        <is>
          <t>li-4367962181</t>
        </is>
      </c>
      <c r="B78" t="inlineStr">
        <is>
          <t>EBMS Program Manager - Remote (Central or East)</t>
        </is>
      </c>
      <c r="C78" t="inlineStr">
        <is>
          <t>Lensa</t>
        </is>
      </c>
      <c r="D78" t="inlineStr">
        <is>
          <t>linkedin</t>
        </is>
      </c>
      <c r="E78">
        <f>HYPERLINK("https://www.linkedin.com/jobs/view/4367962181", "https://www.linkedin.com/jobs/view/4367962181")</f>
        <v/>
      </c>
      <c r="F78">
        <f>HYPERLINK("https://lensa.com/cgw/80446e67ad8a4c87a73f6844feb7bf5atjo1?jpsi=directemployers&amp;publisher_preference=easier_apply&amp;utm_campaign=Other%20Management%20Occupations&amp;utm_medium=slot&amp;utm_source=linkedin&amp;utm_term=jse&amp;urlHash=6Srm", "https://lensa.com/cgw/80446e67ad8a4c87a73f6844feb7bf5atjo1?jpsi=directemployers&amp;publisher_preference=easier_apply&amp;utm_campaign=Other%20Management%20Occupations&amp;utm_medium=slot&amp;utm_source=linkedin&amp;utm_term=jse&amp;urlHash=6Srm")</f>
        <v/>
      </c>
      <c r="G78" t="inlineStr">
        <is>
          <t>Atlanta, GA</t>
        </is>
      </c>
      <c r="H78" t="inlineStr"/>
      <c r="I7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CBRE. Clicking "Apply Now" or "Read more" on Lensa redirects you to the job board/employer site. Any information collected there is subject to their terms and privacy notice.
 EBMS Program Manager \- Remote (Central or East)
 Job ID
 255307
 Posted
 12\-Jan\-2026
 Service line
 GWS Segment
 Role type
 Full\-time
 Areas of Interest
 Administrative, Data \&amp; Analytics, Engineering/Maintenance, Project Management
 Location(s)
 Boston \- Massachusetts \- United States of America, Chicago \- Illinois \- United States of America, Milwaukee \- Wisconsin \- United States of America, New York \- New York \- United States of America, New York City \- New York \- United States of America, Remote \- US \- Remote \- US \- United States of America
**Remote \- Central or East**
**About The Role**
**Expert in Building Management Systems required.**
 As a CBRE Program Manager, you will be responsible for program management services within an assigned market or client account to achieve the company's strategic business objectives.
 This job is part of the Program Management function. They are responsible for the creation and delivery of strategic programs representing major company initiatives.
**What You’ll Do**
* Work with key stakeholders to create timelines, goals, and deliverables of the project. Develop recommendations and implement organizational processes and procedures.
* Review business requirements and other documentation from multiple sources to identify and resolve cross\-initiative dependencies and ensure consistency of approach.
* Guide small to medium cross\-functional projects and programs end\-to\-end using a formal process.
* Facilitate the development of a charter and integrated timeline. Ensure all functions remain on schedule and issues get resolved or escalated.
* Facilitate regular meetings to review project status for active and pending projects.
* Collaborate with the core team to develop solutions and manage the project team through implementation and completion.
* Present routine reports, including status reports and updated Gantt charts.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 Applicants must be currently authorized to work in the United States without the need for visa sponsorship now or in the future.
**What You’ll Need**
* Bachelor's Degree preferred with 5\-8 years of relevant experience. In lieu of a degree, a combination of experience and education will be considered. LEED AP, PMP or CMM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 Building Management Systems required.
**CBRE Employee Benefits**
* Comprehensive medical, dental, vision
* Disability benefit program
* 401k company matching
* Paid time off and holidays
* Company paid life insurance
* Pet insurance
* Paid parental leave
**Why CBRE?**
 We invest in our employees’ development. The core of our strategy is the view that development happens through three key activities: on\-the\-job learning, coaching and formal training. We provide employees with resources that support them in developing skills to enhance performance in their current role as well as for future roles.
 CBRE carefully considers multiple factors to determine compensation, including a candidate’s education, training, and experience. The minimum salary for the position is $100,000 annually and the maximum salary for the is $115,000 annually. The compensation that is offered to a successful candidate will depend on the candidate’s skills, qualifications, and experience.
 Successful candidates may also be eligible for a discretionary bonus based on CBRE’s applicable benefit program.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CBRE GWS
 CBRE Global Workplace Solutions (GWS) works with clients to make real estate a meaningful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leveraging the industry's most robust platform. CBRE GWS delivers consistent, measurably superior outcomes for our clients at every stage of the lifecycle, and across industries and geographies.
 Find out more (https://www.cbre.com/real\-estate\-services/directory/global\-workplace\-solutions)
 CBRE, Inc. is an Equal Opportunity and Affirmative Action Employer (Women/Minorities/Persons with Disabilities/US Veterans)
 If you have questions about this posting, please contact support@lensa.com</t>
        </is>
      </c>
    </row>
    <row r="79">
      <c r="A79" t="inlineStr">
        <is>
          <t>li-4367967107</t>
        </is>
      </c>
      <c r="B79" t="inlineStr">
        <is>
          <t>Senior Manager Program Manager</t>
        </is>
      </c>
      <c r="C79" t="inlineStr">
        <is>
          <t>Lensa</t>
        </is>
      </c>
      <c r="D79" t="inlineStr">
        <is>
          <t>linkedin</t>
        </is>
      </c>
      <c r="E79">
        <f>HYPERLINK("https://www.linkedin.com/jobs/view/4367967107", "https://www.linkedin.com/jobs/view/4367967107")</f>
        <v/>
      </c>
      <c r="F79">
        <f>HYPERLINK("https://lensa.com/cgw/34091563a34b4d008a405209473b2e7atjo1?jpsi=directemployers_no_redirect&amp;publisher_preference=easier_apply&amp;utm_campaign=Other%20Management%20Occupations&amp;utm_medium=slot&amp;utm_source=linkedin&amp;utm_term=jse&amp;urlHash=pCkb", "https://lensa.com/cgw/34091563a34b4d008a405209473b2e7atjo1?jpsi=directemployers_no_redirect&amp;publisher_preference=easier_apply&amp;utm_campaign=Other%20Management%20Occupations&amp;utm_medium=slot&amp;utm_source=linkedin&amp;utm_term=jse&amp;urlHash=pCkb")</f>
        <v/>
      </c>
      <c r="G79" t="inlineStr">
        <is>
          <t>Atlanta, GA</t>
        </is>
      </c>
      <c r="H79" t="inlineStr"/>
      <c r="I7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Design and execute Projects through a structured New Product Introduction (NPI) process, right from ideation to post launch enablement.
 Demonstrate previous experience in facilitating cross functional collaboration, communication and proactively minimizing risks and issues to drive program success.
 Build valued working relationships with subject matter experts in functional areas along with stakeholders and leadership.
 Demonstrate exceptional organizational and leadership skills, outstanding written and verbal communication talent.
 Take full ownership of program success by driving alignment, resolving conflicts, and ensuring delivery of high\-quality results that support business objectives
 Drive a culture of innovation and continuous improvement within the team.
 Ensure team has tools, guidance and established priorities to successfully lead programs/projects.
 Establish and measure quarterly objectives and key results (OKR) of the team.
 Serve as champion and/or change agent of process improvement initiatives focused on.
 Contribute to team effort by consistently delivering results and adapting as needed to evolving priorities.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Strong background in IOT based Product lines that includes software, hardware and services bundling.
 Previously led large scale programs/project as a Program Manager, ideally in the B2B domain.
 Demonstrate confidence in communicating effectively with cross functional technical teams, business organizations, vendors and leadership.
 10\+ years of relevant Program Management experience within engineering domain, preferably product development role.
 Excellent written and oral communication skills.
 Proven ability to effectively communicate with all levels of management.
 Experience with Confluence, Jira, and Microsoft Office products is a must.
 Strong Mechanical and Technical aptitude.
 15% travel required. Agile, SAFe framework, experience is a plus.
 If you have questions about this posting, please contact support@lensa.com</t>
        </is>
      </c>
    </row>
    <row r="80">
      <c r="A80" t="inlineStr">
        <is>
          <t>li-4355461546</t>
        </is>
      </c>
      <c r="B80" t="inlineStr">
        <is>
          <t>Program Manager</t>
        </is>
      </c>
      <c r="C80" t="inlineStr">
        <is>
          <t>Jobot</t>
        </is>
      </c>
      <c r="D80" t="inlineStr">
        <is>
          <t>linkedin</t>
        </is>
      </c>
      <c r="E80">
        <f>HYPERLINK("https://www.linkedin.com/jobs/view/4355461546", "https://www.linkedin.com/jobs/view/4355461546")</f>
        <v/>
      </c>
      <c r="F80" t="inlineStr"/>
      <c r="G80" t="inlineStr">
        <is>
          <t>Los Angeles, CA</t>
        </is>
      </c>
      <c r="H80" t="inlineStr"/>
      <c r="I80" t="inlineStr">
        <is>
          <t>Want to learn more about this role and Jobot? Click our Jobot logo and follow our LinkedIn page!
 Job details
**🤖 Program Manager / Great Place To Work!**
 This Jobot Job is hosted by Jay O'Brien
 Are you a fit? Easy Apply now by clicking the "Easy Apply" button and sending us your resume.
 Salary $165,000 \- $190,000 per year
**About Us**
**A bit about us**
 We are a full\-service construction firm recognized for delivering high\-quality commercial, residential, and infrastructure projects with precision and reliability. Our team is built on craftsmanship, innovation, and accountability — from preconstruction planning through final delivery. We take pride in our reputation for exceeding client expectations through transparent communication, attention to detail, and a commitment to safety and sustainability on every job site.
****Why join us?****
 Why Join Us
 Joining our team means becoming part of a company that values integrity, collaboration, and professional growth. We offer opportunities to work on diverse, high\-impact projects that shape communities while supporting your development through hands\-on experience and mentorship. Our culture emphasizes teamwork, respect, and continuous learning, ensuring that every employee has the tools and environment to build a rewarding and long\-term career.
**Job Details**
 Job Details
 We are seeking a highly skilled and experienced Program Manager for an exciting opportunity within our Construction Division. This role is perfect for a dynamic, passionate, and innovative individual who thrives in a fast\-paced environment. The successful candidate will have the opportunity to work on a diverse range of projects, making a significant impact on our business while growing their career.
**Responsibilities**
 As a Program Manager, you will be responsible for the overall direction, coordination, implementation, execution, control, and completion of specific projects ensuring consistency with company strategy, commitments, and goals. Your major responsibilities will include but are not limited to
* Leading the planning and implementation of project
* Facilitating the definition of project scope, goals, and deliverables
* Defining project tasks and resource requirements
* Developing full\-scale project plans and associated communications documents
* Assembling and coordinating project staff
* Managing project budget and resource allocation
* Planning and scheduling project timelines
* Tracking project deliverables using appropriate tools
* Providing direction and support to the project team
* Constantly monitoring and reporting on the progress of the project to all stakeholders
* Implementing and managing project changes and interventions to achieve project outputs
* Project evaluations and assessment of results
**Qualifications**
 The ideal candidate will be a strategic thinker with a strong background in project management and construction. You will need to have
* A minimum of 5\+ years of experience in project management within the construction industry
* Demonstrated experience in personnel management
* Excellent knowledge of construction material and cost management
* Strong leadership, decision\-making, and communication skills
* Ability to work under pressure and meet deadlines
* Proven ability to manage multiple projects/activities in a dynamic fast pace environment
* Superior communication and presentation skills
* Proficiency in project management software tools
* Bachelor's degree in a related field
* Certification in Project Management is preferred
 If you are a passionate, dedicated professional with a love for construction and project management, and you meet the above qualifications, we would love to hear from you. Apply now for the opportunity to be part of our dynamic team.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81">
      <c r="A81" t="inlineStr">
        <is>
          <t>li-4367968420</t>
        </is>
      </c>
      <c r="B81" t="inlineStr">
        <is>
          <t>Senior Program Manager</t>
        </is>
      </c>
      <c r="C81" t="inlineStr">
        <is>
          <t>NANA</t>
        </is>
      </c>
      <c r="D81" t="inlineStr">
        <is>
          <t>linkedin</t>
        </is>
      </c>
      <c r="E81">
        <f>HYPERLINK("https://www.linkedin.com/jobs/view/4367968420", "https://www.linkedin.com/jobs/view/4367968420")</f>
        <v/>
      </c>
      <c r="F81" t="inlineStr"/>
      <c r="G81" t="inlineStr">
        <is>
          <t>Ashburn, VA</t>
        </is>
      </c>
      <c r="H81" t="inlineStr"/>
      <c r="I81" t="inlineStr">
        <is>
          <t>Akima is seeking a Program Manager (PM) to lead delivery of the TSA TOMCAT program, providing enterprise IT Operations \&amp; Maintenance (O\&amp;M), service management, and digital modernization support to the Transportation Security Administration. The PM will be responsible for end\-to\-end program execution, overseeing technical operations, service performance, cybersecurity coordination, and continuous improvement initiatives across mission\-critical TSA IT environments. This role requires a leader with deep experience managing large\-scale federal IT O\&amp;M programs while driving modernization, automation, and cloud\-aligned service delivery in a highly regulated DHS environment.
**Responsibilities**
* Serve as the single point of accountability for program execution, contract compliance, cost/schedule/performance, and customer satisfaction for the TSA TOMCAT program.
* Lead day\-to\-day IT O\&amp;M operations, including service desk, network operations, system administration, application support, monitoring, incident/problem/change management, and SLA performance.
* Oversee IT Service Management (ITSM) processes aligned to ITIL, including continuous service improvement, metrics, and dashboarding/reporting.
* Manage and integrate digital transformation initiatives, such as automation, DevSecOps integration, cloud migration support, platform modernization, and toolchain optimization.
* Coordinate cybersecurity operations with TSA and DHS stakeholders, including vulnerability management, ATO sustainment, continuous monitoring, and compliance with DHS and TSA security directives.
* Lead multidisciplinary teams (engineering, operations, cybersecurity, service management) across geographically dispersed environments.
* Act as primary interface with TSA COR, technical leads, and mission stakeholders; support briefings, QBRs, and executive\-level communications.
* Manage subcontractors and vendors, ensuring performance aligns with contract requirements and TSA operational priorities.
* Oversee staffing, workforce planning, key personnel retention, and succession planning.
* Support contract growth, innovation initiatives, and follow\-on opportunities through technical insight and operational excellence.
**Qualifications**
* Bachelor's degree in information technology, Computer Science, Engineering, or related field (or equivalent experience).
* 10\+ years of experience on federal IT programs, including large\-scale IT O\&amp;M contracts.
* 5\+ years of experience as a Program Manager or Deputy PM on DHS, TSA, DoD, or other civilian agency IT programs.
* Demonstrated experience managing mission\-critical IT environments with strict SLAs and uptime requirements.
* Strong knowledge of:
* IT O\&amp;M best practices.
* ITIL\-based service management.
* Incident, problem, change, and configuration management.
* Integration and Orchestration of legacy IT and OT with modern ITSM tools.
* Enterprise monitoring and operations tools.
* Proven experience leading digital transformation or IT modernization efforts within an O\&amp;M construct.
* Experience managing cost, schedule, performance, and risk in a government contracting environment.
* Excellent written and verbal communication skills, including executive\-level reporting and briefings.
* Ability to obtain and maintain DHS suitability and any required clearances.
**Ability to obtain a DHS Suitability clearance is required for consideration.**
**Preferred Qualifications**
* Prior experience supporting TSA programs or DHS operational components.
* Master's degree in IT, Computer Science, or related engineering field.
* CISSP, PMP, ITIL v4 Intermediate and/or Agile/Scrum certifications.
* Experience with cloud platforms (AWS, Azure, GovCloud), hybrid environments, and cloud O\&amp;M models.
* Familiarity with DevSecOps, CI/CD pipelines, infrastructure automation, and platform engineering concepts.
* Experience sustaining systems under RMF and continuous monitoring requirements.
* Experience leading programs that integrate legacy systems with modern digital services.
* Understanding of TSA enterprise architecture, Zero Trust principles, and cybersecurity directives.
**Job ID**
 2026\-21303
**Work Type**
 On\-Site
**Company Description**
**Work Where it Matters**
 Akima Global Technology (AGT), an Akima company, is not just another federal IT contractor. As an Alaska Native Corporation (ANC), our mission and purpose extend beyond our exciting federal projects as we support our shareholder communities in Alaska.
 At AGT, the work you do every day makes a difference in the lives of our 15,000 IÃ±upiat shareholders, a group of Alaska natives from one of the most remote and harshest environments in the United States.
**For our shareholders** 
 , AGT provides support and employment opportunities and contributes to the survival of a culture that has thrived above the Arctic Circle for more than 10,000 years.
**For our government customers** 
 , AGT delivers new technologies and partners with leading edge commercial enterprises to deliver unique and innovative IT solutions.
**As an AGT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We are an equal opportunity employer and comply with all applicable federal, state, and local fair employment practices laws. All applicants will receive consideration for employment, without regard to race, color, religion, creed, national origin, gender or gender\-identity, age, marital status, sexual orientation, veteran status, disability, pregnancy or parental status, or any other basis prohibited by law. If you are an individual with a disability, or have known limitations related to pregnancy, childbirth, or related medical conditions, and would like to request a reasonable accommodation for any part of the employment process, please contact us at job\-assist@akima.com or 571\-353\-7053 (information about job applications status is not available at this contact information).</t>
        </is>
      </c>
    </row>
    <row r="82">
      <c r="A82" t="inlineStr">
        <is>
          <t>li-4367959143</t>
        </is>
      </c>
      <c r="B82" t="inlineStr">
        <is>
          <t>Senior Program Manager, BI and Analytics Delivery</t>
        </is>
      </c>
      <c r="C82" t="inlineStr">
        <is>
          <t>Integrity</t>
        </is>
      </c>
      <c r="D82" t="inlineStr">
        <is>
          <t>linkedin</t>
        </is>
      </c>
      <c r="E82">
        <f>HYPERLINK("https://www.linkedin.com/jobs/view/4367959143", "https://www.linkedin.com/jobs/view/4367959143")</f>
        <v/>
      </c>
      <c r="F82">
        <f>HYPERLINK("https://integritymarketing.wd1.myworkdayjobs.com/Integrity/job/Dallas-TX/Senior-Program-Manager\u002d\u002dBI-and-Analytics-Delivery_JR3506?source=LinkedIn&amp;urlHash=YFBB", "https://integritymarketing.wd1.myworkdayjobs.com/Integrity/job/Dallas-TX/Senior-Program-Manager\u002d\u002dBI-and-Analytics-Delivery_JR3506?source=LinkedIn&amp;urlHash=YFBB")</f>
        <v/>
      </c>
      <c r="G82" t="inlineStr">
        <is>
          <t>Dallas, TX</t>
        </is>
      </c>
      <c r="H82" t="inlineStr"/>
      <c r="I82" t="inlineStr">
        <is>
          <t>The Senior Program Manager, BI and Analytics Delivery, drives the successful execution of Integrity’s business intelligence and analytics program, ensuring timely and high\-quality delivery that creates value throughout the organization. Leveraging your deep knowledge of data and analytics methods and practices is essential for effective management of resources and budgets. As a subject matter expert, you will contribute to the development of operational plans and risk management strategies, ensuring the highest quality and professionalism in service delivery. This role serves as a key liaison between business, IT, and analytics teams, fostering collaboration and transparency.
**Primary Responsibilities**
* Develop and execute comprehensive project plans, incorporating technical requirements, resource requirements/allocation, and timelines to ensure on\-time delivery of data and analytic solutions.
* Manage day\-to\-day project schedule, deliverables, and resources, coordinating with cross\-functional teams including executive leadership, technology, legal, compliance, human resources, marketing, and business units. Lead project planning and milestone delivery. Identify potential risks and implement mitigation strategies.
* Collaborate with cross\-functional teams to gather requirements, define project objectives, scope, timelines and success criteria in alignment with key stakeholders. Must have excellent communication skills, with the ability to work closely with business and technology partners to understand their needs.
* Facilitate effective project and stakeholder team working sessions to identify requirements, impacts and resource requirements. Maintain effective communication with stakeholders, providing regular updates on project status, risks, and issues. Understand and represent the team’s strategy in meetings.
* Prepare executive ready presentations outlining strategic plans, performance updates, and key insights.
**Knowledge, Skills \&amp; Requirements**
* Bachelor's degree in a quantitative discipline (e.g. Math, Economics, Computer Science, Statistics, Data Analytics), or equivalent, with a Master’s degree or MBA preferred
* 7\+ years of experience managing data and analytic programs, ideally reporting directly to a CDAO, VP/SVP or equivalent
* Proven experience leading through project/program lifecycles
* Expert level skills with tools like Jira, Confluence, Smartsheet and Excel to create and manage dashboards and reports.
* Familiarity with data and analytics tools (e.g., SQL, Python, Tableau, Power BI), cloud platforms (AWS, Azure), ETL tools, API integration, and AI
* Deep understanding of data management, data governance and analytics
* Proficient in stakeholder management and cross\-functional collaboration
* Strong conflict resolution with ability to navigate interpersonal dynamics
* Excellent communication, interpersonal, and time management skills
* Ability to excel in a fast\-paced, client\-centric environment, with the ability to quickly adapt as business priorities shift
**About Integrity**
**Integrity** 
 is one of the nation’s leading independent distributors of life, health and wealth insurance products. With a strong insurtech focus, we embrace a broad and innovative approach to serving agents and clients alike.
 **Integrity** 
 is driven by a singular purpose: to help people protect their life, health and wealth so they can prepare for the good days ahead.
**Integrity** 
 offers you the opportunity to start a career in a family\-like environment that is rewarding and cutting edge. Why? Because we put our people first! At
 **Integrity,** 
 you can start a new career path at company you’ll love, and we’ll love you back. We’re proud of the work we do and the culture we’ve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Headquartered in Dallas, Texas,
 **Integrity** 
 is committed to meeting Americans wherever they are — in person, over the phone or online.
 **Integrity’s** 
 employees support hundreds of thousands of independent agents who serve the needs of millions of clients nationwide. For more information, visit Integrity.com.
*Integrity,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LLC will provide reasonable accommodations for qualified individuals with disabilities.*</t>
        </is>
      </c>
    </row>
    <row r="83">
      <c r="A83" t="inlineStr">
        <is>
          <t>li-4367977009</t>
        </is>
      </c>
      <c r="B83" t="inlineStr">
        <is>
          <t>Senior Program Manager, Events</t>
        </is>
      </c>
      <c r="C83" t="inlineStr">
        <is>
          <t>Lensa</t>
        </is>
      </c>
      <c r="D83" t="inlineStr">
        <is>
          <t>linkedin</t>
        </is>
      </c>
      <c r="E83">
        <f>HYPERLINK("https://www.linkedin.com/jobs/view/4367977009", "https://www.linkedin.com/jobs/view/4367977009")</f>
        <v/>
      </c>
      <c r="F83" t="inlineStr"/>
      <c r="G83" t="inlineStr">
        <is>
          <t>Chicago, IL</t>
        </is>
      </c>
      <c r="H83" t="inlineStr"/>
      <c r="I8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Indeed. Clicking "Apply Now" or "Read more" on Lensa redirects you to the job board/employer site. Any information collected there is subject to their terms and privacy notice.
**Our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Corporate event marketing team focused on delivering brand experiences that drive business impact for internal and external global audiences. As a Senior Program Manager (IC4\), you will support the planning and execution of Indeed's Global Marquee event, Indeed FutureWorks, and additional priority events across the portfolio. This role partners closely with program managers and key partners to support delivery of complex virtual, in\-person, and hybrid experiences.
**Responsibilities**
* Support the development and execution of integrated event and experiential plans. These align to business priorities, target audiences, and macroeconomic factors across virtual, in\-person, and hybrid formats.
* Partner with program leads to define event goals, scope, and key program components that optimise audience experience, engagement, and perception of Indeed.
* Produce and deliver virtual, in\-person, and hybrid events. Managing timelines, vendors, platforms, on\-site execution, audience engagement, contingency planning, and post\-event reporting.
* Serve as a key cross\-functional partner, coordinating internal teams, agencies, and vendors. Also while communicating proactively with partners to manage expectations, timelines, and service levels throughout planning and delivery.
* Support budget management through responsible forecasting, tracking, and optimisation in partnership with programme and finance managers.
* Analyse event performance, engagement data, and operational insights to drive continuous improvement, increased efficiency, and the implementation of scalable processes, tools, and best practices across the events portfolio.
* Support the delivery of additional corporate and regional events throughout the year as business priorities require.
**Skills/Competencies**
* 8\+ years experience supporting and delivering experiential marketing or event programmes at scale within a large corporation or agency environment.
* Solid experience producing large\-scale virtual, in\-person, or hybrid events (e.g. conferences, hosted programmes, leadership events).
* Proven ability to manage complex workstreams and collaborate effectively with cross\-functional partners, vendors, and agencies.
* Highly organised, detail\-oriented, and proactive, with the ability to manage multiple priorities and shifting timelines.
* Exceptional critical and communication skills, using data and insights to inform actions and deliver clear, concise written and verbal communication that improves event outcomes.
* Adaptable and effective in ambiguous, fast\-paced, and evolving environments.
* Proficient in Google Workspace and Apple applications, with the ability to quickly learn new tools and technologies;
* Willingness and ability to travel up to 20%.
**Salary Range Transparency**
 US Remote 80,000 \- 110,000 USD per year
 Austin 80,000 \- 110,000 USD per year
 NYC Metro 97,000 \- 135,000 USD per year
 SF Bay Area 115,000 \- 161,000 USD per year
 Seattle 104,000 \- 152,000 USD per year
 Scottsdale 80,000 \- 110,000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11 paid holidays a year and up to 26 weeks of paid parental leave. For more information, select your country and learn more about our employee benefits, program, \&amp; perks at https://www.indeed.com/careers/benefits !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provides reasonable accommodations to qualified individuals with disabilities in the employment application process. To request an accommodation, please visit https://www.indeed.com/careers/accommodations. If you are requesting accommodation for an interview, please reach out at least one week in advance of your interview.
 For more information about our commitment to equal opportunity/affirmative action, please visit our Careers page (https://www.indeed.com/careers).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 we also want to make you aware of our recruitment specific privacy policy found at https://www.indeed.com/legal/indeed\-jobs .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**AI Notice**
 Indeed is committed to ensuring fairness and transparency throughout our hiring process. We use artificial intelligence (AI) tools to assist in the screening, assessment, and selection of applicants for this position by analyzing information provided in resumes and applications. Our use of AI does not replace human decision\-making.
 Unless otherwise notified, Indeed does not use AI constituting an AEDT or an ADMT as those tools are defined in applicable laws.
 It is unlawful in Massachusetts to require or administer a lie detector test as a condition of employment or continued employment. An employer who violates this law shall be subject to criminal penalties and civil liability.
 The deadline to apply to this position is February 11th. Job postings may be extended at the hiring team's discretion based on applicant volume.
 \#INDMARKET
 Reference ID: 46472
 If you have questions about this posting, please contact support@lensa.com</t>
        </is>
      </c>
    </row>
    <row r="84">
      <c r="A84" t="inlineStr">
        <is>
          <t>li-4357063144</t>
        </is>
      </c>
      <c r="B84" t="inlineStr">
        <is>
          <t>Engineering Program Manager - Data Center Design, Engineering, and Construction</t>
        </is>
      </c>
      <c r="C84" t="inlineStr">
        <is>
          <t>Meta</t>
        </is>
      </c>
      <c r="D84" t="inlineStr">
        <is>
          <t>linkedin</t>
        </is>
      </c>
      <c r="E84">
        <f>HYPERLINK("https://www.linkedin.com/jobs/view/4357063144", "https://www.linkedin.com/jobs/view/4357063144")</f>
        <v/>
      </c>
      <c r="F84" t="inlineStr"/>
      <c r="G84" t="inlineStr">
        <is>
          <t>Reston, VA</t>
        </is>
      </c>
      <c r="H84" t="inlineStr"/>
      <c r="I84" t="inlineStr">
        <is>
          <t>Meta is seeking an Engineering Program Manager, Technical Operations to join our Data Center Engineering and Construction (DEC) team. Our data centers are the foundation upon which our rapidly growing infrastructure operates, and our innovative services are delivered as we continue our mission to build community and bring the world closer together. The Engineering Program Manager enables difficult design and decisions supporting the complex intersections of technical domains. Ultimately, this role focuses on Meta’s engineering expertise to bring complextechnical and cross\-functional problems from definition through design to produce executable engineering packages through ideation in new systems design and R\&amp;D to implementation into detailed building plans. This requires technical understanding of the building with a focus on electrical, mechanical, connectivity components and systems while also driving results with stakeholders across broader Infrastructure ecosystem. Finally, this person will be a motivated self\-starter taking charge of initiatives and be a forward thinker with a keen business sense.
 Engineering Program Manager \- Data Center Design, Engineering, and Construction Responsibilities:
* Manage highly\-complex, cross\-functional systems designs and component research \&amp; development projects from concept through to completion
* Drive complex problem statement development and create milestone schedules that end in decisions and implementation
* Interface with Engineering, Facilities, Electrical/Mechanical Engineers, Construction, Network, Cabling, Security and business owners for project requirements and scope
* Provide hands\-on program management during analysis, design, development, and testing phases
* Digest technical drawings, questioning the inputs of the engineers across multiple highly technical engineering departments and helping to bring all of it together into a cohesive executable package
* Manage dependencies and handoffs effectively and optimize schedules accordingly
* Drive internal process improvements across multiple teams and functions
* Conduct business process re\-engineering reviews to innovate on business processes and define ways to improve their efficiency and effectiveness
* Drive continual improvement of productivity
* Identify areas of risk and drive solution with subject matter experts within the organization
* Lead training and education programs for internal and external partners
* Report and drive alignment and decisions from leadership across multiple organizations
* Travel to offices, vendors, and datacenter sites as required
 Minimum Qualifications:
* 7\+ years of experience in Technical Program Management/Project Management
* Proven track record driving results on complex problems with many stakeholders
* Large scale critical infrastructure, Research and Development, and/or data center experience
* Experience building relationships and driving collaboration from cross\-functional teams
* Analytical, problem\-solving, negotiation and organizational experience
* Understanding of engineering details and the impacts of change across multiple disciplines
 Preferred Qualifications:
* Experience managing projects related to design and construction of data centers, server hardware, and/or network systems
* Knowledge/specialty experience with design, construction, network systems, hardware systems, capacity management, contracting, and/or business management
* Experience adapting and learning new skill sets quickly
* Global infrastructure design experience
* Tooling and/or Product Development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$160,000/year to $223,000/year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5">
      <c r="A85" t="inlineStr">
        <is>
          <t>li-4351390906</t>
        </is>
      </c>
      <c r="B85" t="inlineStr">
        <is>
          <t>Program Manager</t>
        </is>
      </c>
      <c r="C85" t="inlineStr">
        <is>
          <t>Jobot</t>
        </is>
      </c>
      <c r="D85" t="inlineStr">
        <is>
          <t>linkedin</t>
        </is>
      </c>
      <c r="E85">
        <f>HYPERLINK("https://www.linkedin.com/jobs/view/4351390906", "https://www.linkedin.com/jobs/view/4351390906")</f>
        <v/>
      </c>
      <c r="F85" t="inlineStr"/>
      <c r="G85" t="inlineStr">
        <is>
          <t>Santa Cruz, CA</t>
        </is>
      </c>
      <c r="H85" t="inlineStr"/>
      <c r="I85" t="inlineStr">
        <is>
          <t>Want to learn more about this role and Jobot? Click our Jobot logo and follow our LinkedIn page!
 Job details
**Non Profit Program Manager \- $5k Sign on Bonus \- Youth Support**
 This Jobot Job is hosted by JP Griffith
 Are you a fit? Easy Apply now by clicking the "Easy Apply" button and sending us your resume.
 Salary $140,000 \- $160,000 per year
**A Bit About Us**
 We are a dedicated team of professionals committed to transforming lives and strengthening communities. Our work centers around supporting children, youth, and families through a wide range of services including foster care, behavioral health, and family support programs. With a deep belief in the potential of every individual, we strive to create safe, nurturing environments where people can heal, grow, and thrive.
 Rooted in compassion and driven by innovation, we partner with local communities to provide tailored solutions that meet the unique needs of those we serve. Our approach is holistic, trauma\-informed, and culturally responsive—ensuring that every person receives the care and respect they deserve.
 Together, we are building brighter futures and empowering individuals to reach their fullest potential.
****Why join us?****
 Why Join Us
 Joining our team means becoming part of a purpose\-driven community that puts people first. Every day, we work to uplift children, youth, and families—creating lasting change through compassion, innovation, and dedication. If you're passionate about making a meaningful impact and believe in the power of human connection, you'll find a home here.
 We offer
 Mission\-Driven Work Be part of a team that’s changing lives and strengthening communities across California.
 Supportive Culture Collaborate with professionals who care deeply about each other and the people they serve.
 Growth Opportunities We invest in your development through training, mentorship, and career advancement pathways.
 Inclusive Environment Diversity, equity, and belonging are at the heart of everything we do.
 Comprehensive Benefits Enjoy a robust benefits package designed to support your well\-being and work\-life balance.
 Here, your work matters. Your voice is heard. And your commitment helps build brighter futures every day.
**Job Details**
 We are seeking a compassionate and experienced Program Manager to lead and oversee community\-based programs that support children, youth, and families. This role is ideal for a dynamic leader who thrives in a mission\-driven environment and is passionate about making a lasting impact through trauma\-informed care and culturally responsive services.
 Key Responsibilities
 Lead the daily operations of assigned programs, ensuring compliance with all regulatory, contractual, and organizational standards.
 Supervise and support a multidisciplinary team, fostering a collaborative and inclusive work culture.
 Monitor program outcomes and implement continuous improvement strategies to enhance service delivery.
 Manage budgets, contracts, and reporting requirements in alignment with agency and funder expectations.
 Build and maintain strong relationships with community partners, stakeholders, and service providers.
 Ensure services are delivered in a trauma\-informed, strength\-based, and culturally competent manner.
 Participate in strategic planning and contribute to the development of new initiatives and funding opportunities.
**Qualifications**
 Bachelor’s degree in Social Work, Psychology, Public Administration, or related field (Master’s preferred).
 Minimum of 3–5 years of experience in program management within social services, child welfare, or behavioral health.
 Proven leadership skills with experience supervising staff and managing complex programs.
 Strong understanding of trauma\-informed care, family systems, and community\-based service models.
 Excellent communication, organizational, and problem\-solving abilities.
 Ability to work collaboratively with diverse teams and stakeholders.
 Valid driver’s license and ability to travel locally as needed.
 What We Offer
 A supportive and mission\-driven work environment.
 Opportunities for professional growth and development.
**Competitive Compensation And Comprehensive Benefits.**
 The chance to make a meaningful difference in the lives of vulnerable populations.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86">
      <c r="A86" t="inlineStr">
        <is>
          <t>li-4353832817</t>
        </is>
      </c>
      <c r="B86" t="inlineStr">
        <is>
          <t>Transformation Program Manager</t>
        </is>
      </c>
      <c r="C86" t="inlineStr">
        <is>
          <t>Jobot</t>
        </is>
      </c>
      <c r="D86" t="inlineStr">
        <is>
          <t>linkedin</t>
        </is>
      </c>
      <c r="E86">
        <f>HYPERLINK("https://www.linkedin.com/jobs/view/4353832817", "https://www.linkedin.com/jobs/view/4353832817")</f>
        <v/>
      </c>
      <c r="F86" t="inlineStr"/>
      <c r="G86" t="inlineStr">
        <is>
          <t>Columbus, OH</t>
        </is>
      </c>
      <c r="H86" t="inlineStr"/>
      <c r="I86" t="inlineStr">
        <is>
          <t>Want to learn more about this role and Jobot? Click our Jobot logo and follow our LinkedIn page!
 Job details
**Hiring a Transformation Program Manager**
 This Jobot Job is hosted by Jamal Elkhateib
 Are you a fit? Easy Apply now by clicking the "Easy Apply" button and sending us your resume.
 Salary $120,000 \- $160,000 per year
**A Bit About Us**
 We are seeking a dynamic and highly motivated Permanent Transformation Program Manager to join our team. This position offers an exciting opportunity to drive the strategic direction of our organization's transformation initiatives within the construction industry. As a Permanent Transformation Program Manager, you will oversee and manage the entire lifecycle of our transformation programs, from initial conception to successful completion. The ideal candidate will have a strong background in Project Management, with a PMP certification, and a proven track record of successfully implementing and managing transformation programs in the construction industry.
****Why join us?****
 Transformation Program Manager
**Job Details**
**Qualifications**
* Bachelor's degree in Business, Engineering, Construction Management, or related field.
* PMP certification is required.
* A minimum of 5 years of experience in a program management role within the construction industry, with a focus on transformation programs.
* Strong knowledge of project management principles, practices, techniques, and tools.
* Proven track record of successfully managing and delivering large\-scale transformation programs.
* Strong leadership skills, with the ability to lead and motivate teams.
* Excellent stakeholder management skills, with the ability to build and manage effective relationships.
* Strong strategic thinking and problem\-solving skills, with the ability to make sound decisions under pressure.
* Excellent communication and presentation skills, with the ability to clearly communicate complex information to a variety of audiences.
* Strong financial management skills, with the ability to manage program budgets effectively.
* High level of proficiency in Microsoft Office Suite, including Project and PowerPoint.
* Knowledge of construction industry regulations and standards.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2026-02-01T04:36:52Z</dcterms:created>
  <dcterms:modified xsi:type="dcterms:W3CDTF">2026-02-01T04:36:52Z</dcterms:modified>
</cp:coreProperties>
</file>