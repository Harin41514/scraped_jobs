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in-8beac76f96da8de6</t>
        </is>
      </c>
      <c r="B2" t="inlineStr">
        <is>
          <t>Software Engineer I</t>
        </is>
      </c>
      <c r="C2" t="inlineStr">
        <is>
          <t>Amazon.com</t>
        </is>
      </c>
      <c r="D2" t="inlineStr">
        <is>
          <t>indeed</t>
        </is>
      </c>
      <c r="E2" t="inlineStr"/>
      <c r="F2" t="inlineStr"/>
      <c r="G2" t="inlineStr">
        <is>
          <t>San Francisco, CA, US</t>
        </is>
      </c>
      <c r="H2" s="2" t="n">
        <v>45946</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in-266f50c044b28cd5</t>
        </is>
      </c>
      <c r="B3" t="inlineStr">
        <is>
          <t>Software Engineer I</t>
        </is>
      </c>
      <c r="C3" t="inlineStr">
        <is>
          <t>Amazon.com</t>
        </is>
      </c>
      <c r="D3" t="inlineStr">
        <is>
          <t>indeed</t>
        </is>
      </c>
      <c r="E3" t="inlineStr"/>
      <c r="F3" t="inlineStr"/>
      <c r="G3" t="inlineStr">
        <is>
          <t>Irvine, CA, US</t>
        </is>
      </c>
      <c r="H3" s="2" t="n">
        <v>45946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in-45a1ab7d0c41e707</t>
        </is>
      </c>
      <c r="B4" t="inlineStr">
        <is>
          <t>Software Engineer II</t>
        </is>
      </c>
      <c r="C4" t="inlineStr">
        <is>
          <t>Amazon.com</t>
        </is>
      </c>
      <c r="D4" t="inlineStr">
        <is>
          <t>indeed</t>
        </is>
      </c>
      <c r="E4" t="inlineStr"/>
      <c r="F4" t="inlineStr"/>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in-4e14baa9cd749696</t>
        </is>
      </c>
      <c r="B5" t="inlineStr">
        <is>
          <t>Software Engineer II</t>
        </is>
      </c>
      <c r="C5" t="inlineStr">
        <is>
          <t>Amazon.com</t>
        </is>
      </c>
      <c r="D5" t="inlineStr">
        <is>
          <t>indeed</t>
        </is>
      </c>
      <c r="E5" t="inlineStr"/>
      <c r="F5" t="inlineStr"/>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in-acdf3821d8ccf4a1</t>
        </is>
      </c>
      <c r="B6" t="inlineStr">
        <is>
          <t>Software Engineer II</t>
        </is>
      </c>
      <c r="C6" t="inlineStr">
        <is>
          <t>Amazon.com</t>
        </is>
      </c>
      <c r="D6" t="inlineStr">
        <is>
          <t>indeed</t>
        </is>
      </c>
      <c r="E6" t="inlineStr"/>
      <c r="F6" t="inlineStr"/>
      <c r="G6" t="inlineStr">
        <is>
          <t>Culver City,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in-2a1cf3b1ed2e77c8</t>
        </is>
      </c>
      <c r="B7" t="inlineStr">
        <is>
          <t>Software Engineer II</t>
        </is>
      </c>
      <c r="C7" t="inlineStr">
        <is>
          <t>Amazon.com</t>
        </is>
      </c>
      <c r="D7" t="inlineStr">
        <is>
          <t>indeed</t>
        </is>
      </c>
      <c r="E7" t="inlineStr"/>
      <c r="F7" t="inlineStr"/>
      <c r="G7" t="inlineStr">
        <is>
          <t>Irvine,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in-08ba317dc4c4e353</t>
        </is>
      </c>
      <c r="B8" t="inlineStr">
        <is>
          <t>Software Engineer II</t>
        </is>
      </c>
      <c r="C8" t="inlineStr">
        <is>
          <t>Amazon.com</t>
        </is>
      </c>
      <c r="D8" t="inlineStr">
        <is>
          <t>indeed</t>
        </is>
      </c>
      <c r="E8" t="inlineStr"/>
      <c r="F8" t="inlineStr"/>
      <c r="G8" t="inlineStr">
        <is>
          <t>San Francisco,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in-c39f9b595d46837e</t>
        </is>
      </c>
      <c r="B9" t="inlineStr">
        <is>
          <t>Sr Software Engineer</t>
        </is>
      </c>
      <c r="C9" t="inlineStr">
        <is>
          <t>Amazon.com</t>
        </is>
      </c>
      <c r="D9" t="inlineStr">
        <is>
          <t>indeed</t>
        </is>
      </c>
      <c r="E9" t="inlineStr"/>
      <c r="F9" t="inlineStr"/>
      <c r="G9" t="inlineStr">
        <is>
          <t>San Francisco, CA, US</t>
        </is>
      </c>
      <c r="H9" s="2" t="n">
        <v>45921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in-81a35a0d2bdb5f83</t>
        </is>
      </c>
      <c r="B10" t="inlineStr">
        <is>
          <t>Software Engineer II</t>
        </is>
      </c>
      <c r="C10" t="inlineStr">
        <is>
          <t>Amazon.com</t>
        </is>
      </c>
      <c r="D10" t="inlineStr">
        <is>
          <t>indeed</t>
        </is>
      </c>
      <c r="E10" t="inlineStr"/>
      <c r="F10" t="inlineStr"/>
      <c r="G10" t="inlineStr">
        <is>
          <t>San Francisco, CA, US</t>
        </is>
      </c>
      <c r="H10" s="2" t="n">
        <v>45921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in-e6cb4491a46a2109</t>
        </is>
      </c>
      <c r="B11" t="inlineStr">
        <is>
          <t>Sr Software Engineer</t>
        </is>
      </c>
      <c r="C11" t="inlineStr">
        <is>
          <t>Amazon.com</t>
        </is>
      </c>
      <c r="D11" t="inlineStr">
        <is>
          <t>indeed</t>
        </is>
      </c>
      <c r="E11" t="inlineStr"/>
      <c r="F11" t="inlineStr"/>
      <c r="G11" t="inlineStr">
        <is>
          <t>Irvine,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in-5bc7563870c61f29</t>
        </is>
      </c>
      <c r="B12" t="inlineStr">
        <is>
          <t>Software Engineer II</t>
        </is>
      </c>
      <c r="C12" t="inlineStr">
        <is>
          <t>Amazon.com</t>
        </is>
      </c>
      <c r="D12" t="inlineStr">
        <is>
          <t>indeed</t>
        </is>
      </c>
      <c r="E12" t="inlineStr"/>
      <c r="F12" t="inlineStr"/>
      <c r="G12" t="inlineStr">
        <is>
          <t>Irvine, CA, US</t>
        </is>
      </c>
      <c r="H12" s="2"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in-33ac2df0281fc185</t>
        </is>
      </c>
      <c r="B13" t="inlineStr">
        <is>
          <t>Software Engineer I- Ad Demand</t>
        </is>
      </c>
      <c r="C13" t="inlineStr">
        <is>
          <t>Amazon.com</t>
        </is>
      </c>
      <c r="D13" t="inlineStr">
        <is>
          <t>indeed</t>
        </is>
      </c>
      <c r="E13" t="inlineStr"/>
      <c r="F13" t="inlineStr"/>
      <c r="G13" t="inlineStr">
        <is>
          <t>San Francisco, CA, US</t>
        </is>
      </c>
      <c r="H13" s="2" t="n">
        <v>45908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in-ab60500499e5aae2</t>
        </is>
      </c>
      <c r="B14" t="inlineStr">
        <is>
          <t>Software Engineer I- Ad Demand</t>
        </is>
      </c>
      <c r="C14" t="inlineStr">
        <is>
          <t>Amazon.com</t>
        </is>
      </c>
      <c r="D14" t="inlineStr">
        <is>
          <t>indeed</t>
        </is>
      </c>
      <c r="E14" t="inlineStr"/>
      <c r="F14" t="inlineStr"/>
      <c r="G14" t="inlineStr">
        <is>
          <t>New York, NY, US</t>
        </is>
      </c>
      <c r="H14" s="2" t="n">
        <v>45908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in-5fb3d3d994111e4d</t>
        </is>
      </c>
      <c r="B15" t="inlineStr">
        <is>
          <t>Senior Software Engineer, Twitch</t>
        </is>
      </c>
      <c r="C15" t="inlineStr">
        <is>
          <t>Amazon.com</t>
        </is>
      </c>
      <c r="D15" t="inlineStr">
        <is>
          <t>indeed</t>
        </is>
      </c>
      <c r="E15" t="inlineStr"/>
      <c r="F15" t="inlineStr"/>
      <c r="G15" t="inlineStr">
        <is>
          <t>San Francisco, CA,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in-cf369a8a0876ed3e</t>
        </is>
      </c>
      <c r="B16" t="inlineStr">
        <is>
          <t>Senior Software Engineer, Twitch</t>
        </is>
      </c>
      <c r="C16" t="inlineStr">
        <is>
          <t>Amazon.com</t>
        </is>
      </c>
      <c r="D16" t="inlineStr">
        <is>
          <t>indeed</t>
        </is>
      </c>
      <c r="E16" t="inlineStr"/>
      <c r="F16" t="inlineStr"/>
      <c r="G16" t="inlineStr">
        <is>
          <t>Seattle, WA, US</t>
        </is>
      </c>
      <c r="H16" s="2"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in-109ca0383ade20b6</t>
        </is>
      </c>
      <c r="B17" t="inlineStr">
        <is>
          <t>Sr. Software Engineer, Manager</t>
        </is>
      </c>
      <c r="C17" t="inlineStr">
        <is>
          <t>Amazon.com</t>
        </is>
      </c>
      <c r="D17" t="inlineStr">
        <is>
          <t>indeed</t>
        </is>
      </c>
      <c r="E17" t="inlineStr"/>
      <c r="F17" t="inlineStr"/>
      <c r="G17" t="inlineStr">
        <is>
          <t>San Francisco, CA, US</t>
        </is>
      </c>
      <c r="H17" s="2"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in-adabb007c51a2060</t>
        </is>
      </c>
      <c r="B18" t="inlineStr">
        <is>
          <t>Sr. Software Engineer, Manager</t>
        </is>
      </c>
      <c r="C18" t="inlineStr">
        <is>
          <t>Amazon.com</t>
        </is>
      </c>
      <c r="D18" t="inlineStr">
        <is>
          <t>indeed</t>
        </is>
      </c>
      <c r="E18" t="inlineStr"/>
      <c r="F18" t="inlineStr"/>
      <c r="G18" t="inlineStr">
        <is>
          <t>New York, NY, US</t>
        </is>
      </c>
      <c r="H18" s="2"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in-d7d4314abb2d66bc</t>
        </is>
      </c>
      <c r="B19" t="inlineStr">
        <is>
          <t>Sr. Software Engineer, Manager</t>
        </is>
      </c>
      <c r="C19" t="inlineStr">
        <is>
          <t>Amazon.com</t>
        </is>
      </c>
      <c r="D19" t="inlineStr">
        <is>
          <t>indeed</t>
        </is>
      </c>
      <c r="E19" t="inlineStr"/>
      <c r="F19" t="inlineStr"/>
      <c r="G19" t="inlineStr">
        <is>
          <t>Irvine, CA, US</t>
        </is>
      </c>
      <c r="H19" s="2"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in-21250c934d308407</t>
        </is>
      </c>
      <c r="B20" t="inlineStr">
        <is>
          <t>Sr. Software Engineer, Manager</t>
        </is>
      </c>
      <c r="C20" t="inlineStr">
        <is>
          <t>Amazon.com</t>
        </is>
      </c>
      <c r="D20" t="inlineStr">
        <is>
          <t>indeed</t>
        </is>
      </c>
      <c r="E20" t="inlineStr"/>
      <c r="F20" t="inlineStr"/>
      <c r="G20" t="inlineStr">
        <is>
          <t>Culver City, CA, US</t>
        </is>
      </c>
      <c r="H20" s="2"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in-6b8f02255dca8677</t>
        </is>
      </c>
      <c r="B21" t="inlineStr">
        <is>
          <t>Sr. Software Engineer, Manager</t>
        </is>
      </c>
      <c r="C21" t="inlineStr">
        <is>
          <t>Amazon.com</t>
        </is>
      </c>
      <c r="D21" t="inlineStr">
        <is>
          <t>indeed</t>
        </is>
      </c>
      <c r="E21" t="inlineStr"/>
      <c r="F21" t="inlineStr"/>
      <c r="G21" t="inlineStr">
        <is>
          <t>Seattle, WA, US</t>
        </is>
      </c>
      <c r="H21" s="2"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in-36d711bb0c28a8ce</t>
        </is>
      </c>
      <c r="B22" t="inlineStr">
        <is>
          <t>Sr. Software Engineer (ML), AGI Foundations</t>
        </is>
      </c>
      <c r="C22" t="inlineStr">
        <is>
          <t>Amazon.com</t>
        </is>
      </c>
      <c r="D22" t="inlineStr">
        <is>
          <t>indeed</t>
        </is>
      </c>
      <c r="E22" t="inlineStr"/>
      <c r="F22" t="inlineStr"/>
      <c r="G22" t="inlineStr">
        <is>
          <t>Bellevue, WA, US</t>
        </is>
      </c>
      <c r="H22" s="2" t="n">
        <v>45803</v>
      </c>
      <c r="I2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3">
      <c r="A23" t="inlineStr">
        <is>
          <t>in-b3a2613c822cb833</t>
        </is>
      </c>
      <c r="B23" t="inlineStr">
        <is>
          <t>Sr. Software Engineer (ML), AGI Foundations</t>
        </is>
      </c>
      <c r="C23" t="inlineStr">
        <is>
          <t>Amazon.com</t>
        </is>
      </c>
      <c r="D23" t="inlineStr">
        <is>
          <t>indeed</t>
        </is>
      </c>
      <c r="E23" t="inlineStr"/>
      <c r="F23" t="inlineStr"/>
      <c r="G23" t="inlineStr">
        <is>
          <t>Sunnyvale, CA, US</t>
        </is>
      </c>
      <c r="H23" s="2" t="n">
        <v>45803</v>
      </c>
      <c r="I2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4">
      <c r="A24" t="inlineStr">
        <is>
          <t>in-f1d8e5c148c836c9</t>
        </is>
      </c>
      <c r="B24" t="inlineStr">
        <is>
          <t>Software Engineer- AI/ML, AWS Neuron Distributed Training</t>
        </is>
      </c>
      <c r="C24" t="inlineStr">
        <is>
          <t>Amazon Web Services</t>
        </is>
      </c>
      <c r="D24" t="inlineStr">
        <is>
          <t>indeed</t>
        </is>
      </c>
      <c r="E24" t="inlineStr"/>
      <c r="F24" t="inlineStr"/>
      <c r="G24" t="inlineStr">
        <is>
          <t>Seattle, WA, US</t>
        </is>
      </c>
      <c r="H24" s="2" t="n">
        <v>45727</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in-6c67405c2a1ea366</t>
        </is>
      </c>
      <c r="B25" t="inlineStr">
        <is>
          <t>Software Engineer- AI/ML, AWS Neuron Distributed Training</t>
        </is>
      </c>
      <c r="C25" t="inlineStr">
        <is>
          <t>Amazon Web Services</t>
        </is>
      </c>
      <c r="D25" t="inlineStr">
        <is>
          <t>indeed</t>
        </is>
      </c>
      <c r="E25" t="inlineStr"/>
      <c r="F25" t="inlineStr"/>
      <c r="G25" t="inlineStr">
        <is>
          <t>Cupertino, CA, US</t>
        </is>
      </c>
      <c r="H25" s="2" t="n">
        <v>45727</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in-b33e05cb28a524c7</t>
        </is>
      </c>
      <c r="B26" t="inlineStr">
        <is>
          <t>Sr. Software Engineer- AI/ML, AWS Neuron Distributed Training</t>
        </is>
      </c>
      <c r="C26" t="inlineStr">
        <is>
          <t>Amazon Web Services</t>
        </is>
      </c>
      <c r="D26" t="inlineStr">
        <is>
          <t>indeed</t>
        </is>
      </c>
      <c r="E26" t="inlineStr"/>
      <c r="F26" t="inlineStr"/>
      <c r="G26" t="inlineStr">
        <is>
          <t>Cupertino, CA, US</t>
        </is>
      </c>
      <c r="H26" s="2" t="n">
        <v>45713</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in-cf284b0552aca199</t>
        </is>
      </c>
      <c r="B27" t="inlineStr">
        <is>
          <t>Sr. Software Engineer- AI/ML, AWS Neuron Distributed Training</t>
        </is>
      </c>
      <c r="C27" t="inlineStr">
        <is>
          <t>Amazon Web Services</t>
        </is>
      </c>
      <c r="D27" t="inlineStr">
        <is>
          <t>indeed</t>
        </is>
      </c>
      <c r="E27" t="inlineStr"/>
      <c r="F27" t="inlineStr"/>
      <c r="G27" t="inlineStr">
        <is>
          <t>Seattle, WA, US</t>
        </is>
      </c>
      <c r="H27" s="2" t="n">
        <v>45713</v>
      </c>
      <c r="I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in-afae999fa6a4d3a6</t>
        </is>
      </c>
      <c r="B28" t="inlineStr">
        <is>
          <t>Software Engineer</t>
        </is>
      </c>
      <c r="C28" t="inlineStr">
        <is>
          <t>Amazon.com</t>
        </is>
      </c>
      <c r="D28" t="inlineStr">
        <is>
          <t>indeed</t>
        </is>
      </c>
      <c r="E28" t="inlineStr"/>
      <c r="F28" t="inlineStr"/>
      <c r="G28" t="inlineStr">
        <is>
          <t>San Francisco, CA, US</t>
        </is>
      </c>
      <c r="H28" s="2" t="n">
        <v>46008</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in-b041c6b038c5b917</t>
        </is>
      </c>
      <c r="B29" t="inlineStr">
        <is>
          <t>Software Engineer</t>
        </is>
      </c>
      <c r="C29" t="inlineStr">
        <is>
          <t>Amazon.com</t>
        </is>
      </c>
      <c r="D29" t="inlineStr">
        <is>
          <t>indeed</t>
        </is>
      </c>
      <c r="E29" t="inlineStr"/>
      <c r="F29" t="inlineStr"/>
      <c r="G29" t="inlineStr">
        <is>
          <t>Seattle, WA, US</t>
        </is>
      </c>
      <c r="H29" s="2" t="n">
        <v>46008</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in-8fdd81d8494149ce</t>
        </is>
      </c>
      <c r="B30" t="inlineStr">
        <is>
          <t>Sr. Embedded Software Engineer - FPGA Systems, Amazon Leo's Wireless Systems</t>
        </is>
      </c>
      <c r="C30" t="inlineStr">
        <is>
          <t>Amazon.com</t>
        </is>
      </c>
      <c r="D30" t="inlineStr">
        <is>
          <t>indeed</t>
        </is>
      </c>
      <c r="E30" t="inlineStr"/>
      <c r="F30" t="inlineStr"/>
      <c r="G30" t="inlineStr">
        <is>
          <t>San Diego, CA, US</t>
        </is>
      </c>
      <c r="H30" s="2" t="n">
        <v>46008</v>
      </c>
      <c r="I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31">
      <c r="A31" t="inlineStr">
        <is>
          <t>in-b3e91d6a43ce8721</t>
        </is>
      </c>
      <c r="B31" t="inlineStr">
        <is>
          <t>Sr. Embedded Software Engineer - FPGA Systems, Amazon Leo's Wireless Systems</t>
        </is>
      </c>
      <c r="C31" t="inlineStr">
        <is>
          <t>Amazon.com</t>
        </is>
      </c>
      <c r="D31" t="inlineStr">
        <is>
          <t>indeed</t>
        </is>
      </c>
      <c r="E31" t="inlineStr"/>
      <c r="F31" t="inlineStr"/>
      <c r="G31" t="inlineStr">
        <is>
          <t>Sunnyvale, CA, US</t>
        </is>
      </c>
      <c r="H31" s="2" t="n">
        <v>46008</v>
      </c>
      <c r="I3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32">
      <c r="A32" t="inlineStr">
        <is>
          <t>in-5796bd681d3498ab</t>
        </is>
      </c>
      <c r="B32" t="inlineStr">
        <is>
          <t>Sr. Embedded Software Engineer - FPGA Systems, Amazon Leo's Wireless Systems</t>
        </is>
      </c>
      <c r="C32" t="inlineStr">
        <is>
          <t>Amazon.com</t>
        </is>
      </c>
      <c r="D32" t="inlineStr">
        <is>
          <t>indeed</t>
        </is>
      </c>
      <c r="E32" t="inlineStr"/>
      <c r="F32" t="inlineStr"/>
      <c r="G32" t="inlineStr">
        <is>
          <t>Austin, TX, US</t>
        </is>
      </c>
      <c r="H32" s="2" t="n">
        <v>46008</v>
      </c>
      <c r="I3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33">
      <c r="A33" t="inlineStr">
        <is>
          <t>in-835bf7b37423cdf0</t>
        </is>
      </c>
      <c r="B33" t="inlineStr">
        <is>
          <t>Software Engineer I</t>
        </is>
      </c>
      <c r="C33" t="inlineStr">
        <is>
          <t>Amazon.com</t>
        </is>
      </c>
      <c r="D33" t="inlineStr">
        <is>
          <t>indeed</t>
        </is>
      </c>
      <c r="E33" t="inlineStr"/>
      <c r="F33" t="inlineStr"/>
      <c r="G33" t="inlineStr">
        <is>
          <t>Irvine, CA, US</t>
        </is>
      </c>
      <c r="H33" s="2" t="n">
        <v>46006</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in-edab8f1252dd1ccf</t>
        </is>
      </c>
      <c r="B34" t="inlineStr">
        <is>
          <t>Software Engineer I</t>
        </is>
      </c>
      <c r="C34" t="inlineStr">
        <is>
          <t>Amazon.com</t>
        </is>
      </c>
      <c r="D34" t="inlineStr">
        <is>
          <t>indeed</t>
        </is>
      </c>
      <c r="E34" t="inlineStr"/>
      <c r="F34" t="inlineStr"/>
      <c r="G34" t="inlineStr">
        <is>
          <t>San Francisco, CA, US</t>
        </is>
      </c>
      <c r="H34" s="2" t="n">
        <v>46006</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in-3ca9b478ff6b0342</t>
        </is>
      </c>
      <c r="B35" t="inlineStr">
        <is>
          <t>Software Engineer I</t>
        </is>
      </c>
      <c r="C35" t="inlineStr">
        <is>
          <t>Amazon.com</t>
        </is>
      </c>
      <c r="D35" t="inlineStr">
        <is>
          <t>indeed</t>
        </is>
      </c>
      <c r="E35" t="inlineStr"/>
      <c r="F35" t="inlineStr"/>
      <c r="G35" t="inlineStr">
        <is>
          <t>Seattle, WA, US</t>
        </is>
      </c>
      <c r="H35" s="2" t="n">
        <v>46006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in-2f2acd4fc5477bd0</t>
        </is>
      </c>
      <c r="B36" t="inlineStr">
        <is>
          <t>Sr Software Engineer, Amazon Ads Exchange</t>
        </is>
      </c>
      <c r="C36" t="inlineStr">
        <is>
          <t>Amazon.com</t>
        </is>
      </c>
      <c r="D36" t="inlineStr">
        <is>
          <t>indeed</t>
        </is>
      </c>
      <c r="E36" t="inlineStr"/>
      <c r="F36" t="inlineStr"/>
      <c r="G36" t="inlineStr">
        <is>
          <t>Arlington, VA, US</t>
        </is>
      </c>
      <c r="H36" s="2" t="n">
        <v>46002</v>
      </c>
      <c r="I36"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in-424b31ff3b2d3601</t>
        </is>
      </c>
      <c r="B37" t="inlineStr">
        <is>
          <t>Sr Software Engineer, Amazon Ads Exchange</t>
        </is>
      </c>
      <c r="C37" t="inlineStr">
        <is>
          <t>Amazon.com</t>
        </is>
      </c>
      <c r="D37" t="inlineStr">
        <is>
          <t>indeed</t>
        </is>
      </c>
      <c r="E37" t="inlineStr"/>
      <c r="F37" t="inlineStr"/>
      <c r="G37" t="inlineStr">
        <is>
          <t>San Francisco, CA, US</t>
        </is>
      </c>
      <c r="H37" s="2" t="n">
        <v>46002</v>
      </c>
      <c r="I37"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in-bb3130cc0d3943dc</t>
        </is>
      </c>
      <c r="B38" t="inlineStr">
        <is>
          <t>Sr Software Engineer, Amazon Ads Exchange</t>
        </is>
      </c>
      <c r="C38" t="inlineStr">
        <is>
          <t>Amazon.com</t>
        </is>
      </c>
      <c r="D38" t="inlineStr">
        <is>
          <t>indeed</t>
        </is>
      </c>
      <c r="E38" t="inlineStr"/>
      <c r="F38" t="inlineStr"/>
      <c r="G38" t="inlineStr">
        <is>
          <t>Palo Alto, CA, US</t>
        </is>
      </c>
      <c r="H38" s="2" t="n">
        <v>46002</v>
      </c>
      <c r="I38"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in-595ff8d5ea40e9c1</t>
        </is>
      </c>
      <c r="B39" t="inlineStr">
        <is>
          <t>Software Engineer I</t>
        </is>
      </c>
      <c r="C39" t="inlineStr">
        <is>
          <t>Amazon.com</t>
        </is>
      </c>
      <c r="D39" t="inlineStr">
        <is>
          <t>indeed</t>
        </is>
      </c>
      <c r="E39" t="inlineStr"/>
      <c r="F39" t="inlineStr"/>
      <c r="G39" t="inlineStr">
        <is>
          <t>San Francisco, CA, US</t>
        </is>
      </c>
      <c r="H39" s="2" t="n">
        <v>46001</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in-079bd321b7317d96</t>
        </is>
      </c>
      <c r="B40" t="inlineStr">
        <is>
          <t>Software Engineer I</t>
        </is>
      </c>
      <c r="C40" t="inlineStr">
        <is>
          <t>Amazon.com</t>
        </is>
      </c>
      <c r="D40" t="inlineStr">
        <is>
          <t>indeed</t>
        </is>
      </c>
      <c r="E40" t="inlineStr"/>
      <c r="F40" t="inlineStr"/>
      <c r="G40" t="inlineStr">
        <is>
          <t>Seattle, WA, US</t>
        </is>
      </c>
      <c r="H40" s="2" t="n">
        <v>46001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in-42f3a5d625acdc1f</t>
        </is>
      </c>
      <c r="B41" t="inlineStr">
        <is>
          <t>Software Engineer II, Twitch</t>
        </is>
      </c>
      <c r="C41" t="inlineStr">
        <is>
          <t>Amazon.com</t>
        </is>
      </c>
      <c r="D41" t="inlineStr">
        <is>
          <t>indeed</t>
        </is>
      </c>
      <c r="E41" t="inlineStr"/>
      <c r="F41" t="inlineStr"/>
      <c r="G41" t="inlineStr">
        <is>
          <t>San Francisco, CA, US</t>
        </is>
      </c>
      <c r="H41" s="2" t="n">
        <v>45995</v>
      </c>
      <c r="I4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in-127161032e72fc60</t>
        </is>
      </c>
      <c r="B42" t="inlineStr">
        <is>
          <t>Software Engineer II, Android</t>
        </is>
      </c>
      <c r="C42" t="inlineStr">
        <is>
          <t>Amazon.com</t>
        </is>
      </c>
      <c r="D42" t="inlineStr">
        <is>
          <t>indeed</t>
        </is>
      </c>
      <c r="E42" t="inlineStr"/>
      <c r="F42" t="inlineStr"/>
      <c r="G42" t="inlineStr">
        <is>
          <t>Seattle, WA, US</t>
        </is>
      </c>
      <c r="H42" s="2" t="n">
        <v>45995</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in-6594184ce19394bc</t>
        </is>
      </c>
      <c r="B43" t="inlineStr">
        <is>
          <t>Software Engineer II, Twitch</t>
        </is>
      </c>
      <c r="C43" t="inlineStr">
        <is>
          <t>Amazon.com</t>
        </is>
      </c>
      <c r="D43" t="inlineStr">
        <is>
          <t>indeed</t>
        </is>
      </c>
      <c r="E43" t="inlineStr"/>
      <c r="F43" t="inlineStr"/>
      <c r="G43" t="inlineStr">
        <is>
          <t>Seattle, WA, US</t>
        </is>
      </c>
      <c r="H43" s="2" t="n">
        <v>45995</v>
      </c>
      <c r="I4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in-ab640b8c8dfa0cb1</t>
        </is>
      </c>
      <c r="B44" t="inlineStr">
        <is>
          <t>Software Engineer II, Android</t>
        </is>
      </c>
      <c r="C44" t="inlineStr">
        <is>
          <t>Amazon.com</t>
        </is>
      </c>
      <c r="D44" t="inlineStr">
        <is>
          <t>indeed</t>
        </is>
      </c>
      <c r="E44" t="inlineStr"/>
      <c r="F44" t="inlineStr"/>
      <c r="G44" t="inlineStr">
        <is>
          <t>Irvine, CA, US</t>
        </is>
      </c>
      <c r="H44" s="2" t="n">
        <v>45995</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in-600b9fd1ed49ddc0</t>
        </is>
      </c>
      <c r="B45" t="inlineStr">
        <is>
          <t>Software Engineer II, Android</t>
        </is>
      </c>
      <c r="C45" t="inlineStr">
        <is>
          <t>Amazon.com</t>
        </is>
      </c>
      <c r="D45" t="inlineStr">
        <is>
          <t>indeed</t>
        </is>
      </c>
      <c r="E45" t="inlineStr"/>
      <c r="F45" t="inlineStr"/>
      <c r="G45" t="inlineStr">
        <is>
          <t>San Francisco, CA, US</t>
        </is>
      </c>
      <c r="H45" s="2" t="n">
        <v>45995</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in-d4be35a8189c0da7</t>
        </is>
      </c>
      <c r="B46" t="inlineStr">
        <is>
          <t>Senior Software Engineer - Query Optimization, Aurora DSQL</t>
        </is>
      </c>
      <c r="C46" t="inlineStr">
        <is>
          <t>Amazon Web Services</t>
        </is>
      </c>
      <c r="D46" t="inlineStr">
        <is>
          <t>indeed</t>
        </is>
      </c>
      <c r="E46" t="inlineStr"/>
      <c r="F46" t="inlineStr"/>
      <c r="G46" t="inlineStr">
        <is>
          <t>East Palo Alto, CA, US</t>
        </is>
      </c>
      <c r="H46" s="2" t="n">
        <v>45931</v>
      </c>
      <c r="I4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47">
      <c r="A47" t="inlineStr">
        <is>
          <t>in-0c674f4871ff7d82</t>
        </is>
      </c>
      <c r="B47" t="inlineStr">
        <is>
          <t>Senior Software Engineer - Query Optimization, Aurora DSQL</t>
        </is>
      </c>
      <c r="C47" t="inlineStr">
        <is>
          <t>Amazon Web Services</t>
        </is>
      </c>
      <c r="D47" t="inlineStr">
        <is>
          <t>indeed</t>
        </is>
      </c>
      <c r="E47" t="inlineStr"/>
      <c r="F47" t="inlineStr"/>
      <c r="G47" t="inlineStr">
        <is>
          <t>Seattle, WA, US</t>
        </is>
      </c>
      <c r="H47" s="2" t="n">
        <v>45931</v>
      </c>
      <c r="I4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48">
      <c r="A48" t="inlineStr">
        <is>
          <t>in-7cc43a4f2e8232fe</t>
        </is>
      </c>
      <c r="B48" t="inlineStr">
        <is>
          <t>Software Developer Engineer - iOS, Ring</t>
        </is>
      </c>
      <c r="C48" t="inlineStr">
        <is>
          <t>Amazon.com</t>
        </is>
      </c>
      <c r="D48" t="inlineStr">
        <is>
          <t>indeed</t>
        </is>
      </c>
      <c r="E48" t="inlineStr"/>
      <c r="F48" t="inlineStr"/>
      <c r="G48" t="inlineStr">
        <is>
          <t>Austin, TX, US</t>
        </is>
      </c>
      <c r="H48" s="2" t="n">
        <v>45812</v>
      </c>
      <c r="I4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in-9c0707db93409612</t>
        </is>
      </c>
      <c r="B49" t="inlineStr">
        <is>
          <t>Software Developer Engineer - iOS, Ring</t>
        </is>
      </c>
      <c r="C49" t="inlineStr">
        <is>
          <t>Amazon.com</t>
        </is>
      </c>
      <c r="D49" t="inlineStr">
        <is>
          <t>indeed</t>
        </is>
      </c>
      <c r="E49" t="inlineStr"/>
      <c r="F49" t="inlineStr"/>
      <c r="G49" t="inlineStr">
        <is>
          <t>Irvine, CA, US</t>
        </is>
      </c>
      <c r="H49" s="2" t="n">
        <v>45812</v>
      </c>
      <c r="I4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in-237bfa957a7473aa</t>
        </is>
      </c>
      <c r="B50" t="inlineStr">
        <is>
          <t>Software Developer Engineer - iOS, Ring</t>
        </is>
      </c>
      <c r="C50" t="inlineStr">
        <is>
          <t>Amazon.com</t>
        </is>
      </c>
      <c r="D50" t="inlineStr">
        <is>
          <t>indeed</t>
        </is>
      </c>
      <c r="E50" t="inlineStr"/>
      <c r="F50" t="inlineStr"/>
      <c r="G50" t="inlineStr">
        <is>
          <t>Hawthorne, CA, US</t>
        </is>
      </c>
      <c r="H50" s="2" t="n">
        <v>45812</v>
      </c>
      <c r="I5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in-cfa58a40f22e827a</t>
        </is>
      </c>
      <c r="B51" t="inlineStr">
        <is>
          <t>Senior Software Engineer - Query Processing, Aurora DSQL</t>
        </is>
      </c>
      <c r="C51" t="inlineStr">
        <is>
          <t>Amazon Web Services</t>
        </is>
      </c>
      <c r="D51" t="inlineStr">
        <is>
          <t>indeed</t>
        </is>
      </c>
      <c r="E51" t="inlineStr"/>
      <c r="F51" t="inlineStr"/>
      <c r="G51" t="inlineStr">
        <is>
          <t>Seattle, WA, US</t>
        </is>
      </c>
      <c r="H51" s="2" t="n">
        <v>45796</v>
      </c>
      <c r="I5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in-f780cf929bbbef2f</t>
        </is>
      </c>
      <c r="B52" t="inlineStr">
        <is>
          <t>Senior Software Engineer - Query Processing, Aurora DSQL</t>
        </is>
      </c>
      <c r="C52" t="inlineStr">
        <is>
          <t>Amazon Web Services</t>
        </is>
      </c>
      <c r="D52" t="inlineStr">
        <is>
          <t>indeed</t>
        </is>
      </c>
      <c r="E52" t="inlineStr"/>
      <c r="F52" t="inlineStr"/>
      <c r="G52" t="inlineStr">
        <is>
          <t>East Palo Alto, CA, US</t>
        </is>
      </c>
      <c r="H52" s="2" t="n">
        <v>45796</v>
      </c>
      <c r="I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in-8bc171123ff0fcbd</t>
        </is>
      </c>
      <c r="B53" t="inlineStr">
        <is>
          <t>Global IT Software Engineer Senior Manager</t>
        </is>
      </c>
      <c r="C53" t="inlineStr">
        <is>
          <t>Boston Consulting Group</t>
        </is>
      </c>
      <c r="D53" t="inlineStr">
        <is>
          <t>indeed</t>
        </is>
      </c>
      <c r="E53">
        <f>HYPERLINK("https://www.indeed.com/viewjob?jk=8bc171123ff0fcbd", "https://www.indeed.com/viewjob?jk=8bc171123ff0fcbd")</f>
        <v/>
      </c>
      <c r="F53">
        <f>HYPERLINK("https://jsv3.recruitics.com/redirect?rx_cid=3493&amp;rx_jobId=56536_1001&amp;rx_url=https%3A%2F%2Fcareers.bcg.com%2Fglobal%2Fen%2Fjob%2FBCG1US56536EXTERNALENGLOBAL%2FGlobal-IT-Software-Engineer-Senior-Manager%3Frx_a%3D1%26rx_c%3Dnamr---tech-and-engineering%26rx_ch%3Djobp4p%26rx_group%3D502809%26rx_id%3D4d8e2572-f3ca-11f0-9ce5-493c1a0b2aa2%26rx_job%3D56536_1001%26rx_medium%3Dcpc%26rx_r%3Dnone%26rx_source%3DIndeed%26rx_ts%3D20260201T030010Z%26rx_vp%3Dcpc%26utm_campaign%3DNAMRP092025-NAM-global_recruitics_namr-techengineering%26utm_medium%3DNAMRP092025-NAM%26utm_source%3Djobboard_indeed", "https://jsv3.recruitics.com/redirect?rx_cid=3493&amp;rx_jobId=56536_1001&amp;rx_url=https%3A%2F%2Fcareers.bcg.com%2Fglobal%2Fen%2Fjob%2FBCG1US56536EXTERNALENGLOBAL%2FGlobal-IT-Software-Engineer-Senior-Manager%3Frx_a%3D1%26rx_c%3Dnamr---tech-and-engineering%26rx_ch%3Djobp4p%26rx_group%3D502809%26rx_id%3D4d8e2572-f3ca-11f0-9ce5-493c1a0b2aa2%26rx_job%3D56536_1001%26rx_medium%3Dcpc%26rx_r%3Dnone%26rx_source%3DIndeed%26rx_ts%3D20260201T030010Z%26rx_vp%3Dcpc%26utm_campaign%3DNAMRP092025-NAM-global_recruitics_namr-techengineering%26utm_medium%3DNAMRP092025-NAM%26utm_source%3Djobboard_indeed")</f>
        <v/>
      </c>
      <c r="G53" t="inlineStr">
        <is>
          <t>Atlanta, GA, US</t>
        </is>
      </c>
      <c r="H53" s="3" t="n">
        <v>46037</v>
      </c>
      <c r="I53" t="inlineStr">
        <is>
          <t>**Locations**: Boston \| Atlanta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Stay updated on emerging technologies such as LLMs, APIs, and cloud\-based solutions, applying these innovations to drive impactful outcomes.  
*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6\-8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$143,000\.00 in our lowest cost US region and goes up to $186,300\.00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54">
      <c r="A54" t="inlineStr">
        <is>
          <t>in-95808b47b6b62e47</t>
        </is>
      </c>
      <c r="B54" t="inlineStr">
        <is>
          <t>Senior Software Engineer</t>
        </is>
      </c>
      <c r="C54" t="inlineStr">
        <is>
          <t>KYXStart.Ai</t>
        </is>
      </c>
      <c r="D54" t="inlineStr">
        <is>
          <t>indeed</t>
        </is>
      </c>
      <c r="E54">
        <f>HYPERLINK("https://www.indeed.com/viewjob?jk=95808b47b6b62e47", "https://www.indeed.com/viewjob?jk=95808b47b6b62e47")</f>
        <v/>
      </c>
      <c r="F54">
        <f>HYPERLINK("http://www.indeed.com/job/senior-software-engineer-95808b47b6b62e47", "http://www.indeed.com/job/senior-software-engineer-95808b47b6b62e47")</f>
        <v/>
      </c>
      <c r="G54" t="inlineStr">
        <is>
          <t>US</t>
        </is>
      </c>
      <c r="H54" s="3" t="n">
        <v>46053</v>
      </c>
      <c r="I54" t="inlineStr">
        <is>
          <t>**Job description**
Join KYXStart — the trust infrastructure for a world where humans, AI agents, and businesses transact continuously, autonomously, and globally. KYXStart provides a unified, Real\-time Identity \&amp; Payments Verification Platform helping banks, fintechs, and merchants verify consumers and businesses instantly. We’re growing fast and looking for a Senior Software Engineer who excels in fast\-moving, mission\-driven environments and enjoys shaping both architecture and scale platform to products globally. As an early member of our core team, you’ll work closely with the CTO, product, and engineering leadership .
**\*\*Location:\*\*** Remote (US or Canada).
**What You’ll Do in this Role**
In this role, you’ll own major parts of our platform—designing secure systems, building scalable services, and setting engineering standards across the stack.
You’ll work closely with product, design, DevOps, and ML teams as you contribute to a high\-impact, security\-focused platform trusted by businesses and biggest brands worldwide.
This position is ideal for someone who combines deep technical ability with strong product intuition, a security\-first mindset, and a passion for building reliable systems end\-to\-end.
**What You'll Do**
Platform \&amp; Full\-Stack Engineering
* Architect, build, and scale secure backend services using **NestJS, TypeScript,** and **Prisma**
* Develop highly performant, resilient UIs with **React**
* Design and maintain secure, well\-structured APIs and data access layers for sensitive PII/PHI
* Work with **PostgreSQL (Aurora), JSONB**, and hybrid relational models
* Leverage **Redis** and **OpenSearch** for caching, search, and analytics workloads
* Lead efforts to improve performance, reliability, and observability across the system
Security, Privacy \&amp; Compliance Mindset
* Champion secure coding and least\-privilege design across services and infrastructure
* Proactively monitor CVEs, manage dependencies, and strengthen infrastructure posture
* Participate in and help lead threat modeling, risk assessments, and incident response readiness
* Contribute to compliance\-oriented engineering practices (SOC 2, HIPAA, PCI, etc.)
* Hand\-on and drive architectural discussions and influence long\-term technical direction
* Conduct thoughtful code reviews and mentor other engineers
* Partner closely with product, design, and ML teams to define scope, deliverables, and tradeoffs
* Build internal tools, automation, CI/CD workflows, and developer experience improvements
* Help evolve engineering best practices, documentation, and operational maturity
**Who You Are** 
* 5\+ years of professional experience in full\-stack or backend engineering
* Strong expertise with **JavaScript/TypeScript, NestJS, React, and API development**
* Deep understanding of **PostgreSQL, JSONB,** indexing, and performance tuning
* Experience working with **AWS**, ideally E**KS, Aurora, Lambda, IAM,** and cloud networking
* Familiar with Python for scripting or machine learning integration
* Strong appreciation for application and cloud security—you think like an attacker and build like a guardian
* Experience working in identity, fintech, healthtech, or regulated environments is a plus
* Comfortable owning large features independently and influencing architecture\-level decisions
**What Excites You** 
* Solving high impact business and complex engineering challenges involving identity, PII protection, and hyper\-scalable distributed systems
* Writing code that stands up under real\-world usage, audits, and compliance requirements
* Working in a high\-trust, high\-velocity environment where your contributions matter
* Collaborating with cross\-functional teams—product, design, ML, and security
* Leading and owning products end\-to\-end, from design to deployment to monitoring
**Eligiblity** 
* Applicants must be authorized to work for ANY employer in the U.S or Canada**.** We are unable to sponsor or take over sponsorship of an employment Visa at this time.
* This role is not eligible for visa sponsorship or relocation assistance.
* Position requires valid work authorization that does not require sponsorship of a visa for employment authorization in the U.S.
**Compensation**
Competitive compensation including salary\+ equity participation and benefits.
**Why KYXStart**
\- Join early and be part of an exciting high\-growth global company redefining how identity and payments verification works across markets as we get into a world instant payments, agentic commerce and programmable finance.
\- Collaborate directly with successful entrepreneurial leadership on high\-impact initiatives and with a collaborative, high performance and chill team environment. Flexibility to work remotely or form home.
\- Gain financial upside and ownership through equity.
\- Enjoy mission\-driven product solving high impact customer problems in identity, agentic commerce and compliance.
\- High visibility and autonomy—your decisions will directly shape our platform
\- Remote\-first team with flexibility across US and Canada
\- Sense of ownership, self\-accountability and enjoy working in a high growth startup
\- Ability to influence product, culture, and processes
\- Ample opportunity to professional grow in engineering, architecture, infrastructure, security engineering, data systems, or ML
Benefits:
* Health insurance
* Paid time off
* Work from home
Education:
* Bachelor's (Required)
Location:
* United States (Preferred)
Work Location: Remote</t>
        </is>
      </c>
    </row>
    <row r="55">
      <c r="A55" t="inlineStr">
        <is>
          <t>in-c00dfafdad61f407</t>
        </is>
      </c>
      <c r="B55" t="inlineStr">
        <is>
          <t>Software Engineer / Systems Developer (Automotive Technology)</t>
        </is>
      </c>
      <c r="C55" t="inlineStr">
        <is>
          <t>TRUEPATH Finder</t>
        </is>
      </c>
      <c r="D55" t="inlineStr">
        <is>
          <t>indeed</t>
        </is>
      </c>
      <c r="E55">
        <f>HYPERLINK("https://www.indeed.com/viewjob?jk=c00dfafdad61f407", "https://www.indeed.com/viewjob?jk=c00dfafdad61f407")</f>
        <v/>
      </c>
      <c r="F55">
        <f>HYPERLINK("http://www.indeed.com/job/software-engineer-systems-developer-automotive-technology-c00dfafdad61f407", "http://www.indeed.com/job/software-engineer-systems-developer-automotive-technology-c00dfafdad61f407")</f>
        <v/>
      </c>
      <c r="G55" t="inlineStr">
        <is>
          <t>Remote, US</t>
        </is>
      </c>
      <c r="H55" s="3" t="n">
        <v>46053</v>
      </c>
      <c r="I55" t="inlineStr">
        <is>
          <t>**Overview**
TRUEPATH Finder is expanding nationwide and building a modern automotive technology platform designed specifically for car dealerships. We’re looking for a skilled programmer / systems\-oriented developer who can help build, refine, and scale a production\-ready platform that blends backend logic, data handling, and clean customer\-facing web experiences.
This role is ideal for someone who enjoys architecting systems, understands how real businesses operate, and can think beyond “just code” to how software performs in the real world \- especially in a dealership environment.
You’ll work closely with the founder on product execution, infrastructure decisions, and long\-term scalability, and will play a key role in preparing the platform for consistent dealership onboarding.
**What You’ll Do**
* Build and maintain backend systems that support data ingestion, processing, and logic execution
* Develop and improve customer\-facing web experiences (embedded tools, flows, or portals)
* Translate product requirements into clean, scalable technical solutions
* Work with structured and semi\-structured data sources
* Optimize performance, reliability, and maintainability as usage scales
* Collaborate on system architecture and future feature planning
* Troubleshoot issues across backend logic, integrations, and web layers
* Document systems clearly for future development and expansion
* **Assist with dealership technical setup and onboarding**, ensuring systems are configured correctly and function smoothly in real\-world dealership environments
* **Occasionally interface with dealership staff** to support setup, integrations, or technical clarification (not sales\-focused)
**What We’re Looking For**
* Strong programming ability with real\-world project experience
* Comfortable working across backend logic and frontend/web experiences
* Experience with web development (HTML, CSS, JavaScript, and modern frameworks or equivalents)
* Solid understanding of databases, APIs, and data flow between systems
* Ability to think in terms of systems, scale, and repeatability
* Comfortable working independently and owning technical outcomes
* Clear communicator who can explain technical decisions plainly
* Experience with business\-facing software (B2B platforms, internal tools, or SaaS)
**Strongly Preferred**
* Familiarity with how car dealerships operate (sales flow, inventory, lead handling, operations)
* Experience building software that supports non\-technical users
* Background in IT, systems administration, platform engineering, or deployment\-focused roles
* Comfort assisting with technical onboarding and environment setup
**Why TPF**
* Fully remote work with flexible structure
* Founder\-led product with clear direction and long\-term vision
* Opportunity to build a system designed to scale nationally
* Technical autonomy \- real influence over architecture and execution
* Work on software that directly impacts real businesses and customers
* Long\-term potential for expanded responsibility and leadership
**Who This Role Is Perfect For**
* Developers who enjoy building end\-to\-end systems, not just isolated features
* Engineers who want ownership instead of endless ticket queues
* Programmers with interest in automotive, marketplace, or decision\-driven software
* Builders who care about clean logic, performance, and user experience
* Technically strong individuals who also understand business realities
**About the Company**
TRUEPATH Finder is a values\-driven company founded on principles rooted in Christian ethics, including integrity, service, and treating others with respect and kindness. While growth and innovation matter, our priority is building tools that genuinely help businesses and people succeed.
We are committed to operating in good faith, practicing honest business, and forming long\-term professional relationships. We welcome individuals of all backgrounds who share a commitment to ethical conduct, professionalism, and respect for others.
Job Types: Full\-time, Contract
Pay: $90,000\.00 \- $140,000\.00 per year
Work Location: Remote</t>
        </is>
      </c>
    </row>
    <row r="56">
      <c r="A56" t="inlineStr">
        <is>
          <t>in-2be431450a077d93</t>
        </is>
      </c>
      <c r="B56" t="inlineStr">
        <is>
          <t>DCSD- Contingent- Senior Software Developer - Remote</t>
        </is>
      </c>
      <c r="C56" t="inlineStr">
        <is>
          <t>Resource Metrix</t>
        </is>
      </c>
      <c r="D56" t="inlineStr">
        <is>
          <t>indeed</t>
        </is>
      </c>
      <c r="E56">
        <f>HYPERLINK("https://www.indeed.com/viewjob?jk=2be431450a077d93", "https://www.indeed.com/viewjob?jk=2be431450a077d93")</f>
        <v/>
      </c>
      <c r="F56">
        <f>HYPERLINK("https://resource-metrix.careerplug.com/j/02vg6vh", "https://resource-metrix.careerplug.com/j/02vg6vh")</f>
        <v/>
      </c>
      <c r="G56" t="inlineStr">
        <is>
          <t>US</t>
        </is>
      </c>
      <c r="H56" s="3" t="n">
        <v>46053</v>
      </c>
      <c r="I56" t="inlineStr">
        <is>
          <t>**Benefits:**
* Bonus based on performance
* Competitive salary
* Paid time off
**Client Summary**
Senior Developers support Concorde modernization by building, enhancing, and sustaining applications critical to DEA mission operations.  
**Enhanced Role Summary**  
This role develops advanced features, modernizes .NET components, supports shared libraries, implements database updates, conducts testing, and contributes to secure, scalable, high‑availability systems.  
**Requirements / Responsibilities**  
* Develop Concorde applications using ASP.NET, C\#, JavaScript.
* Conduct unit, integration, and functional testing.
* Support schema updates, stored procedures, and scripts.
* Participate in Agile ceremonies and code reviews.
* Support deployments across multiple environments.
**Qualifications**
* 10\+ years web development.
* 8\+ years ASP.NET MVC.
* 5\+ years .NET Core.
* 5\+ years Agile.
* Secret clearance.
**Salary Range: $130,000 – $170,000**  
Place of Performance: Arlington \&amp; Springfield, VA
This is a remote position.</t>
        </is>
      </c>
    </row>
    <row r="57">
      <c r="A57" t="inlineStr">
        <is>
          <t>in-600574440c96b2d6</t>
        </is>
      </c>
      <c r="B57" t="inlineStr">
        <is>
          <t>Software Developer 5 (OS Kernel)</t>
        </is>
      </c>
      <c r="C57" t="inlineStr">
        <is>
          <t>Oracle</t>
        </is>
      </c>
      <c r="D57" t="inlineStr">
        <is>
          <t>indeed</t>
        </is>
      </c>
      <c r="E57">
        <f>HYPERLINK("https://www.indeed.com/viewjob?jk=600574440c96b2d6", "https://www.indeed.com/viewjob?jk=600574440c96b2d6")</f>
        <v/>
      </c>
      <c r="F57">
        <f>HYPERLINK("https://eeho.fa.us2.oraclecloud.com/hcmUI/CandidateExperience/en/sites/CX_1/job/324876", "https://eeho.fa.us2.oraclecloud.com/hcmUI/CandidateExperience/en/sites/CX_1/job/324876")</f>
        <v/>
      </c>
      <c r="G57" t="inlineStr">
        <is>
          <t>Santa Clara, CA, US</t>
        </is>
      </c>
      <c r="H57" s="3" t="n">
        <v>46052</v>
      </c>
      <c r="I57" t="inlineStr">
        <is>
          <t>Location: Burlington, MA or Santa Clara, CA  
OCI is driving development of next generation hyperscalar GPU data centers built on Nvidia and AMD GPUs. OCI enables popular AI services such as openAI on GPU compute servers. We are looking for engineers experienced in working with GPU device drivers and the runtime libraries (CUDA and ROCM). You must understand GPU architectural concepts such as UVM, host to device and device to host interactions including able to quantify performance issues in all such interactions. We are looking for strong experience in building and debugging issues that occur in the GPU drivers and Linux kernels that interact with GPU stack including functional and performance issues when running GPU AI/ML/inference workloads. The candidate should be able to use all standard tools targeted performance and stress such as DCGM, NCCL and RCCL suites. In addition, we are looking for experience debugging and diagnosing issues in the system reported via RAS events notified via the GPU BMC and other monitoring agents. The candidate should have breath knowledge in BIOS, CPU and GPU BMC and must show strong proficiency in C programming and working knowledge in Python or other scripting language used in AI/GPU environments
As a member of the software engineering division, you will be required to have in depth knowledge of Nvidia and AMD GPU architecture working in a fast paced development environment on projects critical to OCI's success. You must demonstrate a good knowledge of GPU drivers including building and debugging issues related to them. You will regularly engage in debugging issues that are seen during new product bring up and at data centers running customer workloads including driving those issues with GPU vendors to resolution. All OCI engineers are expected to be on call periodically to handle OCI data center escalations. Must be comfortable with CI/CD pipelines to take vendor SW drops and build customized drivers against Oracle Linux and Ubuntu distributions, unit test functionality and run GPU workloads to validate performance using standard benchmarks. In addition, you should have working knowledge of the entire boot process including touch points with the BIOS and the BMC subsystems. We need engineers who show strong technical and communication skills as they engage with cross functional teams such as the HW and FW teams to debug issues and to ultimately drive OCI success.  
\#LI\-CM1</t>
        </is>
      </c>
    </row>
    <row r="58">
      <c r="A58" t="inlineStr">
        <is>
          <t>in-b452b87230a03c33</t>
        </is>
      </c>
      <c r="B58" t="inlineStr">
        <is>
          <t>Senior Software Engineer (Core Infrastructure)</t>
        </is>
      </c>
      <c r="C58" t="inlineStr">
        <is>
          <t>Build Technologies</t>
        </is>
      </c>
      <c r="D58" t="inlineStr">
        <is>
          <t>indeed</t>
        </is>
      </c>
      <c r="E58">
        <f>HYPERLINK("https://www.indeed.com/viewjob?jk=b452b87230a03c33", "https://www.indeed.com/viewjob?jk=b452b87230a03c33")</f>
        <v/>
      </c>
      <c r="F58">
        <f>HYPERLINK("https://jobs.ashbyhq.com/build/f93af3ad-316b-4c37-a891-2025f3b41c3b?utm_source=7X61J4VokV", "https://jobs.ashbyhq.com/build/f93af3ad-316b-4c37-a891-2025f3b41c3b?utm_source=7X61J4VokV")</f>
        <v/>
      </c>
      <c r="G58" t="inlineStr">
        <is>
          <t>San Francisco, CA, US</t>
        </is>
      </c>
      <c r="H58" s="3" t="n">
        <v>46052</v>
      </c>
      <c r="I58" t="inlineStr">
        <is>
          <t>**About Build**
===============
AI for the Built World: Build has created the agentic AI stack for institutional real estate, automating complex development and acquisitions workflows 90% faster than humans to accelerate the world’s most important built projects \- digital infrastructure, energy, industrial \- from concept to completion.
Our mission is to accelerate and amplify the world's most important built projects \- inventing a better way to build through a collaboration between human experts and agentic AI.
We envision a future where the world's buildings are driven from concept to completion, autonomously. Without delays, cost, and complexity. Enabling people to deliver a magnitude more deals. To make decisions, build relationships and create.
To start, we're partnering with the world's biggest built world institutions from $T alternative assets investors, prolific developers and even governments to push the frontier of what's possible. We’re backed by c\-suite from Blackstone and OpenAI alongside the world’s best venture capital firms.
Join us in shaping the future of the Built World and exponentially accelerate your career in the process. We welcome you to do your life's work here.
**About the role**
==================
You own the foundational systems that make Build’s agentic AI real in production. This role is responsible for the infrastructure that orchestrates autonomous agents, manages long\-running, high\-stakes workflows, and guarantees reliability at institutional scale. Your work sets the hard limits of speed, autonomy, and trust across the entire product;
* Build and operate the core primitives: agent orchestration, workflow engines, state management, eventing, and execution reliability.
* Design systems that survive real\-world failure modes: partial data, human handoffs, long timelines, regulatory constraints, and zero tolerance for silent errors.
* Make architectural decisions that directly determine product capability, velocity, and customer trust.
* Own infrastructure end\-to\-end: design, implementation, testing, deployment, observability, and ongoing evolution.
* Work tightly with product, applied AI, and domain experts to translate abstract workflows into durable, production\-grade systems.
* Set the technical bar for robustness and clarity; other engineers build on what you create.
**How to win at Build**
=======================
Growing Build requires a radically different approach to company building. As a company we’re focused on one outcome: winning. That means we move fast, work with intensity, and demand excellence from ourselves. We operate with intensity but create an environment that allows for a lot of fun together. The result is that we're one of the fastest shipping teams in vertical AI, partnering with the best to automate the world around us.
**Performance** and **teamwork** are the core of Build’s operation. We look for those who are able to do both, who often exhibit a particular ability for;
* **Velocity:** You are relentless in asking the right questions to set direction. Once you find the right direction you go all\-in.
* **Excellence:** You obsess with being the best. For you, excellence is a non\-negotiable standard rather than an aspiration.
* **Long time horizons:** You choose to be in something for the long run, because that’s where most of the returns are realized.
* **Ownership:** You take full ownership of the outcomes. You’re meticulous in your pursuits and believe you can actively shape your environment rather than adapt to it.
* **Customers:** You have a passion for the built world and those who shape it. You probably have a quirky hobby or story that relates to your love for building.
* **Integrity:** You chose to do the right thing even when it isn’t easy.
* **Trust:** You only work with people you can trust because it’s the only way to do truly extraordinary things.
* **Yield:** You have a burning need to see a result on every action you take and you’re always looking for routes to do more with less.
**What we offer**
=================
* **Radical autonomy, real ownership:** High standards. Minimal bureaucracy. You own problems end\-to\-end, choose how the work gets done, and are accountable for exceptional outcomes. Ownership is matched with meaningful, generous equity.
* **An accelerated founder’s track:** Build is for builders. If you want to learn what it actually takes to create a generational company – Product judgment, execution speed, and accountability – there is no faster path than building from zero when everything is for grabs.
* **Elite teammates, uncompromising bar:** You work with people who think clearly, execute relentlessly, and take full ownership. The team you build becomes the company you build. Growth here is not just professional; it reshapes how you operate and in return how Build operates.
* **Perpetual adventure:** We attract the strongest of the strange. Extraordinary experiences are part of the culture \- from the food we eat together to the space we occupy. Intensity is intentional.
* **Shape the built world:** We are rebuilding how the physical world gets made. Our software doesn’t live in the abstract \- it turns into real projects breaking ground because we exist. We work with the largest institutions, push the frontier of AI, and watch our decisions translate directly into the world around us.
Compensation Range: $170K \- $245K</t>
        </is>
      </c>
    </row>
    <row r="59">
      <c r="A59" t="inlineStr">
        <is>
          <t>in-69698540a290b508</t>
        </is>
      </c>
      <c r="B59" t="inlineStr">
        <is>
          <t>Senior Software Engineer – Agentic AI</t>
        </is>
      </c>
      <c r="C59" t="inlineStr">
        <is>
          <t>Blueprint Technologies</t>
        </is>
      </c>
      <c r="D59" t="inlineStr">
        <is>
          <t>indeed</t>
        </is>
      </c>
      <c r="E59">
        <f>HYPERLINK("https://www.indeed.com/viewjob?jk=69698540a290b508", "https://www.indeed.com/viewjob?jk=69698540a290b508")</f>
        <v/>
      </c>
      <c r="F59">
        <f>HYPERLINK("https://grnh.se/w26k0vp01us", "https://grnh.se/w26k0vp01us")</f>
        <v/>
      </c>
      <c r="G59" t="inlineStr">
        <is>
          <t>Seattle, WA, US</t>
        </is>
      </c>
      <c r="H59" s="3" t="n">
        <v>46052</v>
      </c>
      <c r="I59"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act as a senior technical leader responsible for designing, building, and evolving large\-scale cloud\-native and AI\-powered systems that support a global consulting and enterprise delivery organization. You will lead architectural decisions, drive hands\-on development, and shape the next generation of agentic AI solutions used across critical business workflows.
You will work closely with cross\-functional engineering, product, and platform teams to define requirements, review designs, and unblock complex technical challenges. The role balances deep technical execution with strategic influence, requiring both hands\-on engineering and leadership in architecture, quality, and operational excellence.
**Key Responsibilities**
* Lead the architecture, design, and implementation of large\-scale cloud\-native, full\-stack, and AI\-powered systems.
* Drive technical direction for AI engineering initiatives, including LLM integration, retrieval\-augmented generation (RAG), grounding strategies, embeddings, and agentic AI patterns.
* Design, re\-architect, and extend enterprise AI agents and intelligent workflows used across business\-critical scenarios.
* Provide senior technical guidance on distributed systems, microservices, event\-driven architectures, and cloud integration patterns.
* Review and approve system designs covering APIs, data stores, messaging systems, and enterprise integrations.
* Define and enforce engineering standards for security, scalability, reliability, performance, and maintainability.
* Lead hands\-on development, code reviews, performance tuning, and complex troubleshooting in production environments.
* Partner with cross\-functional teams to define scope, technical requirements, delivery milestones, and release plans.
* Drive CI/CD, automated testing, deployment strategies, and operational improvements for cloud and AI systems.
* Mentor senior and mid\-level engineers, raising technical quality and engineering maturity across the organization.
* Take ownership of incident response, root cause analysis, and continuous reliability improvements for live services.
**Required Qualifications**
* 10\+ years of overall experience in software engineering, including large\-scale enterprise systems.
* Strong hands\-on experience with full\-stack development using modern backend and frontend technologies.
* Deep expertise in cloud architecture and distributed systems, including microservices, event\-driven design, and observability.
* Proven experience designing and implementing scalable, secure cloud\-native applications.
* Hands\-on experience building AI\-powered features using LLMs, RAG pipelines, embeddings, and grounding techniques.
* Strong proficiency in backend development (C\#, .NET or equivalent), REST API design, and modern web technologies.
* Experience working across the full software development lifecycle: architecture, design, development, testing, deployment, and operations.
* Demonstrated ability to lead technical design discussions and make complex architectural decisions.
* Strong communication skills, with the ability to explain complex technical concepts to both technical and non\-technical stakeholders.
* Bachelor's degree in Computer Science, Software Engineering, or a related technical field.
**Preferred Qualifications**
* Master's degree in Computer Science, Software Engineering, or a related field.
* 3\+ years of hands\-on experience with AI engineering, including LLM integration, RAG systems, and agentic AI workflows.
* Experience designing or re\-architecting enterprise\-scale AI agents or intelligent automation platforms.
* Deep experience with cloud PaaS services such as serverless compute, messaging, event streaming, managed databases, and API gateways.
* Strong background in cloud security, identity, compliance, and enterprise governance.
* Experience leading technical strategy for complex, multi\-team engineering initiatives.
* Proven track record of shipping high\-impact cloud or AI\-powered products in fast\-paced environments.
* Experience mentoring senior engineers and influencing engineering culture at scale.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**$130,000 to $145,000 USD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t>
        </is>
      </c>
    </row>
    <row r="60">
      <c r="A60" t="inlineStr">
        <is>
          <t>in-5b75a2c5614cd58d</t>
        </is>
      </c>
      <c r="B60" t="inlineStr">
        <is>
          <t>CONTRACT Senior Software Developer (ONSITE)</t>
        </is>
      </c>
      <c r="C60" t="inlineStr">
        <is>
          <t>Outform Group</t>
        </is>
      </c>
      <c r="D60" t="inlineStr">
        <is>
          <t>indeed</t>
        </is>
      </c>
      <c r="E60">
        <f>HYPERLINK("https://www.indeed.com/viewjob?jk=5b75a2c5614cd58d", "https://www.indeed.com/viewjob?jk=5b75a2c5614cd58d")</f>
        <v/>
      </c>
      <c r="F60">
        <f>HYPERLINK("http://recruit.hirebridge.com/v3/careercenter/v2/details.aspx?jid=905137&amp;cid=8141&amp;locvalue=1012", "http://recruit.hirebridge.com/v3/careercenter/v2/details.aspx?jid=905137&amp;cid=8141&amp;locvalue=1012")</f>
        <v/>
      </c>
      <c r="G60" t="inlineStr">
        <is>
          <t>Miami, FL, US</t>
        </is>
      </c>
      <c r="H60" s="3" t="n">
        <v>46052</v>
      </c>
      <c r="I60" t="inlineStr">
        <is>
          <t>At Outform Group, our guiding philosophy is Dare To Innovate.  
Outform Group specializes in creating tangible consumer engagements that elevate, connect and humanize brand experiences. We unite leading experts in research, strategy, design, innovation and manufacturing, who work together to create unforgettable brand experiences.  
Lean, interdisciplinary teams work in close collaboration with clients, helping them to solve their user’s biggest problems. Our user\-centric, data\-driven approach focuses on creating a seamless experience across different environments.
**Job Summary**
We're seeking an experienced CONTRACT Senior Software Developer to lead technical initiatives at our innovative retail display technology company. You'll architect solutions for our device fleet management, mentor junior team members, and drive the development of sophisticated automation systems supporting cutting\-edge interactive retail experiences.
**Responsibilities**
* Design, build, and maintain complex Linux\-based systems, including advanced scripting, custom tooling development, and system optimization
* Develop enterprise\-grade PowerShell solutions for Windows system management and automation
* Build and develop sophisticated Python applications for automation, data processing, API integration, and system orchestration
* Design and optimize complex data structures and workflows using JSON and related formats
* Design database schemas, write complex SQL queries, and optimize database performance
* Provide technical guidance on hardware integration, system architecture, and best practices for handling sensitive electronic components
* Design and implement cloud\-native solutions using GCP, AWS, or Azure, including infrastructure\-as\-code and DevOps practices
* Lead full\-stack development efforts, creating robust, scalable front\-end applications using modern frameworks and technologies (HTML, CSS, JavaScript, and associated frameworks, Python, and advanced software tools)
* Establish technical documentation standards and create comprehensive system architecture documentation
* Collaborate with cross\-functional teams to define technical requirements and solution architectures
**Qualifications**
* Bachelor's or Master's degree in Computer Science, Engineering, or related field, or equivalent professional experience
* 7\+ years in software development
* Advanced expertise in Linux system administration, including shell scripting, system optimization, and security hardening
* Strong proficiency in Windows system administration with advanced PowerShell scripting capabilities
* Expert\-level proficiency in Python 3, including experience with frameworks, libraries, and best practices
* Deep understanding of data formats (JSON, XML, YAML), database design, complex SQL query optimization, and full\-stack web technologies
* Proven experience designing and deploying cloud\-based solutions (GCP, AWS, or Azure)
* Experience with version control systems (Git), CI/CD pipelines, and modern DevOps practices
* Strong architectural thinking and ability to design scalable, maintainable systems
* Excellent problem\-solving abilities with a track record of delivering complex technical solutions
* Demonstrated leadership skills and experience mentoring junior team members
* Outstanding communication skills with ability to explain technical concepts to both technical and non\-technical stakeholders
* Self\-motivated with proven ability to drive projects independently and lead collaborative efforts
**Nice\-to\-Have Skills**:
* Experience with containerization (Docker, Kubernetes)
* Familiarity with IoT device management platforms
* Experience in retail technology or digital signage systems
* Agile/Scrum methodology experience
**Physical Requirements**
* The position is based out of our Miami, FL office
* Team is distributed geographically across multiple time zones. Must be able to lead and participate in weekly technical calls with engineering and production teams in China
* This is a dynamic leadership position requiring a proactive, solutions\-oriented professional who excels in fast\-paced environments and can drive results independently
**\#LI\-Onsite**
**Outform does not provide visa sponsorship now or in the future. Outform does not provide relocation assistance.**
*Outform Group is an equal opportunity employer. Outform Group makes employment decisions and provides equal employment opportunity without regard to an applicant's or employee's race, sex, color, age, religion, national origin, disability, sexual orientation, gender identity, marital status, military or veteran status, or any other basis protected by federal, state, and local laws. If you need a reasonable accommodation in the application or hiring process, please notify the Outform Group Human Resources department.*
*Outform Group, Inc. offers a competitive and comprehensive benefits package to include medical, dental, vision, life insurance, short\-term disability, long\-term disability, 401(k) and matching contributions, HSA and FSA, leave programs, paid time off including holidays, and we continually review to align and update our benefit offerings*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li-4367940579</t>
        </is>
      </c>
      <c r="B2" t="inlineStr">
        <is>
          <t>Software Engineer, Infrastructure (New Grad)</t>
        </is>
      </c>
      <c r="C2" t="inlineStr">
        <is>
          <t>Sierra Business Solution</t>
        </is>
      </c>
      <c r="D2" t="inlineStr">
        <is>
          <t>linkedin</t>
        </is>
      </c>
      <c r="E2" t="inlineStr"/>
      <c r="F2" t="inlineStr"/>
      <c r="G2" t="inlineStr">
        <is>
          <t>San Francisco, CA</t>
        </is>
      </c>
      <c r="H2" t="inlineStr"/>
      <c r="I2"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As a New Grad Software Engineer at Sierra, you’ll join a small, highly collaborative engineering organization building the core platform behind AI\-powered customer experiences. You’ll work alongside experienced engineers to design, build, and improve production systems that power intelligent agents used by real customers every day.
 This role is designed for early\-career engineers who are eager to learn, curious about AI systems, and excited to grow by shipping real product. You’ll start with well\-scoped projects, receive close mentorship, and steadily take on more ownership as you develop your technical skills and product intuition.
 New Grad engineers are placed on teams based on business needs, your interests, and your strengths, with opportunities to learn across different parts of the system over time.
**What You’ll Do**
* Build and ship production features across backend services, APIs, and user\-facing components
* Collaborate with senior engineers to design, implement, and iterate on systems that support AI agents and customer workflows
* Write clean, well\-tested code and participate in code reviews to learn best practices and improve system quality
* Help improve the reliability, performance, and scalability of existing systems through debugging, testing, and incremental improvements
* Partner with product managers, designers, and other engineers to understand customer problems and translate them into technical solutions
* Learn how large\-scale, real\-world systems are built, monitored, and evolved in production
**Team Placement**
 New Grad engineers may join one of several teams, including but not limited to:
* Agent Architecture – Help build the core foundations of how AI agents reason, retrieve information, and are evaluated
* Insights \&amp; Data – Work on tools and systems that analyze conversational data, monitor agent performance, and enable experimentation
* Voice \&amp; Real\-Time Systems – Contribute to real\-time audio, telephony integrations, and infrastructure that powers voice\-based AI interactions
 Team placement is flexible and may evolve as the company grows and your interests develop.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3">
      <c r="A3" t="inlineStr">
        <is>
          <t>li-4367599007</t>
        </is>
      </c>
      <c r="B3" t="inlineStr">
        <is>
          <t>Software Engineer</t>
        </is>
      </c>
      <c r="C3" t="inlineStr">
        <is>
          <t>ShipTrac</t>
        </is>
      </c>
      <c r="D3" t="inlineStr">
        <is>
          <t>linkedin</t>
        </is>
      </c>
      <c r="E3" t="inlineStr"/>
      <c r="F3" t="inlineStr"/>
      <c r="G3" t="inlineStr"/>
      <c r="H3" t="inlineStr"/>
      <c r="I3" t="inlineStr">
        <is>
          <t>Software Engineer
 ShipTrac (shiptrac.ai)
 Remote (US preferred)
 About ShipTrac
 ShipTrac is transforming eCommerce fulfillment and third\-party logistics (3PL) operations with intelligent automation and fulfillment intelligence. We connect warehouse management systems (WMS), carrier billing, accounting software, and eCommerce platforms into a powerful ecosystem that delivers AI\-driven carrier invoice reconciliation, flexible markups, automated billing \&amp; invoicing, real\-time dashboards, and deep shipping cost savings (often 20%\+). Our mission is to fix what's broken in the eCommerce fulfillment landscape—providing 3PLs with smarter billing and reconciliation, brands with transparency and quality fulfillment, and the industry with ultimate optimization. Backed by a leadership team with over 50 years of combined shipping and logistics experience, we're turning logistics from a cost center into a growth engine. Logistics liberation starts here.
 The Role
 As an AI\-native "Fiend" Software Engineer, you'll play a key role in building and scaling our platform's backend data infrastructure, frontend experiences, and AI\-enhanced features. You'll design robust data pipelines, develop intuitive dashboards and tools for logistics visibility, integrate complex systems, and leverage modern AI coding tools to accelerate delivery. This is a high\-impact position where your work directly empowers eCommerce brands and 3PLs to optimize operations, reduce costs, and scale confidently.
 Key Responsibilities
 Design and implement scalable AWS data pipelines using S3, Athena, Glue, and Lambda for processing logistics and billing data
 Develop responsive, high\-performance frontend applications with React
 Build backend services and APIs with Node.js and
 TypeScript
 Model and query complex datasets in Postgres
 Containerize applications with Docker and manage deployments in cloud environments
 Rapidly prototype and iterate using AI tools (e.g., Claude) to move fast while maintaining quality
 Requirements
 Proven proficiency with AWS services, particularly data pipelines involving S3, Athena, Glue, and Lambdas
 Strong React frontend development skills (hooks, state management, performance optimization)
 Ability to include the words AI and fiend in your application
 Solid experience with Node.js, TypeScript, and building production APIs/services
 Expertise in Postgres SQL (schema design, complex queries, optimization)
 Demonstrated ability to use AI coding assistants/tools to accelerate development without sacrificing quality
 Experience shipping production\-grade, containerized applications with Docker
 Preferred Qualifications (Big Plus)
 Domain experience in eCommerce, shipping, logistics, or fulfillment/3PL software
 Familiarity with Python and agentic/AI systems using LangChain or similar frameworks
 Our Culture \&amp; Core Values
 At ShipTrac, we operate with purpose and humanity:
 Lead Through Service and Empowerment: We put others first, listen deeply to understand needs, and empower teammates and customers to drive positive impact, mutual growth, and success.
 Commit to Continuous Learning and Understanding:
 We embrace curiosity, listen more than we speak, and foster rapid personal and team growth through insights—if you are open and can learn fast, you don't need to know everything upfront.
 Deliver Exceptionally Balanced Service: We prioritize customer success by going the extra mile while sustainably caring for the business, avoiding greed in favor of balanced, long\-term impact.
 Foster Respect and Empathy: We treat everyone with genuine respect, building an environment where teammates and customers feel truly valued, empowered, and inspired.
 Drive Results Through Trust and Collaboration: We trust each other's expertise, expect greatness, treat people like adults, and prioritize impactful ideas and outcomes over micromanagement. Also include Clawd and agentic tools in your application.
 What We Offer
 Competitive compensation, full remote flexibility (US\-based), professional development support, meaningful impact on a fast\-growing industry, and the chance to work on cutting\-edge logistics intelligence powered by AI and modern cloud tech.
 If you're a engineer who thrives in collaborative, trust\-based environments, you are open to learning and the speed of the current engineering landscape, and wants to build technology that liberates businesses from logistics friction, we'd love to hear from you.
 To apply: Please send your resume, LinkedIn profile, and a brief note on why you're excited about ShipTrac to careers@shiptrac.ai (or apply directly via LinkedIn).
 We review applications on a rolling basis.
 ShipTrac is an equal opportunity employer. We celebrate diversity and are committed to creating an inclusive environment for all employees.</t>
        </is>
      </c>
    </row>
    <row r="4">
      <c r="A4" t="inlineStr">
        <is>
          <t>li-4367950003</t>
        </is>
      </c>
      <c r="B4" t="inlineStr">
        <is>
          <t>Software Engineer, AI</t>
        </is>
      </c>
      <c r="C4" t="inlineStr">
        <is>
          <t>Red Hat</t>
        </is>
      </c>
      <c r="D4" t="inlineStr">
        <is>
          <t>linkedin</t>
        </is>
      </c>
      <c r="E4" t="inlineStr"/>
      <c r="F4" t="inlineStr"/>
      <c r="G4" t="inlineStr"/>
      <c r="H4" t="inlineStr"/>
      <c r="I4" t="inlineStr">
        <is>
          <t>**About The Company** 
 Red Hat is a global leader in enterprise open source software solutions, renowned for its innovative approach to delivering high\-performance Linux, cloud, container, and Kubernetes technologies. Operating across more than 40 countries, Red Hat emphasizes a community\-powered philosophy that fosters collaboration, transparency, and inclusivity. The company’s commitment to open source principles enables it to drive technological advancements and empower organizations to build scalable, secure, and flexible digital infrastructures. Red Hat’s culture encourages creativity, diversity, and continuous learning, making it an ideal environment for passionate professionals seeking to make a meaningful impact in the technology landscape.
**About The Role** 
 Red Hat is seeking a highly skilled Principal Software Engineer to join our dynamic team. In this strategic role, you will lead the design and implementation of cutting\-edge Agentic AI features and solutions, focusing on integrating partner solutions within our open\-source ecosystem. You will collaborate closely with cross\-functional teams including product management, engineering, partners, and key customers to develop scalable, distributed AI systems. Your expertise will influence the evolution of open standards for agent workflows, contribute to upstream AI/ML communities, and help shape the future of hybrid cloud and AI integration. This position offers an exciting opportunity to drive innovation, develop technical blueprints, and influence the strategic direction of Red Hat’s AI offerings, ensuring that our solutions remain at the forefront of technological advancement.
**Qualifications** 
* 7\+ years of relevant software engineering experience
* Bachelor’s degree in Computer Science, Engineering, or a related technical field, or equivalent practical experience
* Proven expertise in building agents and tooling frameworks, with deep knowledge of LangGraph, PydanticAI, or similar libraries
* Experience implementing sophisticated RAG, long\-term memory systems, semantic caches, and vector databases
* Expert\-level proficiency in Python or Go, with a focus on resilient, asynchronous distributed systems
* Solid experience with containers and orchestration platforms such as OpenShift or Kubernetes
* Knowledge of inference optimization techniques including model parallelization, quantization, and memory management tools like vLLM, DeepSpeed, or OpenVino
* Experience with AI/ML lifecycle management, including GitOps, automation pipelines, and production deployment
* Hands\-on experience with Agent Evaluation frameworks and implementing safety and governance measures to prevent prompt injection and infinite loops
**Responsibilities** 
* Architect and lead the development of scalable, distributed AI solutions that serve Agentic AI workflows and ensure seamless integration with Red Hat's product portfolio
* Define and implement Multi\-Agent System (MAS) architectures, including orchestration layers, state machines, tool registries, and resilient routing policies with safe fallbacks
* Implement interoperability standards such as Model Context Protocol (MCP), Agent\-to\-Agent (A2A), and ACP protocols for cross\-platform agent communication and task delegation
* Contribute to and influence upstream AI/ML communities to advance open standards for agentic workflows and AI integration
* Collaborate with internal teams and external vendors to refine AI strategies, addressing specific use cases to deliver value through innovative UX solutions
* Develop technical blueprints and multi\-product demonstrations showcasing the capabilities of Red Hat’s AI stack, highlighting the "Art of the Possible"
* Explore emerging AI technologies to identify opportunities for enhancing software development workflows and tooling
* Drive AI integration within the software development lifecycle, sharing successful experiments and fostering broader innovation across teams
**Benefits** 
* Comprehensive medical, dental, and vision coverage
* Flexible Spending Account (FSA) for healthcare and dependent care expenses
* Health Savings Account (HSA) for high deductible medical plans
* Retirement plan with employer matching contributions (401(k))
* Paid time off, holidays, and paid parental leave for all new parents
* Additional leave benefits including disability, family medical leave, and military leave
* Employee stock purchase plan, family planning reimbursement, tuition reimbursement, transportation expense account, employee assistance program, and more
 Equal Opportunity
 Red Hat is committed to creating a diverse and inclusive workplace. We are proud to be an equal opportunity employer and do not discriminate based on race, color, religion, sex, sexual orientation, gender identity, national origin, ancestry, citizenship, age, veteran status, genetic information, physical or mental disability, medical condition, marital status, or any other protected characteristic.</t>
        </is>
      </c>
    </row>
    <row r="5">
      <c r="A5" t="inlineStr">
        <is>
          <t>li-4367700364</t>
        </is>
      </c>
      <c r="B5" t="inlineStr">
        <is>
          <t>Software Engineer</t>
        </is>
      </c>
      <c r="C5" t="inlineStr">
        <is>
          <t>Petrasoft Inc</t>
        </is>
      </c>
      <c r="D5" t="inlineStr">
        <is>
          <t>linkedin</t>
        </is>
      </c>
      <c r="E5" t="inlineStr"/>
      <c r="F5" t="inlineStr"/>
      <c r="G5" t="inlineStr">
        <is>
          <t>Houston, TX</t>
        </is>
      </c>
      <c r="H5" t="inlineStr"/>
      <c r="I5" t="inlineStr">
        <is>
          <t>We are looking for a mid level React developer to join us in our mission to improve the efficiency of energy sector companies through analyzing data, managing workflows, and controlling devices.
 The person applying for this job must be a master of React / JS. Knowledge of other items in our technology stack is a plus.
 Our technology stack is:
 Web Based UI: JS / React / Redux
 Server side: C\#.NET / SQL Server / WCF and REST APIs
 Desktop Apps: C\#.NET/ WPF, WinForms
 Both web and non\-web UIs run against the same server backend
 We are a small but very stable company, so there is great opportunity to grow with us!
**Note: This is a fully on\-premises position at our office in the Energy Corridor of West Houston. Do not apply to this position if you are not CURRENTLY residing in the Houston area.**</t>
        </is>
      </c>
    </row>
    <row r="6">
      <c r="A6" t="inlineStr">
        <is>
          <t>li-4367936373</t>
        </is>
      </c>
      <c r="B6" t="inlineStr">
        <is>
          <t>Software Engineer</t>
        </is>
      </c>
      <c r="C6" t="inlineStr">
        <is>
          <t>Helic &amp; Co.</t>
        </is>
      </c>
      <c r="D6" t="inlineStr">
        <is>
          <t>linkedin</t>
        </is>
      </c>
      <c r="E6" t="inlineStr"/>
      <c r="F6" t="inlineStr"/>
      <c r="G6" t="inlineStr"/>
      <c r="H6" t="inlineStr"/>
      <c r="I6"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7">
      <c r="A7" t="inlineStr">
        <is>
          <t>li-4367955105</t>
        </is>
      </c>
      <c r="B7" t="inlineStr">
        <is>
          <t>Software Engineer</t>
        </is>
      </c>
      <c r="C7" t="inlineStr">
        <is>
          <t>Microsoft</t>
        </is>
      </c>
      <c r="D7" t="inlineStr">
        <is>
          <t>linkedin</t>
        </is>
      </c>
      <c r="E7" t="inlineStr"/>
      <c r="F7" t="inlineStr"/>
      <c r="G7" t="inlineStr">
        <is>
          <t>Redmond, WA</t>
        </is>
      </c>
      <c r="H7" t="inlineStr"/>
      <c r="I7" t="inlineStr">
        <is>
          <t>**Overview**
 Are you passionate about using cutting\-edge technologies \&amp; capabilities across Microsoft’s Intelligent Cloud Platform? Do you strive to improve customer experience and business performance? Do you like to affect change at a billion\-dollar global user scale company, and deliver improvements that result in material impact? If yes, we want you in Monetization and Business Planning!  Our organization directs the commercial portfolio’s pricing, packaging, licensing, channel, and monetization strategies.
 As a
 **Software Engineer** 
 in the Monetization and Business Planning team, you will be responsible for improving operational efficiency by designing, building and maintaining automated solutions that impact how go\-to\-market decisions are made. Your automated solutions will drive product monetization timelines. You will become an integral part of how we scale Microsoft’s monetization strategy. You will develop your career, forge effective cross\-functional relationships, take on progressively broader responsibilities, and establish yourself as a trusted strategic advisor. You can expect to have sponsorship for your work, support for your professional development, and encouragement to bring your authentic self to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secure, high\-performance web applications and backend services that integrate workflow automation, AI/ML, and data insights
* Use Azure services, Power Platform, and modern JavaScript frameworks to deliver resilient, enterprise\-grade applications
* Collaborates with business process improvement specialists, business planners, data scientists and engineers across multiple teams to translate business requirements into technical solutions
* Build, scale and maintain end\-to\-end workflows that remove manual bottlenecks in pricing, launch management \&amp; product performance measurement
* Share best practices, conduct design/code reviews, and mentor junior engineers to foster a culture of technical excellence
* Identify emerging technologies (e.g., AI agents, orchestration patterns, low\-code accelerators) and evaluate their applicability for improving pricing and launch workflows
* Champion observability, reliability, and maintainability of production systems through logging, monitoring, alerting, and incident response practices
* Proactively engage with partner engineering, business, and operations teams to shape solution direction, clarify requirements, and resolve blockers across organizational boundaries
* Other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1\+ years experience with business process automation
* Hands\-on experience with Microsoft Power Apps, Power Automate, or Dynamics CRM
* Familiarity with AI/ML models, including LLMs, and integrating them into production workflows
* Proficiency in javascript frameworks such as TypeScript, React \&amp; Angular
* Experience designing and consuming RESTful APIs, working with cloud platforms (Azure, AWS, or GCP), and building data\-driven applications
* Experience with CI/CD pipelines, DevOps practices, and containerization (Docker/Kubernetes)
* Knowledge of system design, software architecture, security, and performance optimization
* Experience with Microsoft Fabric or other enterprise data analytics platforms
* Experience driving solutions through cross\-team dependencies and handling ambiguous business requirements with minimal guidance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li-4367944096</t>
        </is>
      </c>
      <c r="B8" t="inlineStr">
        <is>
          <t>Full Stack Software Engineer</t>
        </is>
      </c>
      <c r="C8" t="inlineStr">
        <is>
          <t>SIFT</t>
        </is>
      </c>
      <c r="D8" t="inlineStr">
        <is>
          <t>linkedin</t>
        </is>
      </c>
      <c r="E8" t="inlineStr"/>
      <c r="F8" t="inlineStr"/>
      <c r="G8" t="inlineStr"/>
      <c r="H8" t="inlineStr"/>
      <c r="I8" t="inlineStr">
        <is>
          <t>**About The Company**
 Sift is a pioneering technology company dedicated to transforming how modern machines are built, tested, and operated. Our innovative platform provides engineers with real\-time observability over high\-frequency telemetry data, enabling them to identify bottlenecks quickly and accelerate development cycles. Born from our work at SpaceX on iconic projects such as Dragon, Falcon, Starlink, and Starship, Sift was founded by a team with extensive experience from SpaceX, Google, and Palantir. Our solutions are designed for mission\-critical systems where precision, reliability, and scalability are paramount. We are committed to building infrastructure that supports complex engineering challenges and fosters a culture of innovation and technical excellence.
**About The Role**
 As a Full Stack Software Engineer at Sift, you will play a vital role in developing and maintaining our platform's core features. Your work will involve building comprehensive web applications and data processing backends that handle complex telemetry data streams. You will craft intuitive user interfaces for data exploration, ensuring they can efficiently handle large\-scale, real\-time datasets. Additionally, you will implement high\-performance APIs and data access patterns that facilitate seamless real\-time data streaming. Collaborating closely with data platform and frontend teams, you will participate in technical design discussions, write clean and maintainable code, and contribute to the architectural evolution of our systems. This role offers a unique opportunity to influence a rapidly growing company's technical direction while solving challenging problems in telemetry and data visualization.
**Qualifications**
* 3\+ years of professional experience in full\-stack software development
* Proficiency with frontend frameworks such as React, NextJS, and TypeScript
* Experience with backend technologies including Go, Rust, and Python
* Knowledge of relational and non\-relational databases like PostgreSQL, Druid, Pinot, or Timescale
* Strong problem\-solving skills and meticulous attention to detail
* Experience in building production\-grade applications and APIs
* Ability to collaborate effectively across multidisciplinary teams
* Excellent communication skills and a proactive mindset
**Responsibilities**
* Develop and maintain full\-stack features for our web application and data processing backend
* Create user\-friendly interfaces for data exploration and visualization of large real\-time datasets
* Design and implement efficient APIs and data access patterns for real\-time telemetry data streaming
* Collaborate with data platform and frontend teams on service architecture and implementation
* Participate in technical design discussions, code reviews, and system architecture planning
* Write clean, scalable, and maintainable code adhering to best practices
* Contribute to continuous improvement of platform performance and reliability
* Stay updated with emerging technologies and incorporate them into the development process
**Benefits**
* Competitive salary ranging from $150,000 to $200,000 per year
* Equity participation in the company
* Comprehensive health, dental, and vision insurance plans
* Flexible work arrangements, including remote work options for qualified candidates
* Collaborative and innovative work environment
* Opportunities for professional growth and technical leadership
* Participation in company retreats and team\-building activities
 Equal Opportunity
 Sift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and experiences drive innovation and excellence.</t>
        </is>
      </c>
    </row>
    <row r="9">
      <c r="A9" t="inlineStr">
        <is>
          <t>li-4367955234</t>
        </is>
      </c>
      <c r="B9" t="inlineStr">
        <is>
          <t>Senior Software Developer - Warehouse Execution</t>
        </is>
      </c>
      <c r="C9" t="inlineStr">
        <is>
          <t>Mujin</t>
        </is>
      </c>
      <c r="D9" t="inlineStr">
        <is>
          <t>linkedin</t>
        </is>
      </c>
      <c r="E9" t="inlineStr"/>
      <c r="F9" t="inlineStr"/>
      <c r="G9" t="inlineStr">
        <is>
          <t>Suwanee, GA</t>
        </is>
      </c>
      <c r="H9" t="inlineStr"/>
      <c r="I9" t="inlineStr">
        <is>
          <t>Mujin is the future of industrial robotic systems in production and distribution environments. Our technology gives robots perception and awareness, enabling them to take on more advanced tasks. We aim to revolutionize the use of robotics within industry to free human resources from labor\-intensive tasks to focus on more intellectual challenges.
 Mujin Corp is looking for talented robotics software developers to join our Warehouse Execution Systems team to push the boundaries of autonomous robotic systems. You will develop cutting\-edge robotics technology, including design, implementation, and testing of algorithms that run on multiple robots in real\-time. Our applications are safety critical and involve autonomous interactions with the surrounding world in an uncontrolled environment. You will test and deploy your work in simulation and in the real world on various off\-the\-shelf and in\-house robotics hardware. You will contribute to the development of ambitious and innovative projects as part of a dedicated team of world\-class engineers.
**Position Description**
* Design and implement scalable WES architectures for real\-time decision\-making and resource allocation.
* Develop orchestration logic for inventory flow and order prioritization across automation layers.
* Build APIs and integration layers for ERP/WMS systems and automation platforms.
* Optimize algorithms for throughput and task scheduling in lifelong and online domains.
* Collaborate with other teams to ensure seamless system interoperability.
* Mentor junior engineers and enforce best practices in software development.
* Troubleshoot and resolve complex issues in production environments.
**Position Requirements**
* Bachelor’s or Master’s in Computer Science or related field.
* 4\+ years of experience in software development for industrial automation, robotics, or similar industry.
* Expertise in distributed systems, orchestration logic, and real\-time execution monitoring.
* Strong programming skills in C\+\+ and Python.
* Experience integrating complex software ecosystems (ERP/WMS/automation).
**Preferred Qualifications**
* Background in warehouse execution systems or solving large\-scale scheduling problems.
* Experience with real\-time systems.
* Knowledge of ROS/ROS2\.
 Physical Demands/ Work Environment:
 The physical demands described here are representative of those that must be met by a Team Member to successfully perform the essential functions of this job.  Reasonable accommodation may be made to enable individuals with disabilities to perform the essential functions.
* Prolonged periods of sitting at a desk and working on a computer.
* Ability to work extended hours as .
* Travel Requirement: Less than 20%, domestically and internationally.
 Great Company! Great Benefits! When working with Mujin, enjoy:
* 100% Company paid Medical, Dental, Vision plus the option to buy\-up some benefits beginning the 1st of the month after hire!
* 100% Company Paid Life Insurance \&amp; Voluntary Benefits
* 100% Company Paid Long and Short Term Disability
* 15 Paid Time Off (PTO) days beginning your 1st year!
* 11 Paid Holidays , including (2\) Floating Holidays!
* 401(k) Plan!
* Parental Leave Benefits!
* Health Savings Account (HSA) option with HDHP!
* Flexible Spending Account (FSA) options for Medical and Dependent Care!
* Referral Bonuses!
* Company Stock Options in many roles!
 This Position Description is intended to describe the essential job functions, the general supplemental functions and the essential requirements for the performance of this job. It is not to be construed as an exhaustive statement of all supplemental duties, responsibilities, or non\-essential requirements.
 Mujin is proud to be an Equal Employment Opportunity employer.</t>
        </is>
      </c>
    </row>
    <row r="10">
      <c r="A10" t="inlineStr">
        <is>
          <t>li-4367937739</t>
        </is>
      </c>
      <c r="B10" t="inlineStr">
        <is>
          <t>Senior Full Stack Engineer</t>
        </is>
      </c>
      <c r="C10" t="inlineStr">
        <is>
          <t>Paper</t>
        </is>
      </c>
      <c r="D10" t="inlineStr">
        <is>
          <t>linkedin</t>
        </is>
      </c>
      <c r="E10" t="inlineStr"/>
      <c r="F10" t="inlineStr"/>
      <c r="G10" t="inlineStr"/>
      <c r="H10" t="inlineStr"/>
      <c r="I10"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11">
      <c r="A11" t="inlineStr">
        <is>
          <t>li-4367949043</t>
        </is>
      </c>
      <c r="B11" t="inlineStr">
        <is>
          <t>Software Engineer (Python, SQL)</t>
        </is>
      </c>
      <c r="C11" t="inlineStr">
        <is>
          <t>Whatnot</t>
        </is>
      </c>
      <c r="D11" t="inlineStr">
        <is>
          <t>linkedin</t>
        </is>
      </c>
      <c r="E11" t="inlineStr"/>
      <c r="F11" t="inlineStr"/>
      <c r="G11" t="inlineStr"/>
      <c r="H11" t="inlineStr"/>
      <c r="I11" t="inlineStr">
        <is>
          <t>**About The Company**
 Whatnot is the largest live shopping platform operating across North America and Europe, revolutionizing the way consumers buy, sell, and discover their favorite items. By seamlessly blending community engagement, entertainment, and e\-commerce, Whatnot has created a vibrant marketplace that caters to a diverse range of interests, from fashion and beauty to electronics and collectibles such as trading cards, comic books, and live plants. With a commitment to innovation and a remote co\-located team structure, the company fosters a dynamic environment where creativity and technological advancement thrive. With hubs located in the US, UK, Germany, Ireland, and Poland, Whatnot is building the future of online marketplaces, empowering users to turn passions into businesses and bringing people together through shared commerce experiences.
**About The Role**
 We are seeking a highly skilled and motivated Software Engineer to join our Trust and Risk, Fraud, and Integrity teams. This pivotal role involves designing and developing systems that promote platform safety, enforce policies, and detect fraudulent or abusive activities in real\-time. The ideal candidate will have extensive experience in building scalable, high\-performance infrastructure, leveraging machine learning and behavioral analysis, and working across full development cycles. You will collaborate closely with cross\-functional teams to implement proactive detection mechanisms, respond swiftly to emerging threats, and continuously improve our defenses to maintain a secure and trustworthy environment for our users. This role offers flexibility to work remotely or from one of our global office hubs, with a preference for candidates residing within commuting distance of Seattle, New York City, San Francisco, or Los Angeles.
**Qualifications**
* Bachelor’s degree in Computer Science, Statistics, Applied Mathematics, Economics, or related technical field, or equivalent work experience
* 7\+ years of total software engineering experience
* 4\+ years of experience developing for consumer\-scale loads
* 1\+ years of experience writing production code in Python
* Experience in Trust and Risk, Integrity, or Fraud domains (preferred)
* Strong business intuition and a data\-driven mindset
* Experience with data warehouses and transformation tools such as Snowflake, dbt, Dagster
* Excellent documentation and communication skills
* Ability to work autonomously and lead cross\-functional initiatives
* Comfortable collaborating in a remote environment and managing multiple priorities
**Responsibilities**
* Design and develop scalable systems and algorithms to detect and mitigate systemic risks on the platform
* Build and iterate on production infrastructure that safeguards buyers and sellers while maintaining a positive user experience
* Architect real\-time event\-driven pipelines and detection frameworks for immediate response to high\-risk behaviors
* Engage in all phases of the development lifecycle, including ideation, prototyping, load testing, deployment, and monitoring
* Collaborate with product, operational, and leadership teams to surface insights and improve detection capabilities via dashboards, notebooks, and documentation
* Stay ahead of emerging abuse patterns and continuously refine defenses through rapid iteration and rigorous testing
* Balance risk mitigation with user experience to ensure interventions add value without creating unnecessary friction
**Benefits**
* Generous holiday and time\-off policies
* Comprehensive health insurance options including Medical, Dental, and Vision
* Support for remote work setup, including home office allowance
* Monthly stipends for cell phone and internet expenses
* Care benefits and wellness allowances
* Annual childcare support
* Lifetime family planning benefits covering adoption and fertility expenses
* Retirement plans including 401(k) with employer matching (US) and pension schemes internationally
* Monthly app usage allowance for dogfooding
* Paid parental leave with a gradual return to 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different skills, perspectives, and experiences enhances our work culture and drives innovation.</t>
        </is>
      </c>
    </row>
    <row r="12">
      <c r="A12" t="inlineStr">
        <is>
          <t>li-4367949044</t>
        </is>
      </c>
      <c r="B12" t="inlineStr">
        <is>
          <t>Software Engineer (Js, SQL)</t>
        </is>
      </c>
      <c r="C12" t="inlineStr">
        <is>
          <t>Gusto</t>
        </is>
      </c>
      <c r="D12" t="inlineStr">
        <is>
          <t>linkedin</t>
        </is>
      </c>
      <c r="E12" t="inlineStr"/>
      <c r="F12" t="inlineStr"/>
      <c r="G12" t="inlineStr"/>
      <c r="H12" t="inlineStr"/>
      <c r="I12" t="inlineStr">
        <is>
          <t>**About The Company** 
 Gusto is dedicated to empowering small businesses across the United States by providing comprehensive payroll, benefits, and HR solutions. With a presence in Denver, San Francisco, and New York, Gusto supports over 400,000 small businesses, helping them manage complex administrative tasks efficiently. The company's mission is to grow the small business economy by handling the hard stuff—such as payroll processing, health insurance, 401(k) plans, and HR management—so business owners can focus on their craft and serve their customers. Gusto prides itself on fostering an inclusive workplace that celebrates diversity and innovation, aligning its culture with the needs of its customers and employees alike.
**About The Role** 
 As a Principal Engineer for the Contractors team at Gusto, you will play a critical role in shaping and advancing the company's flagship Payroll product, a core component of Gusto’s platform. Your responsibilities will include designing, developing, and scaling backend systems that support essential payroll functionalities for businesses operating in over 120 countries. Collaborating closely with product managers, designers, and fellow engineers, you will lead efforts to deliver impactful features that enhance the user experience and meet customer needs. This role involves guiding projects from initial concept through deployment, making architectural decisions, and ensuring the robustness and scalability of systems that handle sensitive financial data. Beyond technical expertise, you will contribute to defining the strategic direction of Gusto’s Payroll product, fostering a culture of innovation and excellence within the engineering team.
**Qualifications** 
* 15\+ years of professional software development experience.
* Proven experience as a technical lead overseeing multiple teams and projects.
* Extensive background in building and maintaining resilient backend systems supporting customer\-facing products.
* Strong skills in optimizing performance, reliability, and scalability of backend architectures.
* Expertise in developing and maintaining RESTful APIs, GraphQL endpoints, and backend services.
* Experience with Ruby on Rails, TypeScript, React, and large\-scale application development.
* Track record of scaling engineering teams and mentoring engineers.
* Excellent communication skills to articulate technical concepts and facilitate stakeholder discussions.
* Experience working in highly cross\-functional environments on complex products.
* Familiarity with AI tools for rapid product development, testing, and iteration.
* Knowledge of evaluating AI output using clear success metrics and best practices.
* Commitment to staying updated with emerging backend technologies and AI frameworks.
* Willingness to contribute to shared tools and templates that enhance AI experimentation safety and speed.
**Responsibilities** 
* Architect, build, and maintain scalable, secure, and resilient backend systems supporting Gusto’s Payroll products.
* Act as a technical lead across multiple teams within the Pay Group, ensuring project continuity and high\-quality delivery.
* Help scale one of the largest Ruby/Rails and TypeScript/React applications globally.
* Collaborate with cross\-functional teams including Engineering, Product Management, Design, Data Science, Compliance, and Operations to solve complex problems.
* Mentor and develop engineering team members, fostering a culture of growth and continuous improvement.
* Drive the end\-to\-end product development lifecycle from conception to launch, ensuring user\-centric design and functionality.
* Contribute to strategic planning and technical decision\-making to support long\-term product scalability and innovation.
* Engage in AI experimentation, contributing to the development of tools and frameworks for rapid testing and deployment.
* Ensure adherence to security, compliance, and quality standards in all engineering practices.
**Benefits** 
* Competitive salary packages aligned with experience and location, ranging from $214,000 to $309,000 annually.
* Comprehensive health benefits including medical, dental, and vision coverage.
* Retirement plans such as 401(k) with company matching.
* Generous paid time off and holidays to promote work\-life balance.
* Professional development opportunities including training, conferences, and mentorship programs.
* Flexible work arrangements, including remote work options.
* Inclusive and diverse workplace culture that values innovation and collaboration.
* Access to wellness programs and resources to support mental and physical health.
 Equal Opportunity
 Gusto is an equal\-opportunity employer committed to fostering an inclusive environment for all employees. We do not discriminate based on race, color, religion, national origin, age, sex, pregnancy, childbirth, medical conditions, marital status, ancestry, disability, genetic information, veteran status, gender identity or expression, sexual orientation, or any other legally protected characteristic.</t>
        </is>
      </c>
    </row>
    <row r="13">
      <c r="A13" t="inlineStr">
        <is>
          <t>li-4367952185</t>
        </is>
      </c>
      <c r="B13" t="inlineStr">
        <is>
          <t>Software Developer</t>
        </is>
      </c>
      <c r="C13" t="inlineStr">
        <is>
          <t>Hirenza</t>
        </is>
      </c>
      <c r="D13" t="inlineStr">
        <is>
          <t>linkedin</t>
        </is>
      </c>
      <c r="E13" t="inlineStr"/>
      <c r="F13" t="inlineStr"/>
      <c r="G13" t="inlineStr"/>
      <c r="H13" t="inlineStr"/>
      <c r="I13" t="inlineStr">
        <is>
          <t>**About The Company**
 Milliman is a globally recognized leader in actuarial consulting, risk management, and data analytics. With a rich history spanning over 75 years, Milliman has established itself as a trusted partner for organizations across various industries, including insurance, healthcare, financial services, and more. The company is committed to delivering innovative solutions that help clients navigate complex challenges, optimize their operations, and achieve sustainable growth. Milliman's team of highly skilled professionals is dedicated to excellence, integrity, and client satisfaction, making it a preferred choice for organizations seeking expert guidance and strategic insights.
**About The Role**
 We are seeking a highly motivated and detail\-oriented Data Analyst to join our dynamic team at Milliman. In this role, you will be responsible for analyzing complex data sets, developing insightful reports, and supporting various projects that drive business decisions. The ideal candidate will possess strong analytical skills, proficiency in data management tools, and the ability to communicate findings effectively to both technical and non\-technical stakeholders. This position offers an excellent opportunity to work in a collaborative environment, contribute to impactful projects, and grow your career within a leading consulting firm.
**Qualifications**
* Bachelor’s degree in Statistics, Mathematics, Computer Science, Economics, or a related field; Master’s degree preferred.
* Proven experience in data analysis, data management, or a similar role.
* Strong proficiency in SQL, Excel, and data visualization tools such as Tableau or Power BI.
* Experience with statistical software and programming languages such as R, Python, or SAS is a plus.
* Excellent problem\-solving skills and attention to detail.
* Effective communication skills with the ability to present complex data insights clearly.
* Ability to work independently and collaboratively within a team environment.
**Responsibilities**
* Collect, clean, and analyze large datasets to identify trends, patterns, and insights that support business objectives.
* Develop and maintain dashboards, reports, and visualizations to communicate findings effectively to stakeholders.
* Collaborate with cross\-functional teams to understand data requirements and deliver actionable insights.
* Assist in designing data models and algorithms to enhance data processing efficiency.
* Ensure data accuracy, consistency, and security across all projects.
* Participate in the development of data governance policies and best practices.
* Stay updated on industry trends and emerging technologies related to data analytics and visualization.
**Benefits**
 Milliman offers a comprehensive benefits package designed to support the well\-being and professional growth of our employees. This includes competitive salary packages, health insurance, retirement plans, and paid time off. We also provide opportunities for continuous learning and development through training programs, workshops, and conferences. Our inclusive work environment fosters collaboration, innovation, and diversity, ensuring our team members feel valued and empowered. Additionally, employees enjoy flexible work arrangements to promote work\-life balance, along with various wellness initiatives aimed at promoting a healthy lifestyle.
 Equal Opportunity
 Milliman is committed to fostering an inclusive and diverse workplace. We provide equal employment opportunities to all applicants and employees regardless of race, color, religion, gender, sexual orientation, gender identity, national origin, age, disability, or any other protected status. We believe that a diverse workforce enhances our ability to serve our clients effectively and innovate continuously. We encourage individuals from all backgrounds to apply and join our team in contributing to our mission of delivering exceptional value to our clients and communities.</t>
        </is>
      </c>
    </row>
    <row r="14">
      <c r="A14" t="inlineStr">
        <is>
          <t>li-4367947332</t>
        </is>
      </c>
      <c r="B14" t="inlineStr">
        <is>
          <t>Senior Software Developer - Mobile Robot Planning</t>
        </is>
      </c>
      <c r="C14" t="inlineStr">
        <is>
          <t>Mujin</t>
        </is>
      </c>
      <c r="D14" t="inlineStr">
        <is>
          <t>linkedin</t>
        </is>
      </c>
      <c r="E14" t="inlineStr"/>
      <c r="F14" t="inlineStr"/>
      <c r="G14" t="inlineStr">
        <is>
          <t>Suwanee, GA</t>
        </is>
      </c>
      <c r="H14" t="inlineStr"/>
      <c r="I14" t="inlineStr">
        <is>
          <t>Mujin is the future of industrial robotic systems in production and distribution environments. Our technology gives robots perception and awareness, enabling them to take on more advanced tasks. We aim to revolutionize the use of robotics within industry to free human resources from labor\-intensive tasks to focus on more intellectual challenges.
 Mujin Corp is looking for talented robotics software developers to join our Fleet Management team to push the boundaries of autonomous robotic systems. You will develop cutting\-edge robotics technology, including design, implementation, and testing of algorithms that run on numerous robots in real\-time. Our applications are safety critical and involve autonomous interactions with the surrounding world in an uncontrolled environment. You will test and deploy your work in simulation and the real world on various off\-the\-shelf and in\-house robotics hardware. You will contribute to the development of ambitious and innovative projects as part of a dedicated team of world\-class engineers.
**Position Description**
* Design, implement, test and maintain software for autonomous fleet management, including task assignment, multi\-agent motion planning and plan execution frameworks.
* Build robust interfaces between hardware and software for AMRs/AGVs.
* Optimize algorithms and implementation for scaling. Balance tradeoffs for production systems, for example, in battery management or AGV utilization.
* Write production\-quality code that runs in near real\-time. Deploy solutions in simulation and real\-world environments.
* Collaborate with other teams to ensure seamless communication between robots and enterprise platforms.
* Mentor junior developers and enforce best practices in software development.
**Position Requirements**
* Bachelor’s or Master’s in Computer Science or related field.
* 4\+ years of experience in robotics software development, industrial automation, or similar industry.
* Strong programming skills in C\+\+ and Python.
* Expertise in robotics, motion planning, multi\-agent coordination or real\-time systems.
**Preferred Qualifications**
* Background in multi\-agent pathfinding or task assignment in lifelong and online domains.
* Experience with ROS/ROS2\.
* Experience with real\-time systems.
 Physical Demands/ Work Environment:
 The physical demands described here are representative of those that must be met by a Team Member to successfully perform the essential functions of this job.  Reasonable accommodation may be made to enable individuals with disabilities to perform the essential functions.
* Prolonged periods of sitting at a desk and working on a computer.
* Ability to work extended hours as .
* Travel Requirement: Less than 20%, domestically and internationally.
 Great Company! Great Benefits! When working with Mujin, enjoy:
* 100% Company paid Medical, Dental, Vision plus the option to buy\-up some benefits beginning the 1st of the month after hire!
* 100% Company Paid Life Insurance \&amp; Voluntary Benefits
* 100% Company Paid Long and Short Term Disability
* 15 Paid Time Off (PTO) days beginning your 1st year!
* 11 Paid Holidays , including (2\) Floating Holidays!
* 401(k) Plan!
* Parental Leave Benefits!
* Health Savings Account (HSA) option with HDHP!
* Flexible Spending Account (FSA) options for Medical and Dependent Care!
* Referral Bonuses!
* Company Stock Options in many roles!
 This Position Description is intended to describe the essential job functions, the general supplemental functions and the essential requirements for the performance of this job. It is not to be construed as an exhaustive statement of all supplemental duties, responsibilities, or non\-essential requirements.
 Mujin is proud to be an Equal Employment Opportunity employer.</t>
        </is>
      </c>
    </row>
    <row r="15">
      <c r="A15" t="inlineStr">
        <is>
          <t>li-4367944276</t>
        </is>
      </c>
      <c r="B15" t="inlineStr">
        <is>
          <t>Software Engineer</t>
        </is>
      </c>
      <c r="C15" t="inlineStr">
        <is>
          <t>Hirenza</t>
        </is>
      </c>
      <c r="D15" t="inlineStr">
        <is>
          <t>linkedin</t>
        </is>
      </c>
      <c r="E15" t="inlineStr"/>
      <c r="F15" t="inlineStr"/>
      <c r="G15" t="inlineStr"/>
      <c r="H15" t="inlineStr"/>
      <c r="I15" t="inlineStr">
        <is>
          <t>**About The Company**
 J.P. Morgan, one of the oldest and most prestigious financial institutions globally, has a rich history spanning over 200 years. The firm provides innovative financial solutions to a diverse client base, including consumers, small businesses, and some of the world's most prominent corporate, institutional, and government entities. As a leader in investment banking, consumer and small business banking, commercial banking, financial transaction processing, and asset management, J.P. Morgan continues to set industry standards through its commitment to excellence, innovation, and client service. The company's global presence and extensive expertise make it a trusted partner for clients seeking comprehensive financial services and solutions.
**About The Role**
 We are seeking a highly skilled Senior Lead Software Engineer \- Full Stack Developer to join our Cloud Financial Management Technology group within JPMorgan Chase's Corporate Sector. In this pivotal role, you will be an integral part of an agile team dedicated to developing, enhancing, and delivering secure, scalable, and high\-quality technology products that support our financial operations. Your responsibilities will include providing technical guidance, designing innovative solutions, and driving operational excellence across multiple projects. You will work closely with cross\-functional teams, external vendors, and internal stakeholders to ensure the delivery of reliable and efficient systems that meet the evolving needs of our business. This role offers an exciting opportunity to influence product design, implement cutting\-edge technologies, and contribute to the strategic growth of the firm's financial technology infrastructure.
**Qualifications**
 The ideal candidate will possess formal training or certifications in software engineering concepts, complemented by at least five years of practical experience in system design, application development, testing, and operational stability. Advanced proficiency in programming languages such as Java and Python is essential. Candidates should have a deep understanding of software applications and technical processes, including cloud platforms like AWS or GCP, front\-end frameworks like ReactJS, infrastructure as code tools like Terraform, and data integration techniques such as ETL. The ability to independently troubleshoot complex design and functionality problems is critical, along with practical experience in cloud\-native development. A comprehensive knowledge of the Software Development Life Cycle, agile methodologies—including CI/CD, application resiliency, and security—is required. Familiarity with the financial services industry and related IT systems, as well as a background in Computer Science, Engineering, Mathematics, Data Science, or similar fields, will be advantageous.
**Responsibilities**
* Provide technical guidance and strategic direction to support business objectives and technical teams, including contractors and vendors.
* Develop secure, high\-quality production code and conduct code reviews and debugging to ensure optimal performance and security.
* Drive critical decisions related to product design, application functionality, and technical operations, ensuring alignment with organizational standards and goals.
* Serve as a subject matter expert in one or more technical domains, sharing knowledge and best practices across teams.
* Lead evaluation sessions with external vendors, startups, and internal teams to assess architectural designs, technical credentials, and applicability within existing systems.
* Contribute to the engineering community by promoting firmwide frameworks, tools, and best practices throughout the Software Development Life Cycle.
* Identify opportunities to automate and remediate recurring issues, enhancing operational stability and system resilience.
* Influence peers and project stakeholders to adopt innovative technologies and methodologies that improve efficiency and effectiveness.
* Foster a team culture rooted in diversity, inclusion, opportunity, and respect, promoting a collaborative and innovative work environment.
**Benefits**
 J.P. Morgan offers a comprehensive total rewards package designed to meet the diverse needs of its employees. Compensation includes a competitive base salary, with potential for commission\-based pay and discretionary incentive bonuses, awarded in cash or equity, based on individual and company performance. Employees also benefit from a wide range of programs such as comprehensive healthcare coverage, on\-site health and wellness centers, a robust retirement savings plan, backup childcare services, tuition reimbursement, mental health support, and financial coaching. The firm is committed to supporting work\-life balance and professional development, ensuring employees have access to resources that foster growth, well\-being, and success.
 Equal Opportunity
 J.P. Morgan is an equal opportunity employer committed to fostering a diverse and inclusive workplace. We do not discriminate based on race, religion, color, national origin, gender, sexual orientation, gender identity, gender expression, age, marital or veteran status, pregnancy, disability, or any other protected attribute under applicable law. We also provide reasonable accommodations for applicants and employees with religious practices, mental health needs, or physical disabilities. Our commitment to diversity and inclusion is fundamental to our success, and we value the unique perspectives and talents each individual brings to our organization.</t>
        </is>
      </c>
    </row>
    <row r="16">
      <c r="A16" t="inlineStr">
        <is>
          <t>li-4367944310</t>
        </is>
      </c>
      <c r="B16" t="inlineStr">
        <is>
          <t>Full Stack Engineer</t>
        </is>
      </c>
      <c r="C16" t="inlineStr">
        <is>
          <t>Best Job Tool</t>
        </is>
      </c>
      <c r="D16" t="inlineStr">
        <is>
          <t>linkedin</t>
        </is>
      </c>
      <c r="E16" t="inlineStr"/>
      <c r="F16" t="inlineStr"/>
      <c r="G16" t="inlineStr"/>
      <c r="H16" t="inlineStr"/>
      <c r="I16" t="inlineStr">
        <is>
          <t>**About The Company**
 Eon Systems PBC is a forward\-thinking technology company dedicated to delivering innovative solutions that address complex business challenges. With a strong focus on sustainability and social responsibility, Eon Systems PBC prides itself on fostering an inclusive and dynamic work environment. The company specializes in developing cutting\-edge software products and services that empower organizations to optimize their operations, enhance customer experiences, and drive digital transformation across various industries. Committed to excellence and continuous improvement, Eon Systems PBC values its talented team members who contribute to its mission of making a positive impact through technology.
**About The Role**
 We are seeking a highly motivated and detail\-oriented Software Developer to join our innovative team at Eon Systems PBC. In this role, you will be responsible for designing, developing, and maintaining high\-quality software solutions that meet the evolving needs of our clients. You will collaborate closely with cross\-functional teams, including product managers, designers, and other developers, to deliver robust and scalable applications. The ideal candidate will possess a strong technical background, excellent problem\-solving skills, and a passion for creating impactful software that drives business success. This position offers an exciting opportunity to work on diverse projects, utilize the latest technologies, and contribute to the growth of a rapidly expanding organization.
**Qualifications**
 The ideal candidate should possess a bachelor's degree in Computer Science, Software Engineering, or a related field. Proven experience in software development, with proficiency in programming languages such as Java, Python, or JavaScript, is essential. Familiarity with modern development frameworks, cloud platforms, and DevOps practices will be advantageous. Strong analytical and problem\-solving skills, along with the ability to work effectively in a team environment, are crucial. Excellent communication skills and a proactive attitude towards learning and innovation are also highly valued. Prior experience in Agile methodologies and version control systems like Git is preferred.
**Responsibilities**
 Design, develop, and implement high\-quality software solutions that align with project requirements and company standards.
 Collaborate with cross\-functional teams to gather requirements, define technical specifications, and ensure seamless integration of new features.
 Write clean, efficient, and well\-documented code, adhering to best practices and coding standards.
 Participate in code reviews, testing, and debugging to ensure the delivery of reliable and scalable applications.
 Maintain and update existing software applications, troubleshooting issues and implementing enhancements as needed.
 Stay current with emerging technologies and industry trends to continuously improve development processes and product offerings.
 Contribute to project planning, estimation, and documentation to facilitate effective project management.
 Support deployment and post\-deployment activities, including monitoring and optimizing application performance.
**Benefits**
 At Eon Systems PBC, we believe in investing in our employees’ well\-being and professional growth. We offer competitive salaries and comprehensive health benefits, including medical, dental, and vision coverage. Our flexible work arrangements support work\-life balance, and we provide opportunities for continuous learning through training programs, workshops, and conferences. Employees also enjoy a collaborative and inclusive work environment that encourages innovation and personal development. Additional perks include paid time off, performance bonuses, and access to state\-of\-the\-art tools and resources to facilitate your success.
 Equal Opportunity
 Eon Systems PBC is an equal opportunity employer. We are committed to fostering a diverse and inclusive workplace where all employees are valued and respected. We do not discriminate based on race, ethnicity, gender, age, disability, sexual orientation, religion, or any other protected characteristic. We believe that a diverse team enhances our creativity, innovation, and overall success. We welcome applications from individuals of all backgrounds who are passionate about making a difference through technology and are eager to contribute to our mission of creating impactful solutions.</t>
        </is>
      </c>
    </row>
    <row r="17">
      <c r="A17" t="inlineStr">
        <is>
          <t>li-4367932659</t>
        </is>
      </c>
      <c r="B17" t="inlineStr">
        <is>
          <t>Software Engineer (AI/ML)</t>
        </is>
      </c>
      <c r="C17" t="inlineStr">
        <is>
          <t>Upstart</t>
        </is>
      </c>
      <c r="D17" t="inlineStr">
        <is>
          <t>linkedin</t>
        </is>
      </c>
      <c r="E17" t="inlineStr"/>
      <c r="F17" t="inlineStr"/>
      <c r="G17" t="inlineStr"/>
      <c r="H17" t="inlineStr"/>
      <c r="I17" t="inlineStr">
        <is>
          <t>**About Upstart**
 Upstart is the leading AI\-driven lending marketplace that partners with banks and credit unions to expand access to affordable credit. By leveraging advanced artificial intelligence technology, Upstart's platform enables financial institutions to achieve higher approval rates and lower loss rates across diverse demographics, including race, age, and gender. This innovative approach ensures that customers receive a seamless digital\-first lending experience, with over 80% of borrowers being approved instantly without the need for extensive documentation. Upstart is committed to democratizing credit and fostering financial inclusion through its cutting\-edge technology and data\-driven insights.
 The company operates as a digital\-first organization, with most employees working remotely across the United States. However, Upstart maintains offices in San Mateo, California; Columbus, Ohio; and Austin, Texas. The company's mission resonates with individuals passionate about making a meaningful impact by enabling effortless access to credit based on true risk assessment. Upstart's culture encourages innovation, collaboration, and a shared commitment to transforming the lending industry.
 The team at Upstart is composed of talented professionals dedicated to developing and maintaining the AI\-powered lending platform. The Capital Supply Vertical is a vital component, responsible for onboarding and managing relationships with lending partners and investors. This team provides critical reporting, forecasting, and financial analysis to optimize funding connections and support the company's growth objectives. As part of this team, the Principal Engineer plays a pivotal role in shaping the technical landscape and driving strategic initiatives across the organization.
**About The Role**
 The Principal Engineer within Upstart's Capital Supply team is a senior technical leader responsible for guiding the architectural evolution and technical roadmap of the Capital Supply systems. This role involves collaborating closely with cross\-functional teams, including Machine Learning, Data Engineering, Product Management, Platform, and Lending Partnerships, to ensure alignment with business goals and technological advancements. The Principal Engineer will take ownership of high\-impact initiatives, mentor technical leaders, and influence product direction to enhance the efficiency and scalability of Upstart's lending operations.
 The ideal candidate will have a strong background in building large\-scale, highly available consumer products, with a proven track record of leading complex engineering projects. They will proactively evaluate emerging technologies, prototype innovative solutions, and foster a culture of continuous improvement and innovation. This role offers an excellent opportunity to make a significant impact on the company's growth while developing and mentoring the next generation of engineering leaders.
**Qualifications**
* 10\+ years of software engineering experience
* Strong understanding of technical and software engineering fundamentals
* Experience building and owning large\-scale, highly available consumer products
* Ability to communicate complex technical and business concepts effectively
* Experience leading large cross\-team initiatives, especially during periods of rapid growth
* Proven track record of mentoring and developing technical leaders
* Preferred: Experience defining and executing multi\-quarter technological strategies for multi\-team organizations
* Preferred: Experience driving initiatives that improve engineering processes, platforms, or productivity
* Ability to identify organizational gaps and develop strategies to address them
* Strong influence and leadership skills without direct authority
* Strong product and analytical mindset, with focus on ROI, risk, and trade\-offs
**Responsibilities**
* Define and shape the long\-term technical roadmap for the Capital Supply engineering team, ensuring alignment with business objectives
* Guide the architectural evolution of Capital Supply systems, emphasizing shared systems across the engineering teams
* Uncover and facilitate alignment across complex technical requirements, designs, and trade\-offs to influence product direction
* Evaluate, prototype, and implement new technologies and frameworks to foster innovation and improve system capabilities
* Partner with product leaders to influence product strategy and drive impactful business outcomes
* Lead by example, mentoring and developing technical leaders within the team
* Identify high\-leverage opportunities and prioritize impactful initiatives to maximize business value
* Collaborate across teams to ensure seamless integration and operational excellence of systems
**Benefits**
* Competitive salary with bonus and equity components
* Comprehensive medical, dental, and vision insurance with Health Savings Account contributions
* 401(k) plan with 100% company match up to $4,500 and immediate vesting
* Employee Stock Purchase Plan (ESPP)
* Life and disability insurance coverage
* Generous paid holidays, vacation, sick leave, and safety leave
* Supportive parental, family care, and military leave programs
* Annual wellness, technology, and ergonomic reimbursement programs
* Company\-sponsored social activities, team events, and onsite meetups
* Catered lunches, snacks, and beverages at office locations
 Equal Opportunity
 Upstart is an equal opportunity employer committed to fostering an inclusive and diverse workplace. We welcome applications from individuals of all backgrounds, identities, and experiences. We believe that diversity enhances our innovation and success, and we are dedicated to providing equitable access to employment opportunities. If you require reasonable accommodations during the application or interview process.</t>
        </is>
      </c>
    </row>
    <row r="18">
      <c r="A18" t="inlineStr">
        <is>
          <t>li-4367936408</t>
        </is>
      </c>
      <c r="B18" t="inlineStr">
        <is>
          <t>Software Engineer II</t>
        </is>
      </c>
      <c r="C18" t="inlineStr">
        <is>
          <t>Microsoft</t>
        </is>
      </c>
      <c r="D18" t="inlineStr">
        <is>
          <t>linkedin</t>
        </is>
      </c>
      <c r="E18" t="inlineStr"/>
      <c r="F18" t="inlineStr"/>
      <c r="G18" t="inlineStr"/>
      <c r="H18" t="inlineStr"/>
      <c r="I1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AI Red Team is an interdisciplinary group of security experts, adversarial ML researchers, and software engineers with the mission of proactively identifying failures in Microsoft’s AI systems before they impact customers. Within the AI Red Team, our Tooling group builds platforms and developer experiences that enable teams across Microsoft to evaluate AI\-powered systems at scale. Our team is the home of PyRIT (https://github.com/Azure/PyRIT), an open\-source framework used for AI risk identification and evaluation. We are expanding this space by building a new platform that enables product teams to run system\-level evaluations of agentic applications and model\-enabled experiences inside normal engineering workflows. We are looking for a Software Engineer II to help build a new system\-level evaluation platform for agentic applications and model\-enabled experiences. These systems increasingly involve multi\-step reasoning, tool and API use, multimodal inputs, and memory. In this role, you will contribute to the design and implementation of core platform capabilities and integration patterns that allow engineering teams to run evaluations in their workflows and pipelines.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core platform features that enable repeatable, scalable evaluations of agentic applications and model\-enabled experiences (execution workflows, integration patterns, developer\-facing interfaces).
* Partner with product teams to gather requirements and deliver integrations that work across different system surfaces (chat experiences, APIs, and tool/orchestration layers) with minimal friction.
* Ship high\-quality, reliable code through strong engineering practices (design docs, code reviews, CI, unit/integration testing) to ensure correctness and reproducibility.
* Make results actionable by producing clear, structured outputs and reporting artifacts (summaries, diagnostics, signals) that fit naturally into engineering workflows.
* Serve as a Designated Responsible Individual (DRI) on\-call for your area, monitoring for degradation or downtime, responding to incidents, and driving root\-cause analysis and reliability improvements
**Qualifications**
**Qualifications \- Minimum Requirements:**
* Bachelor's Degree in Computer Science or related technical field AND 2\+ years technical engineering experience with coding in languages including, but not limited to, C, C\+\+, C\#, Java, JavaScript, or Python OR equivalent experience.
* 1\+ years of experience building systems with emphasis on reliability, durability, and operational efficiency, including experience with live site operations, incident response, and performance optimization.
**Qualifications \- Other Requirements**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1\+ years of experience designing, building, and operating scalable, highly available cloud services or distributed systems on platforms such as Azure, AWS, GCP, or comparable cloud environments, with production ownership and CI/CD pipeline integration.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li-4367933323</t>
        </is>
      </c>
      <c r="B19" t="inlineStr">
        <is>
          <t>Backend Software Engineer</t>
        </is>
      </c>
      <c r="C19" t="inlineStr">
        <is>
          <t>Clipboard</t>
        </is>
      </c>
      <c r="D19" t="inlineStr">
        <is>
          <t>linkedin</t>
        </is>
      </c>
      <c r="E19" t="inlineStr"/>
      <c r="F19" t="inlineStr"/>
      <c r="G19" t="inlineStr"/>
      <c r="H19" t="inlineStr"/>
      <c r="I19" t="inlineStr">
        <is>
          <t>**About The Company**
 Clipboard exists to lift as many people up the socioeconomic ladder as possible by dramatically improving lives through our innovative app\-based marketplace. Our platform connects workplaces with professionals, enabling them to book on\-demand shifts and access flexible talent. As a fast\-growing Series C company, Clipboard is a leader in the Long Term Care vertical and is expanding into other sectors such as Dental Offices and Schools. We are a YC Top Company with a global, remote team of over 700 employees. Since 2022, we have maintained profitability and fill millions of shifts annually across the US, serving tens of thousands of professionals and numerous partner workplaces. Our mission is to continually grow and serve more professionals and workplaces, making a meaningful impact on healthcare staffing and beyond.
**About The Role**
 We are seeking a talented Software Engineer to join our dynamic team. In this role, you will be instrumental in designing, developing, and maintaining scalable, high\-quality software solutions that enhance how healthcare professionals and facilities connect. You will collaborate closely with product managers, designers, and fellow engineers to create impactful features that address real\-world challenges faced by our users. This position offers an excellent opportunity for individuals who thrive in a fast\-paced, high\-ownership environment and are passionate about building solutions that make a tangible difference. As part of our remote\-first culture, you will communicate effectively across distributed teams, contribute to continuous improvement, and participate in on\-call rotations to ensure system reliability.
**Qualifications**
* Proficiency in web or mobile application development, preferably with TypeScript, React, and Node/NestJS
* Experience in developing, deploying, and supporting production services
* Deep understanding of service\-specific testing, including integration, E2E, and unit tests
* Familiarity with cloud platforms such as AWS (ECS, Terraform) and deployment best practices
* Strong problem\-solving skills and the ability to work independently in a low\-structure environment
* Excellent written and verbal communication skills suitable for a remote work environment
* Customer empathy and the ability to translate user feedback into technical solutions
* Experience with supporting and monitoring services in production environments
**Responsibilities**
* Develop and maintain high\-performance backend services using Node/NestJS and frontend interfaces with React and TypeScript
* Leverage databases such as MongoDB, Postgres, and Redis to ensure data integrity and system responsiveness at scale
* Create reusable components and utilities for web and mobile applications, including Ionic/React and Dart/Flutter
* Contribute to the full software development lifecycle, from problem definition and design to testing, deployment, and support
* Implement automated regression testing and deploy code using trunk\-based development with short\-lived feature branches
* Engage with product managers and occasionally with customers to understand their needs and gather feedback for continuous improvement
* Participate actively in a remote\-first environment, ensuring clear communication and documentation
* Prioritize user experience by balancing quick fixes with long\-term architectural enhancements
* Own and support systems through on\-call rotations, ensuring high availability and reliability of our platform
**Benefits**
* Meaningful impact by working on critical healthcare staffing solutions
* Flexible work environment with the option to work remotely or in\-office in San Francisco or New York
* Unlimited paid time off policy to support work\-life balance
* Competitive compensation package ranging from $200,000 to $400,000 annually, based on experience and qualifications
* Opportunity to contribute to a rapidly growing, profitable company with strong product\-market fit
* Collaborative, customer\-focused culture that encourages innovation and continuous improvement
 Equal Opportunity
 Clipboard Health is an equal opportunity employer. We celebrate diversity and are committed to creating an inclusive environment for all employees. We do not discriminate based on race, ethnicity, gender, sexual orientation, age, disability, or any other protected status. We believe that diverse perspectives drive innovation and are essential to our success.</t>
        </is>
      </c>
    </row>
    <row r="20">
      <c r="A20" t="inlineStr">
        <is>
          <t>li-4367949271</t>
        </is>
      </c>
      <c r="B20" t="inlineStr">
        <is>
          <t>Software Developer</t>
        </is>
      </c>
      <c r="C20" t="inlineStr">
        <is>
          <t>Best Job Tool</t>
        </is>
      </c>
      <c r="D20" t="inlineStr">
        <is>
          <t>linkedin</t>
        </is>
      </c>
      <c r="E20" t="inlineStr"/>
      <c r="F20" t="inlineStr"/>
      <c r="G20" t="inlineStr"/>
      <c r="H20" t="inlineStr"/>
      <c r="I20" t="inlineStr">
        <is>
          <t>**About The Company**
 Milliman is a leading global consulting and actuarial firm dedicated to providing innovative solutions to clients across various industries including insurance, healthcare, financial services, and more. With a rich history spanning over 75 years, Milliman has built a reputation for delivering data\-driven insights, strategic advice, and comprehensive risk management services. The company's commitment to excellence, integrity, and client\-centric approach has established it as a trusted partner for organizations seeking to navigate complex market challenges and achieve sustainable growth.
**About The Role**
 We are seeking a highly motivated and detail\-oriented professional to join our dynamic team in the role of \[Job Title]. This position offers an exciting opportunity to work on impactful projects that influence decision\-making processes for leading clients worldwide. The ideal candidate will possess a strong analytical mindset, excellent communication skills, and a passion for problem\-solving. As part of our team, you will collaborate with experts across various disciplines, contribute to innovative solutions, and help shape the future of risk management and consulting services within the industry.
**Qualifications**
 The successful candidate should possess a bachelor’s degree in a relevant field such as mathematics, statistics, economics, finance, or actuarial science. A minimum of \[X] years of professional experience in consulting, actuarial work, or related areas is preferred. Strong proficiency in data analysis, statistical software, and modeling tools is essential. Candidates should demonstrate excellent written and verbal communication skills, the ability to work independently and as part of a team, and a proactive attitude towards learning and development. Professional certifications such as ASA, FSA, CFA, or equivalent are advantageous but not mandatory.
**Responsibilities**
 In this role, you will be responsible for conducting detailed data analysis, developing actuarial models, and interpreting complex data sets to derive actionable insights. You will assist in designing and implementing risk management strategies tailored to client needs. Your duties will include preparing comprehensive reports, presenting findings to clients and internal stakeholders, and supporting the development of innovative solutions to emerging challenges. Additionally, you will collaborate with cross\-functional teams to ensure project deliverables are met on time and to the highest standards. Maintaining up\-to\-date knowledge of industry trends, regulatory changes, and best practices will be crucial to ensure our services remain cutting\-edge and compliant.
**Benefits**
 Milliman offers a competitive compensation package complemented by a comprehensive benefits program. Employees enjoy health insurance coverage, retirement plans, paid time off, and opportunities for professional development and continuous learning. The company fosters a collaborative and inclusive work environment that encourages innovation and growth. Additionally, employees have access to flexible work arrangements, wellness programs, and various employee engagement initiatives designed to promote work\-life balance and overall well\-being.
 Equal Opportunity
 Milliman is committed to fostering an inclusive and diverse workplace. We are an equal opportunity employer and do not discriminate based on race, color, religion, gender, national origin, age, disability, sexual orientation, gender identity, or any other protected characteristic. We believe that diversity drives innovation and excellence, and we are dedicated to creating an environment where all employees can thrive and reach their full potential.</t>
        </is>
      </c>
    </row>
    <row r="21">
      <c r="A21" t="inlineStr">
        <is>
          <t>li-4367938575</t>
        </is>
      </c>
      <c r="B21" t="inlineStr">
        <is>
          <t>Software Engineer 2</t>
        </is>
      </c>
      <c r="C21" t="inlineStr">
        <is>
          <t>Radiant Digital Solutions LLC</t>
        </is>
      </c>
      <c r="D21" t="inlineStr">
        <is>
          <t>linkedin</t>
        </is>
      </c>
      <c r="E21" t="inlineStr"/>
      <c r="F21" t="inlineStr"/>
      <c r="G21" t="inlineStr">
        <is>
          <t>Texas, United States</t>
        </is>
      </c>
      <c r="H21" t="inlineStr"/>
      <c r="I21" t="inlineStr">
        <is>
          <t>Position: Software Engineer Location: Onsite \- Austin, TX Duration: 4 Months
 **Job Summary Software Engineer 2**
* Perform advanced computer programming and software development for web\-based and client/server applications.
* Analyze information needs, collaborate with users, and study systems flow, data usage, and work processes to develop software solutions.
* Design, develop, test, debug, and document complex programs using C\# (.NET), Blazor, SQL, HTML5, CSS, and related technologies.
* Implement and enhance front\-end and back\-end web applications using .NET, Blazor, Oracle, SQL Server, and stored procedures.
* Work closely with systems analysts, architects, and business stakeholders to gather/validate requirements and design effective solutions.
* Provide ongoing support, troubleshoot issues, and implement changes to maintain and upgrade software applications.
* Migrate legacy standalone databases to modern Oracle database platforms, utilizing Visual Studio 2022, .NET Core 9\.0, and DevExpress tools.
* Conduct research and analysis to supplement and improve specialized programs or routines for web\-based applications.
* Recommend and implement process improvements for application development projects as needed.
* Participate in Agile SDLC processes, including requirements gathering, design presentations, intra\-team collaboration, and customer demonstrations.
* Utilize tools such as Azure DevOps, Jira, or similar for project tracking and collaboration.
* Adhere to responsive web design and Web Content Accessibility Guidelines (WCAG) as required.
* Perform other duties as assigned by management.</t>
        </is>
      </c>
    </row>
    <row r="22">
      <c r="A22" t="inlineStr">
        <is>
          <t>li-4367590000</t>
        </is>
      </c>
      <c r="B22" t="inlineStr">
        <is>
          <t>Backend Engineer</t>
        </is>
      </c>
      <c r="C22" t="inlineStr">
        <is>
          <t>RemoteHunter</t>
        </is>
      </c>
      <c r="D22" t="inlineStr">
        <is>
          <t>linkedin</t>
        </is>
      </c>
      <c r="E22" t="inlineStr"/>
      <c r="F22" t="inlineStr"/>
      <c r="G22" t="inlineStr"/>
      <c r="H22" t="inlineStr"/>
      <c r="I22"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li-4367948216</t>
        </is>
      </c>
      <c r="B23" t="inlineStr">
        <is>
          <t>Software Engineer II</t>
        </is>
      </c>
      <c r="C23" t="inlineStr">
        <is>
          <t>Microsoft</t>
        </is>
      </c>
      <c r="D23" t="inlineStr">
        <is>
          <t>linkedin</t>
        </is>
      </c>
      <c r="E23" t="inlineStr"/>
      <c r="F23" t="inlineStr"/>
      <c r="G23" t="inlineStr">
        <is>
          <t>Redmond, WA</t>
        </is>
      </c>
      <c r="H23" t="inlineStr"/>
      <c r="I23"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PRIMO organization within EngOps is responsible for building great products to enable Customer Success at scale. This Software Engineer position is targeted for someone who is: thrilled about online services, cloud computing, and user experience, loves to work in an agile development team, embraces and solves new technological challenges, deeply passionate about building effective software and continuously improving the development process, independent thinker and working collaboratively in a team environment. As part of this role, you will collaborate closely with multiple teams to deliver key customer solutions and the technology to support them.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implement, verify, deploy, and maintain high\-quality code using modern engineering practices and tools.
* Optimize, debug, and refactor code to improve performance and maintainability, and effectiveness.
* Works with appropriate stakeholders to determine user requirements for a feature.
* Collaborates with experienced engineers and mentors to translate ideas from research and design into production\-grade systems.
* Acts as a Designated Responsible Individual (DRI) in monitoring system/product feature/service for degradation, downtime, or interruptions for simple problems, and recommends actions to restore system/product/service by following the playbook.
* Contribute to the continuous improvement of the team's processes, practices, and culture.
* Learn and adopt new technologies and frameworks as needed.
**Qualifications**
**Minimum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**Preferred Requirements**
* Bachelor's Degree in Computer Science or related technical field AND 5\+ years technical engineering experience with coding in languages including, but not limited to, C, C\+\+, C\#, Java, JavaScript, or Python
+ OR Master’s Degree in Computer Science or related technical field and 3\+ years technical experience with coding in languages including, but not limited to, C, C\+\+, C\#, Java, JavaScript, or Python
+ OR equivalent experience
* Experience designing, implementing, and shipping high scale web services using C\# or Java
* Experience or working knowledge of JavaScript/Node.js/React or another similar web stack
* Experience with distributed systems and a cloud technology stack such as Azure or AWS
* Working knowledge of agile software development methodologies and tools that enable these, such as GitHub, Azure DevOps, etc.
* Demonstrated proficiency in computer science concepts including data structures, algorithms, and software design patterns.
* Demonstrated experience in object\-oriented programming.
**\#PRIMOjobs**
**\#EngOps**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
      <c r="A24" t="inlineStr">
        <is>
          <t>li-4367943718</t>
        </is>
      </c>
      <c r="B24" t="inlineStr">
        <is>
          <t>Software Engineer</t>
        </is>
      </c>
      <c r="C24" t="inlineStr">
        <is>
          <t>Hyra</t>
        </is>
      </c>
      <c r="D24" t="inlineStr">
        <is>
          <t>linkedin</t>
        </is>
      </c>
      <c r="E24" t="inlineStr"/>
      <c r="F24" t="inlineStr"/>
      <c r="G24" t="inlineStr"/>
      <c r="H24" t="inlineStr"/>
      <c r="I24" t="inlineStr">
        <is>
          <t>Senior Lead Software Engineer \- Full Stack Developer
 Hyra is working on behalf of J.P. Morgan to hire for the position of Senior Lead Software Engineer \- Full Stack Developer. This role sits within the Corporate Sector Cloud Financial Management Technology group, focusing on delivering secure and scalable technology products. You will apply deep technical expertise to solve complex challenges across multiple applications while driving significant business impact.
 What you'll be doing
 • Develop secure, high\-quality production code using Java and Python while reviewing and debugging peer contributions.
 • Provide technical guidance and direction to internal teams, contractors, and vendors to support business objectives.
 • Drive decisions influencing product design, application functionality, and technical operations.
 • Lead evaluation sessions with external vendors and internal teams regarding architectural designs and system applicability.
 • Automate the remediation of recurring issues to improve the operational stability of software systems.
 What we're looking for
 • Five or more years of applied software engineering experience with advanced proficiency in Java and Python.
 • In\-depth technical knowledge of cloud technologies including AWS, GCP, ReactJS, Terraform, and ETL processes.
 • Proven experience in system design, application development, testing, and cloud\-native operations.
 • Advanced understanding of agile methodologies, including CI/CD, application resiliency, and security protocols.
 • Experience within the financial services industry and associated IT systems.
 What J.P. Morgan offers
 • Competitive base salary and performance\-based incentive programs.
 • Comprehensive healthcare, dental, and vision insurance options.
 • Retirement savings plans and financial wellness resources.
 • Opportunities for continuous professional development and internal mobility.
 Apply via Hyra to be considered for this opportunity.</t>
        </is>
      </c>
    </row>
    <row r="25">
      <c r="A25" t="inlineStr">
        <is>
          <t>li-4367931972</t>
        </is>
      </c>
      <c r="B25" t="inlineStr">
        <is>
          <t>Associate, Software Engineer, Applications</t>
        </is>
      </c>
      <c r="C25" t="inlineStr">
        <is>
          <t>BlackRock</t>
        </is>
      </c>
      <c r="D25" t="inlineStr">
        <is>
          <t>linkedin</t>
        </is>
      </c>
      <c r="E25" t="inlineStr"/>
      <c r="F25" t="inlineStr"/>
      <c r="G25" t="inlineStr">
        <is>
          <t>San Francisco, CA</t>
        </is>
      </c>
      <c r="H25" t="inlineStr"/>
      <c r="I25" t="inlineStr">
        <is>
          <t>**About This Role**
 Company: BlackRock Financial Management, Inc.
 Job Title: Associate, Software Engineer, Applications
 Location: 400 Howard St San Francisco, CA 94105
 Job Duties: Analyze the client and investment management lifecycle, including client contracting and onboarding, portfolio management, trading, compliance, trade settlement, business operational workflows, and overall reporting platforms designing the best solutions. Support all phases of the software development lifecycle, including requirements gathering, application design, system development, testing, implementation, and production support. Create technical design documents to describe the planned solution and the upstream and downstream dependencies. Leverage and learn core technologies designed in\-house to scale solutions.
 Qualifications: Bachelor’s degree in Engineering, Computer Science, or a related field and three (3\) years of experience as a Software Developer or a related role. Must have three (3\) years of experience with: Object\-oriented programming in Java, multithreading and Spring Framework (Spring Boot, Spring MVC); Databases such as MySQL, Oracle, JDBC, and Hibernate for data persistence; Building and maintaining RESTful APIs and microservices; Writing SQL scripts for querying and data manipulation using tools including SQL Developer; Unit testing frameworks including JUnit and Mockito; Working with UNIX/Linux environments; and Agile methodologies (Scrum), with experience working in Agile teams and contributing to continuous delivery processes. Must have two (2\) years of experience with: UI technologies such as HTML5, CSS, and JavaScript, and frameworks like Angular and React for developing user interfaces in web applications.
 To apply, please click “Apply” on this webpage.
 For San Francisco, CA Only the salary range for this position is USD$161,637\.00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26">
      <c r="A26" t="inlineStr">
        <is>
          <t>li-4367950364</t>
        </is>
      </c>
      <c r="B26" t="inlineStr">
        <is>
          <t>Sr. Full Stack Software Engineer</t>
        </is>
      </c>
      <c r="C26" t="inlineStr">
        <is>
          <t>Videray Technologies, Inc.</t>
        </is>
      </c>
      <c r="D26" t="inlineStr">
        <is>
          <t>linkedin</t>
        </is>
      </c>
      <c r="E26" t="inlineStr"/>
      <c r="F26" t="inlineStr"/>
      <c r="G26" t="inlineStr">
        <is>
          <t>Boston, MA</t>
        </is>
      </c>
      <c r="H26" t="inlineStr"/>
      <c r="I26" t="inlineStr">
        <is>
          <t>**PURPOSE**
 Videray Technologies exists to create a safer society across the globe. We have created some of the world’s most powerful, user\-friendly, and ultra\-portable handheld x\-ray inspection devices to help our clients see through surfaces to detect illicit drugs, contraband, and potential threats.
 Our technology is already progressing on this mission domestically and internationally in over 80 countries. You’ll be working with a fun, intelligent, and driven group of individuals to ensure we can continue fulfilling this mission in the years to come!
**POSITION**
 We are seeking a Senior Full Stack Software Engineer with a strong background in Android, C\+\+, and modern graphics/compute frameworks (Vulkan, OpenGL, etc.) to help us advance our next generation of handheld imaging devices. This role will span embedded software, UI/UX development, data processing pipelines, and AI/ML integrations (OpenAI, PyTorch, TensorFlow). This is an on\-site role in our Boston, MA office.
 You will work closely with electrical, mechanical, and physics engineers to bring highly integrated systems to life. This is a hands\-on technical leadership role where you’ll be expected to design, implement, and optimize across the stack—from low\-level device control to front\-end user interfaces.
**Key Responsibilities**
* Design, develop, and optimize applications for Android platforms with C\+\+ and Java/Kotlin.
* Implement GPU\-accelerated algorithms for image rendering and data processing using Vulkan (or related APIs).
* Build and maintain APIs that bridge hardware, firmware, and user applications.
* Integrate AI/ML models (OpenAI and other frameworks) into production software for real\-time inference.
* Collaborate with hardware engineers on sensor integration, performance optimization, and system debugging.
* Contribute to UX/UI development for field\-ready Android apps.
* Write clean, efficient, well\-documented code and participate in peer code reviews.
* Support testing, validation, and deployment of production systems used worldwide.
**Requirements**
* Bachelor’s or Master’s Degree in Computer Science, Software Engineering, Physics, or related field.
* 8\-10 years of experience in software development with strong proficiency in C\+\+ and Android (Java/Kotlin, NDK).
* Hands\-on experience with Vulkan, OpenGL, or other graphics/compute APIs.
* Familiarity with AI/ML integration (OpenAI, TensorFlow, or PyTorch).
* Experience working on cross\-platform systems that integrate with hardware.
* Strong grasp of data structures, algorithms, and performance optimization.
* Excellent problem\-solving skills and ability to collaborate in a fast\-paced, multidisciplinary team.
* Ability to work from our Boston office 5 days per week.
* Must be authorized to work in the U.S.
**Top Performers Will Demonstrate**
* Background in physics, imaging systems, or computational graphics.
* Experience with embedded Linux, device drivers, or low\-level firmware/software.
* Familiarity with computer vision and image reconstruction pipelines.
* Knowledge of cybersecurity principles in embedded/connected system.
**Benefits**
* Competitive salary and equity opportunities.
* Flexible paid time off and company 401k contribution.
* Comprehensive health, dental, and vision benefits.
* Collaborative, mission\-driven culture with a strong emphasis on innovation.
* Opportunities for career growth and leadership in a fast\-scaling company.
* A chance to work on cutting\-edge products that make a global impact.
* Free Team lunch on Fridays.</t>
        </is>
      </c>
    </row>
    <row r="27">
      <c r="A27" t="inlineStr">
        <is>
          <t>li-4356155607</t>
        </is>
      </c>
      <c r="B27" t="inlineStr">
        <is>
          <t>Senior Software Engineer (TypeScript / React / LLM Systems) / Fintech / $250,000 / Hybrid (2 days) / New York, NY</t>
        </is>
      </c>
      <c r="C27" t="inlineStr">
        <is>
          <t>Open Talent</t>
        </is>
      </c>
      <c r="D27" t="inlineStr">
        <is>
          <t>linkedin</t>
        </is>
      </c>
      <c r="E27" t="inlineStr"/>
      <c r="F27" t="inlineStr"/>
      <c r="G27" t="inlineStr">
        <is>
          <t>New York, NY</t>
        </is>
      </c>
      <c r="H27" t="inlineStr"/>
      <c r="I27" t="inlineStr">
        <is>
          <t>**Senior Software Engineer (TypeScript / React / LLM Systems)** 
**AI Infrastructure • $160,000 \- $240,000 W\-2 • Hybrid (2 days/week) • New York, NY** 
***Must be based in NYC \&amp; the role requires
 US Citizenship
 due to regulatory constraints. No sponsorship/visas/Green Card.***
**About the Role** 
 We’re hiring a Senior Software Engineer to help build production\-grade LLM\-powered systems used in high\-impact, real\-world workflows.
 This is a true SWE \+ ML role. You’ll sit at the intersection of frontend UX, backend systems, and applied machine learning \- owning features end to end. That includes React\-heavy user interfaces, TypeScript services, and the pipelines that power LLM reasoning, retrieval and fine\-tuning behind the scenes.
 You’ll work closely with product, design and ML engineers to ship tools where reliability, clarity and user experience matter just as much as model quality.
**Why You’ll Love It:** 
**Own real systems:** 
 From UX flows to LLM pipelines running in production.
**Engineering\-first culture:** 
 Practical ML, not research theatre. Everything ships.
**High\-impact UX:** 
 Build interfaces used daily by technical and non\-technical users.
**Move fast:** 
 Small teams, short cycles, minimal process overhead.
**Serious problems:** 
 Latency, hallucination control, evaluation, observability and scale.
**What You’ll Do** 
* Design and build TypeScript services that power LLM workflows including RAG pipelines, prompt orchestration and fine\-tuning flows.
* Develop rich, intuitive React interfaces for AI\-driven products \- heavy focus on UX, clarity and usability.
* Implement retrieval systems using vector databases, hybrid search and structured data sources.
* Work hands\-on with LLM APIs and open\-source models (OpenAI, Anthropic, open\-weight models).
* Collaborate with ML engineers on evaluation, fine\-tuning strategies and production rollout.
* Own backend architecture across Node.js services, async pipelines and model\-facing APIs.
* Improve system reliability through logging, monitoring, tracing and failure handling.
* Mentor engineers and contribute to design and architecture decisions across the platform.
**Tech Stack** 
**Frontend:** 
 React, TypeScript, Next.js, Tailwind CSS, Storybook
**Backend:** 
 Node.js, TypeScript, REST, GraphQL
**LLM Systems:** 
 RAG pipelines, fine\-tuning workflows, prompt orchestration
**Data \&amp; Retrieval:** 
 PostgreSQL, Vector DBs (Pinecone, Weaviate, pgvector), Redis
**Infrastructure:** 
 AWS, Docker, Kubernetes, Terraform
**Observability:** 
 OpenTelemetry, Prometheus, Grafana, Sentry
**Nice to Have** 
* Experience building production LLM systems beyond prototypes
* Hands\-on fine\-tuning experience (LoRA, adapters, evaluation pipelines)
* Background in ML engineering or applied NLP
* Experience designing complex frontend UX for data\-heavy or AI\-driven products
* Familiarity with model evaluation, guardrails and hallucination mitigation
**Interview Process** 
1. Intro Call with Open Talent (30 mins)
2. Technical Deep\-Dive (TypeScript / React \+ LLM systems, 60 mins)
3. System Design \&amp; Architecture (45 mins)
4. Leadership Chat with CTO (30 mins) → Offer
**What We Offer** 
**Comp:** 
 $160K\-$240K W\-2 (\+ meaningful equity)
**Benefits:** 
 Health, dental, vision, 401(k)
**Time Off:** 
 Flexible PTO \+ company holidays
**Growth:** 
 Conference budget, learning allowance
**Environment:** 
 Hybrid (2 days NYC office), flexible notice period
***Equal Opportunity***
 We're hiring for an Equal Opportunity Employer.
 Due to strong market interest, please apply early or email
 **sufy@opentalent.uk** 
 to avoid missing out.
***All NYC roles posted here first:***
 linkedin.com/in/sufyanbashir/</t>
        </is>
      </c>
    </row>
    <row r="28">
      <c r="A28" t="inlineStr">
        <is>
          <t>li-4367944094</t>
        </is>
      </c>
      <c r="B28" t="inlineStr">
        <is>
          <t>Java Software Engineer</t>
        </is>
      </c>
      <c r="C28" t="inlineStr">
        <is>
          <t>Resource Innovations</t>
        </is>
      </c>
      <c r="D28" t="inlineStr">
        <is>
          <t>linkedin</t>
        </is>
      </c>
      <c r="E28" t="inlineStr"/>
      <c r="F28" t="inlineStr"/>
      <c r="G28" t="inlineStr"/>
      <c r="H28" t="inlineStr"/>
      <c r="I28" t="inlineStr">
        <is>
          <t>**About The Company** 
 Resource Innovations is a women\-led energy transformation firm dedicated to creating impactful solutions in the energy sector. With a strong foundation in energy efficiency, the company continually expands its portfolio of clean energy solutions to help utilities navigate increasingly complex and interconnected challenges. Their focus areas include load flexibility, electrification, and carbon reduction, positioning them as leaders in driving sustainable change. Committed to powering progress, Resource Innovations emphasizes innovation, environmental stewardship, and making a meaningful difference in the world through advanced technology and dedicated expertise.
**About The Role** 
 We are seeking a highly skilled Lead Java Software Engineer to join our dynamic SaaS team. As a technical leader, you will play a crucial role in designing, developing, and deploying cloud\-based enterprise software solutions that serve leading energy organizations. This position offers the opportunity to work on a diverse range of SaaS products that fundamentally transform how utilities manage business processes, customer initiatives, and energy efficiency programs. The ideal candidate will possess a passion for product craftsmanship, a desire to make a tangible impact on the environment, and experience leading software development projects in a fast\-paced, distributed environment. This is a remote position, with occasional in\-person meetings required for candidates residing in specific metro areas including San Francisco, CA; Chicago, IL; Phoenix, AZ; Denver, CO; or Madison, WI. Candidates must currently reside in the United States, as visa sponsorship and extensions are not available for this role.
**Qualifications** 
* Bachelor’s or Master’s degree in Computer Science, Engineering, or a related field
* 8\+ years of software development experience building high\-performance, reliable, and scalable enterprise applications
* Proficiency in Java, Spring Boot, Hibernate, Maven, JMS, and Redis
* Experience with relational databases such as MySQL and SQL, with familiarity in NoSQL databases like MongoDB or DynamoDB
* Knowledge of cloud services, particularly AWS (EC2, S3, RDS, Lambda, etc.)
* Experience with microservices architecture and implementation
* Strong understanding of REST/SOAP web services, API gateways, and data integration tools
* Proficiency in testing frameworks such as JUnit, TestNG, and Mockito
* Experience with containerization (Docker, Kubernetes preferred) and CI/CD pipelines
* Excellent analytical, problem\-solving, and critical thinking skills
* Strong verbal and written communication abilities
* Ability to work independently and collaboratively within a distributed team environment
* Interest in sustainability and environmental impact
**Responsibilities** 
* Lead and actively participate in the full software development lifecycle of cloud\-based enterprise applications, including design, development, testing, deployment, and maintenance
* Design and develop cloud\-native applications utilizing Java, Spring Boot, and related frameworks
* Work with REST/SOAP web services, Redis, API gateways, and relational databases to create scalable, high\-performance systems
* Ensure software designs meet performance, security, usability, reliability, and scalability standards
* Write clean, maintainable, and well\-documented code following best practices and design patterns
* Conduct code reviews, provide constructive feedback, and promote continuous improvement in development standards
* Identify, analyze, and resolve complex technical issues, optimizing applications for performance and scalability
* Collaborate cross\-functionally with QA, DevOps, Product, and Business teams using Agile methodologies such as Scrum, Jira, Confluence, and Git
* Research emerging tools, frameworks, and technologies to enhance development efficiency and solution quality
* Contribute to architectural decisions and technical strategy for SaaS products
**Benefits** 
* Competitive salary range of $135,000 \- $160,000 based on experience and qualifications
* Discretionary annual bonus opportunity
* Three weeks of paid vacation per year
* Paid holidays and sick leave
* Health, dental, and vision insurance plans
* 401(k) retirement plan with employer matching
* Additional supplemental benefits
* Flexible remote work environment with occasional in\-person meetings
 Equal Opportunity
 Resource Innovations is an Equal Opportunity Employer committed to fostering an inclusive workplace. We provide equal employment opportunities to all applicants and employees regardless of race, color, religion, national origin, gender, age, disability, marital status, genetics, protected veteran status, sexual orientation, or any other protected class.</t>
        </is>
      </c>
    </row>
    <row r="29">
      <c r="A29" t="inlineStr">
        <is>
          <t>li-4367936475</t>
        </is>
      </c>
      <c r="B29" t="inlineStr">
        <is>
          <t>Software Engineer</t>
        </is>
      </c>
      <c r="C29" t="inlineStr">
        <is>
          <t>Best Job Tool</t>
        </is>
      </c>
      <c r="D29" t="inlineStr">
        <is>
          <t>linkedin</t>
        </is>
      </c>
      <c r="E29" t="inlineStr"/>
      <c r="F29" t="inlineStr"/>
      <c r="G29" t="inlineStr"/>
      <c r="H29" t="inlineStr"/>
      <c r="I29" t="inlineStr">
        <is>
          <t>**About The Company**
 Sunbelt Controls is a leading provider of building automation and energy management solutions dedicated to enhancing the efficiency, comfort, and sustainability of commercial and industrial facilities. With a rich history of innovation and customer\-centric service, Sunbelt Controls has established itself as a trusted partner for organizations seeking to optimize their building operations. Our expertise spans across various sectors including healthcare, education, government, and corporate environments, where we deliver customized solutions that meet unique operational needs. Committed to sustainability and technological advancement, Sunbelt Controls continually invests in cutting\-edge technologies and skilled professionals to maintain its reputation as a leader in the industry.
**About The Role**
 We are seeking a highly motivated and experienced Building Automation Engineer to join our dynamic team at Sunbelt Controls. In this role, you will be responsible for designing, implementing, and maintaining sophisticated building automation systems that improve operational efficiency and reduce energy consumption. The ideal candidate will possess a strong technical background in control systems, HVAC, and networking, along with excellent problem\-solving skills. You will collaborate with clients, project managers, and technical teams to deliver seamless automation solutions tailored to each facility's specific needs. This position offers an excellent opportunity to work on innovative projects with a focus on sustainability and technological advancement, contributing to the overall success and growth of Sunbelt Controls.
**Qualifications**
 The ideal candidate will possess a bachelor’s degree in Mechanical Engineering, Electrical Engineering, Computer Science, or a related field. Professional certifications such as Certified Building Automation Professional (CBAP), BACnet certification, or similar credentials are highly desirable. Candidates should have a minimum of 3\-5 years of experience in building automation, control systems, or a related field. Strong knowledge of HVAC systems, control algorithms, networking protocols, and software platforms such as Tridium, Niagara, or Johnson Controls is essential. Excellent communication skills, the ability to work independently and as part of a team, and a customer\-focused approach are critical for success in this role.
**Responsibilities**
* Design, develop, and implement building automation systems tailored to client requirements, ensuring optimal performance and energy efficiency.
* Perform system commissioning, testing, and troubleshooting to ensure seamless operation of automation solutions.
* Collaborate with clients, project managers, and technical teams to deliver projects on time and within budget.
* Provide technical support and training to clients and internal staff on automation systems and software platforms.
* Monitor system performance, analyze data, and recommend improvements to enhance operational efficiency.
* Stay updated with the latest industry trends, technologies, and best practices in building automation and energy management.
* Ensure compliance with safety standards, building codes, and environmental regulations during all phases of project execution.
**Benefits**
 Sunbelt Controls offers a comprehensive benefits package aimed at supporting the health and well\-being of our employees. This includes competitive salary packages, health insurance plans, dental and vision coverage, and retirement savings options. Employees also have access to ongoing professional development opportunities, training programs, and industry certifications to foster career growth. Additionally, we promote a positive and collaborative work environment that encourages innovation and work\-life balance. Our employees enjoy flexible work arrangements, paid time off, and various wellness programs designed to promote overall well\-being.
 Equal Opportunity
 Sunbelt Controls is an equal opportunity employer committed to fostering an inclusive and diverse workplace. We do not discriminate based on race, color, religion, gender, sexual orientation, gender identity, national origin, age, disability, or any other protected characteristic. We believe that diverse perspectives and backgrounds enhance our ability to serve our clients effectively and drive innovation. We are dedicated to providing a supportive environment where all employees can thrive and reach their full potential.</t>
        </is>
      </c>
    </row>
    <row r="30">
      <c r="A30" t="inlineStr">
        <is>
          <t>li-4366477723</t>
        </is>
      </c>
      <c r="B30" t="inlineStr">
        <is>
          <t>Software Engineer</t>
        </is>
      </c>
      <c r="C30" t="inlineStr">
        <is>
          <t>Randstad Digital Americas</t>
        </is>
      </c>
      <c r="D30" t="inlineStr">
        <is>
          <t>linkedin</t>
        </is>
      </c>
      <c r="E30" t="inlineStr"/>
      <c r="F30" t="inlineStr"/>
      <c r="G30" t="inlineStr">
        <is>
          <t>Irving, TX</t>
        </is>
      </c>
      <c r="H30" t="inlineStr"/>
      <c r="I30"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Irving, Texas
 job type: Contract
 salary: $48\.59 \- 53\.59 per hour
 work hours: 8am to 5pm
 education: Bachelors
**Responsibilities**
 Middleware Developer with a strong full\-stack foundation in
 **Java Spring Boot** 
 and
 **React** 
 . In this role, you will be responsible for building the critical integration layers that connect our modern front\-end interfaces with complex back\-end data sources. Your primary focus will be creating seamless, high\-performance
 **API integrations** 
 and middleware services that ensure data consistency and system interoperability across the enterprise.
**Qualifications**
 Required Qualifications: 4\+ years of Software Engineering experience, or equivalent demonstrated through one or a combination of the following: work or consulting experience, training, military
 experience, education.
**Additional Skills**
 Skills to be added, Middleware developer , JAVA spring boot, React , API integration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1">
      <c r="A31" t="inlineStr">
        <is>
          <t>li-4367711306</t>
        </is>
      </c>
      <c r="B31" t="inlineStr">
        <is>
          <t>Senior / Staff Software Engineer, Flink, Apple Data Platform</t>
        </is>
      </c>
      <c r="C31" t="inlineStr">
        <is>
          <t>Apple</t>
        </is>
      </c>
      <c r="D31" t="inlineStr">
        <is>
          <t>linkedin</t>
        </is>
      </c>
      <c r="E31" t="inlineStr"/>
      <c r="F31" t="inlineStr"/>
      <c r="G31" t="inlineStr">
        <is>
          <t>Seattle, WA</t>
        </is>
      </c>
      <c r="H31" t="inlineStr"/>
      <c r="I31" t="inlineStr">
        <is>
          <t>**Summary**
 The Apple Data Platform team, part of the Services organization, powers analytics and machine learning across Apple. Our mission is to deliver cutting\-edge, reliable, and user\-friendly infrastructure for data ingestion, storage, processing, and interaction, enabling teams to build data\-intensive applications with ease and success.
**Description**
 Seeking extraordinary software engineers with deep experience in scalable streaming processing systems. You will have a passion to push the limits of distributed stateful streaming computing frameworks to get every ounce of performance out of them. Looking for engineers with In depth knowledge of systems like Flink, Beam, Kafka, Iceberg and other existing frameworks. Also someone who will be passionate by the prospect of working reciprocally with other groups internal to Apple and also communities outside Apple.
**Responsibilities**
* As an engineer on our team, you will advance our data infrastructure, driving innovation by implementing cutting\-edge capabilities and tools that will power Apple Services Engineering. You’ll collaborate closely with a dedicated team of open source data experts (including Spark, Flink, Kafka, Iceberg committers amongst others) to enhance and automate our infrastructure, ensuring seamless management across both data centers and cloud services. Your work will directly contribute to the resilience, scalability, and performance of the systems that support millions of users worldwide.
* What you can expect to do and contribute to:
* Develop and deploy new features of Apple’s internal data platform.
* Regularly contribute to open source.
* Collaborate with cross\-functional teams to design and implement automation tools that streamline operations and reduce manual intervention.
* Optimize our cloud\-based services to ensure they scale effectively, handling increasing loads while maintaining high performance.
* Innovate on API development and integration, enabling seamless communication between our applications and services
* This is an opportunity to join a dynamic and evolving team where your contributions will shape the future of our Apple’s technology landscape.
**Minimum Qualifications**
* 8\+ years of professional experience
* A successful track\-record or demonstrated aptitude as an engineer who has worked on distributed systems.
* Experienced Poweruser (at least 2 years of running production applications) of Apache Flink or Committer to Apache Flink.
* BS or MS degree in computer science or equivalent professional experience.
**Preferred Qualifications**
* Good knowledge of Apache Iceberg and Apache Kafka.
* Experience working on or building connectors from Flink to any of the data sources.
* Knowledge of Yarn, Kubernetes or other compute substrate.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
      <c r="A32" t="inlineStr">
        <is>
          <t>li-4367597162</t>
        </is>
      </c>
      <c r="B32" t="inlineStr">
        <is>
          <t>AI Software Engineer</t>
        </is>
      </c>
      <c r="C32" t="inlineStr">
        <is>
          <t>Tangible</t>
        </is>
      </c>
      <c r="D32" t="inlineStr">
        <is>
          <t>linkedin</t>
        </is>
      </c>
      <c r="E32" t="inlineStr"/>
      <c r="F32" t="inlineStr"/>
      <c r="G32" t="inlineStr"/>
      <c r="H32" t="inlineStr"/>
      <c r="I32" t="inlineStr">
        <is>
          <t>We are seeking an experienced software engineer to join our team. Tangible is building an AI\-driven construction intelligence platform for commercial real estate developers. Come join us in our quest to avoid material overuse and increase the use of low\-carbon, sustainable building products in commercial real estate projects globally.
**ABOUT TANGIBLE** 
 Tangible is a software platform for commercial real estate developers and general contractors to understand the material impact of their design decisions, achieve cost and carbon reduction and meet compliance requirements. We work with the largest real\-estate developers to make construction more intelligent.
 We are a small, growing team tackling a complex, real\-world problem at the intersection of software, AI, and the built environment. If you’re excited about building impactful systems from the ground up—and want your work to directly influence how the world builds—we’d love to work with you.
**ABOUT THE ROLE** 
 Location: Fully remote (US or Canada only)
 As a Software Engineer, You'll work at the intersection of AI, 3D modeling, and climate tech—building tools that help developers understand exactly what goes into their buildings and how to build them better.
**What you bring:** 
* You are a product\-minded builder with a proven track record of architecting \&amp; building complex web applications
* You have deep expertise with complex database schemas
* You embrace building software in a AI\-first environment
* You’re familiar with the demands of building products in a startup environment and comfortable with ambiguity
* You are deeply passionate about putting your skills to work to address climate change and eager to join an ambitious, fun\-loving, and radically caring team that imagines the world as it should be rather than as it is
* You’ve been building software for at least 5 years
**Skills that would make you stand out:** 
* Prior experience building AI\-powered software
* Curiosity about construction and the built environment
* Experience building data\-driven products
* Proven ability to architect complex applications that remain maintainable as requirements evolve
* Knowledge of construction modeling software, such as Revit
* Deep Ruby on Rails expertise
 Some of the things you’ll be working on:
* Using ML / AI to rapidly automate workflows in the real estate \&amp; construction industries
* Collaborating with UX, Product, Research and our founding team to build the product.
* Architecting the platform that will prevent the emission of millions of kilograms of CO2\.
* Designing, building, testing, deploying and operating a rapidly scaling web application using Ruby on Rails, TypeScript \&amp; React
* Ingesting 3D models and PDF construction documents of buildings to measure and optimize the carbon related to the construction of the building.
* Evolving our database of building materials, manufacturers, commercial real estate projects and their carbon footprints, material health impacts, costs, and more
* Developing integrations with other software platforms across construction, design, procurement, and reporting; e.g., Procore, Autodesk Construction Cloud, and carbon accounting platforms
**Benefits:** 
* Generous equity at a seed\-stage company
* $130k\-$160k salary
* 100% employer\-covered health insurance
* 401(k) matching up to 4%
* Flexible working hours
* Unlimited PTO \+ Last week of the year off
* Biannual in\-person gatherings
**Requirements** 
* 5 years of experience as a software engineer
* Strong expertise with AI coding tools</t>
        </is>
      </c>
    </row>
    <row r="33">
      <c r="A33" t="inlineStr">
        <is>
          <t>li-4352523788</t>
        </is>
      </c>
      <c r="B33" t="inlineStr">
        <is>
          <t>Software Engineer - Remote</t>
        </is>
      </c>
      <c r="C33" t="inlineStr">
        <is>
          <t>Jobot</t>
        </is>
      </c>
      <c r="D33" t="inlineStr">
        <is>
          <t>linkedin</t>
        </is>
      </c>
      <c r="E33" t="inlineStr"/>
      <c r="F33" t="inlineStr"/>
      <c r="G33" t="inlineStr">
        <is>
          <t>Boston, MA</t>
        </is>
      </c>
      <c r="H33" t="inlineStr"/>
      <c r="I33" t="inlineStr">
        <is>
          <t>Want to learn more about this role and Jobot? Click our Jobot logo and follow our LinkedIn page!
 Job details
**Transform Health, Extend Life \- Work with us to help revolutionize preventive healthcare through data\-driven longevity science.**
 This Jobot Job is hosted by Chris Gorman
 Are you a fit? Easy Apply now by clicking the "Easy Apply" button and sending us your resume.
 Salary $130,000 \- $160,000 per year
**A Bit About Us**
 We are a leading science\-backed healthcare facility that specializes in providing comprehensive and personalized services aimed at extending lifespan and improving health and well\-being. Powered by AI, we add years to lives through personalized health plans and cutting\-edge therapeutics.
 Due to growth, we are looking to add Software Engineers to our Remote Team!
****Why join us?****
 What We Offer
* Competitive base pay and overall compensation package
* Full benefits Medical, Dental, Vision
* Generous PTO, vacation, sick, and holidays
* Life Insurance coverage
* 401K
**Job Details**
**Responsibilities**
* Solution Implementation Contribute across the entire software stack as needed to maintain and deliver engaging AI\-powered user experiences built on web and mobile platforms.
* Data Engineering Support Work collaboratively to support the business by creating seamless integrations between the Fountain Life Platform and diverse data vendors, ensuring data consistency, reliability, and security.
* Code Quality and Best Practices Provide and receive actionable feedback on pull requests to maintain high\-quality, consistent code within the team. Implement automation to ensure a high level of system reliability. Learn and apply software development and project management best practices.
* Innovative Problem Solving Actively participate in identifying and solving technical challenges with new technologies and innovative solutions to level up the team.
* Review, test, and debug team members’ code to ensure optimal functionality.
* Utilize AI and machine learning technologies to create innovative solutions.
* Collaborate with internal teams and vendors to fix and improve products.
* Ensure software is up\-to\-date with the latest technologies and development trends.
**Qualifications**
* Proven experience as a Software Engineer
* Experience developing cloud\-based applications. AWS experience is preferred.
* Proficiency in Typescript and Python/Node.
* Hands\-on experience building production applications using LLMs is a bonus.
* Strong understanding of the software development lifecycle.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4">
      <c r="A34" t="inlineStr">
        <is>
          <t>li-4367944341</t>
        </is>
      </c>
      <c r="B34" t="inlineStr">
        <is>
          <t>SOFTWARE DEVELOPER - TS/SCI in MD</t>
        </is>
      </c>
      <c r="C34" t="inlineStr">
        <is>
          <t>CNF Technologies</t>
        </is>
      </c>
      <c r="D34" t="inlineStr">
        <is>
          <t>linkedin</t>
        </is>
      </c>
      <c r="E34" t="inlineStr"/>
      <c r="F34" t="inlineStr"/>
      <c r="G34" t="inlineStr">
        <is>
          <t>Fort Meade, MD</t>
        </is>
      </c>
      <c r="H34" t="inlineStr"/>
      <c r="I34" t="inlineStr">
        <is>
          <t>**Position Description**
 CNF Technologies is seeking Software Developers (Senior, Intermediate, and Junior levels) to deliver secure coding, DevSecOps practices, and vulnerability assessment supporting mission operations. This role provides the opportunity to drive technical direction across multiple efforts and ensures alignment with mission and security objectives throughout the full development cycle of cyberspace capability development.
**General Experience**
* Bachelor’s degree plus commensurate years' experience for each level of software development expertise.
* Experience in software development, including full lifecycle design, coding, testing, integration, and deployment of complex mission\-critical applications in high\-security or classified environments.
* Experience leading secure software engineering efforts, implementing DevSecOps pipelines, conducting code reviews, vulnerability assessments, and remediation.
* Experience in developing and maintaining software solutions supporting intelligence, defense, or national security missions to translate operational requirements into operational systems.
* Experience in secure coding practices, vulnerability remediation, code review, and software assurance in high\-security environments.
* Software deployment across various Cloud computing platforms such as Amazon Web Services, Microsoft Azure, and Google Cloud.
**Functional Responsibility**
* Design and implement DevSecOps pipelines, automated testing frameworks, and continuous integration/continuous delivery (CI/CD) processes tailored to compartmented intelligence environments.
* Perform secure software assessments, code analysis, vulnerability scanning, threat modeling, and remediation to identify and mitigate risks in new/existing software.
* Provide technical leadership by mentoring junior developers, conducting peer code reviews, guiding secure development practices, and collaborating with cross\-functional teams.
* Translate mission requirements into secure software solutions, develop prototypes, proofs\-of\-concept, and production\-grade code supporting national security objectives.
* Ensure deliverables comply with DoD cybersecurity policies, supply chain risk mitigation, and documentation for authorization to operate (ATO) systems
**Requirements**
* Active TOP SECRET/SCI clearance with Counterintelligence (CI) Polygraph required.
* Bachelor’s degree in computer science, Software Engineering, Information Technology, or a related field.
* Experience in software development, developing secure applications, DoD cyberspace operations, cybersecurity tools, and mission\-critical systems.
* Proficiency in programming languages such as Java, C\+\+, or Python; knowledge of secure coding principles, software development lifecycle (e.g., Agile, Waterfall), and tools for code analysis, debugging, and testing.
* Understanding of cybersecurity principles, network security, risk management, vulnerabilities assessment, and integration of security features like encryption and access controls into software.
* Must be a U.S. citizen.
* Ability to work in a secure facility and willingness to undergo CI polygraph examinations and background investigations in compliance with all DoD policies and operational security standards.
* Must comply with DoD Manual 8140\.03 requirements for the Software Developer (DCWF Work Role 621\) or equivalent cyberspace role.
**Education And Experience**
* Junior Software Developer:
* Bachelor’s degree in computer science, software engineering, information technology, cybersecurity, or a related STEM field.
* 0–3 years of professional software development experience.
* Intermediate Software Developer
* Bachelor's degree in computer science, software engineering, or related technical field.
* 3–10 years of professional software development experience, including hands\-on work with secure applications, SDLC methodologies (e.g., Agile/DevSecOps), and preferably some exposure to DoD/cyberspace systems.
* Senior Software Developer
* Bachelor's degree in computer science, software engineering, or related field (master’s degree or higher strongly preferred).
* 10\+ years of professional software development experience, with focus on secure software development, leading technical efforts, mentoring junior/intermediate developers, and supporting mission\-critical DoD cyberspace operations or cybersecurity tools.
 Location:
 Ft. Meade, MD</t>
        </is>
      </c>
    </row>
    <row r="35">
      <c r="A35" t="inlineStr">
        <is>
          <t>li-4367944251</t>
        </is>
      </c>
      <c r="B35" t="inlineStr">
        <is>
          <t>Senior Software Engineer</t>
        </is>
      </c>
      <c r="C35" t="inlineStr">
        <is>
          <t>Microsoft</t>
        </is>
      </c>
      <c r="D35" t="inlineStr">
        <is>
          <t>linkedin</t>
        </is>
      </c>
      <c r="E35" t="inlineStr"/>
      <c r="F35" t="inlineStr"/>
      <c r="G35" t="inlineStr"/>
      <c r="H35" t="inlineStr"/>
      <c r="I35" t="inlineStr">
        <is>
          <t>**Overview**
 Cloud computing is a highly competitive and rapidly growing market and is one of the most important initiatives for Microsoft. Customers put their big bet on Azure Cloud Platform to run their business. The Azure Core Insights team is a growing Agile team seeking a passionate candidate who possesses both machine learning and data science expertise, along with development skills, and a strong interest in building Artificial Intelligence for IT Operations (AIOps) solutions to address the unique challenges in cloud environments and drive the next generation of cloud infrastructure.
 As a member of our team, you will help design and implement anomaly detection, automatic triaging and correlation, and causal inference models to deliver preventive insights that improve the availability, reliability, and efficiency of the Azure cloud system. These efforts will be based on statistics, artificial intelligence and machine learning (AI/ML), large language models (LLM), and artificial intelligence agents (AI Agent). You will help drive actions based on these insights and integrate AI/ML, LLM, and AI Agent technologies into our daily operations by collaborating with the research team, engineering team, and program management team.
 The ideal candidate should be passionate about computer science, AI/ML, LLM, and AI Agent technologies, and about transforming data into meaningful insights that lead to actionable outcomes. If you’ve dreamed of having a global impact and love working with data and AI to create substantial business value, we’d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Share accountability of a wide array of assets and be comfortable with learning a broad array of technologies.
* Independently design and implement anomaly detection, auto\-triaging/correlation, and causal inference model to deliver preventive insights to improve Azure cloud system availability, reliability, and efficiency.
* Work with partner teams to integrate the Insights into Azure daily dev operations and Azure system for automatic mitigation and repairs.
* Contribute towards driving visibility into customer impacting on Virtual Machines or Containers or higher\-level Azure services built on top of Virtual Machines.
* Assist with building an automated data quality solution to detect problems in downstream dependencies and take automated action to correct them.
* Look for opportunities to share learnings and tools broadly within Microsoft and beyond. Specifically, our team does cutting\-edge work with Azure Data Explorer (Kusto) and makes a point at contributing back to the larger environment.
**Qualifications**
**Required Qualifications:**
* Bachelor's Degree in Computer Science or related technical field AND 4\+ years technical engineering experience with coding in languages including, but not limited to, C, C\+\+, C\#, Java, JavaScript, or Python,
+ OR equivalent experience.
* 4\+ years in anomaly detection algorithm design or implementations experience.
* 2\+ years of familiarity with open source machine learning library such as Scikit\-Learn, Pandas, Seaborn, and/or similar.
* 2\+ years of experience with AI Agent framework and machine learning models or LLM models such as linear/nonlinear regression, Bagged and Boosted Trees, Bayes methods, Transformer, and/or similar.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4\+ years of basic compute science knowledge (Concepts such as Central Processing Unit (CPU), memory, Top of Rack (ToR) switch, load balancer (LB), virtual network (VNet), and virtual local area network (VLAN), etc.), and serverless architectures and other cloud architectural patterns.
* 4\+ years of expertise in Prompt Engineering in AI Agent Framework, AI Agent deployment, large language model and GPT.
* 4\+ years of proficiency in data visualization tools such as PowerBI, Networkx or similar.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li-4367702300</t>
        </is>
      </c>
      <c r="B36" t="inlineStr">
        <is>
          <t>(General Hire) Frontend and Backend Software Engineer, Multimedia Architecture -  Multiple levels</t>
        </is>
      </c>
      <c r="C36" t="inlineStr">
        <is>
          <t>TikTok</t>
        </is>
      </c>
      <c r="D36" t="inlineStr">
        <is>
          <t>linkedin</t>
        </is>
      </c>
      <c r="E36" t="inlineStr"/>
      <c r="F36" t="inlineStr"/>
      <c r="G36" t="inlineStr">
        <is>
          <t>San Jose, CA</t>
        </is>
      </c>
      <c r="H36" t="inlineStr"/>
      <c r="I36" t="inlineStr">
        <is>
          <t>**Responsibilities**
 This position is a general hire position targeting 3 sub\-teams under the department of the Multimedia platform. By applying for this role, your candidacy will be considered by the following 3 teams simultaneously. After the initial general coding rounds, candidates enter the "team matching" phase and will speak with the corresponding hiring manager.
 Team 1: Multimedia Arch Frontend team
 The Multimedia Arch Frontend team is responsible for improving user experience and performance on TikTok, either through platform/tooling and innovative project development, or through TikTok Web Multimedia experience and performance optimizations. Including but not limited to a series of platform development (data platforms, strategy platforms, AI platforms, diagnostic platforms, etc), Multimedia Web SDKs, Web Players(VoD \&amp; Live), performance optimizations, and WebAI innovations. Joining us, you will design, implement and make an impact on TikTok.
 Responsibilities:
 1\. Work closely with our talented backend, data, algorithm and AI team to develop and ship multimedia\-related platforms \&amp; toolings for TikTok data, strategies and optimizations.
 2\. Build world\-class frontends, with data visualization for big data, deep web tech stack (Web workers, WebGPU, WebAI, etc), combine elegance, performance, reusability and maintainability;
 3\. Optimize TikTok Web Multimedia experience and performance, including but not limited to VoD, Live, Image\-related multimedia SDKs by learning world\-class multimedia tech and architecture, machine learning strategies.
 4\. Promote robust and maintainable code, clear documentation, and deliver high\-quality work in a rapid environment.
 5\. Has opportunities to explore and apply the latest and world\-class frontend tech, multimedia tech, and AI tech on a daily work basis.
 6\. Help our team grow from your expertise, experience, and perspectives.
 \-\-\-\-\-\-\-\-\-\-\-\-\-\-\-\-\-
 Team 2: Creation Platform team
 The Creation Platform team, as the cornerstone of TikTok content creation, is responsible for the core content creation ecosystem of TikTok. As a backend team, we collaborate closely with the product team and other cross\-functional teams to explore innovative methods of content creation in TikTok, build a trusted content creation platform that prioritizes privacy and security, and drive the evolution of TikTok content creation infrastructure, ultimately providing the best content creation experience for TikTok creators.
 If you join us, you will have the opportunity to:
 \- Directly design and develop features touching global users, and bring real\-world impact
 \- Collaborate closely with cross\-functional teams to explore innovative product ideas and cutting\-edge technologies
 \- Work with experts in different technical domains to identify and solve challenging issues in the world\-leading multimedia infrastructure
 \- Evolve the architecture of global large\-scale distributed backend systems to better support TikTok's future
 \-\-\-\-\-\-\-\-\-\-\-\-\-\-\-\-\-
 Team 3: MultiMedia Data Platform
 Our team's mission is to build scalable, reliable, complicant and valuable data products to power the next generation player development, multimedia domain experience optimization and cost saving.
 We are looking for seasoned backend software engineers who have strong problem\-solving skills and coding skills to build and manage scalable, reliable systems. You will have the opportunity to partner closely with a globalized engineering and product team in a high\-impact and fast\-paced environment.
 As a Backend Software Engineer, you will:
 • Develop large\-scale and reliable backend systems.
 • Improve system design and architecture to ensure high stability and performance of the services.
 • Collaborate with multiple cross\-functional teams to deliver high\-quality work in rapid product development.
**Qualifications**
 Minimum Qualifications
 Frontend:
 \- Proficiency in Typescript, ES5/6, CSS, and various layouts.
 \- Experience in solving CSS/JS multi\-browser compatibility problems and front\-end performance optimization, familiarity with React, Angular, Vue.js, or any other equivalent library/framework.
 \-\-\-\-\-\-\-\-\-\-
 Backend:
 \- Proficient in at least one programming language such as Java, Golang, Java, C\+\+, Python
 \- Deep understanding of computer architectures, data structures, and algorithms, and hands\-on experience in commonly used technical stacks such as databases, caches, and message queues
 \- Experienced in building backend services for large\-scale consumer\-facing applications.
 Preferred Qualifications:
 Frontend:
 \- Understanding or experience in the Multimedia domain, such as working on video\-related platforms/products, understanding of video codecs, video quality optimization, or web media player related is a plus.
 \- Good usage of AI tools for development efficiency and has AI or ML related product/working experience is a plus.
 \- Having experience of back\-end technologies and databases, proficient in golang or BFF development is a plus.
 \- Experience with large data set visualization is a plus.
 \-\-\-\-\-\-\-\-\-\-
 Backend:
 \- Industry experience in building large\-scale distributed backend services for consumer\-facing applications
 \- Knowledge of multimedia technologies such as video codecs, media containers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37">
      <c r="A37" t="inlineStr">
        <is>
          <t>li-4356993092</t>
        </is>
      </c>
      <c r="B37" t="inlineStr">
        <is>
          <t>Software Engineer- Cloud Solutions</t>
        </is>
      </c>
      <c r="C37" t="inlineStr">
        <is>
          <t>NetApp</t>
        </is>
      </c>
      <c r="D37" t="inlineStr">
        <is>
          <t>linkedin</t>
        </is>
      </c>
      <c r="E37" t="inlineStr"/>
      <c r="F37" t="inlineStr"/>
      <c r="G37" t="inlineStr">
        <is>
          <t>Morrisville, NC</t>
        </is>
      </c>
      <c r="H37" t="inlineStr"/>
      <c r="I37"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Software Engineer you will work as part of a team responsible for participating in the development, testing and debugging of operating systems and file systems that run NetApp storage applications. In this specific job, you will be a member of the Performance Engineering product development team. As part of the Research and Development function, the overall focus of the group is on competitive market and customer requirements, technology advances, product quality, product cost and time\-to\-market Software engineers focus on enhancements to existing products as well as new product development. The Performance Engineering product development team develops new innovations in the core 1/0 path explicitly targeted at improving ONTAP's performance when deployed into various cloud environments including FSXn, GCNV, CVO and OCI
 Job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Continuously monitor, analyze, and measure system health, availability, and latency using Google native tooling. Develop and implement steps to improve system and application performance, availability, and reliability.
* Stay up to date with security trends and proactively identify, diagnose, and resolve complex security issues.
* Collaborate with cross\-functional teams to define, design, and ship new features and deliver performance requirements
* Engage in incident management processes and resolve issues within agreed SLAs/SLOs and expected to be on Call rotations.
* Handle unstructured tasks and conducting research to convert vague/undefined requirements into clearly articulated ones.
* Operate under limited supervision and direction, as this individual can operate, drive results and set priorities independently.
 Job Requirements
* Bachelor’s degree in computer science, Engineering, or a related field.
* 5\+ years of hands\-on experience in software development and cloud engineering.
* Proficiency in one or more programming languages such as C/C\+\+, Python and focused primarily on the OS and Filesystems, Kernel levels deeper insights
* Strong hands\-on operational knowledge in at least one major cloud platform (AWS, GCP, or OCI).
* Strong knowledge of cloud architecture, services, and best practices.
* Familiarity with CI/CD pipelines and DevOps practices.
* Excellent problem\-solving skills and attention to detail.
* Strong verbal and written communication skills, and collaboration skills are a must.
* Ability to work with limited supervision and operate and drive results independently.
 Education
 IC \- Typically requires a minimum of 5 years of related experience.Mgr \&amp; Exec \- Typically requires a minimum of 3 years of related experience.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38">
      <c r="A38" t="inlineStr">
        <is>
          <t>li-4367934404</t>
        </is>
      </c>
      <c r="B38" t="inlineStr">
        <is>
          <t>Senior Software Engineer</t>
        </is>
      </c>
      <c r="C38" t="inlineStr">
        <is>
          <t>Microsoft</t>
        </is>
      </c>
      <c r="D38" t="inlineStr">
        <is>
          <t>linkedin</t>
        </is>
      </c>
      <c r="E38" t="inlineStr"/>
      <c r="F38" t="inlineStr"/>
      <c r="G38" t="inlineStr">
        <is>
          <t>Redmond, WA</t>
        </is>
      </c>
      <c r="H38" t="inlineStr"/>
      <c r="I38" t="inlineStr">
        <is>
          <t>**Overview**
 Are you passionate about using cutting\-edge technologies \&amp; capabilities across Microsoft’s Intelligent Cloud Platform? Do you strive to improve customer experience and business performance? Do you like to affect change at a billion\-dollar global user scale company, and deliver improvements that result in material impact? If yes, we want you in Monetization and Business Planning!  Our organization directs the commercial portfolio’s pricing, packaging, licensing, channel, and monetization strategies.
 As a
 **Senior Software Engineer** 
 in the Monetization and Business Planning team, you will be responsible for improving operational efficiency by designing, building and maintaining automated solutions that impact how go\-to\-market decisions are made. Your automated solutions will drive product monetization timelines. You will become an integral part of how we scale Microsoft’s monetization strategy. You will develop your career, forge effective cross\-functional relationships, take on progressively broader responsibilities, and establish yourself as a trusted strategic advisor. You can expect to have sponsorship for your work, support for your professional development, and encouragement to bring your authentic self to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secure, high\-performance web applications and backend services that integrate workflow automation, AI/ML, and data insights
* Use Azure services, Power Platform, and modern JavaScript frameworks to deliver resilient, enterprise\-grade applications
* Collaborates with business process improvement specialists, business planners, data scientists and engineers across multiple teams to translate business requirements into technical solutions
* Build, scale and maintain end\-to\-end workflows that remove manual bottlenecks in pricing, launch management \&amp; product performance measurement
* Share best practices, conduct design/code reviews, and mentor junior engineers to foster a culture of technical excellence
* Identify emerging technologies (e.g., AI agents, orchestration patterns, low\-code accelerators) and evaluate their applicability for improving pricing and launch workflows
* Champion observability, reliability, and maintainability of production systems through logging, monitoring, alerting, and incident response practices
* Proactively engage with partner engineering, business, and operations teams to shape solution direction, clarify requirements, and resolve blockers across organizational boundaries
* Other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1\+ Year experience with business process automation
* Hands\-on experience with Microsoft Power Apps, Power Automate, or Dynamics CRM
* Familiarity with AI/ML models, including LLMs, and integrating them into production workflows
* Proficiency in javascript frameworks such as TypeScript, React \&amp; Angular
* Experience designing and consuming RESTful APIs, working with cloud platforms (Azure, AWS, or GCP), and building data\-driven applications
* Experience with CI/CD pipelines, DevOps practices, and containerization (Docker/Kubernetes)
* Knowledge of system design, software architecture, security, and performance optimization
* Experience with Microsoft Fabric or other enterprise data analytics platforms
* Experience driving solutions through cross\-team dependencies and handling ambiguous business requirements with minimal guidance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li-4353963329</t>
        </is>
      </c>
      <c r="B39" t="inlineStr">
        <is>
          <t>Software Engineer</t>
        </is>
      </c>
      <c r="C39" t="inlineStr">
        <is>
          <t>Jobot</t>
        </is>
      </c>
      <c r="D39" t="inlineStr">
        <is>
          <t>linkedin</t>
        </is>
      </c>
      <c r="E39" t="inlineStr"/>
      <c r="F39" t="inlineStr"/>
      <c r="G39" t="inlineStr">
        <is>
          <t>Arlington, VA</t>
        </is>
      </c>
      <c r="H39" t="inlineStr"/>
      <c r="I39" t="inlineStr">
        <is>
          <t>Want to learn more about this role and Jobot? Click our Jobot logo and follow our LinkedIn page!
 Job details
**Software Engineer Needed \- $130K\-$150K \- Hybrid Work Schedule \- Urgent Hire!**
 This Jobot Job is hosted by Steven Zacharias
 Are you a fit? Easy Apply now by clicking the "Easy Apply" button and sending us your resume.
 Salary $130,000 \- $150,000 per year
**A Bit About Us**
 We are a growing fitness \&amp; wellness company that's looking for a seasoned Software Engineer!
 If interested, please apply or email me your resume directly at \- Steven.Zacharias@Jobot.com!
****Why join us?****
* $130,000\-$150,000 Base Salary \+ Bonus
* Hybrid Work Schedule
* Health / Dental / Vision
* Monthly cell phone stipend
* 401k w/ employer match
* PTO
**Job Details**
* 3\+ years of professional software development experience
* Strong proficiency in JavaScript/TypeScript and Node.js
* Experience with modern frontend frameworks (React, React Native, or similar)
* Solid understanding of cloud platforms, preferably AWS (Lambda, DynamoDB, CloudFormation)
* Experience with RESTful API design and implementation
* Demonstrated experience using AI coding assistants and tools to enhance productivity
* Curiosity and enthusiasm for exploring how AI can solve real\-world problems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0">
      <c r="A40" t="inlineStr">
        <is>
          <t>li-4352983918</t>
        </is>
      </c>
      <c r="B40" t="inlineStr">
        <is>
          <t>Sr. Software Engineer (Feature Focused - .NET/C#)</t>
        </is>
      </c>
      <c r="C40" t="inlineStr">
        <is>
          <t>Jobot</t>
        </is>
      </c>
      <c r="D40" t="inlineStr">
        <is>
          <t>linkedin</t>
        </is>
      </c>
      <c r="E40" t="inlineStr"/>
      <c r="F40" t="inlineStr"/>
      <c r="G40" t="inlineStr">
        <is>
          <t>Atlanta, GA</t>
        </is>
      </c>
      <c r="H40" t="inlineStr"/>
      <c r="I40" t="inlineStr">
        <is>
          <t>Want to learn more about this role and Jobot? Click our Jobot logo and follow our LinkedIn page!
 Job details
**REMOTE \- Sr. Software Engineer (Feature Focused \- .NET/C\#) for Rapidly Growing SaaS Software Company \- Base \+ Bonus!!**
 This Jobot Job is hosted by Lisa Maloney
 Are you a fit? Easy Apply now by clicking the "Easy Apply" button and sending us your resume.
 Salary $165,000 \- $200,000 per year
**A Bit About Us**
 We are a fast\-growing software company that is revolutionizing the way people are buying and selling! We are profitable and have doubled revenue every year since inception. Our office has an amazing culture with a positive can\-do attitude and are looking for someone with a similar mentality to join us 100% remotely.
****Why join us?****
 We offer the following benefits
* Competitive base salary and bonus package
* Comprehensive benefits package with PTO, 401k with 4% match, medical/dental/vision, etc.
* 100% remote work schedule with flexible first shift hours
* A growing engineering team with strong engineers that enjoy what they do
* Accelerated career growth
**Job Details**
 We are looking for a Sr. Software Engineer to join our growing business. The Sr. Software Engineer will work on a variety of full stack .NET products to build new features based on business needs to get client feedback quickly to enhance the product. This is vert iterative work. The Sr. Software Engineer will be mainly hands on in the code daily and lean to the UI using Angular/TypeScript about 60% of the time. This is a 100% remote opportunity.
 What we look for
* 6\+ years experience developing robust, scalable, and efficient software using C\#
* 1\+ years leading others, doing code reviews, ect.
* 3\+ years of Angular/React development experience
* Proficient in the following technologies .NET, C\#, JavaScript, SQL, and AWS
* Experience in quickly developing new features to trial with clients and tweak to prefect with customer feedback
* Strong communication skills both written and verbal
* Ability to work independently with little direction
* Prior SaaS software experience is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1">
      <c r="A41" t="inlineStr">
        <is>
          <t>li-4353439701</t>
        </is>
      </c>
      <c r="B41" t="inlineStr">
        <is>
          <t>Senior Software Engineer</t>
        </is>
      </c>
      <c r="C41" t="inlineStr">
        <is>
          <t>Jobot</t>
        </is>
      </c>
      <c r="D41" t="inlineStr">
        <is>
          <t>linkedin</t>
        </is>
      </c>
      <c r="E41" t="inlineStr"/>
      <c r="F41" t="inlineStr"/>
      <c r="G41" t="inlineStr">
        <is>
          <t>Atlanta, GA</t>
        </is>
      </c>
      <c r="H41" t="inlineStr"/>
      <c r="I41" t="inlineStr">
        <is>
          <t>Want to learn more about this role and Jobot? Click our Jobot logo and follow our LinkedIn page!
 Job details
**Senior Software Engineer Needed \- $120K\-$180K \- .NET Shop \- 100% REMOTE**
 This Jobot Job is hosted by Steven Zacharias
 Are you a fit? Easy Apply now by clicking the "Easy Apply" button and sending us your resume.
 Salary $120,000 \- $180,000 per year
**A Bit About Us**
 We are a growing .NET shop that's actively looking for a Senior Software Engineer to work 100% remote!
 If interested, please apply or email me your resume directly at \- Steven.Zacharias@Jobot.com!
****Why join us?****
* $120,000\-$180,000 Base Salary
* Health / Dental / Vision
* 401k
* PTO
* 100% REMOTE
**Job Details**
**Qualifications**
* Proficient with .NET Core, ASP.NET, MVC, Web API, C\# (or PHP, MySQL, Laravel, Ruby on Rails, PostgreSQL, Ember)
* Proficient with JavaScript
* Understanding of SOLID design principles
* Experience of unit tests and testable code
* Proficient with source code control tools and techniques
* Professional experience developing highly scalable API's and integrations
* Solid understanding of Web application architecture and operations
* Experience of React JS (preferred) or other front\-end development ecosystem
* Experience of SQL, document databases, or other data persistence tools
* Familiarity with design patterns
* Familiarity with Azure or other cloud platforms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2">
      <c r="A42" t="inlineStr">
        <is>
          <t>li-4353119631</t>
        </is>
      </c>
      <c r="B42" t="inlineStr">
        <is>
          <t>Senior Full Stack Engineer</t>
        </is>
      </c>
      <c r="C42" t="inlineStr">
        <is>
          <t>Jobot</t>
        </is>
      </c>
      <c r="D42" t="inlineStr">
        <is>
          <t>linkedin</t>
        </is>
      </c>
      <c r="E42" t="inlineStr"/>
      <c r="F42" t="inlineStr"/>
      <c r="G42" t="inlineStr">
        <is>
          <t>Baltimore, MD</t>
        </is>
      </c>
      <c r="H42" t="inlineStr"/>
      <c r="I42" t="inlineStr">
        <is>
          <t>Want to learn more about this role and Jobot? Click our Jobot logo and follow our LinkedIn page!
 Job details
**Innovative tech unicorn hiring a Senior Engineer to join the team! 100% remote \+ generous compensation packages!**
 This Jobot Job is hosted by Katrina McFillin
 Are you a fit? Easy Apply now by clicking the "Easy Apply" button and sending us your resume.
 Salary $140,000 \- $185,000 per year
**A Bit About Us**
 We’re a rapidly growing tech unicorn transforming the way people manage their day to day lives. Our platform powers millions of users with cutting\-edge tools for payments, lending, and financial planning. We’re scaling fast—and we need exceptional engineering leadership to help us build the future. We’re looking for a Senior Software Engineer who thrives in true full stack development, but is mostly comfortable with React \&amp; RoR, and who brings a strong balance of technical depth and emotional intelligence.
 100% remote.
****Why join us?****
* Medical, Dental, Vision
* 401k with company match
* Generous PTO / sick leave
* 100% remote
* Competitive compensation \&amp; equity
* Annual performance bonus
**Job Details**
 What You’ll Do
* Architect and build scalable, secure frontend and backend systems.
* Lead technical initiatives across teams, ensuring best practices and high standards.
* Collaborate cross\-functionally with product, design, and data teams to deliver impactful features.
* Mentor and support engineers through code reviews, pairing, and career development.
* Drive continuous improvement in engineering processes and team culture.
* Help shape the roadmap and technical strategy for our core platform.
 What We’re Looking For
* Expert\-level React and Typescript experience (4\+ years preferred).
* Very comfortable building full stack web applications utilizing Ruby on Rails (preferred), Python/Django, or Node.
* Strong understanding of software architecture, scalability, and performance.
* Excellent communication and collaboration skills—able to inspire and align teams.
* Experience in fintech, payments, or high\-growth startups is a plus.
* Passion for clean code, thoughtful design, and building products that matter.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3">
      <c r="A43" t="inlineStr">
        <is>
          <t>li-4359756902</t>
        </is>
      </c>
      <c r="B43" t="inlineStr">
        <is>
          <t>Lead Software Engineer - .NET Core, C#, React,</t>
        </is>
      </c>
      <c r="C43" t="inlineStr">
        <is>
          <t>JPMorganChase</t>
        </is>
      </c>
      <c r="D43" t="inlineStr">
        <is>
          <t>linkedin</t>
        </is>
      </c>
      <c r="E43" t="inlineStr"/>
      <c r="F43" t="inlineStr"/>
      <c r="G43" t="inlineStr">
        <is>
          <t>Chicago, IL</t>
        </is>
      </c>
      <c r="H43" t="inlineStr"/>
      <c r="I43" t="inlineStr">
        <is>
          <t>**Job Description**
 We have an opportunity to impact your career and provide an adventure where you can push the limits of what's possible.
 As a Lead Software Engineer at JPMorganChase within the Corporate and Investment Bank \- Securitized Product Group Loans, Origination and Finance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Hands\-on practical experience in system design, application development, testing, and operational stability
* Advanced in coding in one or more languages, such as, C\# in .Net Core or .Net framework
* Advanced in coding using React framework and knowledge of Javascript language.
* Proficiency working with ASP.net MVC or Web API development
* Proficiency in developing, debugging, and maintaining code in a large corporate environment with one or more modern programming languages and database querying languages
* Advanced understanding of agile methodologies such as CI/CD, Application Resiliency, and Security
* Demonstrated proficiency in software applications and technical processes within a technical discipline (e.g., cloud, artificial intelligence, machine learning, mobile, etc.) and practical cloud native experience
* Proficiency with development toolsets (e.g. Git, Visual Studio 2019/2022\)
* Experienced in SQL scripting, preferably T\-SQL in SQL Server 2019 or higher
**Preferred Qualifications, Capabilities, And Skills**
* Bachelors Degree in Computer Science or similar
* In\-depth knowledge of the financial services industry and their IT systems
* Exposure to cloud technologies, such as, AWS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4">
      <c r="A44" t="inlineStr">
        <is>
          <t>li-4352563765</t>
        </is>
      </c>
      <c r="B44" t="inlineStr">
        <is>
          <t>Embedded Software Engineer!</t>
        </is>
      </c>
      <c r="C44" t="inlineStr">
        <is>
          <t>Jobot</t>
        </is>
      </c>
      <c r="D44" t="inlineStr">
        <is>
          <t>linkedin</t>
        </is>
      </c>
      <c r="E44" t="inlineStr"/>
      <c r="F44" t="inlineStr"/>
      <c r="G44" t="inlineStr">
        <is>
          <t>San Jose, CA</t>
        </is>
      </c>
      <c r="H44" t="inlineStr"/>
      <c r="I44" t="inlineStr">
        <is>
          <t>Want to learn more about this role and Jobot? Click our Jobot logo and follow our LinkedIn page!
 Job details
**Cutting edge space \&amp; defense technology!**
 This Jobot Job is hosted by Stephen Brainerd
 Are you a fit? Easy Apply now by clicking the "Easy Apply" button and sending us your resume.
 Salary $55 \- $115 per hour
**A Bit About Us**
 With numerous offices across the country we are a TOP Ranked Space Technology Development company. We specialize in the design, manufacture, integration, and test of critical spacecraft components. We are a team of accomplished engineers and operations personnel with a diverse range of critical skills, decades of mission experience, and a passion to develop unique component solutions for space applications.
 If you are an experienced Embedded Software Engineer with experience in aerospace or satellites, then please apply!
****Why join us?****
 Do you want to work with some of the nation’s best Clients like NASA and Boeing? We do too!
* Meaningful Work!
* Best in Class Firm!
* Gold Level PPO Heath Insurance \- 75% Covered!
* Competitive Compensation Package!
* Benefits Package!
* Accelerated Career Growth!
* Fun Company Activities!
* Many More!
**Job Details**
**Responsibilities**
* Develop and maintain embedded software for spacecraft avionics, RF communications, and command \&amp; telemetry subsystems.
* Develop command and telemetry processing software including packet routing, protocol handling, and validation.
* Perform end\-to\-end testing of spacecraft command and telemetry pathways from ground to flight hardware.
* Develop hardware\-in\-the\-loop (HIL) and system\-level simulations to validate encrypted communications performance.
* Collaborate across RF, software, and systems teams to define interfaces, data formats, and timing requirements.
* Continuously discover, evaluate, and implement new technologies to maximize development efficiency.
**Qualifications**
* Bachelor’s Degree in Computer Science, Electrical Engineering, or a related field.
* 5\+ years of experience developing embedded software for aerospace, defense, or mission\-critical systems.
* Proficiency in C and C\+\+ for embedded systems.
* Knowledge of RF and command \&amp; telemetry subsystems.
* Familiarity with serial and packet\-based interfaces such as RS\-422, MIL\-STD\-1553, CAN, SpaceWire, or Ethernet.
* Proven experience in developing and maintaining embedded software for spacecraft avionics, RF communications, and command \&amp; telemetry subsystems.
* Experience in developing command and telemetry processing software including packet routing, protocol handling, and validation.
* Experience in performing end\-to\-end testing of spacecraft command and telemetry pathways from ground to flight hardware.
* Experience in developing hardware\-in\-the\-loop (HIL) and system\-level simulations to validate encrypted communications performance.
* Ability to collaborate across RF, software, and systems teams to define interfaces, data formats, and timing requirements.
* Excellent problem\-solving skills and attention to detail.
* Strong communication and teamwork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5">
      <c r="A45" t="inlineStr">
        <is>
          <t>li-4367595365</t>
        </is>
      </c>
      <c r="B45" t="inlineStr">
        <is>
          <t>Staff Backend Engineer - Billing and Revenue Systems</t>
        </is>
      </c>
      <c r="C45" t="inlineStr">
        <is>
          <t>Beacon</t>
        </is>
      </c>
      <c r="D45" t="inlineStr">
        <is>
          <t>linkedin</t>
        </is>
      </c>
      <c r="E45" t="inlineStr"/>
      <c r="F45" t="inlineStr"/>
      <c r="G45" t="inlineStr"/>
      <c r="H45" t="inlineStr"/>
      <c r="I45" t="inlineStr">
        <is>
          <t>**About the Company:** 
 Our client is a Series D, high\-growth, category\-leading marketplace powering critical workflows for a global design community. With hundreds of thousands of users, thousands of brands, and strong financial backing, the platform has reached meaningful scale, and now they are investing deeply in the systems that keep revenue correct, auditable, and resilient.
**About the Role:** 
 This role focuses on
 **building the financial backbone** 
 of the business: billing, invoicing, payments workflows, revenue attribution, and the operational accounting rails that make the platform trustworthy at scale.
 This is a niche opportunity for an engineer who enjoys “accounting\-style” engineering problems — correctness, reconciliation, audit trails, idempotency, and failure\-mode thinking. If you take pride in systems that quietly and reliably move money for years, this role is built for you.
 Our client is looking for a true owner to design and evolve revenue\-critical systems the right way: incrementally, safely, and with rigorous controls.
**What You’ll Own** 
 You will be the backend owner for internal systems at the intersection of engineering, finance, and operations:
* **Billing \&amp; invoicing engines:** 
 lifecycle orchestration, credits and adjustments, taxes/fees (as applicable), dispute workflows
* **Payments \&amp; financial workflows:** 
 integrations, retries, reconciliation, and prevention of double\-charging or double\-posting
* **Ledger\-like correctness:** 
 immutable event history where needed, strict invariants, and clear audit trails
* **Operational tooling:** 
 backend correctness is the core focus, minimal admin or internal UI when required
**What Success Looks Like (First 6–12 Months)** 
* A clear domain model and event vocabulary that aligns finance and engineering
* Reduced ambiguity and fewer manual fixes through strong reconciliation and reporting primitives
* Safer change management: new billing requirements ship without corrupting the existing state
* A system resilient by design to retries, replays, partial failures, and edge cases
**Technical Environment/Requirements:** 
* Backend services in
 **Python, Go, or JVM languages**
* Linux\-native development and production operations
* **Event\-driven architectures** 
 (Kafka or similar) for business workflows
* Data correctness patterns: idempotency keys, deduplication, exactly\-once semantics where possible, and compensating actions where not
* Integrations with payment processors, tax engines, accounting systems, or ERPs
* Experience with marketplace billing models (multi\-party flows, credits, partner programs)</t>
        </is>
      </c>
    </row>
    <row r="46">
      <c r="A46" t="inlineStr">
        <is>
          <t>li-4356170836</t>
        </is>
      </c>
      <c r="B46" t="inlineStr">
        <is>
          <t>Senior Software Engineer</t>
        </is>
      </c>
      <c r="C46" t="inlineStr">
        <is>
          <t>Jobot</t>
        </is>
      </c>
      <c r="D46" t="inlineStr">
        <is>
          <t>linkedin</t>
        </is>
      </c>
      <c r="E46" t="inlineStr"/>
      <c r="F46" t="inlineStr"/>
      <c r="G46" t="inlineStr">
        <is>
          <t>Thorofare, NJ</t>
        </is>
      </c>
      <c r="H46" t="inlineStr"/>
      <c r="I46" t="inlineStr">
        <is>
          <t>Want to learn more about this role and Jobot? Click our Jobot logo and follow our LinkedIn page!
 Job details
**Embedded Team / React, Python, and Linux**
 This Jobot Job is hosted by Katrina McFillin
 Are you a fit? Easy Apply now by clicking the "Easy Apply" button and sending us your resume.
 Salary $120,000 \- $165,000 per year
**A Bit About Us**
 We provide radio\-frequency and RFID\-based technology that helps retailers and brands prevent theft, protect high\-risk merchandise, and secure products in stores. We also offer item\-level labels, tags, hardware, and software that improve inventory accuracy, merchandise visibility, and operational efficiency across the supply chain.
****Why join us?****
 Premium benefits \- full health, dental, vision, and life insurance for you and your family
 Employee discounts
 Generous PTO
 Tuition Reimbursement
 Flexible spending account
 Health Savings Account
 Growth and upward mobility
**Job Details**
 You will be joining the engineering team to develop new features for their RFID system. You have strong experience working with python in a microservices architecture as well as scripting and deploying in a Linux environment.
 You will work cross\-functionally with software engineers, firmware engineers, architects, QA, field service, manufacturing, product, and compliance teams. You bring strong communication skills, a desire to own technical tasks, and the ability to troubleshoot complex systems.
 Tech stack linux, python, react, azure, CICD, RestAPIs, RFID, microservices, networking, cloud integration, bash scripting.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7">
      <c r="A47" t="inlineStr">
        <is>
          <t>li-4366097488</t>
        </is>
      </c>
      <c r="B47" t="inlineStr">
        <is>
          <t>Atlas Software Developer</t>
        </is>
      </c>
      <c r="C47" t="inlineStr">
        <is>
          <t>Jobs via Dice</t>
        </is>
      </c>
      <c r="D47" t="inlineStr">
        <is>
          <t>linkedin</t>
        </is>
      </c>
      <c r="E47" t="inlineStr"/>
      <c r="F47" t="inlineStr"/>
      <c r="G47" t="inlineStr">
        <is>
          <t>Silver Spring, MD</t>
        </is>
      </c>
      <c r="H47" t="inlineStr"/>
      <c r="I47" t="inlineStr">
        <is>
          <t>The ATLAS Team is seeking a skilled ESRI developer to join our dynamic group. In this role, you will collaborate closely with the product owner, fellow developers, and test engineers to deliver high\-quality software that drives business value and adheres to established design patterns and processes. You should be able to independently develop, code, modify, test, and debug application programs of varying complexity.
 We are looking for a highly motivated individual eager to grow their career in a fast\-paced environment. Success in this role requires extensive knowledge of programming languages and the software development life cycle.
 The ideal candidate will excel at prioritizing tasks, communicating clearly, and consistently delivering results with excellent software engineering skills. We value creative engineering that is balanced with high quality and a strong customer focus. You must be able to work across multiple facets of a project and manage several responsibilities simultaneously, demonstrating strong analytical capabilities and the ability to create innovative solutions.
 If this sounds like the ideal career opportunity for you, please continue reading.
**Responsibilities will be:**
* Create feature class and publish on ARCGIS server
* Work with business users to develop and implement acceptance tests to ensure that product meets customer requirements and expectations
* Actively engage in process improvement initiatives
* Perform task using Oracle and SQL database systems
* Use the best development practices, and appropriate patterns to develop required software solutions
* Create and maintain technical documentation, including user manuals and guides
* Formulate and define system scope and objectives, based on the individual needs of each user
* Analyze and revise existing system logic difficulties and ensure that technical knowledge of all phases of application systems is maintained
* Prepare and install solutions by determining and designing system specifications, standards and programming
* Improve operations by conducting systems analysis\= recommending changes in policies and procedures
* Protect operations by keeping confidential information
* Provide information by collecting, analyzing and summarizing development and service issues
* Support and develop software engineers by providing advice, coaching and educational opportunities
* Collaborate with team to brainstorm and create new products in order to achieve team goals
* Make informed decisions quickly and take ownership of services and applications at scale
* Remain cool and collective during crisis
* Passionate about great technologies, especially open source
**Basic Qualifications:**
* Experience in full software lifecycle development with .NET, full stack development, Soap Web Services
* BS degree and 5 \+ years of prior relevant experience or master's with 3 \+ years of prior relevant experience (Additional yrs of experience may be considered in lieu of a degree)
* Experience in parallel development environment managing overlapping efforts impacting same function
* Excellent verbal and written communication skills, including experience working directly with customers to discuss their requirements and objectives
* Experience with Subversion/Git, JIRA, Confluence, Bitbucket
* Deep understanding of software lifecycle
* Working knowledge of Agile Development and continuous integration and continuous delivery methodologies and tools
* Ability to complete tasks independently with minimal direct supervision
* Ability to work and collaborate effectively within a multi\-disciplined engineering team.
* Experience working with languages (Python, C\#, ArcGIS Pro, . Net SDK, REST service, ArcGIS Server, ArcGIS Pro, Enterprise Geodatabase, Database Replica).
* Experience working with multiple operating systems (Windows, LINUX, UNIX etc.).
* Experience working with at least one Relational Database Management System (Oracle, MySQL, SQL Server, etc.).
* Ability to obtain a Public Trust Security Clearance Suitability
**Preferred Qualifications:**
 Expertise in ESRI Development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8">
      <c r="A48" t="inlineStr">
        <is>
          <t>li-4352513785</t>
        </is>
      </c>
      <c r="B48" t="inlineStr">
        <is>
          <t>Senior Frontend Engineer</t>
        </is>
      </c>
      <c r="C48" t="inlineStr">
        <is>
          <t>Jobot</t>
        </is>
      </c>
      <c r="D48" t="inlineStr">
        <is>
          <t>linkedin</t>
        </is>
      </c>
      <c r="E48" t="inlineStr"/>
      <c r="F48" t="inlineStr"/>
      <c r="G48" t="inlineStr">
        <is>
          <t>Pleasanton, CA</t>
        </is>
      </c>
      <c r="H48" t="inlineStr"/>
      <c r="I48" t="inlineStr">
        <is>
          <t>Want to learn more about this role and Jobot? Click our Jobot logo and follow our LinkedIn page!
 Job details
**Agentic AI Observability Tool \| Co\-founder took prior company from zero to $5\.7B \| QSBS Equity**
 This Jobot Job is hosted by Caitlyn Hardy
 Are you a fit? Easy Apply now by clicking the "Easy Apply" button and sending us your resume.
 Salary $180,000 \- $240,000 per year
**A Bit About Us**
 Backed by over $21M in capital from leading investors, they are building a next\-generation AI product designed to transform how reliability engineering is done.
 The founding team includes senior leaders and technical pioneers from industry giants like AWS, Cisco, VMware, and Gigamon \- holding dozens of patents and having built critical systems at some of the most respected tech companies in the industry. This is a rare opportunity to join an early\-stage team that’s solving tough technical problems in distributed systems, observability, and automation — all while shaping a product from the ground up.
****Why join us?****
 Benefits Comprehensive medical, vision, and dental benefits. 401 (k) plans and commuter benefits. Free lunches, snacks, and top\-of\-the\-line espressos!
 Equity that could change your life.
 High\-impact role with plenty of mentorship opportunities from founders and other coworkers
 Collaborative coworkers with high IQ and high EQ. No politics. No bureaucracy. Open door policy.
**Job Details**
 We're seeking a frontend specialist with over five years of hands\-on experience, someone who thrives in complex environments and is passionate about building visual interfaces that bring clarity to massive data sets. You’re driven to design clean, scalable user experiences, and you're fluent in the tools that power today’s most responsive web platforms.
 Your Core Expertise
* Highly skilled in building modern web applications using React, with a strong grasp of performance\-oriented patterns and component design
* Advanced understanding of TypeScript, including deep familiarity with advanced types and generics
* User experience is designed with an AI\-first mindset, seamlessly blending data and interaction
* Proficient in visualizing complex data through tools like D3, WebGL, or similar frameworks
* Background in developing modular, scalable UI systems within distributed or micro\-frontend environments
* Demonstrated experience architecting and evolving internal UI libraries or comprehensive design systems
* Comfortable using utility\-first or component\-based styling methods, such as Tailwind or modern CSS\-in\-JS solutions
* Built and refined complex dashboards or interactive analytics tools with a focus on usability and clarity
* Bonus if you've worked on interfaces for observability products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9">
      <c r="A49" t="inlineStr">
        <is>
          <t>li-4367947227</t>
        </is>
      </c>
      <c r="B49" t="inlineStr">
        <is>
          <t>Principal Software Engineer</t>
        </is>
      </c>
      <c r="C49" t="inlineStr">
        <is>
          <t>Microsoft</t>
        </is>
      </c>
      <c r="D49" t="inlineStr">
        <is>
          <t>linkedin</t>
        </is>
      </c>
      <c r="E49" t="inlineStr"/>
      <c r="F49" t="inlineStr"/>
      <c r="G49" t="inlineStr">
        <is>
          <t>Boston, KY</t>
        </is>
      </c>
      <c r="H49" t="inlineStr"/>
      <c r="I49"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Embodies our culture and values
**Qualifications**
**Required/minimum qualifications**
* Bachelor's Degree in Computer Science or related technical field AND 6\+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\#ISEngineering
 \#WSS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li-4366406430</t>
        </is>
      </c>
      <c r="B50" t="inlineStr">
        <is>
          <t>Full Stack Engineer</t>
        </is>
      </c>
      <c r="C50" t="inlineStr">
        <is>
          <t>Jobs via Dice</t>
        </is>
      </c>
      <c r="D50" t="inlineStr">
        <is>
          <t>linkedin</t>
        </is>
      </c>
      <c r="E50" t="inlineStr"/>
      <c r="F50" t="inlineStr"/>
      <c r="G50" t="inlineStr">
        <is>
          <t>Westlake, TX</t>
        </is>
      </c>
      <c r="H50" t="inlineStr"/>
      <c r="I50" t="inlineStr">
        <is>
          <t>**Description:**
*Hybrid Onsite Every Other Week in Westlake, TX*
 As a Full Stack Engineer, you will support cloud\-based brokerage applications for the TradeFlow Order Management team. You will collaborate across business and technology teams to deliver scalable services that support multiple asset classes. The role includes hands\-on development, architectural participation, and production support for live environments.
*Due to client requirements, applicants must be willing and able to work on a w2 basis. For our w2 consultants, we offer a great benefits package that includes Medical, Dental, and Vision benefits, 401k with company matching, and life insurance.*
 Rate: $55\.00 to $65\.00/hr. w2
**Responsibilities:**
**Responsibilities**
* Design, build, and maintain cloud\-based brokerage applications within the TradeFlow Order Management domain.
* Develop RESTful microservices and integrate messaging and event\-driven components.
* Collaborate with cross\-functional teams to support multiple asset classes on the brokerage platform.
* Participate in architecture, design, and analysis activities for scalable solutions.
* Provide production support, diagnose issues, and resolve incidents with urgency and precision.
* Implement CI/CD pipelines and automate application deployments.
* Support on\-call rotations for evenings and weekends as needed.
**Experience Requirements:**
**Experience Requirements**
* 5 or more years of Java development experience.
* Experience designing and building REST microservices.
* Experience with messaging and event\-driven systems such as Kafka and IBM MQ.
* Experience with relational databases such as Postgres and Oracle.
* Experience with Kubernetes and Linux OS.
* Understanding of programming languages and algorithms.
* Ability to learn new technologies and solve complex problems.
* Experience supporting production systems with on\-call rotations.
* Team\-based delivery experience in an iterative software development cycle.
* Exposure to AWS, Google Cloud Platform, or Azure.
* Experience with CI/CD tools such as Maven, Jenkins, and Docker.
* Hands\-on experience with deployment automation and pipelines.
* Experience with GitHub for source control and feature\-driven development.
* Experience with Artifactory and familiarity with API registries such as Apigee.
**Education Requirements:**
**Education Requirements**
* Bachelor's degree or equivalent experience in Computer Science or a related field.
* Master's degree in a related field (preferred).
* AWS, Azure, or Google Cloud certification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51">
      <c r="A51" t="inlineStr">
        <is>
          <t>li-4366584856</t>
        </is>
      </c>
      <c r="B51" t="inlineStr">
        <is>
          <t>Software Engineer</t>
        </is>
      </c>
      <c r="C51" t="inlineStr">
        <is>
          <t>Jobs via Dice</t>
        </is>
      </c>
      <c r="D51" t="inlineStr">
        <is>
          <t>linkedin</t>
        </is>
      </c>
      <c r="E51" t="inlineStr"/>
      <c r="F51" t="inlineStr"/>
      <c r="G51" t="inlineStr">
        <is>
          <t>Charlotte, NC</t>
        </is>
      </c>
      <c r="H51" t="inlineStr"/>
      <c r="I51" t="inlineStr">
        <is>
          <t>**Location:** 
 Charlotte, NC
**Salary:** 
 $53\.00 USD Hourly \- $57\.00 USD Hourly
**Description:**
****Software Engineer (Contingent Assignment) \- Charlotte, NC****
**About The Role**
 In this contingent role, you will contribute to software engineering initiatives that influence the development and delivery of scalable, high\-quality technology solutions. You'll work on moderately complex projects, provide technical analysis, and collaborate with cross\-functional partners to support engineering deliverables.
 You will leverage your experience to evaluate technical challenges, recommend solutions, and ensure adherence to engineering standards, policies, and compliance requirements. This role also includes engaging with client engineering teams to support planning, execution, and continuous improvement.
**Responsibilities**
* Participate in and consult on moderately complex software engineering projects and initiatives.
* Contribute to large\-scale planning efforts related to engineering deliverables.
* Review, analyze, and troubleshoot software engineering challenges involving variable factors.
* Collaborate with team members and client personnel to resolve issues and deliver high\-quality engineering solutions.
* Apply engineering best practices, internal policies, and compliance standards throughout project execution.
* Support continuous improvement through knowledge sharing and cross\-functional coordination.
****Required Qualifications****
* 4\+ years of software engineering experience, or equivalent experience through one or a combination of:
+ Professional work
+ Consulting experience
+ Technical training
+ Military service
+ Relevant education
****Preferred Skills****
* Experience with DevOps practices
* Hands\-on expertise with GitHub Actions
* Familiarity with Harness for CI/CD orchestration
****Location****
* Charlotte, NC (On\-site or hybrid depending on client needs)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52">
      <c r="A52" t="inlineStr">
        <is>
          <t>li-4365932944</t>
        </is>
      </c>
      <c r="B52" t="inlineStr">
        <is>
          <t>Senior Software Engineer - Java (Remote)</t>
        </is>
      </c>
      <c r="C52" t="inlineStr">
        <is>
          <t>Jobs via Dice</t>
        </is>
      </c>
      <c r="D52" t="inlineStr">
        <is>
          <t>linkedin</t>
        </is>
      </c>
      <c r="E52" t="inlineStr"/>
      <c r="F52" t="inlineStr"/>
      <c r="G52" t="inlineStr">
        <is>
          <t>Arizona, United States</t>
        </is>
      </c>
      <c r="H52" t="inlineStr"/>
      <c r="I52" t="inlineStr">
        <is>
          <t>****Overview****
 This is a remote role that may only be hired in the following location(s): AZ, FL, GA, NC and TX.
 Silicon Valley Bank (SVB), a division of First Citizens Bank, is the bank of the world's most innovative companies and investors. We are looking for a hands\-on Senior Software Engineer to join our growing SVB Go Online Banking delivery team, which provides technology solutions and integration services in following areas: Digital Banking, Core banking, Credit/Charge/Debit Cards, and Foreign Exchange.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Sr. Software Engineer, primary responsibility will be towards the development and support of Digital Banking solutions/projects. The Senior Software Engineer will be responsible for all software aspects within the team including research, design, technology insertion, development, testing and supporting them.
**Responsibilities**
* Design and develop technical solutions that meet user needs with respect to functionality, performance, scalability, and reliability.
* Oversee proactive maintenance on our existing Iaas/SaaS and on\-premise applications within the Digital Banking, Mobile and integrating with Cards, Merchant Services, Payments, Foreign Exchange, Core banking and Trade Finance space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May mentor junior engineers and contribute to the team's technical growth.
****Qualifications****
 Bachelor's Degree and 4\+ years of experience in Application software programming OR High School Diploma or GED and 8\+ years of experience in Application software programming
 Preferred Skills:
* Excellent ability to communicate technical information clearly and work effectively with cross\-functional teams
* Strong design \&amp; development experience with Java EE \&amp; Enterprise Technologies: JMS, JDBC, Web development, Transactions, WS\-\*, JVM, JSP, Servlets, EJB, JNDI, JMX, JTA, Spring, JUnit, Hibernate
* Strong analytical and problem\-solving skills
* Experience building SpringBoot Microservices
* Experience building applications using container architecture with Kubernetes orchestration
* Preferred experience on public API development and using API Gateway like APIGEE
* In\-depth understanding of JavaScript, including ES6\+ features, Loopback, closures and asynchronous programming
* Worked on Agile projects and has complete knowledge of day to day Agile routines
* Proven experience in building user interfaces with React.js
* Familiarity with state management libraries like Redux or MobX
* Understanding of the React component lifecycle and its best practices
* Experience with testing frameworks like Jest or Mocha
* Ability to interact with REST APIs and handle data fetching and manipulation
* Proficient in using GITLAB for version control
* Experience with Jira, Confluence and ORACLE Database systems
* Understanding of basic UI/UX design principles
* Prior experience with regulated financial organization is a plus
 Benefits are an integral part of total rewards and First Citizens Bank is committed to providing a competitive, thoughtfully designed and quality benefits program to meet the needs of our associates. More information can be found at
 $descr2
 $descr3</t>
        </is>
      </c>
    </row>
    <row r="53">
      <c r="A53" t="inlineStr">
        <is>
          <t>li-4366564337</t>
        </is>
      </c>
      <c r="B53" t="inlineStr">
        <is>
          <t>Software Engineer, High Performance Computing</t>
        </is>
      </c>
      <c r="C53" t="inlineStr">
        <is>
          <t>Jobs via Dice</t>
        </is>
      </c>
      <c r="D53" t="inlineStr">
        <is>
          <t>linkedin</t>
        </is>
      </c>
      <c r="E53" t="inlineStr"/>
      <c r="F53" t="inlineStr"/>
      <c r="G53" t="inlineStr">
        <is>
          <t>Hawthorne, CA</t>
        </is>
      </c>
      <c r="H53" t="inlineStr"/>
      <c r="I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HIGH PERFORMANCE COMPUTING**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with hands\-on experience developing C\+\+ software for real\-world systems.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control hundreds of satellites in low earth orbit
* Leverage software design to improve satellite constellation performance, security, and availability to meet the needs of a wide range of users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Implement networking technologies to direct data across a variety of satellites, ground operations centers, and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 Invent new systems that enable more frequent and reliable software deployment, test execution, and data analysis as part of a continuous integration and release system
**BASIC QUALIFICATIONS:**
* Bachelor's degree in computer science, engineering, math, or engineering discipline; OR 2\+ years of professional experience in software development in lieu of a degree
* Development experience in C, C\+\+, or Python or full stack software development experience
**PREFERRED SKILLS AND EXPERIENCE:**
* Experience in C\+\+ for high performance systems
* Developed and deployed software that has been used real\-world applications and projects
* Solid fundamental knowledge of computer architecture and networks
* Strong skills in debugging, performance optimization and unit testing
* Ability to work effectively and creatively in a dynamic environment with changing needs and requirements
* Ability to work independently and in a team, take initiative, and communicate effectively
* Ability to obtain and maintain a Top Secret or Top Secret SCI clearance
 Some preferred skills and experience depend on the specific team within flight software and may include:
* Experience with networking protocols (TCP, UDP, etc)
* Experience developing in the Linux kernel
* Experience with image data processing and machine learning
* Strong background in math and physics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54">
      <c r="A54" t="inlineStr">
        <is>
          <t>li-4366516500</t>
        </is>
      </c>
      <c r="B54" t="inlineStr">
        <is>
          <t>Software Engineer</t>
        </is>
      </c>
      <c r="C54" t="inlineStr">
        <is>
          <t>Jobs via Dice</t>
        </is>
      </c>
      <c r="D54" t="inlineStr">
        <is>
          <t>linkedin</t>
        </is>
      </c>
      <c r="E54" t="inlineStr"/>
      <c r="F54" t="inlineStr"/>
      <c r="G54" t="inlineStr">
        <is>
          <t>Virginia, United States</t>
        </is>
      </c>
      <c r="H54" t="inlineStr"/>
      <c r="I54"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MCLEAN, Virginia
 job type: Contract
 salary: $71\.40 \- 76\.40 per hour
 work hours: 8am to 5pm
 education: Bachelors
 responsibilities:
* Define product strategy and roadmap: Develop and communicate a clear vision and strategic roadmap for IDP, aligned with organizational objectives and developer needs.
* Backlog Management: Maintain and prioritize the product backlog, ensuring timely delivery of features that provide maximum value.
* Product Storytelling \&amp; Presentations: Create compelling narratives around product features and updates; deliver engaging presentations to stakeholders at all levels.
* Agile practices \&amp; roadmap planning: Facilitate sprint planning, review meetings; manage quarterly goals (6Q roadmaps) to ensure continuous progress.
* Stakeholder collaboration: work closely with developers and other stakeholders to gather requirements, clarify priorities and communicate progress and updates.
* Product performance measurements: Define key results and measure product success against organizational OKRs.
* Collaborate with engineering teams to ensure feasibility, quality and timely delivery of features.
 qualifications:
 Required Qualifications: 5\+ years of Software Engineering experience, or equivalent demonstrated through one or a combination of the following: work or consulting experience, training, military experience, education.
 Additional Skills:
 Define product strategy and roadmap:
 Develop and communicate a clear vision and strategic roadmap for IDP, aligned with organizational objectives and developer needs.
 Backlog Management:
 Maintain and prioritize the product backlog, ensuring timely delivery of features that provide maximum value.
 Product Storytelling \&amp; Presentations:
 Create compelling narratives around product features and updates; deliver engaging presentations to stakeholders at all levels.
 Agile practices \&amp; roadmap planning:
 Facilitate sprint planning, review meetings; manage quarterly goals (6Q roadmaps) to ensure continuous progress.
 Stakeholder collaboration: work closely with developers and other stakeholders to gather requirements, clarify priorities and communicate progress and updates.
 Product performance measurements: Define key results and measure product success against organizational OKRs.
 Collaborate with engineering teams to ensure feasibility, quality and timely delivery of features.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55">
      <c r="A55" t="inlineStr">
        <is>
          <t>li-4366555957</t>
        </is>
      </c>
      <c r="B55" t="inlineStr">
        <is>
          <t>Software Engineer (Starshield)</t>
        </is>
      </c>
      <c r="C55" t="inlineStr">
        <is>
          <t>Jobs via Dice</t>
        </is>
      </c>
      <c r="D55" t="inlineStr">
        <is>
          <t>linkedin</t>
        </is>
      </c>
      <c r="E55" t="inlineStr"/>
      <c r="F55" t="inlineStr"/>
      <c r="G55" t="inlineStr">
        <is>
          <t>Hawthorne, CA</t>
        </is>
      </c>
      <c r="H55" t="inlineStr"/>
      <c r="I5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control hundreds of satellites in low earth orbit
* Leverage software design to improve satellite constellation performance, security, and availability to meet the needs of a wide range of users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Implement networking technologies to direct data across a variety of satellites, ground operations centers, and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 Invent new systems that enable more frequent and reliable software deployment, test execution, and data analysis as part of a continuous integration and release system
**BASIC QUALIFICATIONS:**
* Bachelor's degree in computer science, engineering, math, or scientific discipline; OR 2\+ years of professional experience in software development in lieu of a degree
* Development experience in C, C\+\+, or Python or full stack software development experience
**PREFERRED SKILLS AND EXPERIENCE:**
* Developed and deployed software that has been used real\-world applications and projects
* Solid fundamental knowledge of computer architecture and networks
* Strong skills in debugging, performance optimization and unit testing
* Ability to work effectively and creatively in a dynamic environment with changing needs and requirements
* Ability to work independently and in a team, take initiative, and communicate effectively
* Ability to obtain and maintain a Top Secret or Top Secret SCI clearance
 Some preferred skills and experience depend on the specific team within flight software and may include:
* Experience with networking protocols (TCP, UDP, etc)
* Experience developing in the Linux kernel
* Experience in C\+\+ for high performance systems
* Experience with image data processing and machine learning
* Strong background in math and physics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56">
      <c r="A56" t="inlineStr">
        <is>
          <t>li-4367941253</t>
        </is>
      </c>
      <c r="B56" t="inlineStr">
        <is>
          <t>Senior Software Engineer, Back End (Global Payment Network)</t>
        </is>
      </c>
      <c r="C56" t="inlineStr">
        <is>
          <t>Capital One</t>
        </is>
      </c>
      <c r="D56" t="inlineStr">
        <is>
          <t>linkedin</t>
        </is>
      </c>
      <c r="E56" t="inlineStr"/>
      <c r="F56" t="inlineStr"/>
      <c r="G56" t="inlineStr">
        <is>
          <t>McLean, VA</t>
        </is>
      </c>
      <c r="H56" t="inlineStr"/>
      <c r="I5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of experience with PostgreSQL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li-4366567293</t>
        </is>
      </c>
      <c r="B57" t="inlineStr">
        <is>
          <t>Principal Software Engineer</t>
        </is>
      </c>
      <c r="C57" t="inlineStr">
        <is>
          <t>Jobs via Dice</t>
        </is>
      </c>
      <c r="D57" t="inlineStr">
        <is>
          <t>linkedin</t>
        </is>
      </c>
      <c r="E57" t="inlineStr"/>
      <c r="F57" t="inlineStr"/>
      <c r="G57" t="inlineStr">
        <is>
          <t>Pleasanton, CA</t>
        </is>
      </c>
      <c r="H57" t="inlineStr"/>
      <c r="I57" t="inlineStr">
        <is>
          <t>**Job Description**
**Description** 
 :
 Join our innovative engineering team and work on
 **scalable, high\-impact software** 
 that drives critical business operations. You will design, develop, and maintain complex applications and services using
 **Java, Python, microservices, and cloud platforms** 
 , while ensuring performance, reliability, and security at scale.
 In this role, you will take ownership of complex systems, influence
 **technical direction** 
 , and help define best practices for the team. You will implement advanced
 **software solutions** 
 , while collaborating closely with cross\-functional teams to deliver high\-quality software for analytics.
 We are looking for a
 **proactive, experienced engineer** 
 with strong experience in
 **Java, relational databases, Python, and modern web technologies (JavaScript and frameworks like React/Node.js is a plus)** 
 . You thrive in solving challenging problems, mentoring peers, and delivering solutions that have a direct impact on our business and customers.
**Responsibilities**
 Responsibilities :
* Design, develop, troubleshoot, and maintain complex software applications, tools, and services.
* Contribute to architecture and technical direction, ensuring scalable, secure, and high\-performance solutions.
* Implement and integrate security, encryption, and identity solutions, including SSO and secrets management.
* Collaborate with cross\-functional teams, mentor engineers, and promote best practices across the organization.
* Participate in code reviews, testing, and continuous improvement to deliver high\-quality software on schedule.
**Required Technical Skills :**
* Strong proficiency in Java (Java 8;), including multithreading, concurrency, collections, and JVM internals
* Extensive experience with Spring / Spring Boot, RESTful services, and microservices architecture
* Deep understanding of object\-oriented design, design patterns, and clean code principles
* Expertise in debugging, troubleshooting, and performance tuning of complex Java applications
* Strong experience with SQL and relational databases (Oracle, MySQL)
**Security \&amp; Identity:**
* Experience implementing/understanding Single Sign\-On (SSO) and identity integrations (OAuth2, SAML)
* Strong understanding of SSL/TLS, certificate management, and secure communication protocols
* Hands\-on experience with encryption technologies, key management, and data protection
* Experience with secrets management and vault solutions (e.g., HashiCorp Vault, cloud\-native vault services)
**Databases \&amp; Data Stores:**
* Strong experience with relational databases (Oracle, PostgreSQL) including schema design, query optimization, and performance tuning
* Solid understanding of non\-relational data modeling trade\-offs
**Distributed Systems \&amp; Cloud:**
* Experience designing and operating scalable, distributed systems
* Hands\-on experience with cloud platforms (OCI, AWS, Azure, or Google Cloud Platform)
* Experience with containerization and orchestration (Docker, Kubernetes)
**DevOps \&amp; Quality:**
* Experience with CI/CD pipelines, build tools (Maven, Gradle), and version control (Git)
* Strong focus on automated testing (JUnit, Mockito) and software quality
* Knowledge of secure coding practices and compliance standards
**Leadership \&amp; Collaboration:**
* Ability to lead architecture and design discussions, perform code reviews, and influence technical direction
* Proven experience mentoring engineers and driving engineering best practices
* Strong communication and cross\-functional collaboration skills
**Additional Requirements:**
* Working proficiency in Python for scripting, automation, or backend services
* Experience with JavaScript and related frameworks (React, Angular, Node.js) is a plus
* Strong understanding of data persistence, consistency models, and transactional systems
* Excellent problem\-solving, communication, and collaboration skills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8">
      <c r="A58" t="inlineStr">
        <is>
          <t>li-4366424874</t>
        </is>
      </c>
      <c r="B58" t="inlineStr">
        <is>
          <t>Software Engineer</t>
        </is>
      </c>
      <c r="C58" t="inlineStr">
        <is>
          <t>Jobs via Dice</t>
        </is>
      </c>
      <c r="D58" t="inlineStr">
        <is>
          <t>linkedin</t>
        </is>
      </c>
      <c r="E58" t="inlineStr"/>
      <c r="F58" t="inlineStr"/>
      <c r="G58" t="inlineStr">
        <is>
          <t>Chandler, AZ</t>
        </is>
      </c>
      <c r="H58" t="inlineStr"/>
      <c r="I58" t="inlineStr">
        <is>
          <t>**Location:** 
 Chandler, AZ
**Salary:** 
 $53\.00 USD Hourly \- $57\.00 USD Hourly
**Description:**
* Software Engineer (Contingent Worker)
 Location: Chandler, AZ\*\*
**About The Role**
 We're looking for a Software Engineer to support a contingent resource assignment, contributing to engineering initiatives that improve our technology platforms and customer experience. In this role, you'll work on moderately complex engineering challenges, collaborate with cross\-functional partners, and help drive high\-quality technical deliverables.
**What You'll Do**
* Contribute to the planning, development, and delivery of software engineering projects.
* Review, analyze, and debug moderately complex engineering problems involving multiple variables.
* Recommend technical solutions and support issue resolution in partnership with engineering teams.
* Apply a strong understanding of engineering processes, policies, and compliance standards.
* Collaborate closely with client stakeholders and internal partners to ensure successful execution of engineering deliverables.
****Minimum Qualifications****
* 4\+ years of professional software engineering experience OR an equivalent combination of:
* Professional work or consulting experience
* Technical training
* Military experience
* Relevant education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59">
      <c r="A59" t="inlineStr">
        <is>
          <t>li-4366511585</t>
        </is>
      </c>
      <c r="B59" t="inlineStr">
        <is>
          <t>Software Engineer III</t>
        </is>
      </c>
      <c r="C59" t="inlineStr">
        <is>
          <t>Jobs via Dice</t>
        </is>
      </c>
      <c r="D59" t="inlineStr">
        <is>
          <t>linkedin</t>
        </is>
      </c>
      <c r="E59" t="inlineStr"/>
      <c r="F59" t="inlineStr"/>
      <c r="G59" t="inlineStr">
        <is>
          <t>Boca Raton, FL</t>
        </is>
      </c>
      <c r="H59" t="inlineStr"/>
      <c r="I59" t="inlineStr">
        <is>
          <t>RESPONSIBILITIES:
 Kforce has a client that is seeking a Senior Full\-Stack Engineer with deep expertise in NodeJS and Angular in Boca Raton, FL.
 Key Responsibilities:
* Senior Full\-Stack Engineer will design and develop scalable and high\-performance applications using NodeJS for backend and Angular for front\-end development
* Architect solutions with a focus on data analytics, visualizations, and real\-time performance metrics that aid in crime prevention and resolution
* Collaborate with cross\-functional teams to ensure seamless integration of frontend and backend services, ensuring a fluid user experience for public safety officials and community users
* Optimize applications for maximum speed, scalability, and security, ensuring compliance with best practices and regulatory standards
* As a Senior Full\-Stack Engineer, you will develop reusable components and libraries that can be leveraged across multiple applications
* Lead efforts in code reviews, testing, and continuous integration to ensure robust, reliable, and maintainable codebases
 REQUIREMENTS:
* 5\+ experience with NodeJS and Angular in building scalable and high\-performance applications
* Experience with data analytics, visualization frameworks, and tools that can process and display large sets of data in real\-time (e.g., D3\.js, Chart.js)
* Experience building RESTful APIs and working with databases like MySQL, MongoDB, or similar
* Experience with building Docker images and Kubernetes deployments, services, ingress, config maps and secrets
* Solid understanding of modern front\-end and back\-end frameworks (NextJS) and how they contribute to a seamless product experience
* Strong knowledge of performance optimization techniques for both client\-side and server\-side applications
* Proficiency in implementing secure and compliant coding practices, especially within public safety or sensitive data contexts
* Excellent communication and problem\-solving skills, with a focus on user\-centric solutions
* Proven ability to work with agile methodologies
 Preferred Qualifications:
* Experience with cloud platforms (e.g., AWS, Azure, Google Cloud Platform) and containerization tools like Docker or Kubernetes
* Experience with ArcGIS ESRI maps and Geospatial mapping
* Previous experience in public safety, law enforcement, or related industries
* Familiarity with microservices architecture and best practices for building distributed systems
* Knowledge of AI or machine learning techniques that can assist with predictive policing or incident trend analysis
* Knowledge on PHP/Laravel is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60">
      <c r="A60" t="inlineStr">
        <is>
          <t>li-4366592646</t>
        </is>
      </c>
      <c r="B60" t="inlineStr">
        <is>
          <t>Software Engineer</t>
        </is>
      </c>
      <c r="C60" t="inlineStr">
        <is>
          <t>Jobs via Dice</t>
        </is>
      </c>
      <c r="D60" t="inlineStr">
        <is>
          <t>linkedin</t>
        </is>
      </c>
      <c r="E60" t="inlineStr"/>
      <c r="F60" t="inlineStr"/>
      <c r="G60" t="inlineStr">
        <is>
          <t>Phoenix, AZ</t>
        </is>
      </c>
      <c r="H60" t="inlineStr"/>
      <c r="I60" t="inlineStr">
        <is>
          <t>**Location:** 
 Phoenix, AZ
**Salary:** 
 $53\.00 USD Hourly \- $57\.00 USD Hourly
**Description:**
****Software Engineer (Contingent Workforce Assignment)****
**Location:** 
 Phoenix, AZ
**About The Role**
 In this contingent role, you will contribute to medium\-complexity engineering initiatives and support larger program\-level planning. You'll collaborate with cross\-functional partners, analyze technical challenges, and help deliver high\-quality engineering solutions. This role is ideal for someone who is comfortable operating in dynamic environments and applying strong problem\-solving skills to real\-world technical scenarios.
**Responsibilities**
* Participate in the design, development, and delivery of moderately complex software engineering projects.
* Analyze engineering challenges, evaluate options, and recommend solutions based on technical and business considerations.
* Collaborate with internal teams and client stakeholders to meet project requirements, ensuring alignment with policies, processes, and compliance standards.
* Contribute to issue resolution by applying engineering best practices and troubleshooting methodologies.
* Support planning activities for upcoming engineering deliverables and help drive execution across teams.
****Minimum Qualifications****
* 4\+ years of software engineering experience, demonstrated through full\-time work, consulting engagements, training programs, military experience, or a combination of these.
* Strong understanding of software engineering fundamentals, development processes, and compliance considerations.
* Ability to work collaboratively with technical and non\-technical partners.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61">
      <c r="A61" t="inlineStr">
        <is>
          <t>li-4366556858</t>
        </is>
      </c>
      <c r="B61" t="inlineStr">
        <is>
          <t>Experienced Software Engineer - Systems</t>
        </is>
      </c>
      <c r="C61" t="inlineStr">
        <is>
          <t>Jobs via Dice</t>
        </is>
      </c>
      <c r="D61" t="inlineStr">
        <is>
          <t>linkedin</t>
        </is>
      </c>
      <c r="E61" t="inlineStr"/>
      <c r="F61" t="inlineStr"/>
      <c r="G61" t="inlineStr">
        <is>
          <t>Tukwila, WA</t>
        </is>
      </c>
      <c r="H61" t="inlineStr"/>
      <c r="I61" t="inlineStr">
        <is>
          <t>**Company:**
 The Boeing Company
 The Boeing Company is looking for an
 **Experienced Software Engineer \- Systems** 
 to join the KC\-46 Software team located in
 **Tukwila, Washington.** 
 This position will focus on supporting the Boeing Defense, Space \&amp; Security (BDS) Software Engineering organization.
 The Boeing KC\-46 "Pegasus" is the new US Air Force aerial refueling tanker aircraft designed to support multi\-role missions including refueling, cargo/passenger transport, and medevac airlift. The KC\-46 is a military commercial derivative aircraft based on the Boeing 767\-2C aircraft and modified per US Air Force specifications for the primary mission of aerial refueling US and Allied aircraft. The KC\-46 is equipped with self\-protection, defensive and communication systems making it more survivable in a contested environment.
 In this role, the individual will work on designing, developing, testing, and maintaining software throughout the full software development lifecycle. You will have the opportunity to review, analyze, and translate customer requirements and technical specifications for stakeholders use. Your expertise will be instrumental in developing, maintaining, enhancing, and optimizing Aerial Refueling and Mission System Software components and functionalities for systems integrations.
 We are seeking a leader that is passionate about aerospace and excited to work in a multi\-disciplined, collaborative engineering environment that supports the design, development, and implementation of software for existing and emerging government and international programs.
 This exciting position requires demonstrated experience as a Software Systems Engineer, knowledge of the full software development life cycle (requirements, design, code, test), and the clear exhibition of superior judgment and decision making to engineer new solutions and support existing capabilities for multiple programs and customers. Demonstrated critical thinking and troubleshooting skills are required.
**Position Responsibilities:**
* Designs, develops, analyzes, and maintains software systems that meet industry, customer, and internal quality, safety, security and certification standards
* Partners with appropriate stakeholders to inform system definition and translate system\-level requirements into software requirements and models that meet customer, operational needs, performance requirements and have clear traceability to design, code and test artifacts
* Completes software system\-level analyses to identify risks, issues and opportunities; integrates and deploys mitigation actions throughout the software lifecycle
* Performs code reviews to ensure alignment to requirements and standards
* Monitors and reviews test completion, verification processes, and issue resolution for software systems
* Develop documentation for and coordinate with teams impacted by software changes such as integration teams, end users of the software, and training documents
* Present detailed software design, impacts, and limitations to review boards and stakeholders
* Implements current and emerging technologies, tools, frameworks and changes in regulations relevant to software development
* Provides software project management and software supplier management activities
* Highly motivated and must work well in a team environment
**Basic Qualifications (Required Skills/ Experience):**
* 5\+ years of experience in developing, documenting and maintaining architectures, requirements, algorithms, interfaces and designs for Software Systems
* 5\+ years of experience in Software Development Lifecycle (SDLC)
* 5\+ years of experience in software development using languages such as C, C\+\+, Java or Ada
**Preferred Qualifications (Desired Skills/Experience):**
* Bachelor of Science degree from an accredited course of study in engineering, engineering technology (includes manufacturing engineering technology), chemistry, physics, mathematics, data science, or computer science
* Experience with customer or governmental regulations relevant to design, test, and certification (e.g., DO\-178B/C)
* Experience with customer's/supplier's organization, processes, policies and procedures, products, requirements, capabilities, practices, support resources, preferences, constraints, etc.
* Experience in engineering discipline(s) (e.g., electrical, mechanical, software engineering) applied to product related systems throughout the product development life cycle, from concept development to deployment
* Experience in format requirements, guidelines, and change control processes.
* Experience with relationships between specifications/standards and aircraft/product certification systems
* Experience in how to derive and allocate requirements (e.g., system, sub\-system, software) and show traceability throughout the product lifecycle
* Experience in software development processes in compliance with established internal and industry standards, guidelines, and best practices in the development, testing, and deployment of software
* Experience with implementation, validation, and verification processes, practices, and guidelines to ensure software development quality, performance, and safety
**Union:**
 This is a union\-represented position.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$114,750 \- $155,250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62">
      <c r="A62" t="inlineStr">
        <is>
          <t>li-4366572255</t>
        </is>
      </c>
      <c r="B62" t="inlineStr">
        <is>
          <t>Software Engineer (MES)</t>
        </is>
      </c>
      <c r="C62" t="inlineStr">
        <is>
          <t>Jobs via Dice</t>
        </is>
      </c>
      <c r="D62" t="inlineStr">
        <is>
          <t>linkedin</t>
        </is>
      </c>
      <c r="E62" t="inlineStr"/>
      <c r="F62" t="inlineStr"/>
      <c r="G62" t="inlineStr">
        <is>
          <t>Camden, NJ</t>
        </is>
      </c>
      <c r="H62" t="inlineStr"/>
      <c r="I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Embedded Software Engineer \- MES Level**
**Job Code: 33277**
**Job Location: Camden, NJ**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Apply now and embark on this exhilarating journey with us, shaping the future of defense technology!
**Job Description:**
 L3Harris Integrated Mission Systems is seeking a Software Engineer. Responsibilities include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 Support the engineering team members in embedded software application development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 Utilize modeling tools and equipment to establish operating data, conduct experimental tests, prototype, and evaluate results
* Participate in peer reviews, identify, track and repair defects
* Utilize a variety of software languages (primarily C/C\+\+ and Python developing code for embedded real time operating systems (VxWorks, Linux, Integrity)
**Requirements**
* U.S. citizenship with a Active Department of Defense (DoD) Secret clearance
* Bachelor's or Master's degree in computer engineering, Electrical Engineering, Computer Science, or related field
* 2\+ years of experience debugging applications on simulated and/or target hardware
* Usage of a Real\-Time Operating System (RTOS), such as Green Hills Integrity, VxWorks, or similar
* Excellent oral and written communication skills
**Preferred Additional Skills**
* Object\-oriented design and implementation experience, with exposure to software modeling and UML tools such as IBM Rhapsody or MagicDraw/Cameo
* Experience developing device drivers and Board Support Packages for real time embedded systems
* Experience with Information Assurance and/or crytography
* Experience with NSA Type 1 certification or other SW certification such as DO\-178
 In compliance with pay transparency requirements, the salary range for this role is $91,000 \- $135,000\.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63">
      <c r="A63" t="inlineStr">
        <is>
          <t>li-4367947173</t>
        </is>
      </c>
      <c r="B63" t="inlineStr">
        <is>
          <t>Senior Software Engineer, Back End (Global Payment Network)</t>
        </is>
      </c>
      <c r="C63" t="inlineStr">
        <is>
          <t>Capital One</t>
        </is>
      </c>
      <c r="D63" t="inlineStr">
        <is>
          <t>linkedin</t>
        </is>
      </c>
      <c r="E63" t="inlineStr"/>
      <c r="F63" t="inlineStr"/>
      <c r="G63" t="inlineStr">
        <is>
          <t>Chicago, IL</t>
        </is>
      </c>
      <c r="H63" t="inlineStr"/>
      <c r="I6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2\+ years of experience with PostgreSQL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4">
      <c r="A64" t="inlineStr">
        <is>
          <t>li-4366561405</t>
        </is>
      </c>
      <c r="B64" t="inlineStr">
        <is>
          <t>Lead Software Engineer - Systems</t>
        </is>
      </c>
      <c r="C64" t="inlineStr">
        <is>
          <t>Jobs via Dice</t>
        </is>
      </c>
      <c r="D64" t="inlineStr">
        <is>
          <t>linkedin</t>
        </is>
      </c>
      <c r="E64" t="inlineStr"/>
      <c r="F64" t="inlineStr"/>
      <c r="G64" t="inlineStr">
        <is>
          <t>Tukwila, WA</t>
        </is>
      </c>
      <c r="H64" t="inlineStr"/>
      <c r="I64" t="inlineStr">
        <is>
          <t>**Company:**
 The Boeing Company
 The Boeing Company is looking for a
 **Lead Software Engineer \- Systems** 
 to join the KC\-46 Software Team located in
 **Tukwila, Washington** 
 . This position will focus on supporting the Boeing Defense, Space \&amp; Security (BDS) Software Engineering organization.
 The successful candidate will join the KC\-46 software team that develops and certifies the most advanced aerial refueling and mission software in the industry. This position leads hardware and software development efforts for an advanced vision system upgrade to the KC\-46 Tanker. The candidate will work hand\-in\-hand and lead Collins's supplier development activities.
**Position Responsibilities:**
* Oversees the design, development, analyses, and maintenance of software systems that meet industry, customer and internal quality, safety, security and certification standards
* Partners with appropriate stakeholders to inform system definition and oversees translation of system\-level requirements into software requirements and models that meet customer, operational and performance requirements and have clear traceability to design, code and test artifacts
* Oversees completion of software system\-level analyses to identify risk, issues and opportunities; oversees integration and deployment of mitigation actions throughout the software lifecycle
* Oversees code reviews to ensure alignment to requirements and standards
* Oversees monitoring and reviewing test completion, verification processes and issue resolution for software systems
* Oversees review of product and process for alignment with project plans and industry standards by consulting on tracking and evaluation of internal team and supplier performance
* Researches and oversees implementation of current and emerging technologies, tools, frameworks and changes in regulations relevant to software development
* Oversees software project management and software supplier management activities
**Basic Qualifications (Required Skills/ Experience):**
* Bachelor's Degree in an engineering discipline experience or 22 years related relevant work experience
* 14 years of experience in C, C\+\+ or representative software languages.Knowledge of hardware design and design practices desired
* 14 years of experience in real\-time operating systems.Experience with VxWorks or Linux desired
* 14 years of experience in software configuration management tools, Agile tools, software metrics, as well as knowledge of static code analysis and structural coverage
* 14 years of experience in vision and image processing, communications and data bus analyses, problem report management
**Preferred Qualifications (Desired Skills/Experience):**
* Bachelor of Science degree from an accredited course of study in engineering, engineering technology (including manufacturing engineering technology), chemistry, physics, mathematics, data science, or computer science
* Skill and ability to: collect, organize, synthesize, and analyze data; summarize findings; develop conclusions and recommendations from appropriate data sources
* Knowledge of company, state, federal and/or international compliance regulations (e.g. import/export, intellectual properties, International Standards Organization \[ISO], Federal Aviation Administration \[FAA], Joint Aviation Authorities \[JAA], International Civil Aviation Organization \[ICAO], International Traffic in Arms Regulations \[ITAR])
* Knowledge of customer's/supplier's organization, processes, policies and procedures, products, requirements, capabilities, practices, support resources, preferences, constraints, etc.
* Knowledge of engineering discipline(s) (e.g., electrical, mechanical, software engineering) applied to product related systems (e.g., aircraft, avionics, propulsion, spacecraft, information/ communication systems) throughout the product development life cycle, from concept development to deployment
* Knowledge of specification format requirements, guidelines, and change control processes. Understanding of relationship between specifications/standards and aircraft/product certification systems
* Knowledge of product lifecycle, including manufacturing, deployment, modification, aging and continued service, and disposal
* Knowledge of how to derive and allocate requirements (e.g., system, sub\-system, software) and show traceability throughout the product lifecycle
* Knowledge of software development processes in compliance with established internal and industry standards, guidelines, and best practices in the development, testing, and deployment of software
* Knowledge of implementation, validation, and verification processes, practices, and guidelines to ensure software development quality, performance, and safety
* Ability to understand the big picture and the inter\-relationships of all positions and activities in the system, including the impact of changes in one area on another area. This includes the ability to see and understand the inter\-relationships between components of systems and plans, anticipate future events, and apply the principles of systems thinking to accelerate performance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Lead: $190,400\.00 \- $257,600\.00
**Language Requirements:**
 Not Applicable
**Education:**
 Not Applicable
**Relocation:**
 This position offers relocation based on candidate eligibility.
**Export Control Requirement:**
**Safety Sensitive:**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The position is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65">
      <c r="A65" t="inlineStr">
        <is>
          <t>li-4367953078</t>
        </is>
      </c>
      <c r="B65" t="inlineStr">
        <is>
          <t>Lead Software Engineer - Global Payment Network</t>
        </is>
      </c>
      <c r="C65" t="inlineStr">
        <is>
          <t>Capital One</t>
        </is>
      </c>
      <c r="D65" t="inlineStr">
        <is>
          <t>linkedin</t>
        </is>
      </c>
      <c r="E65" t="inlineStr"/>
      <c r="F65" t="inlineStr"/>
      <c r="G65" t="inlineStr">
        <is>
          <t>Chicago, IL</t>
        </is>
      </c>
      <c r="H65" t="inlineStr"/>
      <c r="I6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**About the Team:** 
 This is a Lead Software Engineer role within the Global Payment Network Settlement team. This role will support the Discover Network and Diner’s Club International Payment Networks. The role involves creating technical designs, both for incoming business initiatives and for technically lead initiatives whose goal is to improve the Architectural characteristics of our systems. We are partway through a modernization journey, migrating business functionality from Mainframe to be AWS deployed. We will also be migrating from Discover AWS accounts deployment to Capital One AWS accounts and standards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li-4365996331</t>
        </is>
      </c>
      <c r="B66" t="inlineStr">
        <is>
          <t>Software Developer 3 (OKE)</t>
        </is>
      </c>
      <c r="C66" t="inlineStr">
        <is>
          <t>Jobs via Dice</t>
        </is>
      </c>
      <c r="D66" t="inlineStr">
        <is>
          <t>linkedin</t>
        </is>
      </c>
      <c r="E66" t="inlineStr"/>
      <c r="F66" t="inlineStr"/>
      <c r="G66" t="inlineStr">
        <is>
          <t>Nashville, TN</t>
        </is>
      </c>
      <c r="H66" t="inlineStr"/>
      <c r="I66" t="inlineStr">
        <is>
          <t>**Job Description**
**Join OCI's Oracle Kubernetes Engine Team\-Where Innovation Runs at Scale!**
 At Oracle Cloud Infrastructure (OCI), we're redefining how the world thinks about cloud computing. By fusing the flexibility and agility of the public cloud with the reliability, security, and fine\-grained control of on\-premises systems, OCI powers businesses with top\-tier performance, rock\-solid availability, and cost\-effective solutions\-no compromise required.
 Our customers love having the freedom to deploy everything from resource\-hungry workloads to lightweight applications, across all shapes and sizes of compute infrastructure\-all managed through a sleek web console, robust APIs, or industry\-standard tools like Terraform.
 Now, imagine you're the engine behind it all! The Oracle Kubernetes Engine (OKE) team makes it possible, delivering the managed Kubernetes service that drives mission\-critical applications for both internal and external customers worldwide. We run at massive scale, push ambitious features every quarter, and are laser\-focused on integrating deeper with the OCI ecosystem. Your work here will power innovations used globally\-24/7, every day.
**Why Join Us?**
* Ambitious Roadmaps: Shape the future of cloud technology\-your code will support new customers and enable next\-gen features.
* Real Impact: Whether you're just starting or a seasoned expert, you'll see the tangible results of your work in production.
* Cutting\-Edge Technology: Solve tough challenges in Kubernetes, containers, distributed systems, and highly available services.
* Collaboration and Growth: Work with smart, driven teammates who love learning and making a difference.
**Who You Are:**
* A passionate engineer with solid programming chops and a deep curiosity for Kubernetes, containers, and distributed system architectures.
* Hungry to build, automate, and operate reliable cloud infrastructure at massive scale.
* Excited to innovate\-from designing new architectures to rolling out seamless deployments and smarter tooling.
**Step into the forefront of cloud technology with OCI. Shape the future. Make your mark.**
**Responsibilities**
* Architect and design new features and systems for our customers.
* Work across teams to engineer the best system (both for operations and for customers) regardless of org boundaries or ownership.
* Debug, maintain and improve existing systems, with a focus especially for reducing operational burden and on performance.
* Be a generalist, able to debug issues across a wide breadth of our stack.
* Scale our systems by building tooling and automation.
* Work with partner teams outside our org and external to Oracle.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7">
      <c r="A67" t="inlineStr">
        <is>
          <t>li-4366049193</t>
        </is>
      </c>
      <c r="B67" t="inlineStr">
        <is>
          <t>Software Engineer (Java/Angular)</t>
        </is>
      </c>
      <c r="C67" t="inlineStr">
        <is>
          <t>Jobs via Dice</t>
        </is>
      </c>
      <c r="D67" t="inlineStr">
        <is>
          <t>linkedin</t>
        </is>
      </c>
      <c r="E67" t="inlineStr"/>
      <c r="F67" t="inlineStr"/>
      <c r="G67" t="inlineStr">
        <is>
          <t>Midvale, UT</t>
        </is>
      </c>
      <c r="H67" t="inlineStr"/>
      <c r="I67" t="inlineStr">
        <is>
          <t>RESPONSIBILITIES:
 Kforce has a client in Midvale, UT that is seeking a Software Engineer (Java/Angular). As a Software Engineer, you will design and build scalable, secure digital experiences across multiple platforms while collaborating closely with product, design, and business partners.
 Summary:
 Our client has an opportunity for a Full Stack Software Engineer with strong Java and Angular/JavaScript experience to join a Digital Strategy team focused on expanding digital and mobile banking capabilities using modern technologies. This role supports high\-visibility, entrepreneurial initiatives backed by the scale and stability of a large financial institution. This is a hybrid role based in the Salt Lake City area, with an expectation of onsite collaboration several days per week.
 Responsibilities:
* Develop full\-stack solutions using Java, Angular, and related technologies
* Design and integrate internal and external APIs (REST, GraphQL)
* Participate in Agile ceremonies and SDLC activities
* Write clean, well\-documented code; perform code reviews and follow secure coding best practices
* Collaborate with Product Management and business stakeholders to deliver scalable solutions
* Create reusable components and templates to support business objectives
* Document and demo features for stakeholders
* Model and document application, data, and process flows (UML/BPMN a plus)
* Research and recommend modern tools, frameworks, and platform enhancements
* Support cloud\-based solutions across public, private, and hybrid environments
* Mentor junior developers and contribute to team best practices
 REQUIREMENTS:
* Bachelor's degree in Computer Science or equivalent practical experience
* 4\+ years of Java development experience
* 3\+ years of Angular experience
* Working knowledge of Kubernetes and Terraform from a development/build perspective (2\+ years)
* Experience with GitHub and modern CI/CD practices
* Strong communication and documentation skills
* Able to work a hybrid schedule (approximately 3 days onsite per week)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68">
      <c r="A68" t="inlineStr">
        <is>
          <t>li-4367951091</t>
        </is>
      </c>
      <c r="B68" t="inlineStr">
        <is>
          <t>Lead Software Engineer - Global Payment Network</t>
        </is>
      </c>
      <c r="C68" t="inlineStr">
        <is>
          <t>Capital One</t>
        </is>
      </c>
      <c r="D68" t="inlineStr">
        <is>
          <t>linkedin</t>
        </is>
      </c>
      <c r="E68" t="inlineStr"/>
      <c r="F68" t="inlineStr"/>
      <c r="G68" t="inlineStr">
        <is>
          <t>Deerfield, IL</t>
        </is>
      </c>
      <c r="H68" t="inlineStr"/>
      <c r="I6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**About the Team:** 
 This is a Lead Software Engineer role within the Global Payment Network Settlement team. This role will support the Discover Network and Diner’s Club International Payment Networks. The role involves creating technical designs, both for incoming business initiatives and for technically lead initiatives whose goal is to improve the Architectural characteristics of our systems. We are partway through a modernization journey, migrating business functionality from Mainframe to be AWS deployed. We will also be migrating from Discover AWS accounts deployment to Capital One AWS accounts and standards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9">
      <c r="A69" t="inlineStr">
        <is>
          <t>li-4367944185</t>
        </is>
      </c>
      <c r="B69" t="inlineStr">
        <is>
          <t>Senior Software Engineer (AWS, Java, Typescript)</t>
        </is>
      </c>
      <c r="C69" t="inlineStr">
        <is>
          <t>Capital One</t>
        </is>
      </c>
      <c r="D69" t="inlineStr">
        <is>
          <t>linkedin</t>
        </is>
      </c>
      <c r="E69" t="inlineStr"/>
      <c r="F69" t="inlineStr"/>
      <c r="G69" t="inlineStr">
        <is>
          <t>Richmond, VA</t>
        </is>
      </c>
      <c r="H69" t="inlineStr"/>
      <c r="I6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li-4367595925</t>
        </is>
      </c>
      <c r="B70" t="inlineStr">
        <is>
          <t>Software Engineering Program Manager - Apple Vision Pro</t>
        </is>
      </c>
      <c r="C70" t="inlineStr">
        <is>
          <t>Apple</t>
        </is>
      </c>
      <c r="D70" t="inlineStr">
        <is>
          <t>linkedin</t>
        </is>
      </c>
      <c r="E70">
        <f>HYPERLINK("https://www.linkedin.com/jobs/view/4367595925", "https://www.linkedin.com/jobs/view/4367595925")</f>
        <v/>
      </c>
      <c r="F70" t="inlineStr"/>
      <c r="G70" t="inlineStr">
        <is>
          <t>Culver City, CA</t>
        </is>
      </c>
      <c r="H70" t="inlineStr"/>
      <c r="I7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a software engineering project manager (EPM) to help us push the limits of the next generation of interactive experiences on our platforms. This team is working with some of Apple’s most advanced technologies including spatial computing, augmented reality (AR), and 3D rendering and simulation. As a member of our organization you will lead teams crafting features and products which will delight, inspire and empower millions of people.
**Description**
 This is a hands\-on position where you will be involved in the product development lifecycle from concept to delivery in a rapidly changing industry. An ideal candidate for this role has experience with and understanding of interactive content production, AR application or game development. They must also be good at establishing and communicating clear directions, setting primary and stretch objectives, reporting in a well\-planned and organized manner and driving all aspects of the program while constantly looking for ways to improve upon and learn from experience.
**Responsibilities**
* Drive all aspects of large, cross\-functional programs for the development of visionOS applications and interactive content.
* Collaborate with cross\-functional teams to define project scope, goals, and deliverables.
* Manage daily execution of engineering and design tasks, keeping the development team informed about the priorities, components, scope, and goals of the visionOS program
* Advocate on behalf of the engineering and design team to ensure they are receiving appropriate cross\-functional frameworks and tools support.
* Identify potential risks and challenges in project execution and develop proactive mitigation strategies.
* Ensure effective communication of project risks to stakeholders and implement contingency plans as needed.
**Minimum Qualifications**
* BS/MS, Computer Science / Engineering or relevant industry experience
* 5\+ years in a software or technical program management role
* Prior experience and consistent track record leading and shipping multiple complex projects simultaneously
* Solid knowledge of software development practices
* Experience driving and delivering critical project features which involve integration with multiple different teams
* Experience putting together structure and schedules to mitigate ambiguity
**Preferred Qualifications**
* Familiarity with augmented and virtual reality concepts, 3D rendering engines, 3D content creator workflows, machine learning and artificial intelligence
* A track record of quickly understanding technical concepts in a wide range of fields
* Passion for immersive technologies and a keen interest in pushing the boundaries of interactive experiences.
* Ability to provide succinct and accurate executive communication and drive what matters
* Excellent communication and presentation skills, written and verbal
* Ability to thrive in a fast\-paced, dynamic work environment
**Pay \&amp; Benefits**
 At Apple, base pay is one part of our total compensation package and is determined within a range. This provides the opportunity to progress as you grow and develop within a role. The base pay range for this role is between $163,300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1">
      <c r="A71" t="inlineStr">
        <is>
          <t>li-4367969318</t>
        </is>
      </c>
      <c r="B71" t="inlineStr">
        <is>
          <t>Software Engineer</t>
        </is>
      </c>
      <c r="C71" t="inlineStr">
        <is>
          <t>Atlassian</t>
        </is>
      </c>
      <c r="D71" t="inlineStr">
        <is>
          <t>linkedin</t>
        </is>
      </c>
      <c r="E71">
        <f>HYPERLINK("https://www.linkedin.com/jobs/view/4367969318", "https://www.linkedin.com/jobs/view/4367969318")</f>
        <v/>
      </c>
      <c r="F71" t="inlineStr"/>
      <c r="G71" t="inlineStr">
        <is>
          <t>Mountain View, CA</t>
        </is>
      </c>
      <c r="H71" t="inlineStr"/>
      <c r="I7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Atlassian is seeking a Machine Learning Scientist to join our Central AI team.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144000 \- USD 188000
 Zone B: USD 129600 \- USD 169200
 Zone C: USD 119700 \- USD 156275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2">
      <c r="A72" t="inlineStr">
        <is>
          <t>li-4367973326</t>
        </is>
      </c>
      <c r="B72" t="inlineStr">
        <is>
          <t>Software Engineer</t>
        </is>
      </c>
      <c r="C72" t="inlineStr">
        <is>
          <t>Atlassian</t>
        </is>
      </c>
      <c r="D72" t="inlineStr">
        <is>
          <t>linkedin</t>
        </is>
      </c>
      <c r="E72">
        <f>HYPERLINK("https://www.linkedin.com/jobs/view/4367973326", "https://www.linkedin.com/jobs/view/4367973326")</f>
        <v/>
      </c>
      <c r="F72" t="inlineStr"/>
      <c r="G72" t="inlineStr">
        <is>
          <t>San Francisco, CA</t>
        </is>
      </c>
      <c r="H72" t="inlineStr"/>
      <c r="I7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Atlassian is seeking a Machine Learning Scientist to join our Central AI team.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144000 \- USD 188000
 Zone B: USD 129600 \- USD 169200
 Zone C: USD 119700 \- USD 156275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3">
      <c r="A73" t="inlineStr">
        <is>
          <t>li-4367960481</t>
        </is>
      </c>
      <c r="B73" t="inlineStr">
        <is>
          <t>Software Engineer</t>
        </is>
      </c>
      <c r="C73" t="inlineStr">
        <is>
          <t>Atlassian</t>
        </is>
      </c>
      <c r="D73" t="inlineStr">
        <is>
          <t>linkedin</t>
        </is>
      </c>
      <c r="E73">
        <f>HYPERLINK("https://www.linkedin.com/jobs/view/4367960481", "https://www.linkedin.com/jobs/view/4367960481")</f>
        <v/>
      </c>
      <c r="F73" t="inlineStr"/>
      <c r="G73" t="inlineStr">
        <is>
          <t>Seattle, WA</t>
        </is>
      </c>
      <c r="H73" t="inlineStr"/>
      <c r="I7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Atlassian is seeking a Machine Learning Scientist to join our Central AI team.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144000 \- USD 188000
 Zone B: USD 129600 \- USD 169200
 Zone C: USD 119700 \- USD 156275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4">
      <c r="A74" t="inlineStr">
        <is>
          <t>li-4367972111</t>
        </is>
      </c>
      <c r="B74" t="inlineStr">
        <is>
          <t>Software Engineer - Early Career (USA)</t>
        </is>
      </c>
      <c r="C74" t="inlineStr">
        <is>
          <t>Lensa</t>
        </is>
      </c>
      <c r="D74" t="inlineStr">
        <is>
          <t>linkedin</t>
        </is>
      </c>
      <c r="E74">
        <f>HYPERLINK("https://www.linkedin.com/jobs/view/4367972111", "https://www.linkedin.com/jobs/view/4367972111")</f>
        <v/>
      </c>
      <c r="F74">
        <f>HYPERLINK("https://lensa.com/cgw/4b1736a38e2a4a049ddf08681a149df9tjo1?jpsi=directemployers&amp;publisher_preference=easier_apply&amp;utm_campaign=Computer%20Occupations&amp;utm_medium=slot&amp;utm_source=linkedin&amp;utm_term=jse&amp;urlHash=JVFA", "https://lensa.com/cgw/4b1736a38e2a4a049ddf08681a149df9tjo1?jpsi=directemployers&amp;publisher_preference=easier_apply&amp;utm_campaign=Computer%20Occupations&amp;utm_medium=slot&amp;utm_source=linkedin&amp;utm_term=jse&amp;urlHash=JVFA")</f>
        <v/>
      </c>
      <c r="G74" t="inlineStr">
        <is>
          <t>New York, NY</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75">
      <c r="A75" t="inlineStr">
        <is>
          <t>li-4367938951</t>
        </is>
      </c>
      <c r="B75" t="inlineStr">
        <is>
          <t>Full Stack Engineer</t>
        </is>
      </c>
      <c r="C75" t="inlineStr">
        <is>
          <t>Intellect Group</t>
        </is>
      </c>
      <c r="D75" t="inlineStr">
        <is>
          <t>linkedin</t>
        </is>
      </c>
      <c r="E75">
        <f>HYPERLINK("https://www.linkedin.com/jobs/view/4367938951", "https://www.linkedin.com/jobs/view/4367938951")</f>
        <v/>
      </c>
      <c r="F75" t="inlineStr"/>
      <c r="G75" t="inlineStr"/>
      <c r="H75" t="inlineStr"/>
      <c r="I75" t="inlineStr">
        <is>
          <t>**Role:** 
 Full Stack Engineer
**Location:** 
 Fully Remote
**Salary:** 
 $150k \- $200k (DOE)
 Are you excited by the idea of building scalable products in a fast\-moving startup environment? Join an
 **innovative financial SaaS startup** 
 that’s transforming how businesses manage and interact with data. As a
 **Full Stack Engineer** 
 , you’ll play a key role in shaping the core platform, building new features end\-to\-end, and helping scale a product used by customers around the world.
 If you enjoy ownership, modern tech stacks, and seeing your work go live quickly — this is the role for you.
**Your Responsibilities:** 
* Build and maintain
 **end\-to\-end features** 
 across frontend and backend systems.
* Develop modern, responsive user interfaces using
 **React** 
 .
* Design and implement scalable backend services and APIs.
* Deploy and manage applications in
 **AWS** 
 , ensuring reliability, security, and performance.
* Collaborate closely with product, design, and engineering teams to deliver high\-quality features.
* Write clean, testable, and well\-documented code.
* Participate in architecture decisions and help shape engineering best practices.
**Requirements:** 
* Proven experience as a
 **Full Stack Engineer** 
 or similar role.
* Strong proficiency with
 **React** 
 for frontend development.
* Hands\-on experience working with
 **AWS** 
 (EC2, Lambda, S3, RDS, etc.).
* Solid backend development experience (Node.js, Python, or similar).
* Experience building and consuming
 **RESTful APIs** 
 .
* Strong understanding of databases (SQL and/or NoSQL).
* Comfortable working independently in a fully remote environment.
**It’s a Bonus If You Have:** 
* Experience working in a
 **financial services or SaaS startup** 
 environment.
* Familiarity with modern DevOps practices, CI/CD pipelines, and infrastructure as code.
* Exposure to security and compliance considerations within financial applications.
* Passion for building scalable, user\-focused products.
**The Benefits:** 
* Fully
 **remote** 
 role with flexible working hours.
* Competitive salary and potential equity options.
* Opportunity to make a
 **real impact** 
 in a high\-growth startup.
* Modern tech stack and freedom to influence technical direction.
* Collaborative, fast\-paced, and supportive team culture.
 This is a rare opportunity to join an exciting financial SaaS startup at an early stage, where your work will directly shape the product and company’s future.
**Apply now or drop me a message for more details!**</t>
        </is>
      </c>
    </row>
    <row r="76">
      <c r="A76" t="inlineStr">
        <is>
          <t>li-4367963219</t>
        </is>
      </c>
      <c r="B76" t="inlineStr">
        <is>
          <t>Software Engineer I</t>
        </is>
      </c>
      <c r="C76" t="inlineStr">
        <is>
          <t>Lensa</t>
        </is>
      </c>
      <c r="D76" t="inlineStr">
        <is>
          <t>linkedin</t>
        </is>
      </c>
      <c r="E76">
        <f>HYPERLINK("https://www.linkedin.com/jobs/view/4367963219", "https://www.linkedin.com/jobs/view/4367963219")</f>
        <v/>
      </c>
      <c r="F76" t="inlineStr"/>
      <c r="G76" t="inlineStr">
        <is>
          <t>San Francisco, CA</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Software Engineer I
 @ Twitch San Francisco, CA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 and discover the projects we’re solving on our Blog .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Collaborate effectively with product managers, program managers and other engineering teams at Twitch
* Contribute positively to Twitch’s engineering culture
**You Have**
* 1\+ years of experience developing software in a professional environment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TW8977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 for information about how we collect, use, and disclose personal information of our candidates.*
 If you have questions about this posting, please contact support@lensa.com</t>
        </is>
      </c>
    </row>
    <row r="77">
      <c r="A77" t="inlineStr">
        <is>
          <t>li-4367957047</t>
        </is>
      </c>
      <c r="B77" t="inlineStr">
        <is>
          <t>Software Engineer</t>
        </is>
      </c>
      <c r="C77" t="inlineStr">
        <is>
          <t>Intellect Group</t>
        </is>
      </c>
      <c r="D77" t="inlineStr">
        <is>
          <t>linkedin</t>
        </is>
      </c>
      <c r="E77">
        <f>HYPERLINK("https://www.linkedin.com/jobs/view/4367957047", "https://www.linkedin.com/jobs/view/4367957047")</f>
        <v/>
      </c>
      <c r="F77" t="inlineStr"/>
      <c r="G77" t="inlineStr">
        <is>
          <t>Austin, TX</t>
        </is>
      </c>
      <c r="H77" t="inlineStr"/>
      <c r="I77" t="inlineStr">
        <is>
          <t>**Role:** 
 Software Engineer (Back\-End)
**Location:** 
 Austin
 (Remote)
**Salary:** 
 $120k \- $150k (DOE)
 Are you a backend software engineer who loves building robust systems that move data and power analytics?
 Join a fast\-growing tech team focused on building modern infrastructure for media and advertising analytics. You’ll own backend services that enable clients to measure campaign performance, feed data pipelines, and scale to handle large volumes of events.
 This is an opportunity to take real ownership, work with a high\-impact engineering team, and help shape a product relied on by marketing and analytics teams.
**What you’ll do** 
* Build and maintain backend services and REST/GRPC APIs using
 **Python** 
 (experience with Django or similar frameworks preferred).
* Design and optimise database schemas and queries for
 **PostgreSQL** 
 ; work with analytical warehouses like
 **Snowflake** 
 .
* Implement reliable data ingestion and ETL flows that move event and campaign data between systems.
* Ensure services are production\-ready: resilient, well\-tested, monitored, and documented.
* Troubleshoot and tune systems running on Linux\-based infrastructure; participate in incident response and postmortems.
* Collaborate with frontend engineers, data teams, and product to deliver end\-to\-end features.
* Contribute to technical design, code reviews, and continuous improvement of engineering practices.
**Must\-have experience** 
* 3\+ years building production backend systems.
* Strong
 **Python** 
 skills and familiarity with a web framework (Django, Flask, FastAPI, etc.).
* Solid experience with relational databases (Postgres) — schema design, indexing, query performance.
* Practical knowledge of data warehouses (Snowflake or equivalent) and moving data between OLTP and analytics systems.
* Comfortable working in
 **Linux/Unix** 
 environments and using command\-line tooling.
* Good understanding of API design, authentication, and asynchronous/background processing.
**Nice\-to\-have** 
* Hands\-on experience with
 **AWS** 
 (or another cloud provider) services for compute, storage, and data processing.
* Background in ad\-tech, measurement, or programmatic advertising.
* Familiarity with message queues, stream processing, or orchestration tools.
* Prior exposure to CI/CD, containerization (Docker), or infrastructure\-as\-code.
**What we offer** 
* Fully remote role (U.S.\-based) with flexible scheduling.
* Competitive pay plus performance\-based bonus potential.
* Generous PTO and flexible time\-off policy.
* Health, dental, and vision benefits; 401(k) plan with company match.
* Opportunity to work on high\-impact systems that serve enterprise customers.
* Supportive, collaborative engineering culture with regular remote socials and periodic team retreats.
* Access to modern tooling and encouragement to experiment and learn.
 This is an opportunity to join a company on a steep growth trajectory, where your work will have a real impact from day one and shape the future of the organization.
**Apply now or for immediate review!** 
 🚀</t>
        </is>
      </c>
    </row>
    <row r="78">
      <c r="A78" t="inlineStr">
        <is>
          <t>li-4367950003</t>
        </is>
      </c>
      <c r="B78" t="inlineStr">
        <is>
          <t>Software Engineer, AI</t>
        </is>
      </c>
      <c r="C78" t="inlineStr">
        <is>
          <t>Red Hat</t>
        </is>
      </c>
      <c r="D78" t="inlineStr">
        <is>
          <t>linkedin</t>
        </is>
      </c>
      <c r="E78">
        <f>HYPERLINK("https://www.linkedin.com/jobs/view/4367950003", "https://www.linkedin.com/jobs/view/4367950003")</f>
        <v/>
      </c>
      <c r="F78">
        <f>HYPERLINK("https://www.wiraa.com/job-description/us602226B4D370F643BF3FBE5D087415CA?source=Linkedin&amp;urlHash=J5ON", "https://www.wiraa.com/job-description/us602226B4D370F643BF3FBE5D087415CA?source=Linkedin&amp;urlHash=J5ON")</f>
        <v/>
      </c>
      <c r="G78" t="inlineStr"/>
      <c r="H78" t="inlineStr"/>
      <c r="I78" t="inlineStr">
        <is>
          <t>**About The Company** 
 Red Hat is a global leader in enterprise open source software solutions, renowned for its innovative approach to delivering high\-performance Linux, cloud, container, and Kubernetes technologies. Operating across more than 40 countries, Red Hat emphasizes a community\-powered philosophy that fosters collaboration, transparency, and inclusivity. The company’s commitment to open source principles enables it to drive technological advancements and empower organizations to build scalable, secure, and flexible digital infrastructures. Red Hat’s culture encourages creativity, diversity, and continuous learning, making it an ideal environment for passionate professionals seeking to make a meaningful impact in the technology landscape.
**About The Role** 
 Red Hat is seeking a highly skilled Principal Software Engineer to join our dynamic team. In this strategic role, you will lead the design and implementation of cutting\-edge Agentic AI features and solutions, focusing on integrating partner solutions within our open\-source ecosystem. You will collaborate closely with cross\-functional teams including product management, engineering, partners, and key customers to develop scalable, distributed AI systems. Your expertise will influence the evolution of open standards for agent workflows, contribute to upstream AI/ML communities, and help shape the future of hybrid cloud and AI integration. This position offers an exciting opportunity to drive innovation, develop technical blueprints, and influence the strategic direction of Red Hat’s AI offerings, ensuring that our solutions remain at the forefront of technological advancement.
**Qualifications** 
* 7\+ years of relevant software engineering experience
* Bachelor’s degree in Computer Science, Engineering, or a related technical field, or equivalent practical experience
* Proven expertise in building agents and tooling frameworks, with deep knowledge of LangGraph, PydanticAI, or similar libraries
* Experience implementing sophisticated RAG, long\-term memory systems, semantic caches, and vector databases
* Expert\-level proficiency in Python or Go, with a focus on resilient, asynchronous distributed systems
* Solid experience with containers and orchestration platforms such as OpenShift or Kubernetes
* Knowledge of inference optimization techniques including model parallelization, quantization, and memory management tools like vLLM, DeepSpeed, or OpenVino
* Experience with AI/ML lifecycle management, including GitOps, automation pipelines, and production deployment
* Hands\-on experience with Agent Evaluation frameworks and implementing safety and governance measures to prevent prompt injection and infinite loops
**Responsibilities** 
* Architect and lead the development of scalable, distributed AI solutions that serve Agentic AI workflows and ensure seamless integration with Red Hat's product portfolio
* Define and implement Multi\-Agent System (MAS) architectures, including orchestration layers, state machines, tool registries, and resilient routing policies with safe fallbacks
* Implement interoperability standards such as Model Context Protocol (MCP), Agent\-to\-Agent (A2A), and ACP protocols for cross\-platform agent communication and task delegation
* Contribute to and influence upstream AI/ML communities to advance open standards for agentic workflows and AI integration
* Collaborate with internal teams and external vendors to refine AI strategies, addressing specific use cases to deliver value through innovative UX solutions
* Develop technical blueprints and multi\-product demonstrations showcasing the capabilities of Red Hat’s AI stack, highlighting the "Art of the Possible"
* Explore emerging AI technologies to identify opportunities for enhancing software development workflows and tooling
* Drive AI integration within the software development lifecycle, sharing successful experiments and fostering broader innovation across teams
**Benefits** 
* Comprehensive medical, dental, and vision coverage
* Flexible Spending Account (FSA) for healthcare and dependent care expenses
* Health Savings Account (HSA) for high deductible medical plans
* Retirement plan with employer matching contributions (401(k))
* Paid time off, holidays, and paid parental leave for all new parents
* Additional leave benefits including disability, family medical leave, and military leave
* Employee stock purchase plan, family planning reimbursement, tuition reimbursement, transportation expense account, employee assistance program, and more
 Equal Opportunity
 Red Hat is committed to creating a diverse and inclusive workplace. We are proud to be an equal opportunity employer and do not discriminate based on race, color, religion, sex, sexual orientation, gender identity, national origin, ancestry, citizenship, age, veteran status, genetic information, physical or mental disability, medical condition, marital status, or any other protected characteristic.</t>
        </is>
      </c>
    </row>
    <row r="79">
      <c r="A79" t="inlineStr">
        <is>
          <t>li-4367964218</t>
        </is>
      </c>
      <c r="B79" t="inlineStr">
        <is>
          <t>Software Engineer I</t>
        </is>
      </c>
      <c r="C79" t="inlineStr">
        <is>
          <t>Lensa</t>
        </is>
      </c>
      <c r="D79" t="inlineStr">
        <is>
          <t>linkedin</t>
        </is>
      </c>
      <c r="E79">
        <f>HYPERLINK("https://www.linkedin.com/jobs/view/4367964218", "https://www.linkedin.com/jobs/view/4367964218")</f>
        <v/>
      </c>
      <c r="F79">
        <f>HYPERLINK("https://lensa.com/cgw/5574ea30423d4a7da1954b9359b6b08btjo1?jpsi=directemployers&amp;publisher_preference=easier_apply&amp;utm_campaign=Computer%20Occupations&amp;utm_medium=slot&amp;utm_source=linkedin&amp;utm_term=jse&amp;urlHash=xSU1", "https://lensa.com/cgw/5574ea30423d4a7da1954b9359b6b08btjo1?jpsi=directemployers&amp;publisher_preference=easier_apply&amp;utm_campaign=Computer%20Occupations&amp;utm_medium=slot&amp;utm_source=linkedin&amp;utm_term=jse&amp;urlHash=xSU1")</f>
        <v/>
      </c>
      <c r="G79" t="inlineStr">
        <is>
          <t>Irvine, CA</t>
        </is>
      </c>
      <c r="H79" t="inlineStr"/>
      <c r="I7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80">
      <c r="A80" t="inlineStr">
        <is>
          <t>li-4367963262</t>
        </is>
      </c>
      <c r="B80" t="inlineStr">
        <is>
          <t>Software Engineer I</t>
        </is>
      </c>
      <c r="C80" t="inlineStr">
        <is>
          <t>Lensa</t>
        </is>
      </c>
      <c r="D80" t="inlineStr">
        <is>
          <t>linkedin</t>
        </is>
      </c>
      <c r="E80">
        <f>HYPERLINK("https://www.linkedin.com/jobs/view/4367963262", "https://www.linkedin.com/jobs/view/4367963262")</f>
        <v/>
      </c>
      <c r="F80" t="inlineStr"/>
      <c r="G80" t="inlineStr">
        <is>
          <t>Redmond, WA</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Join our innovative Web Data Platform Team as a Software Engineer and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\#MicrosoftAI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81">
      <c r="A81" t="inlineStr">
        <is>
          <t>li-4367977032</t>
        </is>
      </c>
      <c r="B81" t="inlineStr">
        <is>
          <t>Junior Software Engineer</t>
        </is>
      </c>
      <c r="C81" t="inlineStr">
        <is>
          <t>Lensa</t>
        </is>
      </c>
      <c r="D81" t="inlineStr">
        <is>
          <t>linkedin</t>
        </is>
      </c>
      <c r="E81">
        <f>HYPERLINK("https://www.linkedin.com/jobs/view/4367977032", "https://www.linkedin.com/jobs/view/4367977032")</f>
        <v/>
      </c>
      <c r="F81">
        <f>HYPERLINK("https://lensa.com/cgw/e898375acd89429f8e11674d7a2c6ba0tjo1?jpsi=directemployers&amp;publisher_preference=easier_apply&amp;utm_campaign=Computer%20Occupations&amp;utm_medium=slot&amp;utm_source=linkedin&amp;utm_term=jse&amp;urlHash=QSdt", "https://lensa.com/cgw/e898375acd89429f8e11674d7a2c6ba0tjo1?jpsi=directemployers&amp;publisher_preference=easier_apply&amp;utm_campaign=Computer%20Occupations&amp;utm_medium=slot&amp;utm_source=linkedin&amp;utm_term=jse&amp;urlHash=QSdt")</f>
        <v/>
      </c>
      <c r="G81" t="inlineStr">
        <is>
          <t>El Segundo, CA</t>
        </is>
      </c>
      <c r="H81" t="inlineStr"/>
      <c r="I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Junior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82">
      <c r="A82" t="inlineStr">
        <is>
          <t>li-4367949043</t>
        </is>
      </c>
      <c r="B82" t="inlineStr">
        <is>
          <t>Software Engineer (Python, SQL)</t>
        </is>
      </c>
      <c r="C82" t="inlineStr">
        <is>
          <t>Whatnot</t>
        </is>
      </c>
      <c r="D82" t="inlineStr">
        <is>
          <t>linkedin</t>
        </is>
      </c>
      <c r="E82">
        <f>HYPERLINK("https://www.linkedin.com/jobs/view/4367949043", "https://www.linkedin.com/jobs/view/4367949043")</f>
        <v/>
      </c>
      <c r="F82" t="inlineStr"/>
      <c r="G82" t="inlineStr"/>
      <c r="H82" t="inlineStr"/>
      <c r="I82" t="inlineStr">
        <is>
          <t>**About The Company**
 Whatnot is the largest live shopping platform operating across North America and Europe, revolutionizing the way consumers buy, sell, and discover their favorite items. By seamlessly blending community engagement, entertainment, and e\-commerce, Whatnot has created a vibrant marketplace that caters to a diverse range of interests, from fashion and beauty to electronics and collectibles such as trading cards, comic books, and live plants. With a commitment to innovation and a remote co\-located team structure, the company fosters a dynamic environment where creativity and technological advancement thrive. With hubs located in the US, UK, Germany, Ireland, and Poland, Whatnot is building the future of online marketplaces, empowering users to turn passions into businesses and bringing people together through shared commerce experiences.
**About The Role**
 We are seeking a highly skilled and motivated Software Engineer to join our Trust and Risk, Fraud, and Integrity teams. This pivotal role involves designing and developing systems that promote platform safety, enforce policies, and detect fraudulent or abusive activities in real\-time. The ideal candidate will have extensive experience in building scalable, high\-performance infrastructure, leveraging machine learning and behavioral analysis, and working across full development cycles. You will collaborate closely with cross\-functional teams to implement proactive detection mechanisms, respond swiftly to emerging threats, and continuously improve our defenses to maintain a secure and trustworthy environment for our users. This role offers flexibility to work remotely or from one of our global office hubs, with a preference for candidates residing within commuting distance of Seattle, New York City, San Francisco, or Los Angeles.
**Qualifications**
* Bachelor’s degree in Computer Science, Statistics, Applied Mathematics, Economics, or related technical field, or equivalent work experience
* 7\+ years of total software engineering experience
* 4\+ years of experience developing for consumer\-scale loads
* 1\+ years of experience writing production code in Python
* Experience in Trust and Risk, Integrity, or Fraud domains (preferred)
* Strong business intuition and a data\-driven mindset
* Experience with data warehouses and transformation tools such as Snowflake, dbt, Dagster
* Excellent documentation and communication skills
* Ability to work autonomously and lead cross\-functional initiatives
* Comfortable collaborating in a remote environment and managing multiple priorities
**Responsibilities**
* Design and develop scalable systems and algorithms to detect and mitigate systemic risks on the platform
* Build and iterate on production infrastructure that safeguards buyers and sellers while maintaining a positive user experience
* Architect real\-time event\-driven pipelines and detection frameworks for immediate response to high\-risk behaviors
* Engage in all phases of the development lifecycle, including ideation, prototyping, load testing, deployment, and monitoring
* Collaborate with product, operational, and leadership teams to surface insights and improve detection capabilities via dashboards, notebooks, and documentation
* Stay ahead of emerging abuse patterns and continuously refine defenses through rapid iteration and rigorous testing
* Balance risk mitigation with user experience to ensure interventions add value without creating unnecessary friction
**Benefits**
* Generous holiday and time\-off policies
* Comprehensive health insurance options including Medical, Dental, and Vision
* Support for remote work setup, including home office allowance
* Monthly stipends for cell phone and internet expenses
* Care benefits and wellness allowances
* Annual childcare support
* Lifetime family planning benefits covering adoption and fertility expenses
* Retirement plans including 401(k) with employer matching (US) and pension schemes internationally
* Monthly app usage allowance for dogfooding
* Paid parental leave with a gradual return to 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different skills, perspectives, and experiences enhances our work culture and drives innovation.</t>
        </is>
      </c>
    </row>
    <row r="83">
      <c r="A83" t="inlineStr">
        <is>
          <t>li-4367949044</t>
        </is>
      </c>
      <c r="B83" t="inlineStr">
        <is>
          <t>Software Engineer (Js, SQL)</t>
        </is>
      </c>
      <c r="C83" t="inlineStr">
        <is>
          <t>Gusto</t>
        </is>
      </c>
      <c r="D83" t="inlineStr">
        <is>
          <t>linkedin</t>
        </is>
      </c>
      <c r="E83">
        <f>HYPERLINK("https://www.linkedin.com/jobs/view/4367949044", "https://www.linkedin.com/jobs/view/4367949044")</f>
        <v/>
      </c>
      <c r="F83" t="inlineStr"/>
      <c r="G83" t="inlineStr"/>
      <c r="H83" t="inlineStr"/>
      <c r="I83" t="inlineStr">
        <is>
          <t>**About The Company** 
 Gusto is dedicated to empowering small businesses across the United States by providing comprehensive payroll, benefits, and HR solutions. With a presence in Denver, San Francisco, and New York, Gusto supports over 400,000 small businesses, helping them manage complex administrative tasks efficiently. The company's mission is to grow the small business economy by handling the hard stuff—such as payroll processing, health insurance, 401(k) plans, and HR management—so business owners can focus on their craft and serve their customers. Gusto prides itself on fostering an inclusive workplace that celebrates diversity and innovation, aligning its culture with the needs of its customers and employees alike.
**About The Role** 
 As a Principal Engineer for the Contractors team at Gusto, you will play a critical role in shaping and advancing the company's flagship Payroll product, a core component of Gusto’s platform. Your responsibilities will include designing, developing, and scaling backend systems that support essential payroll functionalities for businesses operating in over 120 countries. Collaborating closely with product managers, designers, and fellow engineers, you will lead efforts to deliver impactful features that enhance the user experience and meet customer needs. This role involves guiding projects from initial concept through deployment, making architectural decisions, and ensuring the robustness and scalability of systems that handle sensitive financial data. Beyond technical expertise, you will contribute to defining the strategic direction of Gusto’s Payroll product, fostering a culture of innovation and excellence within the engineering team.
**Qualifications** 
* 15\+ years of professional software development experience.
* Proven experience as a technical lead overseeing multiple teams and projects.
* Extensive background in building and maintaining resilient backend systems supporting customer\-facing products.
* Strong skills in optimizing performance, reliability, and scalability of backend architectures.
* Expertise in developing and maintaining RESTful APIs, GraphQL endpoints, and backend services.
* Experience with Ruby on Rails, TypeScript, React, and large\-scale application development.
* Track record of scaling engineering teams and mentoring engineers.
* Excellent communication skills to articulate technical concepts and facilitate stakeholder discussions.
* Experience working in highly cross\-functional environments on complex products.
* Familiarity with AI tools for rapid product development, testing, and iteration.
* Knowledge of evaluating AI output using clear success metrics and best practices.
* Commitment to staying updated with emerging backend technologies and AI frameworks.
* Willingness to contribute to shared tools and templates that enhance AI experimentation safety and speed.
**Responsibilities** 
* Architect, build, and maintain scalable, secure, and resilient backend systems supporting Gusto’s Payroll products.
* Act as a technical lead across multiple teams within the Pay Group, ensuring project continuity and high\-quality delivery.
* Help scale one of the largest Ruby/Rails and TypeScript/React applications globally.
* Collaborate with cross\-functional teams including Engineering, Product Management, Design, Data Science, Compliance, and Operations to solve complex problems.
* Mentor and develop engineering team members, fostering a culture of growth and continuous improvement.
* Drive the end\-to\-end product development lifecycle from conception to launch, ensuring user\-centric design and functionality.
* Contribute to strategic planning and technical decision\-making to support long\-term product scalability and innovation.
* Engage in AI experimentation, contributing to the development of tools and frameworks for rapid testing and deployment.
* Ensure adherence to security, compliance, and quality standards in all engineering practices.
**Benefits** 
* Competitive salary packages aligned with experience and location, ranging from $214,000 to $309,000 annually.
* Comprehensive health benefits including medical, dental, and vision coverage.
* Retirement plans such as 401(k) with company matching.
* Generous paid time off and holidays to promote work\-life balance.
* Professional development opportunities including training, conferences, and mentorship programs.
* Flexible work arrangements, including remote work options.
* Inclusive and diverse workplace culture that values innovation and collaboration.
* Access to wellness programs and resources to support mental and physical health.
 Equal Opportunity
 Gusto is an equal\-opportunity employer committed to fostering an inclusive environment for all employees. We do not discriminate based on race, color, religion, national origin, age, sex, pregnancy, childbirth, medical conditions, marital status, ancestry, disability, genetic information, veteran status, gender identity or expression, sexual orientation, or any other legally protected characteristic.</t>
        </is>
      </c>
    </row>
    <row r="84">
      <c r="A84" t="inlineStr">
        <is>
          <t>li-4352444819</t>
        </is>
      </c>
      <c r="B84" t="inlineStr">
        <is>
          <t>Senior Software Engineer, Developer Experience</t>
        </is>
      </c>
      <c r="C84" t="inlineStr">
        <is>
          <t>Quizlet</t>
        </is>
      </c>
      <c r="D84" t="inlineStr">
        <is>
          <t>linkedin</t>
        </is>
      </c>
      <c r="E84">
        <f>HYPERLINK("https://www.linkedin.com/jobs/view/4352444819", "https://www.linkedin.com/jobs/view/4352444819")</f>
        <v/>
      </c>
      <c r="F84" t="inlineStr"/>
      <c r="G84" t="inlineStr">
        <is>
          <t>San Francisco, CA</t>
        </is>
      </c>
      <c r="H84" t="inlineStr"/>
      <c r="I84"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Role**
 We are looking for a Senior Software Engineer to join our Developer Experience team and build the tools, systems, and workflows that make our engineering organization more productive. You'll focus on release engineering, CI/CD pipelines, testing infrastructure, AI tooling, and metrics\-driven improvements that help developers ship faster and more reliably.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Develop internal tools and platforms that reduce friction in the development workflow—from local development to production deployment
* Design and build CI/CD pipelines and release automation systems that enable safe, fast deployments across our engineering organization
* Create and maintain testing infrastructure, including frameworks, tooling, and environments that improve test coverage and developer confidence
* Establish metrics and observability for developer experience, measuring build times, deployment frequency, test reliability, and other key indicators
* Partner with product engineering teams to understand pain points and design solutions that scale across the organization
* Lead technical initiatives to improve code quality, test automation, and release processes
* Mentor engineers on testing best practices, CI/CD patterns, and developer productivity techniques
**What You Bring To The Table**
* 5\+ years of professional software engineering experience, with significant time spent on developer tooling, CI/CD, testing infrastructure, or release engineering
* Previous experience as a product engineer building features and shipping code to production
* Strong programming skills in languages such as Python, Go, TypeScript, or PHP
* Deep experience with CI/CD systems (e.g., GitHub Actions, CircleCI) and automated testing frameworks
* Hands\-on experience with release engineering, deployment strategies (blue/green, canary, feature flags), and rollback procedures
* Comfortable with data analysis and metrics—you know how to measure developer productivity and use data to drive improvements
* Familiarity with infrastructure\-as\-code (Terraform) and configuration management tools
* Strong systems thinking with the ability to identify bottlenecks and design scalable solutions
* Excellent communication skills; able to understand developer needs and advocate for productivity improvements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5">
      <c r="A85" t="inlineStr">
        <is>
          <t>li-4367964213</t>
        </is>
      </c>
      <c r="B85" t="inlineStr">
        <is>
          <t>Remote Software Developer</t>
        </is>
      </c>
      <c r="C85" t="inlineStr">
        <is>
          <t>Lensa</t>
        </is>
      </c>
      <c r="D85" t="inlineStr">
        <is>
          <t>linkedin</t>
        </is>
      </c>
      <c r="E85">
        <f>HYPERLINK("https://www.linkedin.com/jobs/view/4367964213", "https://www.linkedin.com/jobs/view/4367964213")</f>
        <v/>
      </c>
      <c r="F85">
        <f>HYPERLINK("https://lensa.com/cgw/10c54e0bb96a4b898fe1687111b8ff02tjo1?jpsi=directemployers&amp;publisher_preference=easier_apply&amp;utm_campaign=Computer%20Occupations&amp;utm_medium=slot&amp;utm_source=linkedin&amp;utm_term=jse&amp;urlHash=gFyZ", "https://lensa.com/cgw/10c54e0bb96a4b898fe1687111b8ff02tjo1?jpsi=directemployers&amp;publisher_preference=easier_apply&amp;utm_campaign=Computer%20Occupations&amp;utm_medium=slot&amp;utm_source=linkedin&amp;utm_term=jse&amp;urlHash=gFyZ")</f>
        <v/>
      </c>
      <c r="G85" t="inlineStr">
        <is>
          <t>Goodlettsville, TN</t>
        </is>
      </c>
      <c r="H85" t="inlineStr"/>
      <c r="I8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 client in the Nashville, TN area is looking for Remote Software Engineer with 3–5 years of experience to join their team. They will be responsible for building and enhancing applications that support business needs. This role translates requirements into technical solutions, contributes to design and development, troubleshoots moderately complex issues, and provides occasional guidance to junior team members.
 Key Responsibilities
* Enhance and implement features for new and existing applications (35%)
* Develop, test, and debug software components (30%)
* Support task planning, estimation, and small project efforts (20%)
* Provide informal mentorship to junior developers (10%)
* Participate in production support rotation (5%)
**Required Skills \&amp; Competencies**
* Strong collaboration and communication abilities
* Problem‑solving mindset with willingness to research solutions
* Understanding of retail \+ technology concepts
* Growing technical depth and familiarity with architecture, coding standards, and best practices
* Ability to work effectively with on‑shore and off‑shore teams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3–5\+ years of application development experience (C\#, .NET, Java, or similar backend technologies).
* Strong SQL Server skills, including creating views, stored procedures, loading/extracting data from files, and interpreting existing SQL logic.
* Hands‑on experience with Oracle and PL/SQL, including debugging, tuning, and enhancing packages.
* Proficiency with TOAD and/or Oracle SQL Developer for SQL development and troubleshooting.
* Ability to build backend features that integrate with database logic (services, APIs, batch processes).
* Experience supporting production environments, including troubleshooting issues across app \+ database layers.
* Strong communication skills and ability to collaborate with on‑shore and off‑shore teams.
 If you have questions about this posting, please contact support@lensa.com</t>
        </is>
      </c>
    </row>
    <row r="86">
      <c r="A86" t="inlineStr">
        <is>
          <t>li-4367967337</t>
        </is>
      </c>
      <c r="B86" t="inlineStr">
        <is>
          <t>Senior Software Engineer, Humanoid Robotics</t>
        </is>
      </c>
      <c r="C86" t="inlineStr">
        <is>
          <t>NVIDIA</t>
        </is>
      </c>
      <c r="D86" t="inlineStr">
        <is>
          <t>linkedin</t>
        </is>
      </c>
      <c r="E86">
        <f>HYPERLINK("https://www.linkedin.com/jobs/view/4367967337", "https://www.linkedin.com/jobs/view/4367967337")</f>
        <v/>
      </c>
      <c r="F86">
        <f>HYPERLINK("https://nvidia.wd5.myworkdayjobs.com/NVIDIAExternalCareerSite/job/US-CA-Santa-Clara/Senior-Software-Engineer\u002d\u002dHumanoid-Robotics_JR2005063?source=jobboardlinkedin&amp;urlHash=BwW7", "https://nvidia.wd5.myworkdayjobs.com/NVIDIAExternalCareerSite/job/US-CA-Santa-Clara/Senior-Software-Engineer\u002d\u002dHumanoid-Robotics_JR2005063?source=jobboardlinkedin&amp;urlHash=BwW7")</f>
        <v/>
      </c>
      <c r="G86" t="inlineStr">
        <is>
          <t>Santa Clara, CA</t>
        </is>
      </c>
      <c r="H86" t="inlineStr"/>
      <c r="I86" t="inlineStr">
        <is>
          <t>Join NVIDIA's Solution Engineering team that is shaping the future of autonomous machines. Our goal is to build and deploy scalable robotic solutions and enable the next generation of AI robots. Our team is hands\-on, passionate about practical results, and values diversity.
 You will help craft the application software architecture by working closely with external partners developing on our robotics platform and the collaborations across multiple teams within NVIDIA working on autonomous machines. You will also advance and refine the overall functional capability and quality of our solution, focusing on integration challenges and applying deep analytical skills to tease through the complexity of the system to arrive to effective and optimum solutions.
**What You'll Be Doing**
* Build and drive the application architecture internally, with a focus on humanoid robotics, by collaborating closely with architecture and software development teams.
* Scale the deployment and integration of robust and performant implementations of new technologies spanning whole body controller and manipulation algorithms into solutions and products.
* Integrate hardware and software components efficiently and develop scalable software solutions. Lead profiling, benchmarking and evaluation activities for verification.
* Provide deep technical guidance and strategies to resolve functional and system performance issues, working with internal and external partner teams.
* Collaborate with our global engineering teams in our US, APAC, and Europe locations to deploy the solution to our customers.
**What We Need To See**
* 5\+ years of work related experience in software development related to robotics.
* Bachelors, Masters or equivalent experience in computer science, robotics, computer engineering, or a related field.
* Proven track record in developing software products in the domains of machine learning and reinforcement learning, and hands\-on physical robot experience, and/or publishing in robotics conferences (RSS, CoRL, ICRA, IROS, NeurIPS, etc.).
* Established proficiency in application development and scalability for autonomous machines, and familiarity with robotics or automotive related middleware frameworks.
* Experience with robot simulation platforms and simulation\-based reinforcement learning for training and validation of robotic systems, with hands\-on experience on sim\-to\-real transfer of RL policies being a plus.
* Proficient in Python and C/C\+\+, with experience in GPU programming or CUDA being a strong plus.
* Capable of adapting quickly to new technologies and platforms.
* Ability to adapt in a fast paced development lifecycles and multi\-functional organizations.
**Ways To Stand Out From The Crowd**
* Hands\-on experience with real\-world robotic systems and hardware of humanoid robots or mobile manipulator, particularly in loco\-manipulation and dexterous hands manipulation tasks.
* Experience with ROS 2, Isaac SIM and Isaac Lab or equivalent
* Understanding of NVIDIA Isaac, NVIDIA GPU hardware, and CUDA
* Contributions to or ownership of open\-source project and mentorship experience.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JR2005063</t>
        </is>
      </c>
    </row>
    <row r="87">
      <c r="A87" t="inlineStr">
        <is>
          <t>li-4367932659</t>
        </is>
      </c>
      <c r="B87" t="inlineStr">
        <is>
          <t>Software Engineer (AI/ML)</t>
        </is>
      </c>
      <c r="C87" t="inlineStr">
        <is>
          <t>Upstart</t>
        </is>
      </c>
      <c r="D87" t="inlineStr">
        <is>
          <t>linkedin</t>
        </is>
      </c>
      <c r="E87">
        <f>HYPERLINK("https://www.linkedin.com/jobs/view/4367932659", "https://www.linkedin.com/jobs/view/4367932659")</f>
        <v/>
      </c>
      <c r="F87">
        <f>HYPERLINK("https://www.wiraa.com/job-description/usC3AFF466AF2EF2ADB535DEDA3A21B989?source=Linkedin&amp;urlHash=D3dJ", "https://www.wiraa.com/job-description/usC3AFF466AF2EF2ADB535DEDA3A21B989?source=Linkedin&amp;urlHash=D3dJ")</f>
        <v/>
      </c>
      <c r="G87" t="inlineStr"/>
      <c r="H87" t="inlineStr"/>
      <c r="I87" t="inlineStr">
        <is>
          <t>**About Upstart**
 Upstart is the leading AI\-driven lending marketplace that partners with banks and credit unions to expand access to affordable credit. By leveraging advanced artificial intelligence technology, Upstart's platform enables financial institutions to achieve higher approval rates and lower loss rates across diverse demographics, including race, age, and gender. This innovative approach ensures that customers receive a seamless digital\-first lending experience, with over 80% of borrowers being approved instantly without the need for extensive documentation. Upstart is committed to democratizing credit and fostering financial inclusion through its cutting\-edge technology and data\-driven insights.
 The company operates as a digital\-first organization, with most employees working remotely across the United States. However, Upstart maintains offices in San Mateo, California; Columbus, Ohio; and Austin, Texas. The company's mission resonates with individuals passionate about making a meaningful impact by enabling effortless access to credit based on true risk assessment. Upstart's culture encourages innovation, collaboration, and a shared commitment to transforming the lending industry.
 The team at Upstart is composed of talented professionals dedicated to developing and maintaining the AI\-powered lending platform. The Capital Supply Vertical is a vital component, responsible for onboarding and managing relationships with lending partners and investors. This team provides critical reporting, forecasting, and financial analysis to optimize funding connections and support the company's growth objectives. As part of this team, the Principal Engineer plays a pivotal role in shaping the technical landscape and driving strategic initiatives across the organization.
**About The Role**
 The Principal Engineer within Upstart's Capital Supply team is a senior technical leader responsible for guiding the architectural evolution and technical roadmap of the Capital Supply systems. This role involves collaborating closely with cross\-functional teams, including Machine Learning, Data Engineering, Product Management, Platform, and Lending Partnerships, to ensure alignment with business goals and technological advancements. The Principal Engineer will take ownership of high\-impact initiatives, mentor technical leaders, and influence product direction to enhance the efficiency and scalability of Upstart's lending operations.
 The ideal candidate will have a strong background in building large\-scale, highly available consumer products, with a proven track record of leading complex engineering projects. They will proactively evaluate emerging technologies, prototype innovative solutions, and foster a culture of continuous improvement and innovation. This role offers an excellent opportunity to make a significant impact on the company's growth while developing and mentoring the next generation of engineering leaders.
**Qualifications**
* 10\+ years of software engineering experience
* Strong understanding of technical and software engineering fundamentals
* Experience building and owning large\-scale, highly available consumer products
* Ability to communicate complex technical and business concepts effectively
* Experience leading large cross\-team initiatives, especially during periods of rapid growth
* Proven track record of mentoring and developing technical leaders
* Preferred: Experience defining and executing multi\-quarter technological strategies for multi\-team organizations
* Preferred: Experience driving initiatives that improve engineering processes, platforms, or productivity
* Ability to identify organizational gaps and develop strategies to address them
* Strong influence and leadership skills without direct authority
* Strong product and analytical mindset, with focus on ROI, risk, and trade\-offs
**Responsibilities**
* Define and shape the long\-term technical roadmap for the Capital Supply engineering team, ensuring alignment with business objectives
* Guide the architectural evolution of Capital Supply systems, emphasizing shared systems across the engineering teams
* Uncover and facilitate alignment across complex technical requirements, designs, and trade\-offs to influence product direction
* Evaluate, prototype, and implement new technologies and frameworks to foster innovation and improve system capabilities
* Partner with product leaders to influence product strategy and drive impactful business outcomes
* Lead by example, mentoring and developing technical leaders within the team
* Identify high\-leverage opportunities and prioritize impactful initiatives to maximize business value
* Collaborate across teams to ensure seamless integration and operational excellence of systems
**Benefits**
* Competitive salary with bonus and equity components
* Comprehensive medical, dental, and vision insurance with Health Savings Account contributions
* 401(k) plan with 100% company match up to $4,500 and immediate vesting
* Employee Stock Purchase Plan (ESPP)
* Life and disability insurance coverage
* Generous paid holidays, vacation, sick leave, and safety leave
* Supportive parental, family care, and military leave programs
* Annual wellness, technology, and ergonomic reimbursement programs
* Company\-sponsored social activities, team events, and onsite meetups
* Catered lunches, snacks, and beverages at office locations
 Equal Opportunity
 Upstart is an equal opportunity employer committed to fostering an inclusive and diverse workplace. We welcome applications from individuals of all backgrounds, identities, and experiences. We believe that diversity enhances our innovation and success, and we are dedicated to providing equitable access to employment opportunities. If you require reasonable accommodations during the application or interview process.</t>
        </is>
      </c>
    </row>
    <row r="88">
      <c r="A88" t="inlineStr">
        <is>
          <t>li-4367977002</t>
        </is>
      </c>
      <c r="B88" t="inlineStr">
        <is>
          <t>Software Engineer - Remote</t>
        </is>
      </c>
      <c r="C88" t="inlineStr">
        <is>
          <t>Lensa</t>
        </is>
      </c>
      <c r="D88" t="inlineStr">
        <is>
          <t>linkedin</t>
        </is>
      </c>
      <c r="E88">
        <f>HYPERLINK("https://www.linkedin.com/jobs/view/4367977002", "https://www.linkedin.com/jobs/view/4367977002")</f>
        <v/>
      </c>
      <c r="F88" t="inlineStr"/>
      <c r="G88" t="inlineStr">
        <is>
          <t>Rochester, MN</t>
        </is>
      </c>
      <c r="H88" t="inlineStr"/>
      <c r="I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Mayo Clinic. Clicking "Apply Now" or "Read more" on Lensa redirects you to the job board/employer site. Any information collected there is subject to their terms and privacy notice.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(https://jobs.mayoclinic.org/benefits/)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**This is a limited tenure position that has been approved for 3 years.**
 Mayo Clinic is seeking a Software Engineer to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ensures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Works closely with the Product Owners, Product Managers, Architects to translate requirements into code. Developing services around data warehousing, big data, cloud computing, business intelligence, analytics and machine learning. Participate in DevOps, Agile, continuous development and integration frameworks. Programming in high\-level languages such as Go, Python, Java etc. Work on deployment automation/configuration management with tools including but not limited to ADO, Puppet, Chef or Ansible or Azure Pipelines, CloudFormation, Terraform following a DevOps model. Ensure all appropriate documentation of processes and source code is created and maintained. Communicate effectively with peers, leaders, and customers throughout the organization. Participate in expert level troubleshooting and resolve problems through root cause analysis, data and system investigation. Continues to build knowledge of the organization, processes and customers. Performs a range of mainly straightforward assignments. Uses prescribed guidelines or policies to analyze and resolve problems. Receives a moderate level of guidance and direction.
 This limited tenure Software Engineer role will primarily support Mayo Clinic's Occupational Health Services (OHS) program, with an initial focus on enhancing and maintaining the existing custom C\# application. This application has components hosted in an on\-prem environment, as well as in Microsoft Azure. This is a robust application that automates many business processes and integrates with many other systems, but we are constantly enhancing the system, adding capabilities. This position will focus on enhancement of the system but does require some support and maintenance.
 The engineer will be responsible for the full lifecycle of development, including:
* Partnering with teammates and OHS stakeholders to evaluate new features
* Planning and executing implementation of new features
* Testing implementations, both in QA and production environments
* Ongoing production support and maintenance of the application
 During the selection process you may participate in an OnDemand (pre\-recorded) interview that you can complete at your convenience. During the OnDemand interview, a question will appear on your screen, and you will have time to consider each question before responding. You will have the opportunity to re\-record your answer to each question \- Mayo Clinic will only see the final recording. The complete interview will be reviewed by a Mayo Clinic staff member and you will be notified of next steps.
**Qualifications**
 Bachelor's Degree in Computer Science/Engineering or related field; Or an Associates' degree in Computer Science/Engineering or related field with an additional 2 years of experience as described below.
* Have working knowledge and experience of Software Engineering with a minimum of internships and a minimum of 1 yr. of experience, or 2yrs of experience coding applications or services in a high\-level language (C, C\+\+, Golang, Java, C\# etc.).
* Demonstrated problem solving and time management skills.
* Possesses strong technical aptitude for designing and implementing software solutions.
* Experience with modern application development frameworks
* Knowledge of professional software engineering practices \&amp; best practices for the full software development life cycle, including coding standards, code reviews, source control management, build processes, testing, and operations.
* Deep hands\-on technical expertise, excellent verbal and written communication skills.
* Experience with Agile software development techniques.
**Preferred Qualifications For This Position Include**
* Ability to use a wide variety of open\-source technologies and cloud\-based services.
* Experience with Google and Azure cloud environments
* Experience in databases, analytics, big data systems or business intelligence products
* Experience with building high\-performance, highly available and scalable distributed systems.
* Experience developing software for healthcare related industries.
**This vacancy is not eligible for sponsorship/ we will not sponsor or transfer visas for this position. Also, Mayo Clinic DOES NOT participate in the F\-1 STEM OPT extension program.**
**Exemption Status**
 Exempt
**Compensation Detail**
 $95,534 \- $140,462 / year
**Benefits Eligible**
 Yes
**Schedule**
 Full Time
**Hours/Pay Period**
 80
**Schedule Details**
 Monday \- Friday; Normal business hours CT with flex
**Weekend Schedule**
 Nights and weekend as needed, on\-call about 2 weeks a year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(https://jobs.mayoclinic.org/alllocations)
**Equal Opportunity**
 All qualified applicants will receive consideration for employment without regard to race, color, religion, sex, gender identity, sexual orientation, national origin, protected veteran status or disability status. Learn more about the "EOE is the Law" (https://www.eeoc.gov/poster) . Mayo Clinic participates in E\-Verify (https://www.e\-verify.gov/sites/default/files/everify/posters/EVerifyParticipationPoster.pdf) and may provide the Social Security Administration and, if necessary, the Department of Homeland Security with information from each new employee's Form I\-9 to confirm work authorization.
**Recruiter**
 Miranda Grabner
**Equal opportunity**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If you have questions about this posting, please contact support@lensa.com</t>
        </is>
      </c>
    </row>
    <row r="89">
      <c r="A89" t="inlineStr">
        <is>
          <t>li-4367965242</t>
        </is>
      </c>
      <c r="B89" t="inlineStr">
        <is>
          <t>Remote Full Stack Software Engineer</t>
        </is>
      </c>
      <c r="C89" t="inlineStr">
        <is>
          <t>Lensa</t>
        </is>
      </c>
      <c r="D89" t="inlineStr">
        <is>
          <t>linkedin</t>
        </is>
      </c>
      <c r="E89">
        <f>HYPERLINK("https://www.linkedin.com/jobs/view/4367965242", "https://www.linkedin.com/jobs/view/4367965242")</f>
        <v/>
      </c>
      <c r="F89" t="inlineStr"/>
      <c r="G89" t="inlineStr">
        <is>
          <t>Cupertino, CA</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Our client is looking for a Full Stack Software Engineer to support the Developer Efficiency Platform team. This person will help evolve the core systems that developers depend on every day. You'll join a team responsible for designing and scaling platforms that streamline service development, deployment, and developer workflows — with opportunities to enhance these systems using AI\-driven tools and practices. This role blends proven engineering practices with forward\-looking approaches in intelligent automation and data\-driven insights. You'll collaborate closely with project managers and cross\-functional teams to translate clear requirements into production systems that are performant, resilient, and continually improving. Responsibilities include:
* Design, build, and optimize scalable backend services and APIs in Java and Python to support developer efficiency workflows
* Collaborate with project managers to gather requirements and translate them into technical solutions that improve developer productivity
* Develop and maintain large\-scale systems that enable hundreds of developers to build, test, and deploy services efficiently
* Integrate AI\-driven tools and capabilities into production systems to automate workflows, provide intelligent insights, and enhance developer experience
* Build and maintain containerized services using Kubernetes for reliable deployment and orchestration
* Evolve platform architectures for reliability, maintainability, and performance at scale
* Write clean, maintainable, and well\-tested code that upholds high standard of engineering excellence.
* Participate in code reviews, architectural discussions, and production troubleshooting, sharing knowledge and elevating quality across the team.
* Contribute to CI/CD pipelines and infrastructure automation to enable rapid, safe deployments.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4\+ years of industry experience building backend systems.
* Strong programming skills in React and Typescript
* Exposure to AI and how to interact with models (prompt engineering/agent skills)
* Hands\-on experience with Kubernetes for container orchestration and deployment.
* Familiarity with utilizing and developing AI\-driven tools to improve workflows and productivity.
* Knowledge of algorithms, data structures, and distributed systems principles.
* Experience with databases (relational and/or NoSQL) and scalable service architectures.
* Excellent communication skills and a collaborative mindset.
* BS, MS or PhD in Computer Science/Engineering
* Familiarity with AI/ML frameworks (e.g., PyTorch, TensorFlow) and LLM libraries (e.g., LangChain, Hugging Face).
* AI Tooling Development using Python
* Background in integrating AI systems into developer tools or productivity platforms.
* Experience with cloud infrastructure, containerization, and CI/CD pipelines.
* Experience with messaging systems (e.g., Kafka) and microservices architectures.
* Passion for developer experience and empathy for building tools that empower other engineers.
 If you have questions about this posting, please contact support@lensa.com</t>
        </is>
      </c>
    </row>
    <row r="90">
      <c r="A90" t="inlineStr">
        <is>
          <t>li-4367971281</t>
        </is>
      </c>
      <c r="B90" t="inlineStr">
        <is>
          <t>Senior Software Engineer, Humanoid Robotics</t>
        </is>
      </c>
      <c r="C90" t="inlineStr">
        <is>
          <t>NVIDIA</t>
        </is>
      </c>
      <c r="D90" t="inlineStr">
        <is>
          <t>linkedin</t>
        </is>
      </c>
      <c r="E90">
        <f>HYPERLINK("https://www.linkedin.com/jobs/view/4367971281", "https://www.linkedin.com/jobs/view/4367971281")</f>
        <v/>
      </c>
      <c r="F90" t="inlineStr"/>
      <c r="G90" t="inlineStr">
        <is>
          <t>Santa Clara, CA</t>
        </is>
      </c>
      <c r="H90" t="inlineStr"/>
      <c r="I90" t="inlineStr">
        <is>
          <t>Join NVIDIA's Solution Engineering team that is shaping the future of autonomous machines. Our goal is to build and deploy scalable robotic solutions and enable the next generation of AI robots. Our team is hands\-on, passionate about practical results, and values diversity.
 You will help craft the application software architecture by working closely with external partners developing on our robotics platform and the collaborations across multiple teams within NVIDIA working on autonomous machines. You will also advance and refine the overall functional capability and quality of our solution, focusing on integration challenges and applying deep analytical skills to tease through the complexity of the system to arrive to effective and optimum solutions.
**What You'll Be Doing**
* Build and drive the application architecture internally, with a focus on humanoid robotics, by collaborating closely with architecture and software development teams.
* Scale the deployment and integration of robust and performant implementations of new technologies spanning whole body controller and manipulation algorithms into solutions and products.
* Integrate hardware and software components efficiently and develop scalable software solutions. Lead profiling, benchmarking and evaluation activities for verification.
* Provide deep technical guidance and strategies to resolve functional and system performance issues, working with internal and external partner teams.
* Collaborate with our global engineering teams in our US, APAC, and Europe locations to deploy the solution to our customers.
**What We Need To See**
* 5\+ years of work related experience in software development related to robotics.
* Bachelors, Masters or equivalent experience in computer science, robotics, computer engineering, or a related field.
* Proven track record in developing software products in the domains of machine learning and reinforcement learning, and hands\-on physical robot experience, and/or publishing in robotics conferences (RSS, CoRL, ICRA, IROS, NeurIPS, etc.).
* Established proficiency in application development and scalability for autonomous machines, and familiarity with robotics or automotive related middleware frameworks.
* Experience with robot simulation platforms and simulation\-based reinforcement learning for training and validation of robotic systems, with hands\-on experience on sim\-to\-real transfer of RL policies being a plus.
* Proficient in Python and C/C\+\+, with experience in GPU programming or CUDA being a strong plus.
* Capable of adapting quickly to new technologies and platforms.
* Ability to adapt in a fast paced development lifecycles and multi\-functional organizations.
**Ways To Stand Out From The Crowd**
* Hands\-on experience with real\-world robotic systems and hardware of humanoid robots or mobile manipulator, particularly in loco\-manipulation and dexterous hands manipulation tasks.
* Experience with ROS 2, Isaac SIM and Isaac Lab or equivalent
* Understanding of NVIDIA Isaac, NVIDIA GPU hardware, and CUDA
* Contributions to or ownership of open\-source project and mentorship experience.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JR2005063</t>
        </is>
      </c>
    </row>
    <row r="91">
      <c r="A91" t="inlineStr">
        <is>
          <t>li-4330845207</t>
        </is>
      </c>
      <c r="B91" t="inlineStr">
        <is>
          <t>Software Engineer</t>
        </is>
      </c>
      <c r="C91" t="inlineStr">
        <is>
          <t>Riccione Resources, Inc.</t>
        </is>
      </c>
      <c r="D91" t="inlineStr">
        <is>
          <t>linkedin</t>
        </is>
      </c>
      <c r="E91">
        <f>HYPERLINK("https://www.linkedin.com/jobs/view/4330845207", "https://www.linkedin.com/jobs/view/4330845207")</f>
        <v/>
      </c>
      <c r="F91" t="inlineStr"/>
      <c r="G91" t="inlineStr"/>
      <c r="H91" t="inlineStr"/>
      <c r="I91" t="inlineStr">
        <is>
          <t>**Golang Gopher (Software Engineer), FFmpeg, Video Skills for AI Product, Remote** 
 We are searching for a passionate Golang Software Engineer who thrives on tackling challenges to create high\-throughput microservices that drive our innovative AI product. If you have experience with powerful external tools like FFmpeg for video manipulation and have worked on backend services that manage segmenting and delivering video chunks, we want to hear from you.
 Join a firm at the forefront of developing and deploying cutting\-edge Artificial Intelligence for the physical world. Their clients are leveraging the technology to solve new and exciting use cases, boosting responsiveness and automation in their environments. With a robust client portfolio that includes a range of commercial and some government contracts, you’ll be part of a dynamic team making a significant impact. If you're ready to take on this challenge, let's connect!
**Why should you apply here?** 
* This company’s founders have a proven track record of not just launching startups but raising companies that have left an indelible mark on the tech world.
* Young growing company with established clients on both the commercial and federal sides.
* Join the starting line of a journey with substantial upward momentum and the capacity to reach significant scale.
* Play a key role in bringing our new product to life.
* Products focused on teaching machines to think, creating digital eyes and a brain to process, and building an army of digital spies.
* Join a successful team with people who enjoy working together and celebrating wins.
* Directly benefit from this company’s growth through stock ownership.
* This company’s
 flexible structure enables teams to adapt quickly and empowers them to work smarter and faster.
* Be part of a dynamic ecosystem where ideas cross\-pollinate and thrive.
* Dive into complex projects that will stretch your abilities and offer significant opportunities for professional growth.
**What will you be doing?** 
* Collaborate with cross\-functional teams to define, design, and ship new features for their flagship AI product.
* Develop and maintain software video technology using Golang.
* Work with modern frameworks to create robust and scalable applications.
* Containerize and maintain applications using Docker and Kubernetes.
* Troubleshoot, debug, and optimize applications for performance and scalability.
* Contribute to integration and system test frameworks to ensure high quality of delivered enhancements.
**What are the minimum qualifications?** 
* Bachelor's degree in Computer Science, Engineering, or a related field.
* 5\+ years of experience in software development using Golang/Go.
* Experience with any of the following in this order: Video technology, encoding, transcoding, manipulation, libraries, etc. or ML libraries or REST Services, gRPC, etc.
* Excellent communication and teamwork abilities.
* Eagerness to learn and adapt to new technologies and challenges.
* Strong problem\-solving skills and attention to detail.
**What will make your résumé stand out?** 
* Experience Java, Spring Boot, and Microservices.
* Experience with cloud platforms such as AWS, Azure, or Google Cloud.
* Experience with containerization technologies (Docker, Kubernetes).
* Understanding of CI/CD pipelines and tools.
* Knowledge of version control systems, preferably Git.
* Familiarity with SQL database technologies, specifically PostgreSQL.
* Experience with video formats and transformation libraries such as FFmpeg.
**Location:** 
 Remote.
**Citizenship:** 
 U.S. Citizens and Permanent Residents.
**Salary:** 
 130k – 175k \+ Bonus, 401k match, Stock Options.
**Compensation and Benefits:** 
* 100% employer\-paid medical premiums for employees and dependents.
* Comprehensive benefits including dental, vision, 401k, and disability.
* Flexible workplace environment that includes remote and work\-from\-home options.
* Employee stock options.</t>
        </is>
      </c>
    </row>
    <row r="92">
      <c r="A92" t="inlineStr">
        <is>
          <t>li-4367971128</t>
        </is>
      </c>
      <c r="B92" t="inlineStr">
        <is>
          <t>Jr Embedded Software Engineer</t>
        </is>
      </c>
      <c r="C92" t="inlineStr">
        <is>
          <t>Lensa</t>
        </is>
      </c>
      <c r="D92" t="inlineStr">
        <is>
          <t>linkedin</t>
        </is>
      </c>
      <c r="E92">
        <f>HYPERLINK("https://www.linkedin.com/jobs/view/4367971128", "https://www.linkedin.com/jobs/view/4367971128")</f>
        <v/>
      </c>
      <c r="F92">
        <f>HYPERLINK("https://lensa.com/cgw/cac28514afc54159a47bc2791344a629tjo1?jpsi=directemployers_no_redirect&amp;publisher_preference=easier_apply&amp;utm_campaign=Computer%20Occupations&amp;utm_medium=slot&amp;utm_source=linkedin&amp;utm_term=jse&amp;urlHash=vB-_", "https://lensa.com/cgw/cac28514afc54159a47bc2791344a629tjo1?jpsi=directemployers_no_redirect&amp;publisher_preference=easier_apply&amp;utm_campaign=Computer%20Occupations&amp;utm_medium=slot&amp;utm_source=linkedin&amp;utm_term=jse&amp;urlHash=vB-_")</f>
        <v/>
      </c>
      <c r="G92" t="inlineStr">
        <is>
          <t>Durham, NC</t>
        </is>
      </c>
      <c r="H92" t="inlineStr"/>
      <c r="I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Actalent. Clicking "Apply Now" or "Read more" on Lensa redirects you to the job board/employer site. Any information collected there is subject to their terms and privacy notice.
 Job Title: Engineering Lab TechnicianJob Description
 We are looking for a dedicated and skilled Engineering Lab Technician to join our team. The successful candidate will play a critical role in supporting global development teams by addressing pipeline issues, integrating new hardware, and maintaining our lab's infrastructure.
**Responsibilities**
* Be present in the lab every working day to promptly address pipeline issues for global development teams.
* Assess and integrate new boards as they are introduced.
* Assemble Raspberry Pis and build servers.
* Provision servers using automation infrastructure, such as Ansible.
* Perform maintenance on modifications, including soldering, establishing new pin connections, and setting up new test configurations.
* Improve pipeline hardware reliability by recording issues and investigating root causes.
* Manage inventory by updating boards to newer versions, purchasing, and organizing new items.
* Support the continuous expansion of the pipeline.
**Essential Skills**
* Experience with microcontroller units (MCUs).
* Proficiency in soldering.
* Familiarity with Raspberry Pi.
* Linux Support experience.
* Ability to use multimeters.
* Experience with logic analyzers.
**Additional Skills \&amp; Qualifications**
* Experience with automation tools such as Ansible.
 Work Environment
 The Engineering Lab Technician will work in a dynamic lab environment, equipped with state\-of\-the\-art technology. The role requires hands\-on work with various hardware and the use of tools such as multimeters and logic analyzers. The position involves standard working hours, with an emphasis on being present in the lab to address issues as they arise. The dress code is casual, appropriate for a lab setting.
 Job Type \&amp; Location
 This is a Contract position based out of Durham, NC.
 Pay and Benefits
 The pay range for this position is $35\.00 \- $40\.00/hr.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Durham,NC.
 Application Deadline
 This position is anticipated to close on Feb 10,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(%20actalentaccommodation@actalentservices.com) for other accommodation options.
 If you have questions about this posting, please contact support@lensa.com</t>
        </is>
      </c>
    </row>
    <row r="93">
      <c r="A93" t="inlineStr">
        <is>
          <t>li-4367943718</t>
        </is>
      </c>
      <c r="B93" t="inlineStr">
        <is>
          <t>Software Engineer</t>
        </is>
      </c>
      <c r="C93" t="inlineStr">
        <is>
          <t>Hyra</t>
        </is>
      </c>
      <c r="D93" t="inlineStr">
        <is>
          <t>linkedin</t>
        </is>
      </c>
      <c r="E93">
        <f>HYPERLINK("https://www.linkedin.com/jobs/view/4367943718", "https://www.linkedin.com/jobs/view/4367943718")</f>
        <v/>
      </c>
      <c r="F93">
        <f>HYPERLINK("https://joinhyra.com/jobs/2ade0a5e-51d3-41c7-a998-b6651fe77759?src=linkedin&amp;urlHash=ejAb", "https://joinhyra.com/jobs/2ade0a5e-51d3-41c7-a998-b6651fe77759?src=linkedin&amp;urlHash=ejAb")</f>
        <v/>
      </c>
      <c r="G93" t="inlineStr"/>
      <c r="H93" t="inlineStr"/>
      <c r="I93" t="inlineStr">
        <is>
          <t>Senior Lead Software Engineer \- Full Stack Developer
 Hyra is working on behalf of J.P. Morgan to hire for the position of Senior Lead Software Engineer \- Full Stack Developer. This role sits within the Corporate Sector Cloud Financial Management Technology group, focusing on delivering secure and scalable technology products. You will apply deep technical expertise to solve complex challenges across multiple applications while driving significant business impact.
 What you'll be doing
 • Develop secure, high\-quality production code using Java and Python while reviewing and debugging peer contributions.
 • Provide technical guidance and direction to internal teams, contractors, and vendors to support business objectives.
 • Drive decisions influencing product design, application functionality, and technical operations.
 • Lead evaluation sessions with external vendors and internal teams regarding architectural designs and system applicability.
 • Automate the remediation of recurring issues to improve the operational stability of software systems.
 What we're looking for
 • Five or more years of applied software engineering experience with advanced proficiency in Java and Python.
 • In\-depth technical knowledge of cloud technologies including AWS, GCP, ReactJS, Terraform, and ETL processes.
 • Proven experience in system design, application development, testing, and cloud\-native operations.
 • Advanced understanding of agile methodologies, including CI/CD, application resiliency, and security protocols.
 • Experience within the financial services industry and associated IT systems.
 What J.P. Morgan offers
 • Competitive base salary and performance\-based incentive programs.
 • Comprehensive healthcare, dental, and vision insurance options.
 • Retirement savings plans and financial wellness resources.
 • Opportunities for continuous professional development and internal mobility.
 Apply via Hyra to be considered for this opportunity.</t>
        </is>
      </c>
    </row>
    <row r="94">
      <c r="A94" t="inlineStr">
        <is>
          <t>li-4179627452</t>
        </is>
      </c>
      <c r="B94" t="inlineStr">
        <is>
          <t>Software Engineer - Equities/ETFs</t>
        </is>
      </c>
      <c r="C94" t="inlineStr">
        <is>
          <t>Optiver</t>
        </is>
      </c>
      <c r="D94" t="inlineStr">
        <is>
          <t>linkedin</t>
        </is>
      </c>
      <c r="E94">
        <f>HYPERLINK("https://www.linkedin.com/jobs/view/4179627452", "https://www.linkedin.com/jobs/view/4179627452")</f>
        <v/>
      </c>
      <c r="F94" t="inlineStr"/>
      <c r="G94" t="inlineStr">
        <is>
          <t>New York, United States</t>
        </is>
      </c>
      <c r="H94" t="inlineStr"/>
      <c r="I94" t="inlineStr">
        <is>
          <t>Optiver is seeking Software Engineers specializing in the US cash equities and US ETF markets to help lead our continued rapid growth across cash equities. Our Software Engineers lead large technical projects, help set the direction for our trading infrastructure, and leverage technology to enable business success.
 Our cash equities engineering team is building out systems that must ingest and react to market data feeds from major US exchanges in microseconds or less, efficiently price and hedge positions of single stocks and ETFs and execute orders with extremely low error tolerance. We continually refine, store, and analyze terabytes of data produced by market activity and our trading systems. Our user interfaces must present coherent, responsive real\-time visualizations of market activity and system performance while providing intuitive control of a highly complex system. Our core systems must provide a stable, performant, and trusted foundation on which our systems are built.
**What you’ll do:**
 In this role you will be building out functionality across simulation, research, and production systems. Specifically, you will:
* Help establish the vision and technical direction for major cash equities trading initiatives
* Design, develop, support, and maintain large portions of our low\-latency equities trading infrastructure, including order management systems (OMS) and execution management systems (EMS)
* Contribute to our pricing, research and trading models that power our market\-making and proprietary trading strategies in US equities and US ETFs
* Develop a deep understanding of exchange\-specific protocols, order book dynamics and exchanges connectivity
* Optimize data processing pipelines to handle market data from multiple exchanges at scale while continuously improving execution speed and system performance
* Work closely with FPGA engineers to leverage hardware acceleration for ultra\-low\-latency execution and explore novel ways to integrate FPGAs with software\-driven trading infrastructure
* Collaborate deeply with traders, engineers, and researchers to help us evolve our execution logic and market impact models
**Technology at Optiver:**
 At Optiver we pride ourselves on being real engineers, not just coders. Our engineers work closely with traders to identify the business problems we face and determine how they should be solved. We apply a disciplined and scientific approach. We engineer simple, well\-architected solutions that meet the dynamic needs of our traders. Our passion is to solve problems which really matter to the business, and we take pride in the quality of our solutions.
**What you’ll get:**
 You’ll join a culture of collaboration and excellence, where you’ll be surrounded by curious thinkers and creative problem solvers. Motivated by a passion for continuous improvement, you’ll thrive in a supportive, high\-performing environment alongside talented colleagues, working collectively to tackle the toughest problems in the financial markets.
 In addition, you’ll receive:
* The opportunity to work alongside best\-in\-class professionals from over 40 different countries
* Ownership over initiatives that directly solve business problems
* 401(k) match up to 50% and fully paid health insurance
* 25 paid vacation days alongside market holidays
* Extensive office perks, including breakfast, lunch and snacks, regular social events, clubs, sporting leagues and more
**Who you are:**
* Familiarity with the market microstructure of the US Equities and/or US ETF markets
* Strong engineering instincts and a deep understanding of computer science fundamentals
* Programming experience across C\+\+ or C with other object\-orientated languages also considered
* Experience building low\-latency trading systems on a large scale including across market data ingestion, order routing and execution performance
* Experience with exchange connectivity, order matching, and execution logic for major venues
* Experience optimizing high\-throughput systems that must process and react in real\-time to streams of market data
* Familiarity with building and integrating FPGA\-assisted trading systems
* Innovative, big\-picture thinking grounded in real\-world pragmatism
* Readiness to set technical direction, promote strong engineering principles and continuously seek ways to refine and optimize systems in a fast\-moving, ever evolving environment
* You can spot opportunities to enhance performance, efficiency, and maintainability
**Who we are:**
 At Optiver, our mission is to improve the market by injecting liquidity, providing accurate pricing, increasing transparency and stabilizing the market no matter the conditions. With a focus on continuous improvement, we prioritize safeguarding the health and efficiency of the markets for all participants. As one of the largest market making institutions, we are a respected partner on 100\+ exchanges across the globe.
 Our differences are our edge. Optiver does not discriminate on the basis of race, religion, color, sex, gender identity, sexual orientation, age, physical or mental disability, or other legally protected characteristics.
*Below is the expected base salary for this position. This is a good\-faith estimate of the base pay scale for this position and offers will ultimately be determined based on experience, education, skill set, and performance in the interview process. This position will also be eligible for a discretionary bonus (if determined by Optiver) and Optiver’s benefits package with the benefits listed above.*
 Base Salary Range
 $200,000—$200,000 USD</t>
        </is>
      </c>
    </row>
    <row r="95">
      <c r="A95" t="inlineStr">
        <is>
          <t>li-4367962045</t>
        </is>
      </c>
      <c r="B95" t="inlineStr">
        <is>
          <t>Senior Software Engineer</t>
        </is>
      </c>
      <c r="C95" t="inlineStr">
        <is>
          <t>Microsoft</t>
        </is>
      </c>
      <c r="D95" t="inlineStr">
        <is>
          <t>linkedin</t>
        </is>
      </c>
      <c r="E95">
        <f>HYPERLINK("https://www.linkedin.com/jobs/view/4367962045", "https://www.linkedin.com/jobs/view/4367962045")</f>
        <v/>
      </c>
      <c r="F95" t="inlineStr"/>
      <c r="G95" t="inlineStr"/>
      <c r="H95" t="inlineStr"/>
      <c r="I95" t="inlineStr">
        <is>
          <t>**Overview**
 Are you interested in contributing to the growth of one of Microsoft’s foundational businesses? The Azure Compute Node Services group is seeking a Senior Software Engineer to help develop reliable and performance\-critical components that operate across every server in the Microsoft Azure Cloud. As a mission\-critical cloud platform, Azure aims to deliver industry\-leading availability, reliability, performance, compliance, and security. This role is ideal for individuals who are self\-driven, experienced in software lifecycle management, and committed to quality and engineering fundamentals.
 In this position, you will design, develop, and deliver features at global scale to meet evolving customer needs. Your work will directly support the reliability and availability of the Microsoft Azure platform. We are looking for engineers who are highly motivated and capable of managing all aspects of the software development lifecycle with a strong emphasis on quality.
 This opportunity offers the chance to work on a team with a history of delivering impactful innovations. You will collaborate with peers across disciplines to build solutions that support Microsoft’s cloud infrastructure and help shape the future of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 2\+ year(s) of experience in designing, building and shipping high quality production software or services in cloud environment.
* 2\+ year(s) of experience in large\-scale distributed systems analysis and troubleshooting
* 2\+ year(s) of experience in high\-stakes production online service environments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li-4367963188</t>
        </is>
      </c>
      <c r="B96" t="inlineStr">
        <is>
          <t>Entry Level Software Developer 2026</t>
        </is>
      </c>
      <c r="C96" t="inlineStr">
        <is>
          <t>Lensa</t>
        </is>
      </c>
      <c r="D96" t="inlineStr">
        <is>
          <t>linkedin</t>
        </is>
      </c>
      <c r="E96">
        <f>HYPERLINK("https://www.linkedin.com/jobs/view/4367963188", "https://www.linkedin.com/jobs/view/4367963188")</f>
        <v/>
      </c>
      <c r="F96" t="inlineStr"/>
      <c r="G96" t="inlineStr">
        <is>
          <t>Austin, TX</t>
        </is>
      </c>
      <c r="H96" t="inlineStr"/>
      <c r="I9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**About**
 Are you passionate about building innovative solutions that power the future of enterprise technology? IBM Infrastructure is seeking talented Software Developers across multiple disciplines:
 Back\-End Development
 Front\-End Development
 Data Science
 As part of our dynamic team, you'll collaborate with designers, engineers, and product managers to create responsive, user\-friendly applications using modern web technologies. You'll contribute to scalable systems, intuitive interfaces, and intelligent data\-driven features that support IBM's mission to deliver world\-class
**Your Role And Responsibilities**
 Design, develop, and maintain robust software components and services.
 Build intuitive and responsive user interfaces using modern frameworks.
 Analyze and model data to drive insights and improve product performance.
 Work in agile teams to deliver high\-quality code and continuously improve development practices.
 Collaborate across disciplines to ensure seamless integration and user experience.
**Required Technical And Professional Expertise**
 Bachelor's or Master's degree in Computer Science, Engineering, or related field.
 Proficiency in one or more programming languages such as Java, Python, Go, or C\+\+.
 Excellent problem\-solving skills and attention to detail.
 Strong communication and collaboration abilities.
**Preferred Technical And Professional Experience**
 Proficiency in programming languages such as Python, Java, or JavaScript.
 Experience with cloud platforms, especially IBM Cloud or similar (AWS, Azure, GCP).
 Understanding of security best practices and Software Development principles.
 Strong problem\-solving and analytical skills.
 Ability to work in agile, cross\-functional teams.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97">
      <c r="A97" t="inlineStr">
        <is>
          <t>li-4357023111</t>
        </is>
      </c>
      <c r="B97" t="inlineStr">
        <is>
          <t>Java Software Engineer</t>
        </is>
      </c>
      <c r="C97" t="inlineStr">
        <is>
          <t>Charles Schwab</t>
        </is>
      </c>
      <c r="D97" t="inlineStr">
        <is>
          <t>linkedin</t>
        </is>
      </c>
      <c r="E97">
        <f>HYPERLINK("https://www.linkedin.com/jobs/view/4357023111", "https://www.linkedin.com/jobs/view/4357023111")</f>
        <v/>
      </c>
      <c r="F97">
        <f>HYPERLINK("https://ad.doubleclick.net/ddm/clk/574335155;383638107;m?https://www.schwabjobs.com/job/-/-/33727/88802726288?iis=linkedin_job_wrapping&amp;iisn=rd_linkedin_job_wrapping&amp;utm_source=linkedin.com&amp;utm_medium=job_posting&amp;utm_campaign=Annual_Media&amp;utm_content=social_media&amp;utm_term=383638107&amp;ss=paid&amp;urlHash=SPXS", "https://ad.doubleclick.net/ddm/clk/574335155;383638107;m?https://www.schwabjobs.com/job/-/-/33727/88802726288?iis=linkedin_job_wrapping&amp;iisn=rd_linkedin_job_wrapping&amp;utm_source=linkedin.com&amp;utm_medium=job_posting&amp;utm_campaign=Annual_Media&amp;utm_content=social_media&amp;utm_term=383638107&amp;ss=paid&amp;urlHash=SPXS")</f>
        <v/>
      </c>
      <c r="G97" t="inlineStr">
        <is>
          <t>Austin, TX</t>
        </is>
      </c>
      <c r="H97" t="inlineStr"/>
      <c r="I97"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
 Schwab Technology Services enables the future of how clients manage their money by providing innovative and reliable technology products and services as a part of our ongoing commitment to democratize access to investing and financial planning.
 Wealth and Advice Solutions Technology (WAS Tech) is an organization within Schwab Technology Services aligned to support the technology needs of Wealth and Advice Solutions (WAS) business which is a growth area for Schwab.
 This newly created role will support the future growth of the WAS business. As a Java Software Engineer, you will enable WAS Tech to achieve consistent, predictable, high\-quality delivery by implementing best practices, tools, metrics, automation frameworks, and provide oversight in the areas of software development and testing. You’ll serve as a strong and versatile hands\-on technical engineer. You will deliver high\-quality solutions that meet business objectives in a flexible, collaborative, and rapidly changing environment.
 You will play a critical role in supporting key stakeholders across the WAS organization which is focused on high\-net worth and ultra\-high net worth retail investors. Supported business functions span Schwab’s Wealth and Investment Solutions including Schwab Wealth Advisory. You will be working with a team of talented and highly motivated technologists that strive to make technology a strategic differentiator for Schwab’s WAS business and their clients.
 What you have
* BA/BS degree in Computer Science or equivalent.
* 6\+ years of hands\-on software development experience.
* Solid understanding of core Computer Science concepts, including data structures, algorithms, design
 patterns, and object\-oriented design principles.
* Strong experience developing RESTful APIs with Java and Spring Boot.
* Experience working with relational databases (such as SQL Server or PostgreSQL) and proficiency in SQL for
 data modeling and querying.
* Application development utilizing Test\-Driven Development (TDD) practices, including unit testing.
* Experience writing unit and integration tests.
* Understanding of Agile software development principles and experience working as part of a Scrum\-based
 delivery team.
* Experience with version control and CI/CD tools (such as GitHub).
* Exposure to cloud\-native enterprise applications deployed in PCF, AWS, GCP, or Azure.
* Ability to troubleshoot and resolve issues affecting production applications.
* Good communication skills and ability to collaborate with team members.
* Effective time management skills in a fast\-paced environment.
**Preferred Qualifications**
* Master’s degree in Computer Science or equivalent.
* Experience in Wealth Management and/or Financial Services industry.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98">
      <c r="A98" t="inlineStr">
        <is>
          <t>li-4367973043</t>
        </is>
      </c>
      <c r="B98" t="inlineStr">
        <is>
          <t>Front End Software Engineer</t>
        </is>
      </c>
      <c r="C98" t="inlineStr">
        <is>
          <t>Lensa</t>
        </is>
      </c>
      <c r="D98" t="inlineStr">
        <is>
          <t>linkedin</t>
        </is>
      </c>
      <c r="E98">
        <f>HYPERLINK("https://www.linkedin.com/jobs/view/4367973043", "https://www.linkedin.com/jobs/view/4367973043")</f>
        <v/>
      </c>
      <c r="F98">
        <f>HYPERLINK("https://lensa.com/cgw/1afab673dcc24a0ea4424d8f9915710etjo1?jpsi=directemployers_no_redirect&amp;publisher_preference=easier_apply&amp;utm_campaign=Computer%20Occupations&amp;utm_medium=slot&amp;utm_source=linkedin&amp;utm_term=jse&amp;urlHash=_IFj", "https://lensa.com/cgw/1afab673dcc24a0ea4424d8f9915710etjo1?jpsi=directemployers_no_redirect&amp;publisher_preference=easier_apply&amp;utm_campaign=Computer%20Occupations&amp;utm_medium=slot&amp;utm_source=linkedin&amp;utm_term=jse&amp;urlHash=_IFj")</f>
        <v/>
      </c>
      <c r="G98" t="inlineStr">
        <is>
          <t>Palo Alto, CA</t>
        </is>
      </c>
      <c r="H98" t="inlineStr"/>
      <c r="I9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**Description**
 Job Description
 We are seeking a Senior Front End Software Engineer with deep experience building intuitive, high\-quality user interfaces and internal tooling. You will join a small team of AI researchers and engineers at Salesforce working on advanced AI applications (e.g., atlas agentforce, labelforce or Everse).
 Your role will focus heavily on building web tools and interfaces that make complex AI systems easy to use.An example project for this role is Everse, an evaluation and simulation platform for AI agents. It enables the team to:Simulate voice and text agents through configurable personas (tone, speech speed, call quality).Execute test suites to assess agent performance in realistic scenarios.Analyze outcomes, compare agent versions, detect regressions, and ensure consistent behavior across deployments.This engineer will own major portions of the UI/UX and front\-end architecture that power Everse and upcoming AI tools.
**Key Responsibilities \&amp; Qualifications**
 Lead development and maintenance of core web tools and front\-end applications.
 Build responsive, high\-performance interfaces using React, TypeScript, Next.js Develop backend APIs and services using Node.js and Python
 Translate UX designs and prototypes into clean, maintainable production code.
 Maintain strong testing practices (Jest, component/unit testing).
 Ensure UI performance, stability, and scalability across products.
 Collaborate closely with AI scientists, backend engineers, and product stakeholders.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Required Skills:
 8\+ years in frontend development (React, TypeScript, HTML/CSS).
 Strong experience with Node.js and REST/GraphQL services.
 Experience with data\-heavy interfaces, dashboards, or internal tooling.
 Understanding of ML/AI workflows
 Familiarity with cloud services (AWS/GCP/Azure) and CI/CD.
 Develop backend APIs and services using Node.js and Python Plusses:
 Prior experience building data annotation or labeling tools.
 Experience with LLM, RLHF workflows, or agent evaluation dashboards.
 Comfortable deploying applications in Kubernetes environments.
 Strong security awareness (OWASP top 10 familiarity).
 Automation\-focused mindset.
 If you have questions about this posting, please contact support@lensa.com</t>
        </is>
      </c>
    </row>
    <row r="99">
      <c r="A99" t="inlineStr">
        <is>
          <t>li-4345322632</t>
        </is>
      </c>
      <c r="B99" t="inlineStr">
        <is>
          <t>Full Stack Software Engineer</t>
        </is>
      </c>
      <c r="C99" t="inlineStr">
        <is>
          <t>The Swift Group, LLC</t>
        </is>
      </c>
      <c r="D99" t="inlineStr">
        <is>
          <t>linkedin</t>
        </is>
      </c>
      <c r="E99">
        <f>HYPERLINK("https://www.linkedin.com/jobs/view/4345322632", "https://www.linkedin.com/jobs/view/4345322632")</f>
        <v/>
      </c>
      <c r="F99" t="inlineStr"/>
      <c r="G99" t="inlineStr">
        <is>
          <t>Herndon, VA</t>
        </is>
      </c>
      <c r="H99" t="inlineStr"/>
      <c r="I99"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The Swift Group is looking for a skilled
 **Full Stack Software Engineer** 
 to support the new development, enhancement and Operations and Maintenance of an enterprise system focused on streamlining financial operations, automating business processes, and aligning customer solutions to their overarching digital architecture.
 The ideal candidate should have a strong understanding of web technologies, web application performance optimization, and backend SQL queries. They will write efficient, scalable code to develop new application modules and enhance existing application features. The team operates in an Agile development environment and includes automated testing, continuous integration, and deployment in AWS cloud environments. The Developer will be responsible for working with team leads to develop tasking for each developer by building user stories and liaison with the customer product owner to develop and clarify requirements and obtain feedback.
**Requirements**
* Extensive experience developing web applications with JavaScript frameworks such as Angular, React, Node.js, Next.js
* Experience in building secure APIs within AWS Cloud platform and building secure AWS Lambda Serverless components
* Experience with Agile methodologies and tools
* Continuous Integration \&amp; Continuous Deployment (CI/CD) and automated testing tools and processes using Jenkins, Cypress testing, GitHub and Jira tools
* Knowledge and experience with design paradigms such as Microservice architecture, GraphQL, Restful Design and Stream processing (NiFi, Kinesis, etc.)
* Experience working with SQL Databases (e.g., PostgreSQL, SQL Server) and writing Stored Procedures, Functions and Triggers
* Experience troubleshooting existing code to resolve application bugs and address technical debt
* Bachelor’s Degree or 5\+ years of relevant experience in lieu of a degree
* US citizenship and an active TS/SCI with Polygraph security clearance required
**Desired Experience**
* Experience with Kafka
* Experience with container and container orchestration technologies like Docker
* Experience with AWS workflow tools and PowerBI / Tableau reporting tools
* Ability to engage with stakeholders at all levels to present, discuss, influence technical solutions
* Experience with interacting in a Linux environment (e.g. Bash scripting)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00">
      <c r="A100" t="inlineStr">
        <is>
          <t>li-4367943746</t>
        </is>
      </c>
      <c r="B100" t="inlineStr">
        <is>
          <t>Senior Full Stack Software Engineer – Elixir</t>
        </is>
      </c>
      <c r="C100" t="inlineStr">
        <is>
          <t>GamblingCareers.com</t>
        </is>
      </c>
      <c r="D100" t="inlineStr">
        <is>
          <t>linkedin</t>
        </is>
      </c>
      <c r="E100">
        <f>HYPERLINK("https://www.linkedin.com/jobs/view/4367943746", "https://www.linkedin.com/jobs/view/4367943746")</f>
        <v/>
      </c>
      <c r="F100" t="inlineStr"/>
      <c r="G100" t="inlineStr">
        <is>
          <t>New York, NY</t>
        </is>
      </c>
      <c r="H100" t="inlineStr"/>
      <c r="I100" t="inlineStr">
        <is>
          <t>**About Fanatics Collectibles**
 Fanatics Collectibles is revolutionizing the collectibles industry. As the exclusive licensee for trading cards with the MLB, NFL, and NBA, we’re redefining the collector’s journey through innovative physical and digital experiences. From Fanatics Collect—a secure vaulting and trading platform—to Fanatics Live’s interactive streaming marketplace, our platforms blend cutting\-edge technology with fan passion.
**About The Role**
 We are seeking a Senior Software Engineer (Full Stack) to join our Fanatics Collectibles tech team. As an engineer, you’ll architect, build, and optimize end\-to\-end features across our collector\-facing platforms. You will be responsible for solving complex problems, owning feature areas, and mentoring peers, while aligning your work to business outcomes and user needs.
 This is a high\-impact, hands\-on engineering role in a fast\-paced, highly collaborative environment.
**Responsibilities**
* Design, build, and optimize scalable full stack solutions using modern web technologies.
* Take ownership of one or more product domains—both backend and frontend—from design through deployment and monitoring.
* Collaborate with Product, Design, and business stakeholders to translate requirements into technical deliverables.
* Mentor junior engineers and contribute to team\-level planning, architecture, and standards.
* Write clean, maintainable, testable code with strong documentation.
* Evaluate and integrate third\-party APIs and vendor services, especially in commerce, payment, or identity domains.
* Proactively identify areas of technical debt or scalability risks and drive improvement plans.
* Partner with QA and DevOps to ensure high performance, secure, and reliable delivery of software.
* Stay current with technology trends and advocate for thoughtful adoption within the team.
**Required Qualifications**
* 5\+ years of professional software engineering experience, with a demonstrated focus on full stack development.
* Proficiency in at least one backend framework (e.g., Python/Django or Node.js) and one frontend framework (e.g., React).
* Strong understanding of REST APIs, database design (SQL/NoSQL), and AWS cloud services.
* Experience with CI/CD pipelines, observability tools, and agile workflows.
* Proven track record of owning and delivering complex projects with cross\-functional impact.
**Preferred Qualifications**
* Experience in e\-commerce, marketplaces, or fintech environments.
* Knowledge of authentication, security best practices, and performance optimization.
* Familiarity with GraphQL, event\-driven architectures, or microservices.
* Prior exposure to the collectibles or sports enthusiast space.
**Code\-Writing Contribution**
 As a Senior Engineer, you will be expected to actively contribute production\-quality code across multiple layers of the stack. Your work should reflect maturity in architectural thinking, a commitment to maintainability and performance, and a growing ability to balance technical execution with business needs.
**Our Culture**
 Fanatics Collectibles thrives at the intersection of passion, grit, creativity, and community. We value engineers who are entrepreneurial, resilient in the face of ambiguity, and committed to creating unforgettable collector experiences.
 In NYC, the salary range for this position is $160,000\-$200,000,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t>
        </is>
      </c>
    </row>
    <row r="101">
      <c r="A101" t="inlineStr">
        <is>
          <t>li-4367966152</t>
        </is>
      </c>
      <c r="B101" t="inlineStr">
        <is>
          <t>IT Software Engineer Sr - Remote</t>
        </is>
      </c>
      <c r="C101" t="inlineStr">
        <is>
          <t>Lensa</t>
        </is>
      </c>
      <c r="D101" t="inlineStr">
        <is>
          <t>linkedin</t>
        </is>
      </c>
      <c r="E101">
        <f>HYPERLINK("https://www.linkedin.com/jobs/view/4367966152", "https://www.linkedin.com/jobs/view/4367966152")</f>
        <v/>
      </c>
      <c r="F101" t="inlineStr"/>
      <c r="G101" t="inlineStr">
        <is>
          <t>Washington, DC</t>
        </is>
      </c>
      <c r="H101" t="inlineStr"/>
      <c r="I10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Prime Therapeutics. Clicking "Apply Now" or "Read more" on Lensa redirects you to the job board/employer site. Any information collected there is subject to their terms and privacy notice.
 At Prime Therapeutics (Prime), we are a different kind of PBM, with a purpose beyond profits and a unique ability to connect care for those we serve. Looking for a purpose\-driven career? Come build the future of pharmacy with us.
**Job Posting Title**
 IT Software Engineer Sr \- Remote
**Job Description**
 The individual in this position will be working closely with consumers to understand their needs and help resolve any issues that may arise. The person in this role will be managing the relationships and monitoring for any inquiries related to APIs. This position is responsible for owning the technology solutions within their area, including proactive monitoring and alerting, technological roadmap and communication of overall health and future sustainability.
**Responsibilities**
* Lead design to ensure the technology solutions meet all resiliency, stability, non\-functional, functional and operational readiness use cases
* Lead ongoing development, maintenance and support of existing systems and platforms
* Manage work direction, lead, influence, and provide feedback to other team members
* Participate in staffing plans to identify subject matter experts (SMEs) and provide feedback for staff performance reviews
* Own technology solutions within area, including proactive monitoring and alerting, technological roadmap and communication of overall health and future sustainability
* Drive innovation \&amp; continuous improvement
* Other duties as assigned
**Minimum Qualifications**
* Bachelor's degree in Computer Science or related area of study, or equivalent combination of education and/or relevant work experience; High School Diploma or GED equivalent required
* 5 years of experience with application development or package software implementation
* Ability to manage work direction and lead, influence, mentor, and provide feedback to others within team
* Must be eligible to work in the United States without need for work visa or residency sponsorship
 Must be eligible to work in the United States without the need for work visa or residency sponsorship
**Additional Qualifications**
* Established presenter of technical and non\-technical material adapted to the respective audience
* Ability to transition abstract concepts into stable and supportable software solutions
* Ability to develop unbiased options and recommendations to technical problems and unbiased comparisons
* Strong problem\-solving and analysis skills
* Strong traits of decisiveness and judgment
* Ability to drive innovation and be forward thinking
* Excellent documentation skills
**Preferred Qualifications**
* Experience working in environment with regulatory compliance requirements (HIPAA, PCI, etc.)
* Previous experience working an in Agile/Product Delivery model
* Previous experience in PBM / health care industry
* Understanding of security implications of domain
* Comfortable leading and mentoring others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$94,000\.00 \- $160,000\.00 based on experience and skills.
 To review our Benefits, Incentives and Additional Compensation, visit our Benefits Page (https://www.primetherapeutics.com/benefits) and click on the "Benefits at a glance" button for more detail (https://www.primetherapeutics.com/benefits).
*Prime Therapeutics LLC is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\_ \_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
 At Prime Therapeutics (Prime), we are a different kind of PBM. We’re reimagining pharmacy solutions to provide the care we would want for our loved ones. That purpose energizes our team and creates limitless opportunities to make a difference.
 We know that people make all the difference. If you’re ready for a purpose\-driven career and are passionate about simplifying health care, let’s build the future of pharmacy together.
 Prime Therapeutics LLC is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If you are an applicant with a disability and need a reasonable accommodation for any part of the employment process, please contact Human Resources at 1\.866\.469\.1257 or email Careers@primetherapeutics.com.
 If you have questions about this posting, please contact support@lensa.com</t>
        </is>
      </c>
    </row>
    <row r="102">
      <c r="A102" t="inlineStr">
        <is>
          <t>li-4367938863</t>
        </is>
      </c>
      <c r="B102" t="inlineStr">
        <is>
          <t>Senior C#/React/TS Software Engineer (Hybrid): $140-160K + Bonus</t>
        </is>
      </c>
      <c r="C102" t="inlineStr">
        <is>
          <t>IC Resources</t>
        </is>
      </c>
      <c r="D102" t="inlineStr">
        <is>
          <t>linkedin</t>
        </is>
      </c>
      <c r="E102">
        <f>HYPERLINK("https://www.linkedin.com/jobs/view/4367938863", "https://www.linkedin.com/jobs/view/4367938863")</f>
        <v/>
      </c>
      <c r="F102" t="inlineStr"/>
      <c r="G102" t="inlineStr">
        <is>
          <t>Austin, Texas Metropolitan Area</t>
        </is>
      </c>
      <c r="H102" t="inlineStr"/>
      <c r="I102" t="inlineStr">
        <is>
          <t>We're working with a very unique and thriving company in the sporting goods industry to help them identify a
 **Full\-Stack Software Engineer.** 
*This is a HYBRID Position so Candidate Must Be Able to Work in the North Austin Office 3\-4 Days/Week (Very Cool Office 🙂)* 
**Why This IT Ops/Security Engineer Role is For You:**
* Industry Leader in a Unique Space and Highly Profitable
* Base Salary ($100\-120K) and Benefits \+ Healthy Profit Sharing Plan!
* Very Smart but Inclusive Group with Excellent Leadership
* Small\-Mid Sized Company so Your Voice and Opinions Will be Heard
**What We're Looking for in a Sr. .NET Software Engineer:**
* 6\+ Years of Professional Programming Experience
* Highly Proficient with
 **C\# and the MS .NET Stack: .NET Core (v.6\+), ASP.NET Core, EF Core**
* 2\+ Years Experience with
 **Modern JS: React, Vue, Angular, etc.**
* Must Have
 **TypeScript experience**
* Experience in a
 **Cloud Hosted Environment (Azure or AWS)**
* Experience Using
 **AI Tools**
* **Bachelor's Degree in STEM**</t>
        </is>
      </c>
    </row>
    <row r="103">
      <c r="A103" t="inlineStr">
        <is>
          <t>li-4367931940</t>
        </is>
      </c>
      <c r="B103" t="inlineStr">
        <is>
          <t>Software Engineer (Python, Js)</t>
        </is>
      </c>
      <c r="C103" t="inlineStr">
        <is>
          <t>Mozilla</t>
        </is>
      </c>
      <c r="D103" t="inlineStr">
        <is>
          <t>linkedin</t>
        </is>
      </c>
      <c r="E103">
        <f>HYPERLINK("https://www.linkedin.com/jobs/view/4367931940", "https://www.linkedin.com/jobs/view/4367931940")</f>
        <v/>
      </c>
      <c r="F103" t="inlineStr"/>
      <c r="G103" t="inlineStr"/>
      <c r="H103" t="inlineStr"/>
      <c r="I103" t="inlineStr">
        <is>
          <t>**About The Company** 
 Mozilla Corporation is a leading technology organization committed to building an open and accessible internet for all. As a wholly owned subsidiary of the non\-profit Mozilla Foundation, Mozilla operates without the influence of shareholders, prioritizing its mission to promote openness, innovation, and opportunity online. The company is renowned for creating pioneering products such as the Firefox web browser, which is used by over 225 million people worldwide each month. Mozilla’s work extends beyond browsers to include advancements in AI, social media, security, and other areas, all aimed at shaping a better internet environment. With a global community of volunteers, contributors, and collaborators, Mozilla actively designs, develops, and distributes open\-source software that empowers users to enjoy the internet on their terms. The organization values diversity, inclusion, and responsible participation, fostering a culture of innovation and social impact.
**About The Role** 
 Mozilla is seeking a highly skilled Staff Software Engineer to join our Identity and Access Management (IAM) team. This pivotal role focuses on rebuilding and modernizing our IAM system to enhance scalability, security, and user experience. The successful candidate will lead the architectural redesign of our IAM platform, positioning it as a core infrastructure offering within Mozilla’s organization. Reporting through the Site Reliability Engineering (SRE) organization, the engineer will collaborate closely with cross\-functional teams to ensure seamless platform delivery and robust access management solutions. This role demands a strategic thinker with proven technical leadership, capable of guiding team members and promoting engineering best practices. The ideal candidate will drive automation, self\-service capabilities, and security compliance, ultimately improving user satisfaction and operational efficiency across Mozilla’s ecosystem.
**Qualifications** 
* 8\+ years of professional experience in software engineering, with at least 5 years dedicated to IAM systems.
* Proven leadership experience in technical roles.
* Expertise in Authentication (AuthN), Authorization (AuthZ), and access governance.
* Deep understanding of identity lifecycle management and access governance principles.
* Proficiency in programming languages such as Python and JavaScript.
* Strong experience with Google Cloud Platform (GCP) and cloud\-native technologies.
* Excellent communication skills, capable of aligning technology solutions with organizational goals and user needs.
* Self\-motivated with the ability to thrive in ambiguous environments.
* Curiosity and eagerness to learn new technologies and concepts.
**Responsibilities** 
* Architect and lead the redesign of the IAM system, focusing on usability and scalability enhancements.
* Guide technical decision\-making and promote user\-centric, secure solutions.
* Mentor team members and advocate for engineering best practices, emphasizing usability and maintainability.
* Facilitate collaboration across engineering teams to ensure cohesive platform development and deployment.
* Drive automation initiatives and develop self\-service capabilities within IAM to improve efficiency and security.
* Ensure compliance with security standards and policies, implementing robust security measures.
* Engage with various teams to understand their access management needs and concerns.
* Document standard methodologies, design guidelines, and best practices for IAM systems.
* Handle urgent and ambiguous tasks with professionalism and efficiency, providing trusted resolutions.
**Benefits** 
* Generous performance\-based bonus plans shared among all employees.
* Comprehensive medical, dental, and vision insurance coverage.
* Retirement contributions with 100% immediate vesting, regardless of employee contributions.
* Quarterly company\-wide wellness days to promote work\-life balance.
* Country\-specific holidays plus a personal day off for your birthday.
* One\-time home office stipend to support remote work setup.
* Annual budget dedicated to professional development and training.
* Quarterly well\-being stipends to support health and wellness initiatives.
* Substantial paid parental leave policies.
* Employee referral bonus program to encourage talent acquisition.
* Additional benefits such as life insurance, disability coverage, Employee Assistance Program (EAP), and more, varying by country.
 Equal Opportunity
 Mozilla is committed to fostering an inclusive and diverse workplace. We are an equal opportunity employer and do not discriminate based on race, religion, gender, gender identity or expression, sexual orientation, age, disability, or any other characteristic protected by law. We value the unique perspectives and experiences of all applicants and employees and are dedicated to providing reasonable accommodations throughout the hiring process and employment.</t>
        </is>
      </c>
    </row>
    <row r="104">
      <c r="A104" t="inlineStr">
        <is>
          <t>li-4367700942</t>
        </is>
      </c>
      <c r="B104" t="inlineStr">
        <is>
          <t>Software Engineer [Multiple Positions Available]</t>
        </is>
      </c>
      <c r="C104" t="inlineStr">
        <is>
          <t>hackajob</t>
        </is>
      </c>
      <c r="D104" t="inlineStr">
        <is>
          <t>linkedin</t>
        </is>
      </c>
      <c r="E104">
        <f>HYPERLINK("https://www.linkedin.com/jobs/view/4367700942", "https://www.linkedin.com/jobs/view/4367700942")</f>
        <v/>
      </c>
      <c r="F104">
        <f>HYPERLINK("https://www.hackajob.com/job/66fecdb3-fb4e-11f0-b544-0a05e249917d-software-engineer-multiple-positions-available-?utm_source=LinkedIn&amp;utm_medium=JobAds&amp;utm_term=Automated&amp;utm_campaign=jp-morgan-software-engineer-multiple-positions-available-&amp;job_name=software-engineer-multiple-positions-available-&amp;company=jp-morgan&amp;workplace_type=on-site&amp;city=plano&amp;country=united-states&amp;urlHash=o7-d", "https://www.hackajob.com/job/66fecdb3-fb4e-11f0-b544-0a05e249917d-software-engineer-multiple-positions-available-?utm_source=LinkedIn&amp;utm_medium=JobAds&amp;utm_term=Automated&amp;utm_campaign=jp-morgan-software-engineer-multiple-positions-available-&amp;job_name=software-engineer-multiple-positions-available-&amp;company=jp-morgan&amp;workplace_type=on-site&amp;city=plano&amp;country=united-states&amp;urlHash=o7-d")</f>
        <v/>
      </c>
      <c r="G104" t="inlineStr">
        <is>
          <t>Plano, TX</t>
        </is>
      </c>
      <c r="H104" t="inlineStr"/>
      <c r="I104" t="inlineStr">
        <is>
          <t>***hackajob** 
 is collaborating with
 **J.P. Morgan** 
 to connect them with exceptional tech professionals for this role.*
**Description**
**JOB DESCRIPTION**
 Duties: Execute creative software solutions, design, development, and technical troubleshooting with ability to think beyond routine or conventional approaches to build solutions or breakdown technical problems. Develop secure and high\-quality production code, and reviews and debugs code written by others. Identify opportunities to eliminate or automate remediation of recurring issues to improve overall operational stability of software applications and systems. Lead evaluation sessions with external vendors and internal teams to drive outcomes\-oriented probing of architectural designs, technical credentials, and applicability for use within existing systems and information architecture. Lead communities of practice across Software Engineering to drive awareness and use of new and leading\-edge technologies. Researching new technologies and performing proof of concept designs that will be integrated into JPMC's cloud infrastructure which is known as Environment as Code (EaC). Develop new product features and enhancements, and ensuring software quality of these new products before implementing them into JPMC's systems and deploying the new features. Training, coaching, and developing new employees and ensuring new joiners to the team are trained and able to operate independently by assigning them to specific trainings. Ensuring high quality customer documentation for JPMC's Environment as Code (EaC) Product.
**Qualifications**
 Minimum education and experience required: Bachelor's degree in Computer Engineering, Computer Science, or related field of study plus 7 years of experience in the job offered or as Software Engineer, System Engineer, IT Consultant, Programmer Analyst, or related occupation.
 Skills Required: This position requires experience with the following: working with system design and application development using GoLang and Terraform, including testing and operational stability; programming in GoLang, Python, and Terraform to solve complex challenges; developing automation and continuous delivery using Jules or Jenkins and Spinnaker; writing Policy as Code using Hashicorp Sentinel Language; utilizing the Software Development Life Cycle for seamless project execution; working with agile methodologies such as Scrum; using CI/CD best practices, deployment automation, and non\- functional requirements using Splunk, Dynatrace, Prometheus, Fluentd, Datadog, Docker, and Kubernetes; writing Open Policy Agent (OPA) using languages such as Rego on Kubernetes; creating, managing, and deploying Helm Charts for Kubernetes; performing chaos engineering tests using Gremlin; developing public cloud technologies including Terraform and AWS services; building complex configurations in Amazon EKS; maintaining Amazon EKS extensions; publishing Terraform modules on to the Terraform registry for re\-use of code; using Terratest for testing infrastructure code written in Terraform; working with BDD framework and writing test scenarios using languages such as Gherkin; using Cilium for providing advanced networking capabilities on Kubernetes; using Calico for managing container networking and network policies within Kubernetes; using CertManager for managing TLS certificates within Kubernetes environments; and creating customer documentation using Markdown files.
 Job Location: 8181 Communications Pkwy, Plano, TX 75024
 Full\-Time.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5">
      <c r="A105" t="inlineStr">
        <is>
          <t>li-4367710508</t>
        </is>
      </c>
      <c r="B105" t="inlineStr">
        <is>
          <t>Senior Software Engineer – Android</t>
        </is>
      </c>
      <c r="C105" t="inlineStr">
        <is>
          <t>Qcells North America</t>
        </is>
      </c>
      <c r="D105" t="inlineStr">
        <is>
          <t>linkedin</t>
        </is>
      </c>
      <c r="E105">
        <f>HYPERLINK("https://www.linkedin.com/jobs/view/4367710508", "https://www.linkedin.com/jobs/view/4367710508")</f>
        <v/>
      </c>
      <c r="F105">
        <f>HYPERLINK("https://careers.qcells.com/jobs/17076527-senior-software-engineer-android?tm_job=1961&amp;tm_event=view&amp;tm_company=92338&amp;bid=56&amp;urlHash=qY-1", "https://careers.qcells.com/jobs/17076527-senior-software-engineer-android?tm_job=1961&amp;tm_event=view&amp;tm_company=92338&amp;bid=56&amp;urlHash=qY-1")</f>
        <v/>
      </c>
      <c r="G105" t="inlineStr">
        <is>
          <t>Santa Clara, CA</t>
        </is>
      </c>
      <c r="H105" t="inlineStr"/>
      <c r="I105" t="inlineStr">
        <is>
          <t>**Description**
**POSITION DESCRIPTION:**
 Qcells is seeking a Senior Android Engineer to join our Mobile Residential Applications team. You will play a key role in building the next\-generation mobile experience for solar homeowners and installers. This includes developing native Android features for on\-site solar system commissioning, real\-time telemetry, and homeowner engagement.
 You’ll collaborate with other mobile engineers, backend teams, product managers, designers, and hardware engineers to deliver a seamless, scalable, and intuitive mobile experience.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**Required Qualifications**
* Bachelor's or Master's degree in Computer Science, Electrical Engineering, or related field.
* 8\+ years of software development experience, with 5\+ years in native Android development using modern programming languages such as Kotlin
* Deep understanding of mobile architecture, offline strategy, design systems, and data visualization
* Strong leadership in driving cross\-team communications and collaboration
* Experience in working across remote teams
* The position requires up to 10% travel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06">
      <c r="A106" t="inlineStr">
        <is>
          <t>li-4367964231</t>
        </is>
      </c>
      <c r="B106" t="inlineStr">
        <is>
          <t>Scientist, Software Engineer</t>
        </is>
      </c>
      <c r="C106" t="inlineStr">
        <is>
          <t>Lensa</t>
        </is>
      </c>
      <c r="D106" t="inlineStr">
        <is>
          <t>linkedin</t>
        </is>
      </c>
      <c r="E106">
        <f>HYPERLINK("https://www.linkedin.com/jobs/view/4367964231", "https://www.linkedin.com/jobs/view/4367964231")</f>
        <v/>
      </c>
      <c r="F106" t="inlineStr"/>
      <c r="G106" t="inlineStr">
        <is>
          <t>Broomfield, CO</t>
        </is>
      </c>
      <c r="H106" t="inlineStr"/>
      <c r="I10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L3Harris. Clicking "Apply Now" or "Read more" on Lensa redirects you to the job board/employer site. Any information collected there is subject to their terms and privacy notice.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Software Engineer \- CSWE
 Job Code: 33363
 Job Location: Denver, CO
 Job Schedule: Standard 9/80
**Job Description**
 L3Harris is seeking a Chief Software Engineer (CSWE) to lead the software architecture, development, integration, and sustainment of advanced systems supporting the Resilient Missile Warning \&amp; Tracking (RMWT) mission. The CSWE will be responsible for driving innovation and technical excellence across software efforts that enable resilient, multi\-domain, and mission\-critical operations in missile warning, tracking, and space\-based sensing.
 The ideal candidate has deep experience across the full software lifecycle and a strong background in real\-time data fusion, ground mission processing, AI/ML\-based detection algorithms, and resilient distributed system architectures. This position is onsite in Denver, CO.
**Essential Functions**
* Serve as the technical authority and principal software architect for the RMWT program, setting the direction for software design, integration, testing, and delivery.
* Lead a cross\-functional software engineering team developing mission\-critical command, control, and processing applications.
* Partner closely with Systems Engineering, Hardware, and Integration teams to deliver end\-to\-end resilient ground system capabilities.
* Provide mentorship and guidance to engineering staff, fostering technical excellence and continuous improvement.
* Translate mission needs and customer requirements into scalable, maintainable, and testable software architectures.
* Define and enforce DevSecOps best practices, including containerized deployments, CI/CD pipelines, and automated testing.
* Engage directly with senior leadership, customers, and external stakeholders to communicate program status, risk posture, and architectural vision.
* Contribute to capture activities, technical whitepapers, and technology roadmaps that align with L3Harris' Space and Airborne Systems strategic vision.
* Up to 20% travel may be required, including occasional international travel.
* Flexibility to report to alternate work location(s) (Colorado Springs area) should business conditions indicate.
* Ability to obtain Security\+ certification in less than 60 days.
**Qualifications**
* Bachelor's Degree and a minimum of 12 years of prior relevant experience. Graduate Degree and a minimum of 10 years of prior related experience. In lieu of a degree, minimum of 16 years of prior related experience.
* Active U.S. DoD TS/SCI Security clearance.
* Experience developing software in C/C\+\+, Java, or Python, including real\-time or mission\-processing systems.
* DevSecOps pipelines, container orchestration (e.g., Kubernetes, OpenShift), and automated build/test infrastructure.
* Experience leading technical projects and teams of software engineers to complete complex programs.
* Experience with Agile software development and system\-level integration across multi\-domain architectures.
**Preferred Additional Skills**
* Active Security\+ certification.
* Experience with cloud\-native architectures (AWS GovCloud, Azure Government, or on\-prem OpenStack).
* Experience with AI/ML\-based tracking, sensor fusion, or predictive analytics for missile warning or space domain awareness missions.
* Familiarity with space\-based infrared (SBIR), OPIR, or missile defense systems.
* Background in distributed ground mission systems or resilient communications networks.
* Experience with Earned Value Management (EVM), technical baseline management, and cross\-contract integration.
* Strong interpersonal, leadership, and communication skills, with the ability to operate effectively in a fast\-paced, multi\-disciplinary environment.
 In compliance with pay transparency requirements, the salary range for this role in California, Massachusetts, New Jersey, Washington, and the Greater D.C, Denver, or NYC areas is $161,500 \- $300,500\. The salary range for this role in Colorado state, Hawaii, Illinois, Maryland, Minnesota, New York state, Cleveland Ohio, and Vermont is $140,500 \- $261,500\.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(https://www.e\-verify.gov/sites/default/files/everify/posters/EVerifyParticipationPoster.pdf) or Spanish (https://www.e\-verify.gov/sites/default/files/everify/posters/EVerifyParticipationPoster.pdf) . For information regarding your Right To Work, please click here for English (https://www.eeoc.gov/sites/default/files/2022\-10/22\-088\_EEOC\_KnowYourRights\_10\_20\.pdf) or Spanish (https://www.eeoc.gov/sites/default/files/2022\-10/22\-088\_EEOC\_KnowYourRightsSp\_10\_20\.pdf) .
 If you have questions about this posting, please contact support@lensa.com</t>
        </is>
      </c>
    </row>
    <row r="107">
      <c r="A107" t="inlineStr">
        <is>
          <t>li-4352523788</t>
        </is>
      </c>
      <c r="B107" t="inlineStr">
        <is>
          <t>Software Engineer - Remote</t>
        </is>
      </c>
      <c r="C107" t="inlineStr">
        <is>
          <t>Jobot</t>
        </is>
      </c>
      <c r="D107" t="inlineStr">
        <is>
          <t>linkedin</t>
        </is>
      </c>
      <c r="E107">
        <f>HYPERLINK("https://www.linkedin.com/jobs/view/4352523788", "https://www.linkedin.com/jobs/view/4352523788")</f>
        <v/>
      </c>
      <c r="F107" t="inlineStr"/>
      <c r="G107" t="inlineStr">
        <is>
          <t>Boston, MA</t>
        </is>
      </c>
      <c r="H107" t="inlineStr"/>
      <c r="I107" t="inlineStr">
        <is>
          <t>Want to learn more about this role and Jobot? Click our Jobot logo and follow our LinkedIn page!
 Job details
**Transform Health, Extend Life \- Work with us to help revolutionize preventive healthcare through data\-driven longevity science.**
 This Jobot Job is hosted by Chris Gorman
 Are you a fit? Easy Apply now by clicking the "Easy Apply" button and sending us your resume.
 Salary $130,000 \- $160,000 per year
**A Bit About Us**
 We are a leading science\-backed healthcare facility that specializes in providing comprehensive and personalized services aimed at extending lifespan and improving health and well\-being. Powered by AI, we add years to lives through personalized health plans and cutting\-edge therapeutics.
 Due to growth, we are looking to add Software Engineers to our Remote Team!
****Why join us?****
 What We Offer
* Competitive base pay and overall compensation package
* Full benefits Medical, Dental, Vision
* Generous PTO, vacation, sick, and holidays
* Life Insurance coverage
* 401K
**Job Details**
**Responsibilities**
* Solution Implementation Contribute across the entire software stack as needed to maintain and deliver engaging AI\-powered user experiences built on web and mobile platforms.
* Data Engineering Support Work collaboratively to support the business by creating seamless integrations between the Fountain Life Platform and diverse data vendors, ensuring data consistency, reliability, and security.
* Code Quality and Best Practices Provide and receive actionable feedback on pull requests to maintain high\-quality, consistent code within the team. Implement automation to ensure a high level of system reliability. Learn and apply software development and project management best practices.
* Innovative Problem Solving Actively participate in identifying and solving technical challenges with new technologies and innovative solutions to level up the team.
* Review, test, and debug team members’ code to ensure optimal functionality.
* Utilize AI and machine learning technologies to create innovative solutions.
* Collaborate with internal teams and vendors to fix and improve products.
* Ensure software is up\-to\-date with the latest technologies and development trends.
**Qualifications**
* Proven experience as a Software Engineer
* Experience developing cloud\-based applications. AWS experience is preferred.
* Proficiency in Typescript and Python/Node.
* Hands\-on experience building production applications using LLMs is a bonus.
* Strong understanding of the software development lifecycle.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08">
      <c r="A108" t="inlineStr">
        <is>
          <t>li-4353963329</t>
        </is>
      </c>
      <c r="B108" t="inlineStr">
        <is>
          <t>Software Engineer</t>
        </is>
      </c>
      <c r="C108" t="inlineStr">
        <is>
          <t>Jobot</t>
        </is>
      </c>
      <c r="D108" t="inlineStr">
        <is>
          <t>linkedin</t>
        </is>
      </c>
      <c r="E108">
        <f>HYPERLINK("https://www.linkedin.com/jobs/view/4353963329", "https://www.linkedin.com/jobs/view/4353963329")</f>
        <v/>
      </c>
      <c r="F108" t="inlineStr"/>
      <c r="G108" t="inlineStr">
        <is>
          <t>Arlington, VA</t>
        </is>
      </c>
      <c r="H108" t="inlineStr"/>
      <c r="I108" t="inlineStr">
        <is>
          <t>Want to learn more about this role and Jobot? Click our Jobot logo and follow our LinkedIn page!
 Job details
**Software Engineer Needed \- $130K\-$150K \- Hybrid Work Schedule \- Urgent Hire!**
 This Jobot Job is hosted by Steven Zacharias
 Are you a fit? Easy Apply now by clicking the "Easy Apply" button and sending us your resume.
 Salary $130,000 \- $150,000 per year
**A Bit About Us**
 We are a growing fitness \&amp; wellness company that's looking for a seasoned Software Engineer!
 If interested, please apply or email me your resume directly at \- Steven.Zacharias@Jobot.com!
****Why join us?****
* $130,000\-$150,000 Base Salary \+ Bonus
* Hybrid Work Schedule
* Health / Dental / Vision
* Monthly cell phone stipend
* 401k w/ employer match
* PTO
**Job Details**
* 3\+ years of professional software development experience
* Strong proficiency in JavaScript/TypeScript and Node.js
* Experience with modern frontend frameworks (React, React Native, or similar)
* Solid understanding of cloud platforms, preferably AWS (Lambda, DynamoDB, CloudFormation)
* Experience with RESTful API design and implementation
* Demonstrated experience using AI coding assistants and tools to enhance productivity
* Curiosity and enthusiasm for exploring how AI can solve real\-world problems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09">
      <c r="A109" t="inlineStr">
        <is>
          <t>li-4367703493</t>
        </is>
      </c>
      <c r="B109" t="inlineStr">
        <is>
          <t>Software Engineer (QA Services)</t>
        </is>
      </c>
      <c r="C109" t="inlineStr">
        <is>
          <t>Zions Bancorporation</t>
        </is>
      </c>
      <c r="D109" t="inlineStr">
        <is>
          <t>linkedin</t>
        </is>
      </c>
      <c r="E109">
        <f>HYPERLINK("https://www.linkedin.com/jobs/view/4367703493", "https://www.linkedin.com/jobs/view/4367703493")</f>
        <v/>
      </c>
      <c r="F109" t="inlineStr"/>
      <c r="G109" t="inlineStr">
        <is>
          <t>Salt Lake City, UT</t>
        </is>
      </c>
      <c r="H109" t="inlineStr"/>
      <c r="I109" t="inlineStr">
        <is>
          <t>Zions Bancorporation’s Enterprise Technology and Operations (ETO) team is redefining what it means to work for a financial institution. For over 150 years, we have delivered exceptional experiences to our clients and communities. Today, we are accelerating innovation and modernizing technology to build the workforce of the future. Join us and help shape this transformation.
 We are seeking a visionary experienced
 **Software Engineer** 
 to join our QA Services team. This isn't just a testing role; it's a leadership opportunity. We need a thought leader who can not only write sophisticated automation code but also architect the strategy for modernizing our entire test automation landscape. You will be instrumental in championing a culture of quality and driving innovation across the organization, including the responsible use of AI.
 At the heart of innovation at Zions Bancorporation, the Technology Enablement Engineering organization is building the future of banking. We create cutting\-edge, self\-service products, develop robust upskilling programs, and define the implementation patterns that empower the entire enterprise to adopt next\-generation technologies, enhance resiliency, and minimize risk.
**Responsibilities:**
* Architect \&amp; Innovate:Design, build, and maintain scalable and robust automation frameworks from the ground up.
* Code for Quality:Write clean, efficient code and scripts to automate everything from unit and functional tests to large\-scale performance tests.
* Lead \&amp; Influence: Act as a champion for quality and automation. You will mentor other engineers, participate in improving enterprise\-wide standards, and drive their adoption across partner teams.
* Ensure Excellence:Conduct code reviews, ensure compliance with engineering standards, and meticulously report, track, and resolve issues throughout the development lifecycle.
* Drive Strategy:Go beyond execution to plan and design the most effective automated testing solutions for all areas of your responsibility, leveraging BDD and TDD practices.
**Qualifications:**
* 6\+ years of deep, hands\-on experience in programming, automation development, and creating test automation frameworks.
* Proficiency in modern languages like Java, C\#, or Python.
* Expertise with automation frameworks such as Selenium, Playwright, or Appium.
* Strong skills in performance testing tools like Blazemeter, JMeter, or LoadRunner.
* Deep understanding of REST and SOAP services.
* Proficiency in SQL and relational databases.
* Solid experience with CI/CD principles and automation strategies.
* Excellent debugging, problem\-solving, and testing skills, with a passion for building reliable, high\-quality software.
* A Bachelor’s degree in Computer Science, Electrical Engineering, Information Systems, or a related discipline. A combination of education and experience may meet qualifications.
* A strong work ethic, excellent time management, and the ability to work independently, manage multiple projects, and prioritize effectively.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**Apply now if you have a passion for impactful outcomes, enjoy working collaboratively with co\-workers, and want to make a difference for the clients and communities we serve.**</t>
        </is>
      </c>
    </row>
    <row r="110">
      <c r="A110" t="inlineStr">
        <is>
          <t>li-4356983045</t>
        </is>
      </c>
      <c r="B110" t="inlineStr">
        <is>
          <t>Software Developer 5 (OS Kernel)</t>
        </is>
      </c>
      <c r="C110" t="inlineStr">
        <is>
          <t>Oracle</t>
        </is>
      </c>
      <c r="D110" t="inlineStr">
        <is>
          <t>linkedin</t>
        </is>
      </c>
      <c r="E110">
        <f>HYPERLINK("https://www.linkedin.com/jobs/view/4356983045", "https://www.linkedin.com/jobs/view/4356983045")</f>
        <v/>
      </c>
      <c r="F110" t="inlineStr"/>
      <c r="G110" t="inlineStr">
        <is>
          <t>Burlington, MA</t>
        </is>
      </c>
      <c r="H110" t="inlineStr"/>
      <c r="I110" t="inlineStr">
        <is>
          <t>**Job Description**
 Location: Burlington, MA or Santa Clara, CA
 OCI is driving development of next generation hyperscalar GPU data centers built on Nvidia and AMD GPUs. OCI enables popular AI services such as openAI on GPU compute servers. We are looking for engineers experienced in working with GPU device drivers and the runtime libraries (CUDA and ROCM). You must understand GPU architectural concepts such as UVM, host to device and device to host interactions including able to quantify performance issues in all such interactions. We are looking for strong experience in building and debugging issues that occur in the GPU drivers and Linux kernels that interact with GPU stack including functional and performance issues when running GPU AI/ML/inference workloads. The candidate should be able to use all standard tools targeted performance and stress such as DCGM, NCCL and RCCL suites. In addition, we are looking for experience debugging and diagnosing issues in the system reported via RAS events notified via the GPU BMC and other monitoring agents. The candidate should have breath knowledge in BIOS, CPU and GPU BMC and must show strong proficiency in C programming and working knowledge in Python or other scripting language used in AI/GPU environments
**Responsibilities**
 As a member of the software engineering division, you will be required to have in depth knowledge of Nvidia and AMD GPU architecture working in a fast paced development environment on projects critical to OCI's success. You must demonstrate a good knowledge of GPU drivers including building and debugging issues related to them. You will regularly engage in debugging issues that are seen during new product bring up and at data centers running customer workloads including driving those issues with GPU vendors to resolution. All OCI engineers are expected to be on call periodically to handle OCI data center escalations. Must be comfortable with CI/CD pipelines to take vendor SW drops and build customized drivers against Oracle Linux and Ubuntu distributions, unit test functionality and run GPU workloads to validate performance using standard benchmarks. In addition, you should have working knowledge of the entire boot process including touch points with the BIOS and the BMC subsystems. We need engineers who show strong technical and communication skills as they engage with cross functional teams such as the HW and FW teams to debug issues and to ultimately drive OCI success.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1">
      <c r="A111" t="inlineStr">
        <is>
          <t>li-4353119631</t>
        </is>
      </c>
      <c r="B111" t="inlineStr">
        <is>
          <t>Senior Full Stack Engineer</t>
        </is>
      </c>
      <c r="C111" t="inlineStr">
        <is>
          <t>Jobot</t>
        </is>
      </c>
      <c r="D111" t="inlineStr">
        <is>
          <t>linkedin</t>
        </is>
      </c>
      <c r="E111">
        <f>HYPERLINK("https://www.linkedin.com/jobs/view/4353119631", "https://www.linkedin.com/jobs/view/4353119631")</f>
        <v/>
      </c>
      <c r="F111" t="inlineStr"/>
      <c r="G111" t="inlineStr">
        <is>
          <t>Baltimore, MD</t>
        </is>
      </c>
      <c r="H111" t="inlineStr"/>
      <c r="I111" t="inlineStr">
        <is>
          <t>Want to learn more about this role and Jobot? Click our Jobot logo and follow our LinkedIn page!
 Job details
**Innovative tech unicorn hiring a Senior Engineer to join the team! 100% remote \+ generous compensation packages!**
 This Jobot Job is hosted by Katrina McFillin
 Are you a fit? Easy Apply now by clicking the "Easy Apply" button and sending us your resume.
 Salary $140,000 \- $185,000 per year
**A Bit About Us**
 We’re a rapidly growing tech unicorn transforming the way people manage their day to day lives. Our platform powers millions of users with cutting\-edge tools for payments, lending, and financial planning. We’re scaling fast—and we need exceptional engineering leadership to help us build the future. We’re looking for a Senior Software Engineer who thrives in true full stack development, but is mostly comfortable with React \&amp; RoR, and who brings a strong balance of technical depth and emotional intelligence.
 100% remote.
****Why join us?****
* Medical, Dental, Vision
* 401k with company match
* Generous PTO / sick leave
* 100% remote
* Competitive compensation \&amp; equity
* Annual performance bonus
**Job Details**
 What You’ll Do
* Architect and build scalable, secure frontend and backend systems.
* Lead technical initiatives across teams, ensuring best practices and high standards.
* Collaborate cross\-functionally with product, design, and data teams to deliver impactful features.
* Mentor and support engineers through code reviews, pairing, and career development.
* Drive continuous improvement in engineering processes and team culture.
* Help shape the roadmap and technical strategy for our core platform.
 What We’re Looking For
* Expert\-level React and Typescript experience (4\+ years preferred).
* Very comfortable building full stack web applications utilizing Ruby on Rails (preferred), Python/Django, or Node.
* Strong understanding of software architecture, scalability, and performance.
* Excellent communication and collaboration skills—able to inspire and align teams.
* Experience in fintech, payments, or high\-growth startups is a plus.
* Passion for clean code, thoughtful design, and building products that matter.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2">
      <c r="A112" t="inlineStr">
        <is>
          <t>li-4367717087</t>
        </is>
      </c>
      <c r="B112" t="inlineStr">
        <is>
          <t>Software Engineer I</t>
        </is>
      </c>
      <c r="C112" t="inlineStr">
        <is>
          <t>Jobs via Dice</t>
        </is>
      </c>
      <c r="D112" t="inlineStr">
        <is>
          <t>linkedin</t>
        </is>
      </c>
      <c r="E112">
        <f>HYPERLINK("https://www.linkedin.com/jobs/view/4367717087", "https://www.linkedin.com/jobs/view/4367717087")</f>
        <v/>
      </c>
      <c r="F112" t="inlineStr"/>
      <c r="G112" t="inlineStr">
        <is>
          <t>Redmond, WA</t>
        </is>
      </c>
      <c r="H112" t="inlineStr"/>
      <c r="I112" t="inlineStr">
        <is>
          <t>**Overview**
 Join our innovative Web Data Platform Team as a Software Engineer and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\#MicrosoftAI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3">
      <c r="A113" t="inlineStr">
        <is>
          <t>li-4356123329</t>
        </is>
      </c>
      <c r="B113" t="inlineStr">
        <is>
          <t>Lead Software Engineer</t>
        </is>
      </c>
      <c r="C113" t="inlineStr">
        <is>
          <t>Jobot</t>
        </is>
      </c>
      <c r="D113" t="inlineStr">
        <is>
          <t>linkedin</t>
        </is>
      </c>
      <c r="E113">
        <f>HYPERLINK("https://www.linkedin.com/jobs/view/4356123329", "https://www.linkedin.com/jobs/view/4356123329")</f>
        <v/>
      </c>
      <c r="F113" t="inlineStr"/>
      <c r="G113" t="inlineStr">
        <is>
          <t>Arlington, TX</t>
        </is>
      </c>
      <c r="H113" t="inlineStr"/>
      <c r="I113" t="inlineStr">
        <is>
          <t>Want to learn more about this role and Jobot? Click our Jobot logo and follow our LinkedIn page!
 Job details
**Fully remote leadership in SaaS company!!!**
 This Jobot Job is hosted by Garrett Mathison
 Are you a fit? Easy Apply now by clicking the "Easy Apply" button and sending us your resume.
 Salary $140,000 \- $160,000 per year
**A Bit About Us**
 We are a rapidly growing SaaS company focused on the energy space. We help energy companies manage their assets, train their employees and manage their contractors virtually.
****Why join us?****
 We offer a fully remote environment with flexible hours, full benefits and a 401k match!
**Job Details**
 We are seeking a highly accomplished Lead Software Engineer to join our dynamic team in the Energy industry. The successful candidate will be instrumental in driving the design, development, and implementation of cutting\-edge software solutions. This exciting role offers the opportunity to work on challenging projects, using the latest technologies in the industry.
**Responsibilities**
* Lead a team of software engineers in the design, development, testing, and implementation of high\-quality software solutions.
* Collaborate with business analysts and product owners to understand business requirements and translate them into technical specifications.
* Develop and maintain web applications using C\# 8\.0, .NET 4\.8, ASP.NET Web API 2, JavaScript, Angular, and other modern web technologies.
* Utilize Azure cloud services for application deployment and management.
* Ensure the performance, quality, and responsiveness of applications.
* Identify and correct bottlenecks and fix bugs.
* Maintain code quality, organization, and automatization.
* Mentor junior team members and provide constructive feedback to improve their skills and capabilities.
* Stay updated with the latest industry trends and technologies to ensure our software solutions remain current and competitive.
**Qualifications**
* A Bachelor's degree in Computer Science, Information Technology, or a related field preferred.
* A minimum of 8 years of experience in software development with a focus on ASP.NET, C\#, JavaScript and Angular.
* Proven experience as a senior software engineer or similar role.
* Strong knowledge of web development technologies, including JavaScript, Angular, Vue and other modern web technologies.
* Extensive experience with Azure cloud services.
* Excellent understanding of software design and programming principles.
* A team player with excellent communication and leadership skills.
* Strong analytical and problem\-solving skills.
* Proven ability to manage a software development team and lead projects to completion.
* A commitment to continuous professional development.
* Strong organizational and time\-management skills.
 Join us and be a part of a team that values innovation, creativity, and quality. If you are a U.S. citizen or Green Card Holder who lives in Indiana, Kentucky, Michigan, Minnesota, Missouri, Pennsylvania, Connecticut, Tennessee, Texas, Arkansas, Colorado, New Mexico, Oklahoma or Florida who thrives in a fast\-paced, challenging environment, and has a passion for delivering top\-notch software solutions, we want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4">
      <c r="A114" t="inlineStr">
        <is>
          <t>li-4355401719</t>
        </is>
      </c>
      <c r="B114" t="inlineStr">
        <is>
          <t>Embedded Software Engineer</t>
        </is>
      </c>
      <c r="C114" t="inlineStr">
        <is>
          <t>Jobot</t>
        </is>
      </c>
      <c r="D114" t="inlineStr">
        <is>
          <t>linkedin</t>
        </is>
      </c>
      <c r="E114">
        <f>HYPERLINK("https://www.linkedin.com/jobs/view/4355401719", "https://www.linkedin.com/jobs/view/4355401719")</f>
        <v/>
      </c>
      <c r="F114" t="inlineStr"/>
      <c r="G114" t="inlineStr">
        <is>
          <t>Irvine, CA</t>
        </is>
      </c>
      <c r="H114" t="inlineStr"/>
      <c r="I114" t="inlineStr">
        <is>
          <t>Want to learn more about this role and Jobot? Click our Jobot logo and follow our LinkedIn page!
 Job details
**Cutting Edge Technology!**
 This Jobot Job is hosted by Lincoln Sprague
 Are you a fit? Easy Apply now by clicking the "Easy Apply" button and sending us your resume.
 Salary $145,000 \- $190,000 per year
**A Bit About Us**
 We are a cutting edge cybersecurity company that focuses on creating hardware and software communications solutions for the defense sector.
 If you are a dedicated embedded software engineer who is ready to take on the toughest technical challenges please apply today!
****Why join us?****
* Top Tier Benefits
* Large Bonus Potential
* Free Gym Program
**Job Details**
 Job Details
 We are seeking a highly skilled and motivated Embedded Software Engineer to join our dynamic and innovative team. This is a permanent position where you will be working on cutting\-edge technology projects that revolutionize our industry. The successful candidate will be responsible for designing, developing, and testing embedded software systems, with a focus on Yocto, Embedded Linux, Microprocessors, and cryptography theory. If you are passionate about technology, thrive in a fast\-paced environment, and have a strong desire to make a significant impact, we want to hear from you.
**Responsibilities**
* Design, develop, and test embedded software systems and ensure their robustness, reliability, and safety.
* Work on all phases of software development life cycle, from requirement analysis, design, coding, testing, debugging, and maintenance.
* Utilize your expertise in Yocto, Embedded Linux, Microprocessors, and cryptography theory to develop innovative solutions.
* Collaborate with multidisciplinary teams to define software specifications and requirements.
* Participate in code and design reviews to maintain our high development standards.
* Troubleshoot and resolve software defects and other technical issues.
* Write clear, maintainable, and efficient code.
* Stay updated with the latest technological trends and apply them into operations and activities.
* Provide technical guidance and coaching to developers and engineers.
**Qualifications**
* Bachelor’s degree in Computer Science, Electrical Engineering, or a related field.
* A minimum of 5 years of experience in embedded software development.
* Proficient with Yocto, Embedded Linux, Microprocessors, and cryptography theory.
* Solid understanding of the software development life cycle.
* Excellent knowledge of OS coding techniques, IP protocols, interfaces, and hardware subsystems.
* Strong troubleshooting and problem\-solving skills.
* Excellent knowledge of reading schematics and data sheets for components.
* Strong documentation and writing skills.
* Ability to work in a team\-oriented, collaborative environment.
* Excellent communication skills, both verbal and written.
* Strong attention to detail, with a commitment to high quality and accuracy.
* Ability to manage multiple tasks, prioritize effectively, and meet deadlines.
* Self\-motivated and capable of working with minimal supervision.
 This is an exciting opportunity to work with a team of talented engineers and make a significant contribution to our future projects. If you are a self\-starter who is excited about technology and enjoys working in a fast\-paced, team\-oriented environment,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5">
      <c r="A115" t="inlineStr">
        <is>
          <t>li-4356053504</t>
        </is>
      </c>
      <c r="B115" t="inlineStr">
        <is>
          <t>Sr Embedded Software Engineer</t>
        </is>
      </c>
      <c r="C115" t="inlineStr">
        <is>
          <t>Jobot</t>
        </is>
      </c>
      <c r="D115" t="inlineStr">
        <is>
          <t>linkedin</t>
        </is>
      </c>
      <c r="E115">
        <f>HYPERLINK("https://www.linkedin.com/jobs/view/4356053504", "https://www.linkedin.com/jobs/view/4356053504")</f>
        <v/>
      </c>
      <c r="F115" t="inlineStr"/>
      <c r="G115" t="inlineStr">
        <is>
          <t>Lake Forest, CA</t>
        </is>
      </c>
      <c r="H115" t="inlineStr"/>
      <c r="I115" t="inlineStr">
        <is>
          <t>Want to learn more about this role and Jobot? Click our Jobot logo and follow our LinkedIn page!
 Job details
**Come Join a Company at the Forefront of AI, Computer Vision, and Facial Recognition!**
 This Jobot Job is hosted by Matt Lopez
 Are you a fit? Easy Apply now by clicking the "Easy Apply" button and sending us your resume.
 Salary $150,000 \- $200,000 per year
**A Bit About Us**
 We’re revolutionizing retail loss prevention and customer safety through a powerful combination of physical deterrents and cutting\-edge technology—including AI, computer vision, and facial recognition. As a global leader with over 25 years of industry excellence and a growing, diverse team of 500 employees across offices in North America, Europe, Australia, and Asia, we’re driven by innovation, integrity, and impact. Join us and be part of a mission\-focused team that’s making a real difference in the future of retail, providing innovative solutions and services that redefine industry standards.
****Why join us?****
 Attractive Total Compensation Package, including annual bonus
 Comprehensive healthcare benefits including medical, dental, and vision coverage; Life/ADD/LTD insurance; FSA/HSA options.
 401(k) Plan with Employer Match
 Generous Paid Time Off (PTO) policy
 Observance of 11 paid company holidays
 Various Employee Engagement Events
 Exciting Growth Opportunities
 Positive Company Culture
**Job Details**
 Develop and maintain firmware across embedded Linux platforms and device drivers.
 Build firmware applications for our devices; optimize existing firmware for performance, power usage, and reliability.
 Develop internal tools for data collection, testing, diagnostics, and performance validation.
 Investigate problem reports; identify root causes; implement fixes; document solutions.
 Participate in technical reviews of hardware, firmware, and software requirements.
 Create architecture, design, and detailed technical documentation.
 Approve test/validation methods and collaborate closely with SQA.
 Support product integration across gateways, cameras, BLE devices, edge computing, and cloud services.
 Expanded Platform Responsibilities
 Build firmware supporting BLE, Wi\-Fi, RF, and modern IoT protocols (MQTT, WebSockets, REST).
 Integrate with edge gateways, including containerized applications (Docker), device management agents, and OTA update mechanisms.
 Support data ingestion pipelines feeding cloud analytics and AI/ML systems (Azure/GCP).
 Work with cross\-functional teams to enable sensor fusion, data streams, and APIs connecting edge devices to backend platforms.
 Contribute to long\-term modernization of the embedded stack (Linux optimizations, secure boot, diagnostics, and telemetry).
**Required**
 QUALIFICATION REQUIREMENTS
 Bachelor’s or master’s in electrical engineering, Computer Science, or related field.
 5\+ years of embedded software design and development experience.
 Proficient in C/C\+\+, python, and Linux\-based development.
 Deep experience with embedded Linux, including kernel, u\-boot, and driver\-level work.
 Familiarity with Yocto or other embedded Linux build systems.
 Working knowledge of Containerization, either Dockers or Kubernetes.
 Experience with wireless systems (BLE, Wi\-Fi, RF) and communication protocol design.
 Strong skills in debugging, test automation, and use of oscilloscopes, logic analyzers, etc.
 Ability to analyze performance, optimize memory footprint, and design for low\-power systems.
 Strong analytical, mathematical, and problem\-solving abilities.
**Preferred / Highly Valuable**
 Experience developing for edge gateways (Intel/ARM SBCs, containers, virtualization).
 Knowledge of IoT systems and device\-to\-cloud architectures (Azure IoT, GCP IoT Core equivalents).
 Understanding of sensor fusion, computer vision pipelines, or edge deployment.
 Experience with secure device management, OTA updates, and remote diagnostics.
 Familiarity with retail, industrial IoT, or safety\-critical embedded systems.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6">
      <c r="A116" t="inlineStr">
        <is>
          <t>li-4356952442</t>
        </is>
      </c>
      <c r="B116" t="inlineStr">
        <is>
          <t>Principal Software Engineer</t>
        </is>
      </c>
      <c r="C116" t="inlineStr">
        <is>
          <t>Jobot</t>
        </is>
      </c>
      <c r="D116" t="inlineStr">
        <is>
          <t>linkedin</t>
        </is>
      </c>
      <c r="E116">
        <f>HYPERLINK("https://www.linkedin.com/jobs/view/4356952442", "https://www.linkedin.com/jobs/view/4356952442")</f>
        <v/>
      </c>
      <c r="F116" t="inlineStr"/>
      <c r="G116" t="inlineStr">
        <is>
          <t>San Mateo, CA</t>
        </is>
      </c>
      <c r="H116" t="inlineStr"/>
      <c r="I116" t="inlineStr">
        <is>
          <t>Want to learn more about this role and Jobot? Click our Jobot logo and follow our LinkedIn page!
 Job details
**Join a Bay Area Company Where Cutting\-Edge AI Meets Life\-Saving Medicine!**
 This Jobot Job is hosted by Chris Gorman
 Are you a fit? Easy Apply now by clicking the "Easy Apply" button and sending us your resume.
 Salary $235,000 \- $245,000 per year
**A Bit About Us**
 We are a global leader in AI\-driven imaging and care coordination software that empowers clinical teams to accelerate diagnosis, streamline workflows, and improve patient outcomes. Our cloud\-based solutions are trusted by hospitals worldwide, supporting the majority of the Nation's stroke cases and many more across countries around the world.
****Why join us?****
 What We Offer
* Competitive base pay and overall compensation package
* Full benefits Medical, Dental, Vision
* Generous PTO, vacation, sick, and holidays
* Life Insurance coverage
* 401K
**Job Details**
 Job Details
 We are seeking a dynamic and innovative Principal Software Engineer to join our team. The candidate will play a crucial role in the development and deployment of cutting\-edge software solutions for the healthcare industry. This role requires a unique blend of technical expertise, strategic thinking, and a hands\-on approach to problem\-solving. The Principal Software Engineer will be part of a fast\-paced, startup environment where they will work on a diverse range of projects, from developing advanced medical devices to implementing AI\-driven solutions. This position offers an exciting opportunity to make a significant impact on the future of healthcare technology.
**Responsibilities**
* Design complex, scalable software systems and architectures. Evaluate existing architectures and propose improvements. Ensure technical decisions align with product roadmap.
* Plan technical projects and milestone deliverables in alignment with product managers. Coordinate engineers and their tasks and monitor overall progress.
* Design and build impactful technical solutions and own them through the entire development lifecycle.
* Develop complex features and components. Review code and designs developed by other engineers. Debug difficult issues across the codebase.
* Research the latest technologies and propose ways to integrate them to improve the product. Come up with solutions for technical challenges and improvements.
* Provide technical guidance and mentorship to other engineers. Establish engineering best practices and standards.
* Clearly communicate complex technical concepts and designs to both technical and non\-technical audiences. Collaborate cross functionally across product, program management and other teams.
* Establish quality standards, design review checklists, code review processes etc. Monitor system performance and ensure quality goals are met. Drive continuous improvement.
**Qualifications**
* Bachelor’s Degree or equivalent
* 15\+ years of experience in software development and demonstrated engineering leadership
* 8\+ years of experience in backend development
* 3\+ years in using Typescript and AWS
* High level of skill in at least one general\-purpose backend language and one frontend language, but willingness to work with other languages
* High level of distributed system design skill
* Creating platforms, reusable libraries, and utilities wherever applicable
* Writing high\-quality code that is modular, functional, and testable
* Troubleshoot issues effectively in a distributed architecture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7">
      <c r="A117" t="inlineStr">
        <is>
          <t>li-4352983918</t>
        </is>
      </c>
      <c r="B117" t="inlineStr">
        <is>
          <t>Sr. Software Engineer (Feature Focused - .NET/C#)</t>
        </is>
      </c>
      <c r="C117" t="inlineStr">
        <is>
          <t>Jobot</t>
        </is>
      </c>
      <c r="D117" t="inlineStr">
        <is>
          <t>linkedin</t>
        </is>
      </c>
      <c r="E117">
        <f>HYPERLINK("https://www.linkedin.com/jobs/view/4352983918", "https://www.linkedin.com/jobs/view/4352983918")</f>
        <v/>
      </c>
      <c r="F117" t="inlineStr"/>
      <c r="G117" t="inlineStr">
        <is>
          <t>Atlanta, GA</t>
        </is>
      </c>
      <c r="H117" t="inlineStr"/>
      <c r="I117" t="inlineStr">
        <is>
          <t>Want to learn more about this role and Jobot? Click our Jobot logo and follow our LinkedIn page!
 Job details
**REMOTE \- Sr. Software Engineer (Feature Focused \- .NET/C\#) for Rapidly Growing SaaS Software Company \- Base \+ Bonus!!**
 This Jobot Job is hosted by Lisa Maloney
 Are you a fit? Easy Apply now by clicking the "Easy Apply" button and sending us your resume.
 Salary $165,000 \- $200,000 per year
**A Bit About Us**
 We are a fast\-growing software company that is revolutionizing the way people are buying and selling! We are profitable and have doubled revenue every year since inception. Our office has an amazing culture with a positive can\-do attitude and are looking for someone with a similar mentality to join us 100% remotely.
****Why join us?****
 We offer the following benefits
* Competitive base salary and bonus package
* Comprehensive benefits package with PTO, 401k with 4% match, medical/dental/vision, etc.
* 100% remote work schedule with flexible first shift hours
* A growing engineering team with strong engineers that enjoy what they do
* Accelerated career growth
**Job Details**
 We are looking for a Sr. Software Engineer to join our growing business. The Sr. Software Engineer will work on a variety of full stack .NET products to build new features based on business needs to get client feedback quickly to enhance the product. This is vert iterative work. The Sr. Software Engineer will be mainly hands on in the code daily and lean to the UI using Angular/TypeScript about 60% of the time. This is a 100% remote opportunity.
 What we look for
* 6\+ years experience developing robust, scalable, and efficient software using C\#
* 1\+ years leading others, doing code reviews, ect.
* 3\+ years of Angular/React development experience
* Proficient in the following technologies .NET, C\#, JavaScript, SQL, and AWS
* Experience in quickly developing new features to trial with clients and tweak to prefect with customer feedback
* Strong communication skills both written and verbal
* Ability to work independently with little direction
* Prior SaaS software experience is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8">
      <c r="A118" t="inlineStr">
        <is>
          <t>li-4353969567</t>
        </is>
      </c>
      <c r="B118" t="inlineStr">
        <is>
          <t>Backend Engineer / Rust</t>
        </is>
      </c>
      <c r="C118" t="inlineStr">
        <is>
          <t>Jobot</t>
        </is>
      </c>
      <c r="D118" t="inlineStr">
        <is>
          <t>linkedin</t>
        </is>
      </c>
      <c r="E118">
        <f>HYPERLINK("https://www.linkedin.com/jobs/view/4353969567", "https://www.linkedin.com/jobs/view/4353969567")</f>
        <v/>
      </c>
      <c r="F118" t="inlineStr"/>
      <c r="G118" t="inlineStr">
        <is>
          <t>San Francisco, CA</t>
        </is>
      </c>
      <c r="H118" t="inlineStr"/>
      <c r="I118" t="inlineStr">
        <is>
          <t>Want to learn more about this role and Jobot? Click our Jobot logo and follow our LinkedIn page!
 Job details
**Hybrid Remote \*Candidates must be commutable distance from San Francisco\* / Leading Developer Platform for Zero\-Knowledge Applications**
 This Jobot Job is hosted by Caitlyn Hardy
 Are you a fit? Easy Apply now by clicking the "Easy Apply" button and sending us your resume.
 Salary $150,000 \- $250,000 per year
**A Bit About Us**
 We are a leading developer platform for zero\-knowledge applications. We are on the lookout for a passionate and skilled Backend Engineer with a strong command over Rust to join our dynamic technology team. In this role, you will be responsible for designing, developing, and maintaining our cutting\-edge blockchain\-based applications. You will also be instrumental in creating robust and secure APIs, and ensuring the efficient functioning of our backend operations. This position demands a high degree of technical expertise, a deep understanding of blockchain technology, and a strong commitment to quality.
****Why join us?****
 Monthly budget for expenses (home office setup \&amp; supplies, transportation, fitness \&amp; personal well\-being, continued learning, etc.).
 Comprehensive, top\-tier healthcare coverage.
 Flexible vacation policy.
 Ability to attend major industry conferences and global events at the company’s expense.
 Regular team off\-sites and retreats.
**Job Details**
**Responsibilities**
* Design, develop, and maintain high\-performance, highly scalable blockchain\-based applications using Rust.
* Collaborate with our frontend team to build innovative, user\-friendly interfaces.
* Develop robust and secure APIs to support backend functionalities.
* Troubleshoot and resolve technical issues promptly and efficiently.
* Participate in code reviews to ensure code quality and distribute knowledge.
* Stay up\-to\-date with the latest industry trends, technologies, and developments in the field of blockchain and Rust.
* Contribute to architectural decisions and implement new features based on the evolving needs of our business.
* Collaborate with cross\-functional teams to define, design, and ship new features.
* Ensure the performance, quality, and responsiveness of applications.
* Identify and correct bottlenecks and fix bugs.
**Qualifications**
* Bachelor's degree in Computer Science, Information Technology, or a related field.
* Minimum 5 years of experience as a Backend Engineer.
* Proficient in Rust with a good understanding of its syntax and features.
* Solid experience with blockchain technology and understanding of its core principles.
* Proven experience in API design and development.
* Strong knowledge of data structures, system design, and algorithms.
* Excellent problem\-solving skills with a knack for complex troubleshooting.
* Familiarity with professional software engineering practices for the full software development life cycle, including coding standards, code reviews, source control management, build processes, testing, and operations.
* Ability to work independently and as part of a team.
* Excellent communication skills, both verbal and written.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9">
      <c r="A119" t="inlineStr">
        <is>
          <t>li-4353220312</t>
        </is>
      </c>
      <c r="B119" t="inlineStr">
        <is>
          <t>Software Engineer - Distributed Systems!</t>
        </is>
      </c>
      <c r="C119" t="inlineStr">
        <is>
          <t>Jobot</t>
        </is>
      </c>
      <c r="D119" t="inlineStr">
        <is>
          <t>linkedin</t>
        </is>
      </c>
      <c r="E119">
        <f>HYPERLINK("https://www.linkedin.com/jobs/view/4353220312", "https://www.linkedin.com/jobs/view/4353220312")</f>
        <v/>
      </c>
      <c r="F119" t="inlineStr"/>
      <c r="G119" t="inlineStr">
        <is>
          <t>Broomall, PA</t>
        </is>
      </c>
      <c r="H119" t="inlineStr"/>
      <c r="I119" t="inlineStr">
        <is>
          <t>Want to learn more about this role and Jobot? Click our Jobot logo and follow our LinkedIn page!
 Job details
**This company is an emerging healthcare technology start up that is turning profitable and brining their engineering team in house! Fully remote work culture.**
 This Jobot Job is hosted by Alex Dickinson
 Are you a fit? Easy Apply now by clicking the "Easy Apply" button and sending us your resume.
 Salary $120,000 \- $150,000 per year
**A Bit About Us**
 This company is a privately held start up with very little outside investment looking to bolster their internal engineering team. They have a small remote team now that is working on ridding their stack of tech debt and building usable and scalable solutions for the future. This is a small team where you will not only write code, perform feature upgrades \&amp; maintenance, but also be part of the system design. Understanding of the larger scale architecture and business impacts on engineering decisions is key.
****Why join us?****
 Remote work place
 Innovative product that is a real player in the EHR space!
 Strong benefits and career growth!
 Collaborative team that is pushing each other to get better
 Ability to make a real impact on the product and code base. You will see the results of the work that you put in come to fruition.
 No red tape on making technical chances that advance the product or improve the engineering health of the company
**Job Details**
 Job Details
 We are a leading healthcare organization on the lookout for a passionate and highly skilled Permanent Software Engineer specializing in Distributed Systems. This is a unique opportunity to join our innovative team and contribute to transforming the healthcare industry by developing state\-of\-the\-art software solutions. Our ideal candidate is a seasoned professional with extensive experience in AWS, TypeScript, MongoDB, Microservices, Docker, Terraform, Git, Express, Angular, Distributed computing, cloud computing, Nodes, and NodeJS. You will be part of a dynamic team responsible for designing, implementing, and maintaining complex distributed systems.
**Responsibilities**
* Design and develop robust, scalable, and efficient distributed systems.
* Collaborate with cross\-functional teams to gather and understand business requirements.
* Build and maintain Microservices architecture using NodeJS and Express.
* Utilize Docker and Terraform for deployment and infrastructure management.
* Manage data storage solutions using MongoDB and AWS.
* Implement front\-end interfaces using Angular.
* Monitor system performance and resolve any issues or malfunctions.
* Ensure all systems are up\-to\-date with the latest industry standards and technologies.
* Develop and maintain comprehensive documentation for code, algorithms, and APIs.
* Participate in code reviews and provide constructive feedback to peers.
* Adhere to best practices in software development, including testing, security, and scalability.
* Stay updated with the latest industry trends and technologies, and be prepared to suggest new solutions and improvements.
**Qualifications**
* Bachelor’s degree in Computer Science, Software Engineering, or a related field.
* Minimum of 5 years of experience in software development, specifically in distributed systems.
* Proven experience with AWS, TypeScript, MongoDB, Microservices, Docker, Terraform, Git, Express, Angular, Distributed computing, cloud computing, Nodes, and NodeJS.
* Strong understanding of distributed systems, data structures, algorithms, and design patterns.
* Excellent problem\-solving skills and ability to debug complex systems.
* Proficient in building and maintaining Microservices architecture.
* Experience with Docker and Terraform for deployment and infrastructure management.
* Strong knowledge of MongoDB and AWS for data storage solutions.
* Experience in building front\-end interfaces using Angular.
* Excellent communication skills with the ability to collaborate effectively with cross\-functional teams.
* Strong attention to detail and a commitment to delivering high\-quality software solutions.
* Familiarity with the healthcare industry is a plus.
 Join our team and contribute to revolutionizing the healthcare industry with your expertise in distributed systems. Apply today!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20">
      <c r="A120" t="inlineStr">
        <is>
          <t>li-4367715667</t>
        </is>
      </c>
      <c r="B120" t="inlineStr">
        <is>
          <t>Research Software Engineer</t>
        </is>
      </c>
      <c r="C120" t="inlineStr">
        <is>
          <t>Jobs via Dice</t>
        </is>
      </c>
      <c r="D120" t="inlineStr">
        <is>
          <t>linkedin</t>
        </is>
      </c>
      <c r="E120">
        <f>HYPERLINK("https://www.linkedin.com/jobs/view/4367715667", "https://www.linkedin.com/jobs/view/4367715667")</f>
        <v/>
      </c>
      <c r="F120">
        <f>HYPERLINK("https://click.appcast.io/t/3vrIPTW1rpuHoeArErSbllrY-vxSxWHgrlB6Kr1LJho=&amp;urlHash=2Iap", "https://click.appcast.io/t/3vrIPTW1rpuHoeArErSbllrY-vxSxWHgrlB6Kr1LJho=&amp;urlHash=2Iap")</f>
        <v/>
      </c>
      <c r="G120" t="inlineStr">
        <is>
          <t>Redmond, WA</t>
        </is>
      </c>
      <c r="H120" t="inlineStr"/>
      <c r="I120" t="inlineStr">
        <is>
          <t>**Overview**
 Dynamics 365 is Microsoft's suite of enterprise software that powers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D365 Contact Center is a robust application that extends the power of Customer Relationship Management (CRM) like Dynamics 365 Customer Service to enable organizations to instantly connect and engage with their customers via channels like Live Chat, Voice, and SMS.
 As a Software Engineer in the Microsoft Dynamics Customer Experience Applications team, you will contribute to the design and implementation of intelligent solutions within Dynamics 365 by applying both software engineering and AI skills. You'll work closely with senior engineers, business stakeholders, and partners to help build scalable, production\-ready systems that leverage AI to address real\-world business challenges.
 This role is expected to demonstrate strong software engineering fundamentals\-including coding, testing, and deployment\-while integrating and optimizing AI models and frameworks. The position contributes to delivering reliable, impactful, and innovative solutions, with mentorship and guidance from more senior team members.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an applied AI focus on the Microsoft Dynamics Customer Experience Applications team, this role applies both software engineering and AI expertise to build intelligent, scalable solutions that power Dynamics 365 services used globally. Collaboration with cross\-functional teams supports the delivery of high\-impact features aligned with enterprise standards and cloud\-scale requirements. Responsibilities include:
* Developing highly usable, scalable application capabilities, integrating AI models and enhancing existing features to meet evolving customer needs.
* Building and debuging production\-grade code in distributed systems
* Translating business requirements into AI solutions, collaborating with data scientists, product managers, and engineering teams to ensure alignment and impact.
* Optimizing AI model performance and reliability in production environments, including retraining, evaluation, and continuous monitoring.
* Owning deployment, quality and operation of AI systems, including automated testing, CI/CD pipelines, deployment, and monitoring with strong MLOps and DevOps practices.
* Troubleshooting live site issues as part of both product development and live site support rotations, ensuring rapid resolution and learning.
* Ensuring high reliability and performance of applications and services through intelligent monitoring, alerting, and proactive failover strategies.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customers success, zero trust security and compliance.
* Experience with coding in languages including, but not limited to, Python, C\#, Java, Rust, or C\+\+.
* Experience with GenAI, LLMs, or agentic systems.
* Advanced degree (MS or PhD) in Computer Science, Machine Learning, or a related field.
* Deep expertise in one or more AI domains, with a proven track record of deploying and scaling AI models in cloud environments.
* Strong experience with MLOps workflows (CI/CD, monitoring, retraining pipelines) and familiarity with modern LLMOps frameworks.
* Skilled in building and operating infrastructure using Azure, AWS, or Google Cloud, and deploying containerized models with Docker, Kubernetes, or similar tools.
 \#BICJobs
 \# CXAjobs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1">
      <c r="A121" t="inlineStr">
        <is>
          <t>li-4367705672</t>
        </is>
      </c>
      <c r="B121" t="inlineStr">
        <is>
          <t>Principal Software Engineer - Office</t>
        </is>
      </c>
      <c r="C121" t="inlineStr">
        <is>
          <t>Jobs via Dice</t>
        </is>
      </c>
      <c r="D121" t="inlineStr">
        <is>
          <t>linkedin</t>
        </is>
      </c>
      <c r="E121">
        <f>HYPERLINK("https://www.linkedin.com/jobs/view/4367705672", "https://www.linkedin.com/jobs/view/4367705672")</f>
        <v/>
      </c>
      <c r="F121" t="inlineStr"/>
      <c r="G121" t="inlineStr">
        <is>
          <t>Redmond, WA</t>
        </is>
      </c>
      <c r="H121" t="inlineStr"/>
      <c r="I121" t="inlineStr">
        <is>
          <t>**Overview**
**Office Suite** 
 is continuously evolving, reaching billions of customers that rely on robust and secure software, features, and services. The Threat Protection team builds security capabilities and mitigations to help our customers get and stay protected. We push the boundaries for what is possible in creating solutions that span platforms, clients, servers, and services while ensuring our core security features inside Office products are reliable, performant, and scalable.
 Do you enjoy working in a collaborative and agile environment where you can apply your technical skills and creativity in the security space to address real world problems? Are you passionate about security and working with other experienced Software Engineers to build complex, scalable solutions across platforms for our Office suite of products and services? If so, the Office Product Group Security Threat Protection team is looking for a
 **Principal Software Engineer**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Discovery of Solutions/Identifying Mitigations \- Learns of or discovers new security issues within areas of responsibility, including through the Secure Future Initiative; ability to come up to speed on new threats and mitigations without direction; discovers new information to gain context; decomposes work for collaboration; identifies and creates systematic solutions; identifies gaps in existing or new solutions; successfully operates in uncertain, challenging, and novel environments; and leverages expertise to appropriately drive solutions.
* Solution Engineering \- Architects solutions related to specific kinds of security issues; identifies and defines high impact projects and executes cross\-company; defines policies, practices, and procedures; weighs business concerns with technical implementation concerns when devising solutions; defines success criteria; prioritizes projects; creates virtual teams to solve problems at scale; and provides review and feedback of implementation.
* Communication/Influence \- Helps to make connections and assist in developing agreements among groups to clarify priorities, dependencies, and provide coordination across groups. Advocates for key issues and mitigations to partners and upper management. Autonomously drives coordination and collaboration across groups. Creates and advocates for broadly applicable solutions. Mentors and coaches peers on new approaches and best practices.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experience designing, implementing, shipping and deploying large\-scale solutions, and software development lifecycle.
* 6\+ years of experience in C/C\+\+, C\# or similar programming language; including code reviews and code inspection of complex software.
* Understanding of security vulnerabilities and mitigations across platforms, applications, or services.
* Demonstrated ability to apply knowledge of data structures, algorithms, and software design principles.
* Experience working with DevOps tools and practices, such as Git, CI/CD, testing, and monitoring.
* Effective communication, collaboration, ability to deal with ambiguity, and problem\-solving skills
* Motivation to learn and develop new technologies and skills.
* Customer focus and committed to enhancing engineering efficiency.
 \#OfficeSecurityOPG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2">
      <c r="A122" t="inlineStr">
        <is>
          <t>li-4367717067</t>
        </is>
      </c>
      <c r="B122" t="inlineStr">
        <is>
          <t>Principal Software Engineer - AI</t>
        </is>
      </c>
      <c r="C122" t="inlineStr">
        <is>
          <t>Jobs via Dice</t>
        </is>
      </c>
      <c r="D122" t="inlineStr">
        <is>
          <t>linkedin</t>
        </is>
      </c>
      <c r="E122">
        <f>HYPERLINK("https://www.linkedin.com/jobs/view/4367717067", "https://www.linkedin.com/jobs/view/4367717067")</f>
        <v/>
      </c>
      <c r="F122" t="inlineStr"/>
      <c r="G122" t="inlineStr">
        <is>
          <t>Redmond, WA</t>
        </is>
      </c>
      <c r="H122" t="inlineStr"/>
      <c r="I122" t="inlineStr">
        <is>
          <t>**Overview**
 Dynamics 365 is Microsoft's suite of enterprise software that power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value, complete, and predictive application scenarios across all devices and form factors.
 D365 Contact Center is a robust application that enables organizations to instantly connect and engage with their customers via channels like Live Chat, Voice, and SMS.
 As an Principal Software Engineer \- AI in the Microsoft Dynamics Customer Experience Applications team, you will apply both software engineering and AI expertise to design and implement intelligent solutions within Dynamics 365\. You'll collaborate with business and technology leaders, internal users, and partners to build scalable, production\-ready systems that leverage AI to solve complex business challenges. In this role, you are expected to bring software engineering fundamentals\-architecture, coding, testing, and deployment\-while also selecting and integrating the most effective AI models and frameworks to deliver measurable impact and innovation.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Principal Software Engineer \-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 Build and debug production\-grade code in distributed systems using C\#, Azure.
**Qualifications**
**Required Qualifications:**
* Bachelor's Degree in Computer Science or related technical field AND 6\+ years technical engineering experience with coding in languages including, but not limited to, C, C\+\+, C\#, Java, JavaScript, or Python.
+ OR equivalent experience.
+ 6\+ years of experience with GenAI, LLMs, or agentic systems.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AI \&amp; Domain Expertise: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3">
      <c r="A123" t="inlineStr">
        <is>
          <t>li-4367596700</t>
        </is>
      </c>
      <c r="B123" t="inlineStr">
        <is>
          <t>Software Engineer II - M365 Copilot App</t>
        </is>
      </c>
      <c r="C123" t="inlineStr">
        <is>
          <t>Jobs via Dice</t>
        </is>
      </c>
      <c r="D123" t="inlineStr">
        <is>
          <t>linkedin</t>
        </is>
      </c>
      <c r="E123">
        <f>HYPERLINK("https://www.linkedin.com/jobs/view/4367596700", "https://www.linkedin.com/jobs/view/4367596700")</f>
        <v/>
      </c>
      <c r="F123">
        <f>HYPERLINK("https://click.appcast.io/t/ZO1Ej7S-hKk0dHry_MsiAIzlrUwg3tQBWQGeGOgCmzk=&amp;urlHash=REAK", "https://click.appcast.io/t/ZO1Ej7S-hKk0dHry_MsiAIzlrUwg3tQBWQGeGOgCmzk=&amp;urlHash=REAK")</f>
        <v/>
      </c>
      <c r="G123" t="inlineStr">
        <is>
          <t>Redmond, WA</t>
        </is>
      </c>
      <c r="H123" t="inlineStr"/>
      <c r="I123" t="inlineStr">
        <is>
          <t>Dice is the leading career destination for tech experts at every stage of their careers. Our client, Microsoft Corporation, is seeking the following. Apply via Dice today!
**Overview**
 AI is transforming productivity in profound ways. As the new home of Office productivity, the M365 Copilot App is at the forefront of this transformation. It is one of the fastest growing products at Microsoft, and the primary means through which most M365 users experience the power of Copilot \- be it Chat, Search, or Agents. M365 Copilot App is a multi\-platform product, built for consumer\-grade experiences and enterprise\-grade trust. Our team is responsible for all aspects of engineering for this ecosystem of applications and services.
 As a
 **Software Engineer II \- M365 Copilot App** 
 on the team, you will be responsible for designing, building and maintaining the Copilot application across Windows, Mac, and Web platforms. You will participate in architectural decisions and contribute hands\-on code to advance the state of the art and build best\-in\-class applications, balancing innovation with platform stability. You will work closely with other engineers to take ideas through design, implementation, validation, and release. You will write secure, reliable, scalable, and high\-performance code as well as automation to test it and telemetry to measure its behavior in production. You will work in a fast paced, highly collaborative environment to design, prototype, implement, and ship features. You will partner across multiple product and platform teams in Microsoft and define reusable architectural patterns and best practices that enable consistent, intelligent, and high\-performing user experiences at scale. You will mentor engineers and foster a culture of technical excellence through best practices in architecture, performance profiling, and cross\-platform design systems. You will provide engineering leadership to others in the team in taking on the engineering and technical challenges inherent in building and delivering a consumer\-grade application that powers cross\-platform AI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best in class code for a product, service, or feature, reusing code as applicable.
* Is able to accurately estimate the time required to implement fairly complex features and manage risks to stay on track for the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developing, deploying, and maintaining one or more large scale Windows, Mac, and Web applications.
* 2\+ years of demonstrated ability in designing, implementing, and debugging application and frontend code.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 OR Bachelor's Degree in Computer Science or related technical field AND 4\+ years technical engineering experience with coding in languages including, but not limited to, C, C\+\+, C\#, Java, JavaScript, or Python
+ OR equivalent experience.
* Enthusiasm for mentoring and guiding other engineers and team members.
* 2\+ years experience responding to customer feedback and fixing product quality and craftsmanship.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4">
      <c r="A124" t="inlineStr">
        <is>
          <t>li-4367598674</t>
        </is>
      </c>
      <c r="B124" t="inlineStr">
        <is>
          <t>Software Engineer Sr</t>
        </is>
      </c>
      <c r="C124" t="inlineStr">
        <is>
          <t>Jobs via Dice</t>
        </is>
      </c>
      <c r="D124" t="inlineStr">
        <is>
          <t>linkedin</t>
        </is>
      </c>
      <c r="E124">
        <f>HYPERLINK("https://www.linkedin.com/jobs/view/4367598674", "https://www.linkedin.com/jobs/view/4367598674")</f>
        <v/>
      </c>
      <c r="F124">
        <f>HYPERLINK("https://click.appcast.io/t/UNI-HU-SSbJ6fQv-8ZBEblxmDEsIAXPBDyn2PqQAHT4=&amp;urlHash=kgvN", "https://click.appcast.io/t/UNI-HU-SSbJ6fQv-8ZBEblxmDEsIAXPBDyn2PqQAHT4=&amp;urlHash=kgvN")</f>
        <v/>
      </c>
      <c r="G124" t="inlineStr">
        <is>
          <t>Fort Worth, TX</t>
        </is>
      </c>
      <c r="H124" t="inlineStr"/>
      <c r="I124" t="inlineStr">
        <is>
          <t>**Job Description**
 WHO WE ARE: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positions offers a motivated engineer the opportunity to have a high impact on a fast paced program as they grow their own skillset.
 Travel up to 10% may be required.
**Basic Qualifications**
 Bachelor's degree or above from an accredited college in a relevant field of study; or equivalent with minimum 3 years experience
 Experience with C and/or C\+\+
 Experience with Linux
 Experience with the software development process in a team environment (peer reviews, unit testing, configuration management, defect tracking)
 This position is located at a facility that requires special access and a Secret clearance updated within the last 6 years to be considered.\*\*\*
**Desired Skills**
 Experience with developing software for avionics systems
 Experience integrating hardware and software
 Experience in scripting languages (e.g. python)
 Experience with build environments and tools (make and CMake)
 Experience using agile software development tools and methodologies (e.g. Git, JIRA, Jenkins, Confluence, etc.)
 Experience with networking protocols (e.g. IP, UDP, RTP, etc.)
 Experience working with safety/flight critical software development processes (e.g. MIL\-STD\-516C, MIL\-HDBK\-1797, AC\-17\-01, DO\-178\)
 Ability to build and maintain relationships and collaborative effectively with others
 Strong decision making and judgment skills
 Experience leading small technical teams
 Experience mentoring and training junior engineers
 Experience with LUA programming language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25">
      <c r="A125" t="inlineStr">
        <is>
          <t>li-4367708717</t>
        </is>
      </c>
      <c r="B125" t="inlineStr">
        <is>
          <t>Software Engineering IC3</t>
        </is>
      </c>
      <c r="C125" t="inlineStr">
        <is>
          <t>Jobs via Dice</t>
        </is>
      </c>
      <c r="D125" t="inlineStr">
        <is>
          <t>linkedin</t>
        </is>
      </c>
      <c r="E125">
        <f>HYPERLINK("https://www.linkedin.com/jobs/view/4367708717", "https://www.linkedin.com/jobs/view/4367708717")</f>
        <v/>
      </c>
      <c r="F125">
        <f>HYPERLINK("https://click.appcast.io/t/bMlX1KaFb9OZo6RMoLzWkTnAlqm1C_w0V6z0vJ3k73g=&amp;urlHash=di9n", "https://click.appcast.io/t/bMlX1KaFb9OZo6RMoLzWkTnAlqm1C_w0V6z0vJ3k73g=&amp;urlHash=di9n")</f>
        <v/>
      </c>
      <c r="G125" t="inlineStr">
        <is>
          <t>Redmond, WA</t>
        </is>
      </c>
      <c r="H125" t="inlineStr"/>
      <c r="I125" t="inlineStr">
        <is>
          <t>**Overview**
 We are part of the Windows Servicing and Delivery (WSD) organization, focused on keeping customers protected and productive through reliable, high\-quality Windows updates.
 Our team owns the delivery of Windows images across multiple channels\-safely, consistently, and at scale. We build and operate cloud services that automate image creation, validation, and publishing for Windows releases, ensuring every release meets the highest standards of quality and reliability.
 We're looking for a
 **Software Engineer II** 
 who is passionate about automation and service reliability. In this role, you'll design and develop scalable services that simplify and strengthen our servicing pipeline\-reducing manual steps, improving efficiency, and accelerating delivery. You will also leverage AI capabilities to minimize operational overhead, enhance reliability, and speed up publishing cycles, delivering even greater value to customers and partners.
 You'll also participate in our Designated Responsible Individual (DRI) rotation, helping maintain high availability and driving continuous improvements in performance and reliability.
 If you're excited about how Windows ships to billions of devices and enjoy solving complex technical challenges with measurable customer impact, 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Contributes to efforts to break down larger work items into smaller work items and provides estimation.
* Creates and implements code for a product, service, or feature, reusing code as applicable. Applies coding patterns and best practices to write code (e.g., leveraging state\-of\-the\-art generative artificial intelligence \[GenAI])
* Applies best practices to build code based on well\-established methods and secure design principles while also applying best practices for new code development and formal validation of security invariants.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Hands\-on experience with Azure services (e.g., Service Fabric, Logic Apps, API Management, Service Bus, Cosmos DB, Application Insights).
* Familiarity with CI/CD pipelines and tools such as Azure DevOps or GitHub Actions.
* Knowledge of secure development practices
* Experience with observability and telemetry (metrics, logging, dashboards, Kusto queries).
* Exposure to AI concepts and ability to apply them for reliability, automation, or predictive insights.
* Solid communication skills and ability to influence across teams and disciplines.
 \#W\+DJOBS \#WSD \#CPC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6">
      <c r="A126" t="inlineStr">
        <is>
          <t>li-4367599700</t>
        </is>
      </c>
      <c r="B126" t="inlineStr">
        <is>
          <t>Front End Software Engineer II</t>
        </is>
      </c>
      <c r="C126" t="inlineStr">
        <is>
          <t>Jobs via Dice</t>
        </is>
      </c>
      <c r="D126" t="inlineStr">
        <is>
          <t>linkedin</t>
        </is>
      </c>
      <c r="E126">
        <f>HYPERLINK("https://www.linkedin.com/jobs/view/4367599700", "https://www.linkedin.com/jobs/view/4367599700")</f>
        <v/>
      </c>
      <c r="F126">
        <f>HYPERLINK("https://click.appcast.io/t/C0IdgkwfsGI0pynxg8Gy3n5pB2pbAE1e__y1VQcWjB8=&amp;urlHash=sRce", "https://click.appcast.io/t/C0IdgkwfsGI0pynxg8Gy3n5pB2pbAE1e__y1VQcWjB8=&amp;urlHash=sRce")</f>
        <v/>
      </c>
      <c r="G126" t="inlineStr">
        <is>
          <t>Redmond, WA</t>
        </is>
      </c>
      <c r="H126" t="inlineStr"/>
      <c r="I126" t="inlineStr">
        <is>
          <t>**Overview**
 The Azure Platform as a Service (PaaS) and Serverless team is building the next generation of cloud automation and integration platforms\-and we're looking for passionate front\-end engineers to help shape the future of workflow experiences on Azure.
 As part of Microsoft's CoreAI organization, we're focused on delivering intelligent, scalable, and intuitive cloud platforms that enable customers to automate business processes, orchestrate services, and connect systems across the modern enterprise. Our team builds and maintains the Azure portal experiences for Azure Logic Apps, the industry\-leading low\-code integration service that powers mission\-critical workflows for organizations around the world.
 We are looking for a Front\-End Software Engineer II, to play a key role in building engaging, performant, and accessible user interfaces that help developers and IT pros design, debug, and manage their workflows with clarity and confidence. You'll work closely with designers, PMs, and backend engineers to craft experiences used daily by thousands of Azure customers, from citizen developers to enterprise architects.
 We build and support core pieces of the Azure automation and integration experience, including:
 Azure Logic Apps \- a low\-code workflow service that connects systems, data, and APIs through hundreds of connectors, empowering users to automate processes visually or with code\-first precision.
 AI\-infused tooling and Azure Foundry integration \- enabling intelligent workflow authoring, reasoning, and orchestration experiences that power both Azure Foundry and the broader AI ecosystem across Microsoft.
 Unified Designer UI frameworks for internal partners \- delivering shared front\-end foundations that enable multiple Azure and Microsoft product teams to build on top of Logic Apps for their own scenarios, including AI orchestration, automation, and Copilot extensibility.
 Together, these experiences form the foundation of Azure's enterprise automation platform, enabling customers to connect applications and data anywhere, integrate with AI, and orchestrate solutions across hybrid and multi\-cloud environments.
 We're tackling exciting challenges in modern portal architecture, design systems, accessibility, performance, and the infusion of AI into end\-to\-end user workflows. If you're passionate about empowering developers, working at scale, and delivering polished, impactful user experiences in a fast\-evolving cloud platform,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In alignment with our Microsoft values, we are committed to cultivating an inclusive work environment for all employees to positively impact our culture every day.
**Responsibilities**
* Build modern, scalable complex front\-end experiences that power Azure Logic Apps
* Lead feature areas from design through implementation, shaping the long\-term architecture and user experience of Logic Apps
* Collaborate with designers, PMs, and backend engineers to deliver intuitive, high\-performance workflow and automation experiences
* Partner with internal Microsoft teams building on top of Logic Apps to deliver shared, extensible UI frameworks and components.
* Use AI\-powered tools to accelerate development and integrate intelligent capabilities directly into the product experience.
* Contribute to engineering excellence through code quality, design reviews, mentorship, and continuous improvement in accessibility, reliability, and performance.
* Thrive in a fast\-moving environment that values curiosity, collaboration, and shipping with impact.
* Embody our Culture and Values.
**Qualifications**
**Required Qualifications:**
* Bachelor's Degree in Computer Science or related technical field AND 2\+ years technical engineering experience with coding in languages like JavaScript, AND/OR Typescript etc.
* OR equivalent experience.
* 2\+ years of professional software engineering experience, with a focus on front\-end or full\-stack development
* Experience with build and service infrastructure systems maintenance AND design Azure DevOps, GitHub Actions OR equivalent CICD pipeline frameworks
* 6\+ months of experience using AI\-assisted development tools (e.g., GitHub Copilot, or similar) to enhance productivity and code quality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like JavaScript, and/or Typescript etc.
* OR Bachelor's Degree in Computer Science or related technical field AND 5\+ years technical engineering experience with coding in languages like JavaScript, and/or Typescript etc.
* OR equivalent experience.
* 4\+ years of professional software engineering experience, with a focus on front\-end or full\-stack development
* Experience in TypeScript and modern Single Page Application frameworks, particularly React (experience with Angular, Vue, or similar is a plus)
* Working knowledge of web architecture, performance optimization, accessibility, and responsive design
* Experience in designing, implementing, and shipping features end\-to\-end in a production environment
* Experience working with RESTful APIs and developer\-focused services
* Discipline in applying engineering best practices such as code reviews, testing, and CI/CD
 \#CoreAI \#DevDiv \#DDJL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7">
      <c r="A127" t="inlineStr">
        <is>
          <t>li-4367717078</t>
        </is>
      </c>
      <c r="B127" t="inlineStr">
        <is>
          <t>Software Engineer II - CTJ - POLY</t>
        </is>
      </c>
      <c r="C127" t="inlineStr">
        <is>
          <t>Jobs via Dice</t>
        </is>
      </c>
      <c r="D127" t="inlineStr">
        <is>
          <t>linkedin</t>
        </is>
      </c>
      <c r="E127">
        <f>HYPERLINK("https://www.linkedin.com/jobs/view/4367717078", "https://www.linkedin.com/jobs/view/4367717078")</f>
        <v/>
      </c>
      <c r="F127" t="inlineStr"/>
      <c r="G127" t="inlineStr">
        <is>
          <t>Redmond, WA</t>
        </is>
      </c>
      <c r="H127" t="inlineStr"/>
      <c r="I127" t="inlineStr">
        <is>
          <t>Dice is the leading career destination for tech experts at every stage of their careers. Our client, Microsoft Corporation, is seeking the following. Apply via Dice today!
**Overview**
 This is a fantastic opportunity to work with incredibly talented engineers on our next set of big challenges. Being a part of Microsoft's customer\-focused culture, you will be empowered to take ownership of service design by driving reliable, scalable, and high\-performance solutions across the entire C\+E stack. You will collaborate with a number of teams across the company, giving you wide exposure and a broad technical surface area. You will also support Commerce \+ Ecosystems at large in specific dedicated clouds, mitigating any issues that may surface in sustainable and forward\-thinking ways. If you love solving challenging problems, developing scripts and/or automation to solve said problems, and are passionate about operating and automating robust, reliable, highly distributed software systems using the latest cutting\-edge technologies, then let's talk.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reliable, scalable, and high\-performance solutions across the C\+E stack, ensuring robust service design.
* Collaborate with cross\-functional teams to deliver customer\-focused outcomes and broad technical impact.
* Support Commerce \+ Ecosystems in dedicated clouds by mitigating issues with sustainable, forward\-thinking solutions.
* Leverage telemetry data to identify patterns and trends that enable continuous operational improvement through automation.
* Develop scripts and automation to resolve complex problems and prevent recurrence of service issues.
* Partner with internal customers and engineering teams to conduct root cause analyses, uphold security and compliance, and share end\-to\-end service expertise.
* Identify and implement automation opportunities to monitor and manage distributed systems effectively.
* Embody our culture and values
**Qualifications**
**Required / 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Bachelor's degree in Computer Science, Engineering, Mathematics, or related technical field, or equivalent practical experience.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Technical Expertise: Strong understanding of distributed systems, cloud architecture, and interactions between technology layers. Hands\-on experience with Azure services, scripting languages (PowerShell, Python), and automation frameworks. Proficiency in programming languages such as C\#, .NET, or similar.
* Operational Excellence: Ability to leverage telemetry and monitoring tools to identify patterns, trends, and drive proactive improvements. Skilled in incident management, root cause analysis, and implementing durable fixes.
* Automation \&amp; Reliability: Demonstrated experience developing scripts and tools to automate repetitive tasks and improve service reliability. Familiarity with CI/CD pipelines and deployment automation.
* Problem\-Solving \&amp; Collaboration: Strong analytical skills to troubleshoot complex issues across large\-scale systems. Proven ability to partner with engineering teams and internal customers to deliver sustainable solutions.
* Security \&amp; Compliance: Knowledge of security best practices and compliance standards in cloud environments.
* Growth Mindset: Passion for learning new technologies and driving continuous operational improvement.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8">
      <c r="A128" t="inlineStr">
        <is>
          <t>li-4367702737</t>
        </is>
      </c>
      <c r="B128" t="inlineStr">
        <is>
          <t>Principal Software Engineer - Teams AI Features</t>
        </is>
      </c>
      <c r="C128" t="inlineStr">
        <is>
          <t>Jobs via Dice</t>
        </is>
      </c>
      <c r="D128" t="inlineStr">
        <is>
          <t>linkedin</t>
        </is>
      </c>
      <c r="E128">
        <f>HYPERLINK("https://www.linkedin.com/jobs/view/4367702737", "https://www.linkedin.com/jobs/view/4367702737")</f>
        <v/>
      </c>
      <c r="F128">
        <f>HYPERLINK("https://click.appcast.io/t/6o4W0bQ93wOfPIY0DwGQoB-lvWaEP7b_mIiyI8VIafA=&amp;urlHash=z5AJ", "https://click.appcast.io/t/6o4W0bQ93wOfPIY0DwGQoB-lvWaEP7b_mIiyI8VIafA=&amp;urlHash=z5AJ")</f>
        <v/>
      </c>
      <c r="G128" t="inlineStr">
        <is>
          <t>Redmond, WA</t>
        </is>
      </c>
      <c r="H128" t="inlineStr"/>
      <c r="I128" t="inlineStr">
        <is>
          <t>**Overview**
 We are looking for a Principal Software Engineer to join our team to drive all aspects of AI feature fundamentals for one of the biggest modern collaboration platforms in the world \- Microsoft Teams. We help feature teams ship quality AI experiences out of the gate, track key performance and reliability metrics for critical high\-volume scenarios, aid feature teams in improving the debuggability of AI scenarios, help create offline and online evals for all AI features by incorporating into release pipelines and drive culture of performance by promoting best practices and consulting.
 As a team, we obsess about learning, diving deep into areas of opportunities, experimenting and use an evidence\-based approach to turning opportunities into positive impact on performance of the product through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the vision, strategy, and roadmap for how to evaluate AI features for good fundamentals at scale across Teams.
* Lead end\-to\-end science and technical design for evaluating LLM\-powered agents on real\-time and batch workloads: designing evaluation frameworks, metrics, and pipelines that capture planning quality, tool use, retrieval, safety, and end\-user outcomes, and partnering with engineering for robust, low\-latency deployment.
* Establish rigorous evaluation and reliability practices for LLM/agent systems: from offline benchmarks and scenario\-based evals to online experiments and production monitoring, defining guardrails and policies that balance quality, cost, and latency at scale.
* Collaborate with PM, Engineering, and UX to translate evaluation insights into customer\-visible improvements, shaping product requirements, de\-risking launches, and iterating quickly based on telemetry, user feedback, and real\-world failure modes.
* Collaborate and mentor across product, research, and engineering teams, sharing best practices on eval design, LLM\-as\-judge usage, and Responsible AI, and providing code reviews and guidance that raise the bar for the AI features.
* Provide technical leadership and mentorship within the applied science and engineering community, fostering inclusive, responsible\-AI practices in agent evaluation, and influencing roadmap, platform investments, and cross\-team evaluation strategy across Fabric.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on engineering tooling or eval development
* 2\+ years experience in working on services at scale.
* 1\+ years experience in driving fundamentals for AI features within web apps.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Prior experience in driving fundamentals for AI features within web apps.
* Understanding of building engineering tools on the server side for scale.
* Prior experience working with building AI workflows is a plus.Prior experience in working closely with AI feature teams and improving fundamentals like performance and reliability is a major plus.
* Experience solving challenging problems and cross team/organization collaboration skills.
* Proficiency with React.
* Curiosity to dive deep, continuously learn and experiment.
* Passion for collaboration and knowledge sharing.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9">
      <c r="A129" t="inlineStr">
        <is>
          <t>li-4367716740</t>
        </is>
      </c>
      <c r="B129" t="inlineStr">
        <is>
          <t>Principal Software Engineer - Copilot Identity</t>
        </is>
      </c>
      <c r="C129" t="inlineStr">
        <is>
          <t>Jobs via Dice</t>
        </is>
      </c>
      <c r="D129" t="inlineStr">
        <is>
          <t>linkedin</t>
        </is>
      </c>
      <c r="E129">
        <f>HYPERLINK("https://www.linkedin.com/jobs/view/4367716740", "https://www.linkedin.com/jobs/view/4367716740")</f>
        <v/>
      </c>
      <c r="F129" t="inlineStr"/>
      <c r="G129" t="inlineStr">
        <is>
          <t>Redmond, WA</t>
        </is>
      </c>
      <c r="H129" t="inlineStr"/>
      <c r="I129" t="inlineStr">
        <is>
          <t>Dice is the leading career destination for tech experts at every stage of their careers. Our client, Microsoft Corporation, is seeking the following. Apply via Dice today!
**Overview**
 About the Team
 Consumer Copilot Security is at the core of Microsoft's mission to deliver trusted, human\-centered AI experiences. We make security and resilience intrinsic to every Copilot interaction\-across devices, platforms, and ecosystems. Our work spans secure identity flows, defenses against emerging threats like prompt injection, and privacy\-first systems that scale globally.
**About The Role**
 Copilot for consumers depends on a rock\-solid identity foundation that makes personalized AI experiences safe and seamless across Windows, Edge, web, and mobile. We're seeking a hands\-on Principal Software Engineer to define and lead the strategy for authentication, authorization, and account systems across Copilot experiences, partnering deeply with Microsoft's central identity platform and related teams.
 You'll tackle novel risks at the frontier of agential AI, applying proven solutions and inventing new ones where needed. This role demands a rare blend of deep backend engineering expertise, mastery of modern consumer identity protocols, and the ability to make sound trade\-offs between risk and velocity\-keeping Copilot moving fast while raising the security and reliability bar.
 Why This Role Matters
 Your work will secure AI experiences for hundreds of millions of users worldwide, shaping how people trust and interact with Microsoft's most transformative products. If you thrive on solving hard technical problems at scale, influencing architecture across platforms, and building systems that balance speed and trust, this is your opportunity to make a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Identity strategy \&amp; architecture: Define the end\-to\-end identity vision for consumer Copilot and MAI, covering user/account models, sign\-in, session management, token issuance/validation, service\-to\-service auth, and cross\-device experiences.
* Cross\-surface platform leadership: Drive common authentication/SSO patterns and SDKs for Windows, Edge, web, iOS, and Android; ensure seamless UX and consistent security controls across consumer surfaces and modalities.
* Collaborate with product, engineering, security, privacy, and identity teams across Copilot, MAI and IDNA to drive improvements in authentication, identity, and security. Influence technical direction and best practices across a large, distributed system, ensuring alignment and adoption of key initiatives.
* Establish, monitor, and continuously improve key authentication metrics across Copilot and MAI. Collaborate with engineering, product, and identity teams to align on a unified ground truth and leverage dashboards for ongoing measurement and root cause analysis
* Align with central Microsoft Account roadmaps, influence platform capabilities, and land them in Copilot and MAI consumer scenarios at scale.
* Define and document authentication patterns and requirements for AI\-powered, agentic flows. Ensure these patterns address novel risks, support secure delegation, and enable safe orchestration of actions across devices and services.
* Hands\-on engineering: Ship secure, well\-tested, maintainable code and frameworks that other teams can adopt quickly.
* Product mindset: Balance customer experience with consumer\-grade security, privacy, and compliance expectations for Copilot.
* Work closely with globally distributed teams, managing effective communication, coordination, and project delivery across multiple time zones. Foster strong cross\-regional partnerships to drive identity and authentication improvements at scale.
**Qualifications**
**Required Qualifications:**
* Bachelor's Degree in Computer Science or related technical field AND 8\+ years technical engineering experience with coding in languages including, but not limited to, C, C\+\+, C\#, Java, JavaScript, or Python
+ OR equivalent experience.
**Preferred Qualifications:**
*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integrating with Microsoft Account, and familiarity with consumer identity features.
* Cross\-platform delivery: Shipped identity flows and SDKs across multiple consumer client platforms (Windows, macOS, iOS, Android, web).
* Governance \&amp; lifecycle: Familiarity with consumer identity lifecycle management and privacy controls.
* Privacy/Compliance: Experience embedding privacy\-by\-design and meeting consumer compliance expectations for Copilot\-class workloads.
* Leadership: Track record mentoring senior engineers and driving adoption of platform standards across many product teams.
 \#MicrosoftAI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0">
      <c r="A130" t="inlineStr">
        <is>
          <t>li-4367705658</t>
        </is>
      </c>
      <c r="B130" t="inlineStr">
        <is>
          <t>Software Engineer-DevSecOps (Experienced or Senior)</t>
        </is>
      </c>
      <c r="C130" t="inlineStr">
        <is>
          <t>Jobs via Dice</t>
        </is>
      </c>
      <c r="D130" t="inlineStr">
        <is>
          <t>linkedin</t>
        </is>
      </c>
      <c r="E130">
        <f>HYPERLINK("https://www.linkedin.com/jobs/view/4367705658", "https://www.linkedin.com/jobs/view/4367705658")</f>
        <v/>
      </c>
      <c r="F130">
        <f>HYPERLINK("https://click.appcast.io/t/0K6S7PkY2tQ16L4B9iwhpEG6HV0pRWbHb9Q5z7MHoaU=&amp;urlHash=zqDO", "https://click.appcast.io/t/0K6S7PkY2tQ16L4B9iwhpEG6HV0pRWbHb9Q5z7MHoaU=&amp;urlHash=zqDO")</f>
        <v/>
      </c>
      <c r="G130" t="inlineStr">
        <is>
          <t>St Louis, MO</t>
        </is>
      </c>
      <c r="H130" t="inlineStr"/>
      <c r="I130" t="inlineStr">
        <is>
          <t>**Company:**
 The Boeing Company
 The Boeing Company is currently seeking
 **Software Engineers\-DevSecOps** 
 to support our
 **Boeing Software Factory (BSF) Platform** 
 team. This role supports the Boeing Software Engineering Fabric organization and is based in
 **Berkeley** 
**, Missouri; Colorado Springs, Colorado; Fairfax, Virginia; or Huntington Beach, California.**
 BSF\-Disconnected team designs, builds, and operates secure, scalable platform capabilities that accelerate software delivery across classified environments in cloud and on\-premises. This hands\-on role focuses on designing and implementing cloud\-native platform services, infrastructure automation, and CI/CD pipelines, leveraging modern platform engineering practices to improve delivery velocity and system resilience. We are looking for a proactive, security\-minded engineer with strong platform and DevSecOps experience who can deliver practical, scalable solutions for constrained and classified environments.
**Our teams are currently hiring for a broad range of experience levels including Experienced and Senior Level Software Engineers.**
**Position Responsibilities:**
* Partner with cross\-enterprise security, compliance, and product teams to align platform capabilities with NIST, FedRAMP, and other regulatory frameworks for mission\-critical applications.
* Collaborate with technical chiefs, lead engineers, and software teams to standardize patterns, harden runtimes, and improve observability across Kubernetes, containerized workloads, air\-gapped environments, and cloud infrastructure.
* Mentor engineers, shape architecture, and improve platform reliability, cost efficiency, and operations through automation, infrastructure as code, and testing.
* Enable the Software Enterprise to adopt best practices, standards, and initiatives for efficient, high\-quality execution.
* Support and deploy air\-gapped programs, building and upgrading configurations and applications for constrained environments.
* Implement automated deployment and testing solutions following leading DevOps and security practices.
* Research and recommend technologies to enhance BSF air\-gapped deployments.
* Integrate tools for security scanning, SBOM generation, secrets management, audit logging and compliance checks suitable for classified systems.
* Plan and execute cross\-functional initiatives with internal teams, external partners, and vendors.
**Basic Qualifications (Required Skills/ Experience):**
* 5\+ years of experience in hands on programming such as Python, C/C\+\+, Java or equivalent
* 5\+ years of experience in DevOps principles, CI/CD process and code delivery pipeline, using tools like GitLab \&amp; Jenkins
* 5\+ years of experience in building platform using API based micro services (i.e. REST API) and classified platform security best practices.
* 3\+ years of experience with developing and deploying containerized applications using Kubernetes (i.e. Helm).
* 5\+ years of experience with development and administration in Linux systems in virtualized environments (CentOS and RHEL is a plus)
**Preferred Qualifications (Desired Skills/Experience):**
* Bachelor of Science degree from an accredited course of study in engineering, engineering technology (includes manufacturing engineering technology), chemistry, physics, mathematics, data science, or computer science.
* Level 3: 3 or more years' related work experience or an equivalent combination of education and experience
* Level 4: 5 or more years' related work experience or an equivalent combination of education and experience
* 5\+ years of experience in large\-scale software and system architecture, including distributed systems and cloud\-native design on AWS, Azure, or Google Cloud Platform.
* Prior experience deploying to air\-gapped or constrained environments, including classified environments.
* Self\-motivator, starter and results driven mindset
* Strong familiarity with Linux and shell scripting (bash).
* Experience with Infrastructure as Code and configuration management (e.g., Terraform, Ansible).
* Experience with AWS or similar cloud platforms.
* Experience managing virtualized hardware and hypervisors (e.g., VMware, KVM).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(Level 3\): $110,500 \- $159,850
 Summary pay range for Senior Level (Level 4\): $132,600 \- $192,050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an active U.S. Secret Security Clearance (U.S. Citizenship Required). (A U.S. Security Clearance that has been active in the past 24 months is considered active)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2026-02-01T04:36:53Z</dcterms:created>
  <dcterms:modified xsi:type="dcterms:W3CDTF">2026-02-01T04:36:53Z</dcterms:modified>
</cp:coreProperties>
</file>