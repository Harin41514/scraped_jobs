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in-ca83c9bd1462bf59</t>
        </is>
      </c>
      <c r="B2" t="inlineStr">
        <is>
          <t>Sr. Applied Scientist, Amazon Ads</t>
        </is>
      </c>
      <c r="C2" t="inlineStr">
        <is>
          <t>Amazon.com</t>
        </is>
      </c>
      <c r="D2" t="inlineStr">
        <is>
          <t>indeed</t>
        </is>
      </c>
      <c r="E2" t="inlineStr"/>
      <c r="F2" t="inlineStr"/>
      <c r="G2" t="inlineStr">
        <is>
          <t>Brooklyn, NY, US</t>
        </is>
      </c>
      <c r="H2" s="2"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in-caee087fdfd77feb</t>
        </is>
      </c>
      <c r="B3" t="inlineStr">
        <is>
          <t>Sr. Applied Scientist, Amazon Ads</t>
        </is>
      </c>
      <c r="C3" t="inlineStr">
        <is>
          <t>Amazon.com</t>
        </is>
      </c>
      <c r="D3" t="inlineStr">
        <is>
          <t>indeed</t>
        </is>
      </c>
      <c r="E3" t="inlineStr"/>
      <c r="F3" t="inlineStr"/>
      <c r="G3" t="inlineStr">
        <is>
          <t>Santa Monica, CA, US</t>
        </is>
      </c>
      <c r="H3" s="2"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in-937da4d088974856</t>
        </is>
      </c>
      <c r="B4" t="inlineStr">
        <is>
          <t>Sr. Applied Scientist, Amazon Ads</t>
        </is>
      </c>
      <c r="C4" t="inlineStr">
        <is>
          <t>Amazon.com</t>
        </is>
      </c>
      <c r="D4" t="inlineStr">
        <is>
          <t>indeed</t>
        </is>
      </c>
      <c r="E4" t="inlineStr"/>
      <c r="F4" t="inlineStr"/>
      <c r="G4" t="inlineStr">
        <is>
          <t>New York, NY, US</t>
        </is>
      </c>
      <c r="H4" s="2"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in-cf78b212053de4dd</t>
        </is>
      </c>
      <c r="B5" t="inlineStr">
        <is>
          <t>Sr. Applied Scientist, Amazon Ads</t>
        </is>
      </c>
      <c r="C5" t="inlineStr">
        <is>
          <t>Amazon.com</t>
        </is>
      </c>
      <c r="D5" t="inlineStr">
        <is>
          <t>indeed</t>
        </is>
      </c>
      <c r="E5" t="inlineStr"/>
      <c r="F5" t="inlineStr"/>
      <c r="G5" t="inlineStr">
        <is>
          <t>Corvallis, OR, US</t>
        </is>
      </c>
      <c r="H5" s="2"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in-b1315eef4f77956d</t>
        </is>
      </c>
      <c r="B6" t="inlineStr">
        <is>
          <t>Sr. Applied Scientist, Amazon Ads</t>
        </is>
      </c>
      <c r="C6" t="inlineStr">
        <is>
          <t>Amazon.com</t>
        </is>
      </c>
      <c r="D6" t="inlineStr">
        <is>
          <t>indeed</t>
        </is>
      </c>
      <c r="E6" t="inlineStr"/>
      <c r="F6" t="inlineStr"/>
      <c r="G6" t="inlineStr">
        <is>
          <t>Palo Alto, CA, US</t>
        </is>
      </c>
      <c r="H6" s="2"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in-20195433fcac1e59</t>
        </is>
      </c>
      <c r="B7" t="inlineStr">
        <is>
          <t>Sr. Applied Scientist, Amazon Ads</t>
        </is>
      </c>
      <c r="C7" t="inlineStr">
        <is>
          <t>Amazon.com</t>
        </is>
      </c>
      <c r="D7" t="inlineStr">
        <is>
          <t>indeed</t>
        </is>
      </c>
      <c r="E7" t="inlineStr"/>
      <c r="F7" t="inlineStr"/>
      <c r="G7" t="inlineStr">
        <is>
          <t>Sunnyvale, CA, US</t>
        </is>
      </c>
      <c r="H7" s="2"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in-d382de3e292c01ff</t>
        </is>
      </c>
      <c r="B8" t="inlineStr">
        <is>
          <t>Sr. Applied Scientist, Amazon Ads</t>
        </is>
      </c>
      <c r="C8" t="inlineStr">
        <is>
          <t>Amazon.com</t>
        </is>
      </c>
      <c r="D8" t="inlineStr">
        <is>
          <t>indeed</t>
        </is>
      </c>
      <c r="E8" t="inlineStr"/>
      <c r="F8" t="inlineStr"/>
      <c r="G8" t="inlineStr">
        <is>
          <t>Seattle, WA, US</t>
        </is>
      </c>
      <c r="H8" s="2"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in-4e098f65ebed7da1</t>
        </is>
      </c>
      <c r="B9" t="inlineStr">
        <is>
          <t>Sr. Applied Scientist, Amazon Ads</t>
        </is>
      </c>
      <c r="C9" t="inlineStr">
        <is>
          <t>Amazon.com</t>
        </is>
      </c>
      <c r="D9" t="inlineStr">
        <is>
          <t>indeed</t>
        </is>
      </c>
      <c r="E9" t="inlineStr"/>
      <c r="F9" t="inlineStr"/>
      <c r="G9" t="inlineStr">
        <is>
          <t>Tukwila, WA, US</t>
        </is>
      </c>
      <c r="H9" s="2"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in-dcee01ac589dd49d</t>
        </is>
      </c>
      <c r="B10" t="inlineStr">
        <is>
          <t>Sr. Applied Scientist, Amazon Ads</t>
        </is>
      </c>
      <c r="C10" t="inlineStr">
        <is>
          <t>Amazon.com</t>
        </is>
      </c>
      <c r="D10" t="inlineStr">
        <is>
          <t>indeed</t>
        </is>
      </c>
      <c r="E10" t="inlineStr"/>
      <c r="F10" t="inlineStr"/>
      <c r="G10" t="inlineStr">
        <is>
          <t>Boston, MA, US</t>
        </is>
      </c>
      <c r="H10" s="2"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in-0cbd429840c0f59b</t>
        </is>
      </c>
      <c r="B11" t="inlineStr">
        <is>
          <t>Sr. Applied Scientist, Amazon Ads</t>
        </is>
      </c>
      <c r="C11" t="inlineStr">
        <is>
          <t>Amazon.com</t>
        </is>
      </c>
      <c r="D11" t="inlineStr">
        <is>
          <t>indeed</t>
        </is>
      </c>
      <c r="E11" t="inlineStr"/>
      <c r="F11" t="inlineStr"/>
      <c r="G11" t="inlineStr">
        <is>
          <t>Boulder, CO, US</t>
        </is>
      </c>
      <c r="H11" s="2"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in-e4742d7508e07fab</t>
        </is>
      </c>
      <c r="B12" t="inlineStr">
        <is>
          <t>Applied Scientist</t>
        </is>
      </c>
      <c r="C12" t="inlineStr">
        <is>
          <t>Amazon.com</t>
        </is>
      </c>
      <c r="D12" t="inlineStr">
        <is>
          <t>indeed</t>
        </is>
      </c>
      <c r="E12" t="inlineStr"/>
      <c r="F12" t="inlineStr"/>
      <c r="G12" t="inlineStr">
        <is>
          <t>Palo Alto, CA, US</t>
        </is>
      </c>
      <c r="H12" s="2" t="n">
        <v>45939</v>
      </c>
      <c r="I1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in-6341cf6d92d4233e</t>
        </is>
      </c>
      <c r="B13" t="inlineStr">
        <is>
          <t>Sr. Applied Scientist, SPB Advertiser Guidance</t>
        </is>
      </c>
      <c r="C13" t="inlineStr">
        <is>
          <t>Amazon.com</t>
        </is>
      </c>
      <c r="D13" t="inlineStr">
        <is>
          <t>indeed</t>
        </is>
      </c>
      <c r="E13" t="inlineStr"/>
      <c r="F13" t="inlineStr"/>
      <c r="G13" t="inlineStr">
        <is>
          <t>New York, NY, US</t>
        </is>
      </c>
      <c r="H13" s="2" t="n">
        <v>45939</v>
      </c>
      <c r="I1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in-26803e9ee67448e2</t>
        </is>
      </c>
      <c r="B14" t="inlineStr">
        <is>
          <t>Applied Scientist</t>
        </is>
      </c>
      <c r="C14" t="inlineStr">
        <is>
          <t>Amazon.com</t>
        </is>
      </c>
      <c r="D14" t="inlineStr">
        <is>
          <t>indeed</t>
        </is>
      </c>
      <c r="E14" t="inlineStr"/>
      <c r="F14" t="inlineStr"/>
      <c r="G14" t="inlineStr">
        <is>
          <t>New York, NY, US</t>
        </is>
      </c>
      <c r="H14" s="2" t="n">
        <v>45939</v>
      </c>
      <c r="I1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in-923751253e6bffcd</t>
        </is>
      </c>
      <c r="B15" t="inlineStr">
        <is>
          <t>Sr. Applied Scientist, SPB Advertiser Guidance</t>
        </is>
      </c>
      <c r="C15" t="inlineStr">
        <is>
          <t>Amazon.com</t>
        </is>
      </c>
      <c r="D15" t="inlineStr">
        <is>
          <t>indeed</t>
        </is>
      </c>
      <c r="E15" t="inlineStr"/>
      <c r="F15" t="inlineStr"/>
      <c r="G15" t="inlineStr">
        <is>
          <t>Palo Alto, CA, US</t>
        </is>
      </c>
      <c r="H15" s="2" t="n">
        <v>45939</v>
      </c>
      <c r="I1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in-fadd58f95d1e095a</t>
        </is>
      </c>
      <c r="B16" t="inlineStr">
        <is>
          <t>Sr. Applied Scientist, SPB Advertiser Guidance</t>
        </is>
      </c>
      <c r="C16" t="inlineStr">
        <is>
          <t>Amazon.com</t>
        </is>
      </c>
      <c r="D16" t="inlineStr">
        <is>
          <t>indeed</t>
        </is>
      </c>
      <c r="E16" t="inlineStr"/>
      <c r="F16" t="inlineStr"/>
      <c r="G16" t="inlineStr">
        <is>
          <t>Seattle, WA, US</t>
        </is>
      </c>
      <c r="H16" s="2" t="n">
        <v>45939</v>
      </c>
      <c r="I1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in-9209895ff11e4386</t>
        </is>
      </c>
      <c r="B17" t="inlineStr">
        <is>
          <t>Applied Scientist</t>
        </is>
      </c>
      <c r="C17" t="inlineStr">
        <is>
          <t>Amazon.com</t>
        </is>
      </c>
      <c r="D17" t="inlineStr">
        <is>
          <t>indeed</t>
        </is>
      </c>
      <c r="E17" t="inlineStr"/>
      <c r="F17" t="inlineStr"/>
      <c r="G17" t="inlineStr">
        <is>
          <t>Seattle, WA, US</t>
        </is>
      </c>
      <c r="H17" s="2" t="n">
        <v>45939</v>
      </c>
      <c r="I1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in-191a401fa2222c06</t>
        </is>
      </c>
      <c r="B18" t="inlineStr">
        <is>
          <t>Applied Scientist II, Prime Video - Personalization and Discovery Science, Personalization and Discovery Science</t>
        </is>
      </c>
      <c r="C18" t="inlineStr">
        <is>
          <t>Amazon.com</t>
        </is>
      </c>
      <c r="D18" t="inlineStr">
        <is>
          <t>indeed</t>
        </is>
      </c>
      <c r="E18" t="inlineStr"/>
      <c r="F18" t="inlineStr"/>
      <c r="G18" t="inlineStr">
        <is>
          <t>New York, NY, US</t>
        </is>
      </c>
      <c r="H18" s="2" t="n">
        <v>45930</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in-f4a8b023f073a33c</t>
        </is>
      </c>
      <c r="B19" t="inlineStr">
        <is>
          <t>Applied Scientist II, Prime Video - Personalization and Discovery Science, Personalization and Discovery Science</t>
        </is>
      </c>
      <c r="C19" t="inlineStr">
        <is>
          <t>Amazon.com</t>
        </is>
      </c>
      <c r="D19" t="inlineStr">
        <is>
          <t>indeed</t>
        </is>
      </c>
      <c r="E19" t="inlineStr"/>
      <c r="F19" t="inlineStr"/>
      <c r="G19" t="inlineStr">
        <is>
          <t>Seattle, WA, US</t>
        </is>
      </c>
      <c r="H19" s="2" t="n">
        <v>45930</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in-e6b21c641ec02e5c</t>
        </is>
      </c>
      <c r="B20" t="inlineStr">
        <is>
          <t>Applied Scientist II, Prime Video - Personalization and Discovery Science, Personalization and Discovery Science</t>
        </is>
      </c>
      <c r="C20" t="inlineStr">
        <is>
          <t>Amazon.com</t>
        </is>
      </c>
      <c r="D20" t="inlineStr">
        <is>
          <t>indeed</t>
        </is>
      </c>
      <c r="E20" t="inlineStr"/>
      <c r="F20" t="inlineStr"/>
      <c r="G20" t="inlineStr">
        <is>
          <t>Sunnyvale, CA, US</t>
        </is>
      </c>
      <c r="H20" s="2" t="n">
        <v>45930</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in-dc232c6ea2967715</t>
        </is>
      </c>
      <c r="B21" t="inlineStr">
        <is>
          <t>Sr. Applied Scientist, Prime Video - Personalization and Discovery Science</t>
        </is>
      </c>
      <c r="C21" t="inlineStr">
        <is>
          <t>Amazon.com</t>
        </is>
      </c>
      <c r="D21" t="inlineStr">
        <is>
          <t>indeed</t>
        </is>
      </c>
      <c r="E21" t="inlineStr"/>
      <c r="F21" t="inlineStr"/>
      <c r="G21" t="inlineStr">
        <is>
          <t>New York, NY, US</t>
        </is>
      </c>
      <c r="H21" s="2" t="n">
        <v>45881</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in-44e8f059b46defc2</t>
        </is>
      </c>
      <c r="B22" t="inlineStr">
        <is>
          <t>Sr. Applied Scientist, Prime Video - Personalization and Discovery Science</t>
        </is>
      </c>
      <c r="C22" t="inlineStr">
        <is>
          <t>Amazon.com</t>
        </is>
      </c>
      <c r="D22" t="inlineStr">
        <is>
          <t>indeed</t>
        </is>
      </c>
      <c r="E22" t="inlineStr"/>
      <c r="F22" t="inlineStr"/>
      <c r="G22" t="inlineStr">
        <is>
          <t>Seattle, WA, US</t>
        </is>
      </c>
      <c r="H22" s="2" t="n">
        <v>45881</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in-71c5c7cae289a56b</t>
        </is>
      </c>
      <c r="B23" t="inlineStr">
        <is>
          <t>Applied Scientist II, Prime Video - Personalization and Discovery Science</t>
        </is>
      </c>
      <c r="C23" t="inlineStr">
        <is>
          <t>Amazon.com</t>
        </is>
      </c>
      <c r="D23" t="inlineStr">
        <is>
          <t>indeed</t>
        </is>
      </c>
      <c r="E23" t="inlineStr"/>
      <c r="F23" t="inlineStr"/>
      <c r="G23" t="inlineStr">
        <is>
          <t>Seattle, WA, US</t>
        </is>
      </c>
      <c r="H23" s="2" t="n">
        <v>45881</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in-0a10e85175740927</t>
        </is>
      </c>
      <c r="B24" t="inlineStr">
        <is>
          <t>Applied Scientist II, Prime Video - Personalization and Discovery Science</t>
        </is>
      </c>
      <c r="C24" t="inlineStr">
        <is>
          <t>Amazon.com</t>
        </is>
      </c>
      <c r="D24" t="inlineStr">
        <is>
          <t>indeed</t>
        </is>
      </c>
      <c r="E24" t="inlineStr"/>
      <c r="F24" t="inlineStr"/>
      <c r="G24" t="inlineStr">
        <is>
          <t>New York, NY, US</t>
        </is>
      </c>
      <c r="H24" s="2" t="n">
        <v>45881</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in-ee58d175af7fea6f</t>
        </is>
      </c>
      <c r="B25" t="inlineStr">
        <is>
          <t>Sr. Applied Scientist, Prime Video - Personalization and Discovery Science</t>
        </is>
      </c>
      <c r="C25" t="inlineStr">
        <is>
          <t>Amazon.com</t>
        </is>
      </c>
      <c r="D25" t="inlineStr">
        <is>
          <t>indeed</t>
        </is>
      </c>
      <c r="E25" t="inlineStr"/>
      <c r="F25" t="inlineStr"/>
      <c r="G25" t="inlineStr">
        <is>
          <t>Sunnyvale, CA, US</t>
        </is>
      </c>
      <c r="H25" s="2" t="n">
        <v>45881</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in-5ce161208b995549</t>
        </is>
      </c>
      <c r="B26" t="inlineStr">
        <is>
          <t>Applied Scientist II, Prime Video - Personalization and Discovery Science</t>
        </is>
      </c>
      <c r="C26" t="inlineStr">
        <is>
          <t>Amazon.com</t>
        </is>
      </c>
      <c r="D26" t="inlineStr">
        <is>
          <t>indeed</t>
        </is>
      </c>
      <c r="E26" t="inlineStr"/>
      <c r="F26" t="inlineStr"/>
      <c r="G26" t="inlineStr">
        <is>
          <t>Sunnyvale, CA, US</t>
        </is>
      </c>
      <c r="H26" s="2" t="n">
        <v>45881</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in-936f6d9aa26b5867</t>
        </is>
      </c>
      <c r="B27" t="inlineStr">
        <is>
          <t>Data Scientist 2 - TS/SCI w/poly clearance required</t>
        </is>
      </c>
      <c r="C27" t="inlineStr">
        <is>
          <t>CyberTrend Engineering LLC</t>
        </is>
      </c>
      <c r="D27" t="inlineStr">
        <is>
          <t>indeed</t>
        </is>
      </c>
      <c r="E27" t="inlineStr"/>
      <c r="F27" t="inlineStr"/>
      <c r="G27" t="inlineStr">
        <is>
          <t>Annapolis Junction, MD, US</t>
        </is>
      </c>
      <c r="H27" s="2" t="n">
        <v>46066</v>
      </c>
      <c r="I27" t="inlineStr">
        <is>
          <t>CyberTrend’s leadership has 40 years of experience in the industry, and the company continues to serve as a technology leader on many defense projects and programs. Formed in 2010, CyberTrend has long\-standing partnerships and clients, including partners like AWS and IBM, government agencies, the intelligence community, and defense contractors. We provide talented and exceptionally qualified IT, architectural, system, and software engineering personnel.  
**Requires TS/SCI with Poly Clearance**  
A data scientist will develop machine learning, data mining, statistical and graph\-based algorithms to analyze and make sense of datasets; prototype or consider several algorithms and decide upon final model based on suitable performance metrics; build models or develop experiments to generate data when training or example datasets are unavailable; generate reports and visualizations that summarize datasets and provide data\-driven insights to customers; partner with subject matter experts to translate manual data analysis into automated analytics; implement prototype algorithms within production frameworks for integration into analyst workflows.  
**Requirements**
Bachelor's degree from an accredited college or university in a quantitative discipline (e.g., statistics, mathematics, operations research, engineering or computer science). Five (5\) years of experience analyzing datasets and developing analytics, five (5\) years of experience programming with data analysis software such as R, Python, SAS, or MATLAB. An additional four (4\) years of experience in software development, cloud development, analyzing datasets, or developing descriptive, predictive, and prescriptive analytics can be substituted for a Bachelor's degree. A PhD from an accredited college or university in a quantitative discipline can be substituted for four (4\) years of experience.
* Programming Languages: Python, and R.
* Statistical Analysis
* Maching Learning with TensorFlow and Scikit\-Learn
* Data wrangling
* Database management
* Data visualization
**Benefits:**
* Generous and competitive paid time off, scaled based on time in service, plus eleven paid annual holidays.
* CyberTrend pays 100% of the cost for the following benefits for its full\-time employees: including medical (base plan), dental, vision, disability, life, EAP, and more.
* CyberTrend contributes 10% of your monthly gross salary to a SEP\-IRA account. This retirement plan is non\-contributory for the employee, has no vesting period, and is 100% owned and managed by the employee.
* Educational assistance up to $5,250 annually for work\-related acitivies upon prior approval
* Training assistance up to $3,000 annually for work\-related activities upon prior approval
CyberTrend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28">
      <c r="A28" t="inlineStr">
        <is>
          <t>in-8765ce6d656b99b7</t>
        </is>
      </c>
      <c r="B28" t="inlineStr">
        <is>
          <t>Machine Learning &amp; Data Scientist, OS Power &amp; Performance</t>
        </is>
      </c>
      <c r="C28" t="inlineStr">
        <is>
          <t>Apple</t>
        </is>
      </c>
      <c r="D28" t="inlineStr">
        <is>
          <t>indeed</t>
        </is>
      </c>
      <c r="E28" t="inlineStr"/>
      <c r="F28" t="inlineStr"/>
      <c r="G28" t="inlineStr">
        <is>
          <t>San Diego, CA, US</t>
        </is>
      </c>
      <c r="H28" s="2" t="n">
        <v>46067</v>
      </c>
      <c r="I28" t="inlineStr">
        <is>
          <t>Great performance is critical to Apple's product experience. We are seeking a Machine Learning \&amp; Data Scientist to help with quantitative analysis of high dimensional data to draw insights that would impact hundreds of millions of users. If the idea of developing data products to improve Apple’s software \&amp; hardware performance excites you, we encourage you to apply!  
**Description**  
We're looking for a proactive \&amp; impact\-driven engineer with excellent machine learning, analytical, problem solving and communication skills. In this role, you will analyze high dimensional data to derive meaningful insights and be responsible for producing metrics, models, simulations, and tools for analysis \&amp; communication of insights from large datasets. To be successful, you must have a strong foundation in statistical analysis and the ability to apply it to solving business \&amp; product\-development problems, as well as a strong software engineering background with the ability to write production level code. As a member of this team, you will have the opportunity to provide meaningful insights to teams and influence decisions across Apple on a broad range of products.  
","responsibilities":"  
Analyze high dimensional data to derive meaningful insights.  
Produce metrics, models, simulations, and tools for analysis \&amp; communication of insights from large datasets.  
Apply statistical analysis to solving business \&amp; product\-development problems.  
Write production level code.  
Provide meaningful insights to teams and influence decisions across Apple on a broad range of products.  
**Preferred Qualifications**  
M.S. or Ph.D. in Computer Science, Electrical Engineering, Applied Mathematics, Statistics, or a similar quantitative field, with strong statistical skills and intuition  
Proficiency in distributed compute \&amp; storage technologies such as HDFS, S3, Iceberg, Spark, and Trino  
Proficiency with designing ETL flows and automation/scheduling (e.g. Kubernetes and Airflow)  
Working knowledge of Operating Systems  
Experience driving cross\-functional projects with diverse sets of stakeholders  
Skilled at connecting data insights to the company's overall strategy and objectives.  
**Minimum Qualifications**  
Strong Quantitative Foundation: Education in Computer Science, Electrical Engineering, or a related quantitative field. Strong mathematical foundations, software engineering, and broad knowledge of data analysis and practical machine learning are expected.  
Data Engineering and Analytics: Skilled at scalably transforming raw data into actionable insights through practical problem formulation followed by building of ETL processes (e.g. Python \&amp; Spark) and data visualizations (e.g. Tableau)  
Business Acumen and Problem\-Solving: Ability to understand the broader business context, solve complex problems, and communicate findings effectively to stakeholders.  
Adaptability and Collaboration: Comfortable with ambiguity, eager to learn, and capable of working effectively in a collaborative environment. Strong interpersonal skills and the ability to build relationships with diverse stakeholders are essential.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$120,300 and $181,200,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9">
      <c r="A29" t="inlineStr">
        <is>
          <t>in-edeb142863abefc9</t>
        </is>
      </c>
      <c r="B29" t="inlineStr">
        <is>
          <t>Data Scientist - Strategic Data Solutions</t>
        </is>
      </c>
      <c r="C29" t="inlineStr">
        <is>
          <t>Apple</t>
        </is>
      </c>
      <c r="D29" t="inlineStr">
        <is>
          <t>indeed</t>
        </is>
      </c>
      <c r="E29" t="inlineStr"/>
      <c r="F29" t="inlineStr"/>
      <c r="G29" t="inlineStr">
        <is>
          <t>Austin, TX, US</t>
        </is>
      </c>
      <c r="H29" s="2" t="n">
        <v>46067</v>
      </c>
      <c r="I29" t="inlineStr">
        <is>
          <t>Apple’s Strategic Data Solutions (SDS) team leads efforts to mitigate monetary losses, optimize various business processes, and improve the customer journey across our online and retail stores! Our team applies data science and machine learning to drive strategic impact across multiple lines of business at Apple. We are looking for an outstanding analyst who is interested in working closely with our Apple Online Store (AOS) partner teams; understanding their processes and analytic needs; and developing technical solutions along the way. They will sit side\-by\-side with our data scientists and analyze complex business problems, have access to internal and external data sources, and be expected to communicate relevant insights to senior leadership and key decision\-makers. The ideal candidate works well in collaborative environments with minimal formal structure and is comfortable in uncertain environments with competing priorities. They must possess proven business acumen, a strong quantitative / technical background, natural curiosity, and the ability to effectively shift between communications styles based on the audience (technical peer review through leadership update).  
**Description**  
* Support discovery of business problems
* Manage program performance metrics
* Perform data discovery and create proof of concepts
* Perform ad\-hoc and reoccurring statistical analyses
* Work with data warehouse architects and software developers to generate seamless business intelligence solutions for business partners
* Present results of analyses to business units and executive leadership
**Preferred Qualifications**  
Competent with Tableau  
Experience providing business intelligence to drive better decision\-making  
Experience eliciting business requirements and executive metrics  
Experience building executive level business cases and project plans  
Strong interpersonal skills with ability to connect and develop strong partnerships  
Creativity to go beyond current tools to deliver best solution to the problem  
Inquisitiveness and a desire for continued self\-improvement and development of new skills  
Comfort working independently and making key decisions on projects  
Ability to tell meaningful stories with data  
Strong verbal / written communication skills  
Any experience with Python is preferred  
Any experience working in fraud (retail, payments, shipping, identity, etc.) is a bonus  
**Minimum Qualifications**  
BS / MS in technical field (math, statistics, engineering, computer science, analytics, or similar) preferred  
At least 3 years experience working as a data/business analyst, auditor, or related role  
Competent with SQL, big data systems and tools. Ability to do statistical analysis in any one of these languages: Python, R, Java, etc.  
Experience applying analytical techniques to provide solutions to real business problems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0">
      <c r="A30" t="inlineStr">
        <is>
          <t>in-1b2188ec0203b5d7</t>
        </is>
      </c>
      <c r="B30" t="inlineStr">
        <is>
          <t>Sr. Applied Scientist, Amazon Ads</t>
        </is>
      </c>
      <c r="C30" t="inlineStr">
        <is>
          <t>Amazon.com</t>
        </is>
      </c>
      <c r="D30" t="inlineStr">
        <is>
          <t>indeed</t>
        </is>
      </c>
      <c r="E30">
        <f>HYPERLINK("https://www.indeed.com/viewjob?jk=1b2188ec0203b5d7", "https://www.indeed.com/viewjob?jk=1b2188ec0203b5d7")</f>
        <v/>
      </c>
      <c r="F30">
        <f>HYPERLINK("https://www.amazon.jobs/jobs/3139328/sr-applied-scientist-amazon-ads?cmpid=DA_INAD200785B", "https://www.amazon.jobs/jobs/3139328/sr-applied-scientist-amazon-ads?cmpid=DA_INAD200785B")</f>
        <v/>
      </c>
      <c r="G30" t="inlineStr">
        <is>
          <t>Corvallis, OR, US</t>
        </is>
      </c>
      <c r="H30" s="3" t="n">
        <v>45998</v>
      </c>
      <c r="I3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1">
      <c r="A31" t="inlineStr">
        <is>
          <t>in-fdbbfb4ab71dd460</t>
        </is>
      </c>
      <c r="B31" t="inlineStr">
        <is>
          <t>Sr. Applied Scientist, Amazon Ads</t>
        </is>
      </c>
      <c r="C31" t="inlineStr">
        <is>
          <t>Amazon.com</t>
        </is>
      </c>
      <c r="D31" t="inlineStr">
        <is>
          <t>indeed</t>
        </is>
      </c>
      <c r="E31">
        <f>HYPERLINK("https://www.indeed.com/viewjob?jk=fdbbfb4ab71dd460", "https://www.indeed.com/viewjob?jk=fdbbfb4ab71dd460")</f>
        <v/>
      </c>
      <c r="F31">
        <f>HYPERLINK("https://www.amazon.jobs/jobs/3139328/sr-applied-scientist-amazon-ads?cmpid=DA_INAD200785B", "https://www.amazon.jobs/jobs/3139328/sr-applied-scientist-amazon-ads?cmpid=DA_INAD200785B")</f>
        <v/>
      </c>
      <c r="G31" t="inlineStr">
        <is>
          <t>Brooklyn, NY, US</t>
        </is>
      </c>
      <c r="H31" s="3" t="n">
        <v>45998</v>
      </c>
      <c r="I3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2">
      <c r="A32" t="inlineStr">
        <is>
          <t>in-eed2bfe90e85aeb2</t>
        </is>
      </c>
      <c r="B32" t="inlineStr">
        <is>
          <t>Sr. Applied Scientist, Amazon Ads</t>
        </is>
      </c>
      <c r="C32" t="inlineStr">
        <is>
          <t>Amazon.com</t>
        </is>
      </c>
      <c r="D32" t="inlineStr">
        <is>
          <t>indeed</t>
        </is>
      </c>
      <c r="E32">
        <f>HYPERLINK("https://www.indeed.com/viewjob?jk=eed2bfe90e85aeb2", "https://www.indeed.com/viewjob?jk=eed2bfe90e85aeb2")</f>
        <v/>
      </c>
      <c r="F32">
        <f>HYPERLINK("https://www.amazon.jobs/jobs/3139328/sr-applied-scientist-amazon-ads?cmpid=DA_INAD200785B", "https://www.amazon.jobs/jobs/3139328/sr-applied-scientist-amazon-ads?cmpid=DA_INAD200785B")</f>
        <v/>
      </c>
      <c r="G32" t="inlineStr">
        <is>
          <t>Tukwila, WA, US</t>
        </is>
      </c>
      <c r="H32" s="3" t="n">
        <v>45998</v>
      </c>
      <c r="I3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3">
      <c r="A33" t="inlineStr">
        <is>
          <t>in-ff41afcdddb84897</t>
        </is>
      </c>
      <c r="B33" t="inlineStr">
        <is>
          <t>Sr. Applied Scientist, Amazon Ads</t>
        </is>
      </c>
      <c r="C33" t="inlineStr">
        <is>
          <t>Amazon.com</t>
        </is>
      </c>
      <c r="D33" t="inlineStr">
        <is>
          <t>indeed</t>
        </is>
      </c>
      <c r="E33">
        <f>HYPERLINK("https://www.indeed.com/viewjob?jk=ff41afcdddb84897", "https://www.indeed.com/viewjob?jk=ff41afcdddb84897")</f>
        <v/>
      </c>
      <c r="F33">
        <f>HYPERLINK("https://www.amazon.jobs/jobs/3139328/sr-applied-scientist-amazon-ads?cmpid=DA_INAD200785B", "https://www.amazon.jobs/jobs/3139328/sr-applied-scientist-amazon-ads?cmpid=DA_INAD200785B")</f>
        <v/>
      </c>
      <c r="G33" t="inlineStr">
        <is>
          <t>Boulder, CO, US</t>
        </is>
      </c>
      <c r="H33" s="3" t="n">
        <v>45998</v>
      </c>
      <c r="I3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4">
      <c r="A34" t="inlineStr">
        <is>
          <t>in-4874ebfdbdda8cc3</t>
        </is>
      </c>
      <c r="B34" t="inlineStr">
        <is>
          <t>Sr. Applied Scientist, Amazon Ads</t>
        </is>
      </c>
      <c r="C34" t="inlineStr">
        <is>
          <t>Amazon.com</t>
        </is>
      </c>
      <c r="D34" t="inlineStr">
        <is>
          <t>indeed</t>
        </is>
      </c>
      <c r="E34">
        <f>HYPERLINK("https://www.indeed.com/viewjob?jk=4874ebfdbdda8cc3", "https://www.indeed.com/viewjob?jk=4874ebfdbdda8cc3")</f>
        <v/>
      </c>
      <c r="F34">
        <f>HYPERLINK("https://www.amazon.jobs/jobs/3139328/sr-applied-scientist-amazon-ads?cmpid=DA_INAD200785B", "https://www.amazon.jobs/jobs/3139328/sr-applied-scientist-amazon-ads?cmpid=DA_INAD200785B")</f>
        <v/>
      </c>
      <c r="G34" t="inlineStr">
        <is>
          <t>Sunnyvale, CA, US</t>
        </is>
      </c>
      <c r="H34" s="3" t="n">
        <v>45998</v>
      </c>
      <c r="I3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5">
      <c r="A35" t="inlineStr">
        <is>
          <t>in-aa3340748b54851f</t>
        </is>
      </c>
      <c r="B35" t="inlineStr">
        <is>
          <t>Sr. Applied Scientist, Amazon Ads</t>
        </is>
      </c>
      <c r="C35" t="inlineStr">
        <is>
          <t>Amazon.com</t>
        </is>
      </c>
      <c r="D35" t="inlineStr">
        <is>
          <t>indeed</t>
        </is>
      </c>
      <c r="E35">
        <f>HYPERLINK("https://www.indeed.com/viewjob?jk=aa3340748b54851f", "https://www.indeed.com/viewjob?jk=aa3340748b54851f")</f>
        <v/>
      </c>
      <c r="F35">
        <f>HYPERLINK("https://www.amazon.jobs/jobs/3139328/sr-applied-scientist-amazon-ads?cmpid=DA_INAD200785B", "https://www.amazon.jobs/jobs/3139328/sr-applied-scientist-amazon-ads?cmpid=DA_INAD200785B")</f>
        <v/>
      </c>
      <c r="G35" t="inlineStr">
        <is>
          <t>Santa Monica, CA, US</t>
        </is>
      </c>
      <c r="H35" s="3" t="n">
        <v>45998</v>
      </c>
      <c r="I3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6">
      <c r="A36" t="inlineStr">
        <is>
          <t>in-aa8eff05bdc97f9f</t>
        </is>
      </c>
      <c r="B36" t="inlineStr">
        <is>
          <t>Sr. Applied Scientist, Amazon Ads</t>
        </is>
      </c>
      <c r="C36" t="inlineStr">
        <is>
          <t>Amazon.com</t>
        </is>
      </c>
      <c r="D36" t="inlineStr">
        <is>
          <t>indeed</t>
        </is>
      </c>
      <c r="E36">
        <f>HYPERLINK("https://www.indeed.com/viewjob?jk=aa8eff05bdc97f9f", "https://www.indeed.com/viewjob?jk=aa8eff05bdc97f9f")</f>
        <v/>
      </c>
      <c r="F36">
        <f>HYPERLINK("https://www.amazon.jobs/jobs/3139328/sr-applied-scientist-amazon-ads?cmpid=DA_INAD200785B", "https://www.amazon.jobs/jobs/3139328/sr-applied-scientist-amazon-ads?cmpid=DA_INAD200785B")</f>
        <v/>
      </c>
      <c r="G36" t="inlineStr">
        <is>
          <t>Palo Alto, CA, US</t>
        </is>
      </c>
      <c r="H36" s="3" t="n">
        <v>45998</v>
      </c>
      <c r="I3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7">
      <c r="A37" t="inlineStr">
        <is>
          <t>in-c7ba3a6ea6aefcd0</t>
        </is>
      </c>
      <c r="B37" t="inlineStr">
        <is>
          <t>Sr. Applied Scientist, Amazon Ads</t>
        </is>
      </c>
      <c r="C37" t="inlineStr">
        <is>
          <t>Amazon.com</t>
        </is>
      </c>
      <c r="D37" t="inlineStr">
        <is>
          <t>indeed</t>
        </is>
      </c>
      <c r="E37">
        <f>HYPERLINK("https://www.indeed.com/viewjob?jk=c7ba3a6ea6aefcd0", "https://www.indeed.com/viewjob?jk=c7ba3a6ea6aefcd0")</f>
        <v/>
      </c>
      <c r="F37">
        <f>HYPERLINK("https://www.amazon.jobs/jobs/3139328/sr-applied-scientist-amazon-ads?cmpid=DA_INAD200785B", "https://www.amazon.jobs/jobs/3139328/sr-applied-scientist-amazon-ads?cmpid=DA_INAD200785B")</f>
        <v/>
      </c>
      <c r="G37" t="inlineStr">
        <is>
          <t>New York, NY, US</t>
        </is>
      </c>
      <c r="H37" s="3" t="n">
        <v>45998</v>
      </c>
      <c r="I3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8">
      <c r="A38" t="inlineStr">
        <is>
          <t>in-4458f721e089fffb</t>
        </is>
      </c>
      <c r="B38" t="inlineStr">
        <is>
          <t>Sr. Applied Scientist, Amazon Ads</t>
        </is>
      </c>
      <c r="C38" t="inlineStr">
        <is>
          <t>Amazon.com</t>
        </is>
      </c>
      <c r="D38" t="inlineStr">
        <is>
          <t>indeed</t>
        </is>
      </c>
      <c r="E38">
        <f>HYPERLINK("https://www.indeed.com/viewjob?jk=4458f721e089fffb", "https://www.indeed.com/viewjob?jk=4458f721e089fffb")</f>
        <v/>
      </c>
      <c r="F38">
        <f>HYPERLINK("https://www.amazon.jobs/jobs/3139328/sr-applied-scientist-amazon-ads?cmpid=DA_INAD200785B", "https://www.amazon.jobs/jobs/3139328/sr-applied-scientist-amazon-ads?cmpid=DA_INAD200785B")</f>
        <v/>
      </c>
      <c r="G38" t="inlineStr">
        <is>
          <t>Seattle, WA, US</t>
        </is>
      </c>
      <c r="H38" s="3" t="n">
        <v>45998</v>
      </c>
      <c r="I3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9">
      <c r="A39" t="inlineStr">
        <is>
          <t>in-87c6361a57a83308</t>
        </is>
      </c>
      <c r="B39" t="inlineStr">
        <is>
          <t>Sr. Applied Scientist, Amazon Ads</t>
        </is>
      </c>
      <c r="C39" t="inlineStr">
        <is>
          <t>Amazon.com</t>
        </is>
      </c>
      <c r="D39" t="inlineStr">
        <is>
          <t>indeed</t>
        </is>
      </c>
      <c r="E39">
        <f>HYPERLINK("https://www.indeed.com/viewjob?jk=87c6361a57a83308", "https://www.indeed.com/viewjob?jk=87c6361a57a83308")</f>
        <v/>
      </c>
      <c r="F39">
        <f>HYPERLINK("https://www.amazon.jobs/jobs/3139328/sr-applied-scientist-amazon-ads?cmpid=DA_INAD200785B", "https://www.amazon.jobs/jobs/3139328/sr-applied-scientist-amazon-ads?cmpid=DA_INAD200785B")</f>
        <v/>
      </c>
      <c r="G39" t="inlineStr">
        <is>
          <t>Boston, MA, US</t>
        </is>
      </c>
      <c r="H39" s="3" t="n">
        <v>45998</v>
      </c>
      <c r="I3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
      <c r="A40" t="inlineStr">
        <is>
          <t>in-d8c7f5783ac65910</t>
        </is>
      </c>
      <c r="B40" t="inlineStr">
        <is>
          <t>Applied Scientist</t>
        </is>
      </c>
      <c r="C40" t="inlineStr">
        <is>
          <t>Amazon.com</t>
        </is>
      </c>
      <c r="D40" t="inlineStr">
        <is>
          <t>indeed</t>
        </is>
      </c>
      <c r="E40">
        <f>HYPERLINK("https://www.indeed.com/viewjob?jk=d8c7f5783ac65910", "https://www.indeed.com/viewjob?jk=d8c7f5783ac65910")</f>
        <v/>
      </c>
      <c r="F40">
        <f>HYPERLINK("https://www.amazon.jobs/jobs/3106501/applied-scientist?cmpid=DA_INAD200785B", "https://www.amazon.jobs/jobs/3106501/applied-scientist?cmpid=DA_INAD200785B")</f>
        <v/>
      </c>
      <c r="G40" t="inlineStr">
        <is>
          <t>New York, NY, US</t>
        </is>
      </c>
      <c r="H40" s="3" t="n">
        <v>45939</v>
      </c>
      <c r="I4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in-cdbcca2e764e30ff</t>
        </is>
      </c>
      <c r="B41" t="inlineStr">
        <is>
          <t>Applied Scientist</t>
        </is>
      </c>
      <c r="C41" t="inlineStr">
        <is>
          <t>Amazon.com</t>
        </is>
      </c>
      <c r="D41" t="inlineStr">
        <is>
          <t>indeed</t>
        </is>
      </c>
      <c r="E41">
        <f>HYPERLINK("https://www.indeed.com/viewjob?jk=cdbcca2e764e30ff", "https://www.indeed.com/viewjob?jk=cdbcca2e764e30ff")</f>
        <v/>
      </c>
      <c r="F41">
        <f>HYPERLINK("https://www.amazon.jobs/jobs/3106501/applied-scientist?cmpid=DA_INAD200785B", "https://www.amazon.jobs/jobs/3106501/applied-scientist?cmpid=DA_INAD200785B")</f>
        <v/>
      </c>
      <c r="G41" t="inlineStr">
        <is>
          <t>Palo Alto, CA, US</t>
        </is>
      </c>
      <c r="H41" s="3" t="n">
        <v>45939</v>
      </c>
      <c r="I4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in-9695c7602c53c187</t>
        </is>
      </c>
      <c r="B42" t="inlineStr">
        <is>
          <t>Sr. Applied Scientist, SPB Advertiser Guidance</t>
        </is>
      </c>
      <c r="C42" t="inlineStr">
        <is>
          <t>Amazon.com</t>
        </is>
      </c>
      <c r="D42" t="inlineStr">
        <is>
          <t>indeed</t>
        </is>
      </c>
      <c r="E42">
        <f>HYPERLINK("https://www.indeed.com/viewjob?jk=9695c7602c53c187", "https://www.indeed.com/viewjob?jk=9695c7602c53c187")</f>
        <v/>
      </c>
      <c r="F42">
        <f>HYPERLINK("https://www.amazon.jobs/jobs/3106497/sr-applied-scientist-spb-advertiser-guidance?cmpid=DA_INAD200785B", "https://www.amazon.jobs/jobs/3106497/sr-applied-scientist-spb-advertiser-guidance?cmpid=DA_INAD200785B")</f>
        <v/>
      </c>
      <c r="G42" t="inlineStr">
        <is>
          <t>Palo Alto, CA, US</t>
        </is>
      </c>
      <c r="H42" s="3" t="n">
        <v>45939</v>
      </c>
      <c r="I4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in-08298c1365d63e17</t>
        </is>
      </c>
      <c r="B43" t="inlineStr">
        <is>
          <t>Applied Scientist</t>
        </is>
      </c>
      <c r="C43" t="inlineStr">
        <is>
          <t>Amazon.com</t>
        </is>
      </c>
      <c r="D43" t="inlineStr">
        <is>
          <t>indeed</t>
        </is>
      </c>
      <c r="E43">
        <f>HYPERLINK("https://www.indeed.com/viewjob?jk=08298c1365d63e17", "https://www.indeed.com/viewjob?jk=08298c1365d63e17")</f>
        <v/>
      </c>
      <c r="F43">
        <f>HYPERLINK("https://www.amazon.jobs/jobs/3106501/applied-scientist?cmpid=DA_INAD200785B", "https://www.amazon.jobs/jobs/3106501/applied-scientist?cmpid=DA_INAD200785B")</f>
        <v/>
      </c>
      <c r="G43" t="inlineStr">
        <is>
          <t>Seattle, WA, US</t>
        </is>
      </c>
      <c r="H43" s="3" t="n">
        <v>45939</v>
      </c>
      <c r="I4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in-9241635505934ad4</t>
        </is>
      </c>
      <c r="B44" t="inlineStr">
        <is>
          <t>Sr. Applied Scientist, SPB Advertiser Guidance</t>
        </is>
      </c>
      <c r="C44" t="inlineStr">
        <is>
          <t>Amazon.com</t>
        </is>
      </c>
      <c r="D44" t="inlineStr">
        <is>
          <t>indeed</t>
        </is>
      </c>
      <c r="E44">
        <f>HYPERLINK("https://www.indeed.com/viewjob?jk=9241635505934ad4", "https://www.indeed.com/viewjob?jk=9241635505934ad4")</f>
        <v/>
      </c>
      <c r="F44">
        <f>HYPERLINK("https://www.amazon.jobs/jobs/3106497/sr-applied-scientist-spb-advertiser-guidance?cmpid=DA_INAD200785B", "https://www.amazon.jobs/jobs/3106497/sr-applied-scientist-spb-advertiser-guidance?cmpid=DA_INAD200785B")</f>
        <v/>
      </c>
      <c r="G44" t="inlineStr">
        <is>
          <t>New York, NY, US</t>
        </is>
      </c>
      <c r="H44" s="3" t="n">
        <v>45939</v>
      </c>
      <c r="I4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in-4a1aa846678ca8e7</t>
        </is>
      </c>
      <c r="B45" t="inlineStr">
        <is>
          <t>Sr. Applied Scientist, SPB Advertiser Guidance</t>
        </is>
      </c>
      <c r="C45" t="inlineStr">
        <is>
          <t>Amazon.com</t>
        </is>
      </c>
      <c r="D45" t="inlineStr">
        <is>
          <t>indeed</t>
        </is>
      </c>
      <c r="E45">
        <f>HYPERLINK("https://www.indeed.com/viewjob?jk=4a1aa846678ca8e7", "https://www.indeed.com/viewjob?jk=4a1aa846678ca8e7")</f>
        <v/>
      </c>
      <c r="F45">
        <f>HYPERLINK("https://www.amazon.jobs/jobs/3106497/sr-applied-scientist-spb-advertiser-guidance?cmpid=DA_INAD200785B", "https://www.amazon.jobs/jobs/3106497/sr-applied-scientist-spb-advertiser-guidance?cmpid=DA_INAD200785B")</f>
        <v/>
      </c>
      <c r="G45" t="inlineStr">
        <is>
          <t>Seattle, WA, US</t>
        </is>
      </c>
      <c r="H45" s="3" t="n">
        <v>45939</v>
      </c>
      <c r="I4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in-3a3744746df23b1a</t>
        </is>
      </c>
      <c r="B46" t="inlineStr">
        <is>
          <t>Applied Scientist II, Prime Video - Personalization and Discovery Science, Personalization and Discovery Science</t>
        </is>
      </c>
      <c r="C46" t="inlineStr">
        <is>
          <t>Amazon.com</t>
        </is>
      </c>
      <c r="D46" t="inlineStr">
        <is>
          <t>indeed</t>
        </is>
      </c>
      <c r="E46">
        <f>HYPERLINK("https://www.indeed.com/viewjob?jk=3a3744746df23b1a", "https://www.indeed.com/viewjob?jk=3a3744746df23b1a")</f>
        <v/>
      </c>
      <c r="F46">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46" t="inlineStr">
        <is>
          <t>New York, NY, US</t>
        </is>
      </c>
      <c r="H46" s="3" t="n">
        <v>45930</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in-51e054b4654b1c64</t>
        </is>
      </c>
      <c r="B47" t="inlineStr">
        <is>
          <t>Applied Scientist II, Prime Video - Personalization and Discovery Science, Personalization and Discovery Science</t>
        </is>
      </c>
      <c r="C47" t="inlineStr">
        <is>
          <t>Amazon.com</t>
        </is>
      </c>
      <c r="D47" t="inlineStr">
        <is>
          <t>indeed</t>
        </is>
      </c>
      <c r="E47">
        <f>HYPERLINK("https://www.indeed.com/viewjob?jk=51e054b4654b1c64", "https://www.indeed.com/viewjob?jk=51e054b4654b1c64")</f>
        <v/>
      </c>
      <c r="F47">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47" t="inlineStr">
        <is>
          <t>Sunnyvale, CA, US</t>
        </is>
      </c>
      <c r="H47" s="3" t="n">
        <v>45930</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in-1cf785de29427b6b</t>
        </is>
      </c>
      <c r="B48" t="inlineStr">
        <is>
          <t>Applied Scientist II, Prime Video - Personalization and Discovery Science, Personalization and Discovery Science</t>
        </is>
      </c>
      <c r="C48" t="inlineStr">
        <is>
          <t>Amazon.com</t>
        </is>
      </c>
      <c r="D48" t="inlineStr">
        <is>
          <t>indeed</t>
        </is>
      </c>
      <c r="E48">
        <f>HYPERLINK("https://www.indeed.com/viewjob?jk=1cf785de29427b6b", "https://www.indeed.com/viewjob?jk=1cf785de29427b6b")</f>
        <v/>
      </c>
      <c r="F48">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48" t="inlineStr">
        <is>
          <t>Seattle, WA, US</t>
        </is>
      </c>
      <c r="H48" s="3" t="n">
        <v>45930</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in-41b1de9af433b88f</t>
        </is>
      </c>
      <c r="B49" t="inlineStr">
        <is>
          <t>Sr. Applied Scientist, Prime Video - Personalization and Discovery Science</t>
        </is>
      </c>
      <c r="C49" t="inlineStr">
        <is>
          <t>Amazon.com</t>
        </is>
      </c>
      <c r="D49" t="inlineStr">
        <is>
          <t>indeed</t>
        </is>
      </c>
      <c r="E49">
        <f>HYPERLINK("https://www.indeed.com/viewjob?jk=41b1de9af433b88f", "https://www.indeed.com/viewjob?jk=41b1de9af433b88f")</f>
        <v/>
      </c>
      <c r="F49">
        <f>HYPERLINK("https://www.amazon.jobs/jobs/3059256/sr-applied-scientist-prime-video--personalization-and-discovery-science?cmpid=DA_INAD200785B", "https://www.amazon.jobs/jobs/3059256/sr-applied-scientist-prime-video--personalization-and-discovery-science?cmpid=DA_INAD200785B")</f>
        <v/>
      </c>
      <c r="G49" t="inlineStr">
        <is>
          <t>Seattle, WA, US</t>
        </is>
      </c>
      <c r="H49" s="3" t="n">
        <v>45881</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in-277d31b0ac78735e</t>
        </is>
      </c>
      <c r="B50" t="inlineStr">
        <is>
          <t>Applied Scientist II, Prime Video - Personalization and Discovery Science</t>
        </is>
      </c>
      <c r="C50" t="inlineStr">
        <is>
          <t>Amazon.com</t>
        </is>
      </c>
      <c r="D50" t="inlineStr">
        <is>
          <t>indeed</t>
        </is>
      </c>
      <c r="E50">
        <f>HYPERLINK("https://www.indeed.com/viewjob?jk=277d31b0ac78735e", "https://www.indeed.com/viewjob?jk=277d31b0ac78735e")</f>
        <v/>
      </c>
      <c r="F50">
        <f>HYPERLINK("https://www.amazon.jobs/jobs/3059253/applied-scientist-ii-prime-video--personalization-and-discovery-science?cmpid=DA_INAD200785B", "https://www.amazon.jobs/jobs/3059253/applied-scientist-ii-prime-video--personalization-and-discovery-science?cmpid=DA_INAD200785B")</f>
        <v/>
      </c>
      <c r="G50" t="inlineStr">
        <is>
          <t>Seattle, WA, US</t>
        </is>
      </c>
      <c r="H50" s="3" t="n">
        <v>45881</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in-c29dd7c21ce90b5b</t>
        </is>
      </c>
      <c r="B51" t="inlineStr">
        <is>
          <t>Applied Scientist II, Prime Video - Personalization and Discovery Science</t>
        </is>
      </c>
      <c r="C51" t="inlineStr">
        <is>
          <t>Amazon.com</t>
        </is>
      </c>
      <c r="D51" t="inlineStr">
        <is>
          <t>indeed</t>
        </is>
      </c>
      <c r="E51">
        <f>HYPERLINK("https://www.indeed.com/viewjob?jk=c29dd7c21ce90b5b", "https://www.indeed.com/viewjob?jk=c29dd7c21ce90b5b")</f>
        <v/>
      </c>
      <c r="F51">
        <f>HYPERLINK("https://www.amazon.jobs/jobs/3059253/applied-scientist-ii-prime-video--personalization-and-discovery-science?cmpid=DA_INAD200785B", "https://www.amazon.jobs/jobs/3059253/applied-scientist-ii-prime-video--personalization-and-discovery-science?cmpid=DA_INAD200785B")</f>
        <v/>
      </c>
      <c r="G51" t="inlineStr">
        <is>
          <t>Sunnyvale, CA, US</t>
        </is>
      </c>
      <c r="H51" s="3" t="n">
        <v>45881</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in-da5b8e75ac7784f3</t>
        </is>
      </c>
      <c r="B52" t="inlineStr">
        <is>
          <t>Sr. Applied Scientist, Prime Video - Personalization and Discovery Science</t>
        </is>
      </c>
      <c r="C52" t="inlineStr">
        <is>
          <t>Amazon.com</t>
        </is>
      </c>
      <c r="D52" t="inlineStr">
        <is>
          <t>indeed</t>
        </is>
      </c>
      <c r="E52">
        <f>HYPERLINK("https://www.indeed.com/viewjob?jk=da5b8e75ac7784f3", "https://www.indeed.com/viewjob?jk=da5b8e75ac7784f3")</f>
        <v/>
      </c>
      <c r="F52">
        <f>HYPERLINK("https://www.amazon.jobs/jobs/3059256/sr-applied-scientist-prime-video--personalization-and-discovery-science?cmpid=DA_INAD200785B", "https://www.amazon.jobs/jobs/3059256/sr-applied-scientist-prime-video--personalization-and-discovery-science?cmpid=DA_INAD200785B")</f>
        <v/>
      </c>
      <c r="G52" t="inlineStr">
        <is>
          <t>Sunnyvale, CA, US</t>
        </is>
      </c>
      <c r="H52" s="3" t="n">
        <v>45881</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in-36c3c12628488432</t>
        </is>
      </c>
      <c r="B53" t="inlineStr">
        <is>
          <t>Applied Scientist II, Prime Video - Personalization and Discovery Science</t>
        </is>
      </c>
      <c r="C53" t="inlineStr">
        <is>
          <t>Amazon.com</t>
        </is>
      </c>
      <c r="D53" t="inlineStr">
        <is>
          <t>indeed</t>
        </is>
      </c>
      <c r="E53">
        <f>HYPERLINK("https://www.indeed.com/viewjob?jk=36c3c12628488432", "https://www.indeed.com/viewjob?jk=36c3c12628488432")</f>
        <v/>
      </c>
      <c r="F53">
        <f>HYPERLINK("https://www.amazon.jobs/jobs/3059253/applied-scientist-ii-prime-video--personalization-and-discovery-science?cmpid=DA_INAD200785B", "https://www.amazon.jobs/jobs/3059253/applied-scientist-ii-prime-video--personalization-and-discovery-science?cmpid=DA_INAD200785B")</f>
        <v/>
      </c>
      <c r="G53" t="inlineStr">
        <is>
          <t>New York, NY, US</t>
        </is>
      </c>
      <c r="H53" s="3" t="n">
        <v>45881</v>
      </c>
      <c r="I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in-dd919a774a000e93</t>
        </is>
      </c>
      <c r="B54" t="inlineStr">
        <is>
          <t>Sr. Applied Scientist, Prime Video - Personalization and Discovery Science</t>
        </is>
      </c>
      <c r="C54" t="inlineStr">
        <is>
          <t>Amazon.com</t>
        </is>
      </c>
      <c r="D54" t="inlineStr">
        <is>
          <t>indeed</t>
        </is>
      </c>
      <c r="E54">
        <f>HYPERLINK("https://www.indeed.com/viewjob?jk=dd919a774a000e93", "https://www.indeed.com/viewjob?jk=dd919a774a000e93")</f>
        <v/>
      </c>
      <c r="F54">
        <f>HYPERLINK("https://www.amazon.jobs/jobs/3059256/sr-applied-scientist-prime-video--personalization-and-discovery-science?cmpid=DA_INAD200785B", "https://www.amazon.jobs/jobs/3059256/sr-applied-scientist-prime-video--personalization-and-discovery-science?cmpid=DA_INAD200785B")</f>
        <v/>
      </c>
      <c r="G54" t="inlineStr">
        <is>
          <t>New York, NY, US</t>
        </is>
      </c>
      <c r="H54" s="3" t="n">
        <v>45881</v>
      </c>
      <c r="I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in-6303e2ca560e0125</t>
        </is>
      </c>
      <c r="B55" t="inlineStr">
        <is>
          <t>Data Scientist, AWS Infrastructure Services Science</t>
        </is>
      </c>
      <c r="C55" t="inlineStr">
        <is>
          <t>Amazon.com</t>
        </is>
      </c>
      <c r="D55" t="inlineStr">
        <is>
          <t>indeed</t>
        </is>
      </c>
      <c r="E55">
        <f>HYPERLINK("https://www.indeed.com/viewjob?jk=6303e2ca560e0125", "https://www.indeed.com/viewjob?jk=6303e2ca560e0125")</f>
        <v/>
      </c>
      <c r="F55">
        <f>HYPERLINK("https://www.amazon.jobs/jobs/3181348/data-scientist-aws-infrastructure-services-science?cmpid=DA_INAD200785B", "https://www.amazon.jobs/jobs/3181348/data-scientist-aws-infrastructure-services-science?cmpid=DA_INAD200785B")</f>
        <v/>
      </c>
      <c r="G55" t="inlineStr">
        <is>
          <t>Herndon, VA, US</t>
        </is>
      </c>
      <c r="H55" s="3" t="n">
        <v>46065</v>
      </c>
      <c r="I5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56">
      <c r="A56" t="inlineStr">
        <is>
          <t>in-3f935f362aabb030</t>
        </is>
      </c>
      <c r="B56" t="inlineStr">
        <is>
          <t>Data Scientist, AWS Infrastructure Services Science</t>
        </is>
      </c>
      <c r="C56" t="inlineStr">
        <is>
          <t>Amazon.com</t>
        </is>
      </c>
      <c r="D56" t="inlineStr">
        <is>
          <t>indeed</t>
        </is>
      </c>
      <c r="E56">
        <f>HYPERLINK("https://www.indeed.com/viewjob?jk=3f935f362aabb030", "https://www.indeed.com/viewjob?jk=3f935f362aabb030")</f>
        <v/>
      </c>
      <c r="F56">
        <f>HYPERLINK("https://www.amazon.jobs/jobs/3181348/data-scientist-aws-infrastructure-services-science?cmpid=DA_INAD200785B", "https://www.amazon.jobs/jobs/3181348/data-scientist-aws-infrastructure-services-science?cmpid=DA_INAD200785B")</f>
        <v/>
      </c>
      <c r="G56" t="inlineStr">
        <is>
          <t>Seattle, WA, US</t>
        </is>
      </c>
      <c r="H56" s="3" t="n">
        <v>46065</v>
      </c>
      <c r="I5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57">
      <c r="A57" t="inlineStr">
        <is>
          <t>in-86393943e2ef264e</t>
        </is>
      </c>
      <c r="B57" t="inlineStr">
        <is>
          <t>Data Scientist, Commercial Analytics</t>
        </is>
      </c>
      <c r="C57" t="inlineStr">
        <is>
          <t>ExxonMobil</t>
        </is>
      </c>
      <c r="D57" t="inlineStr">
        <is>
          <t>indeed</t>
        </is>
      </c>
      <c r="E57">
        <f>HYPERLINK("https://www.indeed.com/viewjob?jk=86393943e2ef264e", "https://www.indeed.com/viewjob?jk=86393943e2ef264e")</f>
        <v/>
      </c>
      <c r="F57">
        <f>HYPERLINK("https://jobs.exxonmobil.com/ExxonMobil/job/Houston-Data-Scientist%2C-Commercial-Analytics-TX-77001/1357172200/?feedId=204100&amp;utm_source=Indeed&amp;utm_campaign=XOM_Indeed", "https://jobs.exxonmobil.com/ExxonMobil/job/Houston-Data-Scientist%2C-Commercial-Analytics-TX-77001/1357172200/?feedId=204100&amp;utm_source=Indeed&amp;utm_campaign=XOM_Indeed")</f>
        <v/>
      </c>
      <c r="G57" t="inlineStr">
        <is>
          <t>Houston, TX, US</t>
        </is>
      </c>
      <c r="H57" s="3" t="n">
        <v>46067</v>
      </c>
      <c r="I57"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canwork **together**.
**What you will do**
--------------------
Lead the design, development, and deployment of advanced AI/ML solutions for commercial analytics including pricing, marketing, supply chain and trading. You will work end\-to\-end from problem framing and experimentation through production and sustainment while partnering with business stakeholders to deliver scalable, reliable, and impactful solutions.
**What role will you play in the team**
---------------------------------------
* Lead end\-to\-end delivery of AI/ML solutions: scoping, modeling, evaluation, deployment, and monitoring.
* Collaborate with cross\-functional teams to translate business problems into mathematical frameworks.
* Build solutions in one or more domains listed above, applying best practices for data quality, explainability, and governance.
* Develop GenAI applications (chatbots, copilots, multi\-agent workflows) and/or time series, optimization, or commercial analytics models.
* Ensure production readiness through MLOps practices (CI/CD, MLflow, monitoring, cost optimization).
* Mentor peers and contribute to internal AI capability building.
**About you**
-------------
 **Desired Skills**
* 5\+ years of direct experience delivering production AI/ML solutions.
* Expertise in commercial analytics for pricing, marketing, supply chain management or oil \&amp; gas trading.
* Strong foundations in statistics, probability, and algorithm design.
* Proficiency in Python and ML frameworks (PyTorch, TensorFlow, scikit\-learn); experience with Databricks/Spark.
* Familiarity with GenAI frameworks (LangChain, Promptflow) and/or optimization libraries.
* Experience with MLOps, model governance, and explainable AI techniques (e.g., SHAP, LIME).
* Excellent communication and collaboration skills.
 **Preferred Knowledge/Skills**
* Cloud platforms (Azure ML, Azure OpenAI, Databricks).
* Knowledge graphs, hybrid search/RAG, and semantic technologies.
* Agile development and software engineering best practices.
 **Educational Background Recommended**
* Master’s or PhD in Data Science, Computer Science, Engineering, Applied Math, or related field.
**Your benefits**
-----------------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
Learn more at our **website**  
Follow us on **LinkedIN** and **Instagram**  
Like us on **Facebook**  
Subscribe our channel at **YouTube**
**Employee equal opportunity**
------------------------------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82223**
\#LI\-Onsite</t>
        </is>
      </c>
    </row>
    <row r="58">
      <c r="A58" t="inlineStr">
        <is>
          <t>in-79947bb64759952f</t>
        </is>
      </c>
      <c r="B58" t="inlineStr">
        <is>
          <t>GenAI Data Scientist, Subsurface &amp; Well Operations</t>
        </is>
      </c>
      <c r="C58" t="inlineStr">
        <is>
          <t>ExxonMobil</t>
        </is>
      </c>
      <c r="D58" t="inlineStr">
        <is>
          <t>indeed</t>
        </is>
      </c>
      <c r="E58">
        <f>HYPERLINK("https://www.indeed.com/viewjob?jk=79947bb64759952f", "https://www.indeed.com/viewjob?jk=79947bb64759952f")</f>
        <v/>
      </c>
      <c r="F58">
        <f>HYPERLINK("https://jobs.exxonmobil.com/ExxonMobil/job/Houston-GenAI-Data-Scientist%2C-Subsurface-&amp;-Well-Operations-TX-77001/1357176600/?feedId=204100&amp;utm_source=Indeed&amp;utm_campaign=XOM_Indeed", "https://jobs.exxonmobil.com/ExxonMobil/job/Houston-GenAI-Data-Scientist%2C-Subsurface-&amp;-Well-Operations-TX-77001/1357176600/?feedId=204100&amp;utm_source=Indeed&amp;utm_campaign=XOM_Indeed")</f>
        <v/>
      </c>
      <c r="G58" t="inlineStr">
        <is>
          <t>Houston, TX, US</t>
        </is>
      </c>
      <c r="H58" s="3" t="n">
        <v>46067</v>
      </c>
      <c r="I58"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canwork **together**.
**About Houston**
-----------------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world’s top academic, research, and corporate facilities.
Learn more about what we do in Houston **here****.**
**What role you will play in our team**
---------------------------------------
* Work on complex AI use cases from ideation and discovery through deployment and sustainment as part of integrated, enterprise\-level teams.
* Collaborate with ExxonMobil subject matter experts to strengthen organizational capabilities in AI/ML.
* Support business teams in making impactful, data\-driven decisions.
**What you will do**
--------------------
* Lead the scoping, design, development, and deployment of AI/ML solutions, primarily focused on Generative AI applications for subsurface and well\-related operations.
* Collaborate with data and machine learning engineers to operationalize models and ensure seamless integration with existing digital infrastructure.
* Build and deploy AI system components (such as chatbots, agents, and other workflow automation components) capable of interacting with diverse data sources and providing insightful information to users.
* Develop and implement solutions involving orchestration of multiple AI agents to achieve complex tasks.
* Apply domain knowledge and physical principles to improve model accuracy and reliability.
* Contribute to the growth of internal AI capabilities by sharing expertise and developing best practices.
* Provide technical mentorship and guidance to colleagues across teams.
* Work closely with team leads and subject matter experts to align on project priorities, strategy, and solution design.
* Optimize end to end AI solutions to enhance performance, usability, and cost
* Work closely with business to understand business problem and translate that into mathematical framework. Also, work with business to help enhance business adaptability for the solution.
* Validate AI system responses, including troubleshooting prompt engineering, agentic workflows and other aspects of a GenAI system.
* Develop process and automation for accelerating validation of AI systems, while ensuring the proper degree of accuracy is maintained.
**About You**
-------------
 **Skills / Qualifications**
* 5\+ years of professional experience in developing and deploying AI/ML solutions, with a strong emphasis on
* Generative AI technologies and a solid background in applying these methods to physical systems and engineering workflows.
* Deep expertise in natural language processing (NLP), large language models (LLMs), and building agentic workflows for Generative AI with the ability to understand underlying mathematics and develop novel algorithms.
* Solid understanding of knowledge graphs, ontologies, and semantic technologies.
* Solid foundation and experiences in AI/ML on data processing, probability and statistics, EDA, feature engineering, modeling strategy, model development, and explainable AI.
* Proven track record of successfully developing and deploying multiple end\-to\-end Generative AI solutions, notably multi\-agent systems, in business environments.
* Proficient in Python and widely used ML frameworks such as TensorFlow, PyTorch, and Scikit\-learn.
* Proficient in Generative AI frameworks such as Langchain, Promptflow, or Copilot Studio
* Proven ability to uncover meaningful insights from complex datasets.
* Strong drive toward hands\-on testing of hypotheses and rapid validation of assumptions through data.
* Strong communication, collaboration, and problem\-solving skills.
* Advanced degree (Master’s or PhD) in Data Science, Computer Science, Engineering, or a related field.
 **Preferred Knowledge/Skills**
* Experience in the energy industry, preferably with a focus on subsurface or well\-related topics.
* Experience in implementing hybrid search systems in conjunction with Large Language Models, e.g. Retrieval Augmented Generation (RAG) solutions.
* Proficient in using the Databricks platform, Azure Open AI, Azure managed NLP services and OCR technologies.
* Demonstrated ability to thrive in a collaborative Agile product team setting.
**Your Benefits**
-----------------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
Learn more at our **website**  
Follow us on **LinkedIN** and **Instagram**  
Like us on **Facebook**  
Subscribe our channel at **YouTube**
**Employee Equal Opportunity**
------------------------------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81336**</t>
        </is>
      </c>
    </row>
    <row r="59">
      <c r="A59" t="inlineStr">
        <is>
          <t>in-b34a94be4b9c1e75</t>
        </is>
      </c>
      <c r="B59" t="inlineStr">
        <is>
          <t>Data Scientist - Computer Vision, Data &amp; Machine Learning (DML)</t>
        </is>
      </c>
      <c r="C59" t="inlineStr">
        <is>
          <t>Amazon Web Services</t>
        </is>
      </c>
      <c r="D59" t="inlineStr">
        <is>
          <t>indeed</t>
        </is>
      </c>
      <c r="E59">
        <f>HYPERLINK("https://www.indeed.com/viewjob?jk=b34a94be4b9c1e75", "https://www.indeed.com/viewjob?jk=b34a94be4b9c1e75")</f>
        <v/>
      </c>
      <c r="F59">
        <f>HYPERLINK("https://www.amazon.jobs/jobs/3171977/data-scientist--computer-vision-data--machine-learning-dml?cmpid=DA_INAD200785B", "https://www.amazon.jobs/jobs/3171977/data-scientist--computer-vision-data--machine-learning-dml?cmpid=DA_INAD200785B")</f>
        <v/>
      </c>
      <c r="G59" t="inlineStr">
        <is>
          <t>Arlington, VA, US</t>
        </is>
      </c>
      <c r="H59" s="3" t="n">
        <v>46051</v>
      </c>
      <c r="I59"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60">
      <c r="A60" t="inlineStr">
        <is>
          <t>in-2c97cbe3d44a7b0d</t>
        </is>
      </c>
      <c r="B60" t="inlineStr">
        <is>
          <t>Data Scientist - Computer Vision, Data &amp; Machine Learning (DML)</t>
        </is>
      </c>
      <c r="C60" t="inlineStr">
        <is>
          <t>Amazon Web Services</t>
        </is>
      </c>
      <c r="D60" t="inlineStr">
        <is>
          <t>indeed</t>
        </is>
      </c>
      <c r="E60">
        <f>HYPERLINK("https://www.indeed.com/viewjob?jk=2c97cbe3d44a7b0d", "https://www.indeed.com/viewjob?jk=2c97cbe3d44a7b0d")</f>
        <v/>
      </c>
      <c r="F60">
        <f>HYPERLINK("https://www.amazon.jobs/jobs/3171977/data-scientist--computer-vision-data--machine-learning-dml?cmpid=DA_INAD200785B", "https://www.amazon.jobs/jobs/3171977/data-scientist--computer-vision-data--machine-learning-dml?cmpid=DA_INAD200785B")</f>
        <v/>
      </c>
      <c r="G60" t="inlineStr">
        <is>
          <t>Herndon, VA, US</t>
        </is>
      </c>
      <c r="H60" s="3" t="n">
        <v>46051</v>
      </c>
      <c r="I60"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61">
      <c r="A61" t="inlineStr">
        <is>
          <t>in-a743be86a677de4f</t>
        </is>
      </c>
      <c r="B61" t="inlineStr">
        <is>
          <t>Sr. Applied Scientist - SLAM, Amazon Industrial Robotics</t>
        </is>
      </c>
      <c r="C61" t="inlineStr">
        <is>
          <t>Amazon.com</t>
        </is>
      </c>
      <c r="D61" t="inlineStr">
        <is>
          <t>indeed</t>
        </is>
      </c>
      <c r="E61">
        <f>HYPERLINK("https://www.indeed.com/viewjob?jk=a743be86a677de4f", "https://www.indeed.com/viewjob?jk=a743be86a677de4f")</f>
        <v/>
      </c>
      <c r="F61">
        <f>HYPERLINK("https://www.amazon.jobs/jobs/3172078/sr-applied-scientist--slam-amazon-industrial-robotics?cmpid=DA_INAD200785B", "https://www.amazon.jobs/jobs/3172078/sr-applied-scientist--slam-amazon-industrial-robotics?cmpid=DA_INAD200785B")</f>
        <v/>
      </c>
      <c r="G61" t="inlineStr">
        <is>
          <t>Reading, MA, US</t>
        </is>
      </c>
      <c r="H61" s="3" t="n">
        <v>46050</v>
      </c>
      <c r="I61"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62">
      <c r="A62" t="inlineStr">
        <is>
          <t>in-a2f53dd76355d8d3</t>
        </is>
      </c>
      <c r="B62" t="inlineStr">
        <is>
          <t>Sr. Applied Scientist, Sponsored Products Off-Search Sourcing</t>
        </is>
      </c>
      <c r="C62" t="inlineStr">
        <is>
          <t>Amazon.com</t>
        </is>
      </c>
      <c r="D62" t="inlineStr">
        <is>
          <t>indeed</t>
        </is>
      </c>
      <c r="E62">
        <f>HYPERLINK("https://www.indeed.com/viewjob?jk=a2f53dd76355d8d3", "https://www.indeed.com/viewjob?jk=a2f53dd76355d8d3")</f>
        <v/>
      </c>
      <c r="F62">
        <f>HYPERLINK("https://www.amazon.jobs/jobs/3169094/sr-applied-scientist-sponsored-products-offsearch-sourcing?cmpid=DA_INAD200785B", "https://www.amazon.jobs/jobs/3169094/sr-applied-scientist-sponsored-products-offsearch-sourcing?cmpid=DA_INAD200785B")</f>
        <v/>
      </c>
      <c r="G62" t="inlineStr">
        <is>
          <t>Palo Alto, CA, US</t>
        </is>
      </c>
      <c r="H62" s="3" t="n">
        <v>46049</v>
      </c>
      <c r="I62"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63">
      <c r="A63" t="inlineStr">
        <is>
          <t>in-a8fd45ae421987fa</t>
        </is>
      </c>
      <c r="B63" t="inlineStr">
        <is>
          <t>Sr. Applied Scientist, Sponsored Products Off-Search Sourcing</t>
        </is>
      </c>
      <c r="C63" t="inlineStr">
        <is>
          <t>Amazon.com</t>
        </is>
      </c>
      <c r="D63" t="inlineStr">
        <is>
          <t>indeed</t>
        </is>
      </c>
      <c r="E63">
        <f>HYPERLINK("https://www.indeed.com/viewjob?jk=a8fd45ae421987fa", "https://www.indeed.com/viewjob?jk=a8fd45ae421987fa")</f>
        <v/>
      </c>
      <c r="F63">
        <f>HYPERLINK("https://www.amazon.jobs/jobs/3169094/sr-applied-scientist-sponsored-products-offsearch-sourcing?cmpid=DA_INAD200785B", "https://www.amazon.jobs/jobs/3169094/sr-applied-scientist-sponsored-products-offsearch-sourcing?cmpid=DA_INAD200785B")</f>
        <v/>
      </c>
      <c r="G63" t="inlineStr">
        <is>
          <t>Seattle, WA, US</t>
        </is>
      </c>
      <c r="H63" s="3" t="n">
        <v>46049</v>
      </c>
      <c r="I63"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64">
      <c r="A64" t="inlineStr">
        <is>
          <t>in-d42905d1f0ffff56</t>
        </is>
      </c>
      <c r="B64" t="inlineStr">
        <is>
          <t>Sr. Applied Scientist, Sponsored Products Off-Search Sourcing</t>
        </is>
      </c>
      <c r="C64" t="inlineStr">
        <is>
          <t>Amazon.com</t>
        </is>
      </c>
      <c r="D64" t="inlineStr">
        <is>
          <t>indeed</t>
        </is>
      </c>
      <c r="E64">
        <f>HYPERLINK("https://www.indeed.com/viewjob?jk=d42905d1f0ffff56", "https://www.indeed.com/viewjob?jk=d42905d1f0ffff56")</f>
        <v/>
      </c>
      <c r="F64">
        <f>HYPERLINK("https://www.amazon.jobs/jobs/3169094/sr-applied-scientist-sponsored-products-offsearch-sourcing?cmpid=DA_INAD200785B", "https://www.amazon.jobs/jobs/3169094/sr-applied-scientist-sponsored-products-offsearch-sourcing?cmpid=DA_INAD200785B")</f>
        <v/>
      </c>
      <c r="G64" t="inlineStr">
        <is>
          <t>New York, NY, US</t>
        </is>
      </c>
      <c r="H64" s="3" t="n">
        <v>46049</v>
      </c>
      <c r="I64"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65">
      <c r="A65" t="inlineStr">
        <is>
          <t>in-d9a33e81e214a970</t>
        </is>
      </c>
      <c r="B65" t="inlineStr">
        <is>
          <t>Principal Applied Scientist, AWS Science of Security</t>
        </is>
      </c>
      <c r="C65" t="inlineStr">
        <is>
          <t>Amazon.com</t>
        </is>
      </c>
      <c r="D65" t="inlineStr">
        <is>
          <t>indeed</t>
        </is>
      </c>
      <c r="E65">
        <f>HYPERLINK("https://www.indeed.com/viewjob?jk=d9a33e81e214a970", "https://www.indeed.com/viewjob?jk=d9a33e81e214a970")</f>
        <v/>
      </c>
      <c r="F65">
        <f>HYPERLINK("https://www.amazon.jobs/jobs/3170939/principal-applied-scientist-aws-science-of-security?cmpid=DA_INAD200785B", "https://www.amazon.jobs/jobs/3170939/principal-applied-scientist-aws-science-of-security?cmpid=DA_INAD200785B")</f>
        <v/>
      </c>
      <c r="G65" t="inlineStr">
        <is>
          <t>Seattle, WA, US</t>
        </is>
      </c>
      <c r="H65" s="3" t="n">
        <v>46049</v>
      </c>
      <c r="I65"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66">
      <c r="A66" t="inlineStr">
        <is>
          <t>in-51e535b61c8b6b05</t>
        </is>
      </c>
      <c r="B66" t="inlineStr">
        <is>
          <t>Principal Applied Scientist, AWS Science of Security</t>
        </is>
      </c>
      <c r="C66" t="inlineStr">
        <is>
          <t>Amazon.com</t>
        </is>
      </c>
      <c r="D66" t="inlineStr">
        <is>
          <t>indeed</t>
        </is>
      </c>
      <c r="E66">
        <f>HYPERLINK("https://www.indeed.com/viewjob?jk=51e535b61c8b6b05", "https://www.indeed.com/viewjob?jk=51e535b61c8b6b05")</f>
        <v/>
      </c>
      <c r="F66">
        <f>HYPERLINK("https://www.amazon.jobs/jobs/3170939/principal-applied-scientist-aws-science-of-security?cmpid=DA_INAD200785B", "https://www.amazon.jobs/jobs/3170939/principal-applied-scientist-aws-science-of-security?cmpid=DA_INAD200785B")</f>
        <v/>
      </c>
      <c r="G66" t="inlineStr">
        <is>
          <t>Arlington, VA, US</t>
        </is>
      </c>
      <c r="H66" s="3" t="n">
        <v>46049</v>
      </c>
      <c r="I66"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67">
      <c r="A67" t="inlineStr">
        <is>
          <t>in-87ce9d05e529b66f</t>
        </is>
      </c>
      <c r="B67" t="inlineStr">
        <is>
          <t>Principal Applied Scientist, AWS Science of Security</t>
        </is>
      </c>
      <c r="C67" t="inlineStr">
        <is>
          <t>Amazon.com</t>
        </is>
      </c>
      <c r="D67" t="inlineStr">
        <is>
          <t>indeed</t>
        </is>
      </c>
      <c r="E67">
        <f>HYPERLINK("https://www.indeed.com/viewjob?jk=87ce9d05e529b66f", "https://www.indeed.com/viewjob?jk=87ce9d05e529b66f")</f>
        <v/>
      </c>
      <c r="F67">
        <f>HYPERLINK("https://www.amazon.jobs/jobs/3170939/principal-applied-scientist-aws-science-of-security?cmpid=DA_INAD200785B", "https://www.amazon.jobs/jobs/3170939/principal-applied-scientist-aws-science-of-security?cmpid=DA_INAD200785B")</f>
        <v/>
      </c>
      <c r="G67" t="inlineStr">
        <is>
          <t>New York, NY, US</t>
        </is>
      </c>
      <c r="H67" s="3" t="n">
        <v>46049</v>
      </c>
      <c r="I67"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68">
      <c r="A68" t="inlineStr">
        <is>
          <t>in-099c1440e3dc3e0d</t>
        </is>
      </c>
      <c r="B68" t="inlineStr">
        <is>
          <t>Applied Scientist II, Prime Video Personalization and Discovery Science</t>
        </is>
      </c>
      <c r="C68" t="inlineStr">
        <is>
          <t>Amazon.com</t>
        </is>
      </c>
      <c r="D68" t="inlineStr">
        <is>
          <t>indeed</t>
        </is>
      </c>
      <c r="E68">
        <f>HYPERLINK("https://www.indeed.com/viewjob?jk=099c1440e3dc3e0d", "https://www.indeed.com/viewjob?jk=099c1440e3dc3e0d")</f>
        <v/>
      </c>
      <c r="F68">
        <f>HYPERLINK("https://www.amazon.jobs/jobs/3168905/applied-scientist-ii-prime-video-personalization-and-discovery-science?cmpid=DA_INAD200785B", "https://www.amazon.jobs/jobs/3168905/applied-scientist-ii-prime-video-personalization-and-discovery-science?cmpid=DA_INAD200785B")</f>
        <v/>
      </c>
      <c r="G68" t="inlineStr">
        <is>
          <t>Seattle, WA, US</t>
        </is>
      </c>
      <c r="H68" s="3" t="n">
        <v>46047</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9">
      <c r="A69" t="inlineStr">
        <is>
          <t>in-f4643d3b4064555a</t>
        </is>
      </c>
      <c r="B69" t="inlineStr">
        <is>
          <t>Applied Scientist II, Prime Video Personalization and Discovery Science</t>
        </is>
      </c>
      <c r="C69" t="inlineStr">
        <is>
          <t>Amazon.com</t>
        </is>
      </c>
      <c r="D69" t="inlineStr">
        <is>
          <t>indeed</t>
        </is>
      </c>
      <c r="E69">
        <f>HYPERLINK("https://www.indeed.com/viewjob?jk=f4643d3b4064555a", "https://www.indeed.com/viewjob?jk=f4643d3b4064555a")</f>
        <v/>
      </c>
      <c r="F69">
        <f>HYPERLINK("https://www.amazon.jobs/jobs/3168905/applied-scientist-ii-prime-video-personalization-and-discovery-science?cmpid=DA_INAD200785B", "https://www.amazon.jobs/jobs/3168905/applied-scientist-ii-prime-video-personalization-and-discovery-science?cmpid=DA_INAD200785B")</f>
        <v/>
      </c>
      <c r="G69" t="inlineStr">
        <is>
          <t>New York, NY, US</t>
        </is>
      </c>
      <c r="H69" s="3" t="n">
        <v>46047</v>
      </c>
      <c r="I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0">
      <c r="A70" t="inlineStr">
        <is>
          <t>in-0205bf17e01c46ef</t>
        </is>
      </c>
      <c r="B70" t="inlineStr">
        <is>
          <t>Applied Scientist, Amazon Connect</t>
        </is>
      </c>
      <c r="C70" t="inlineStr">
        <is>
          <t>Amazon Web Services</t>
        </is>
      </c>
      <c r="D70" t="inlineStr">
        <is>
          <t>indeed</t>
        </is>
      </c>
      <c r="E70">
        <f>HYPERLINK("https://www.indeed.com/viewjob?jk=0205bf17e01c46ef", "https://www.indeed.com/viewjob?jk=0205bf17e01c46ef")</f>
        <v/>
      </c>
      <c r="F70">
        <f>HYPERLINK("https://www.amazon.jobs/jobs/3168981/applied-scientist-amazon-connect?cmpid=DA_INAD200785B", "https://www.amazon.jobs/jobs/3168981/applied-scientist-amazon-connect?cmpid=DA_INAD200785B")</f>
        <v/>
      </c>
      <c r="G70" t="inlineStr">
        <is>
          <t>Seattle, WA, US</t>
        </is>
      </c>
      <c r="H70" s="3" t="n">
        <v>46047</v>
      </c>
      <c r="I70"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1">
      <c r="A71" t="inlineStr">
        <is>
          <t>in-6e90401c6fbd247d</t>
        </is>
      </c>
      <c r="B71" t="inlineStr">
        <is>
          <t>Applied Scientist, Amazon Connect</t>
        </is>
      </c>
      <c r="C71" t="inlineStr">
        <is>
          <t>Amazon Web Services</t>
        </is>
      </c>
      <c r="D71" t="inlineStr">
        <is>
          <t>indeed</t>
        </is>
      </c>
      <c r="E71">
        <f>HYPERLINK("https://www.indeed.com/viewjob?jk=6e90401c6fbd247d", "https://www.indeed.com/viewjob?jk=6e90401c6fbd247d")</f>
        <v/>
      </c>
      <c r="F71">
        <f>HYPERLINK("https://www.amazon.jobs/jobs/3168981/applied-scientist-amazon-connect?cmpid=DA_INAD200785B", "https://www.amazon.jobs/jobs/3168981/applied-scientist-amazon-connect?cmpid=DA_INAD200785B")</f>
        <v/>
      </c>
      <c r="G71" t="inlineStr">
        <is>
          <t>New York, NY, US</t>
        </is>
      </c>
      <c r="H71" s="3" t="n">
        <v>46047</v>
      </c>
      <c r="I71"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2">
      <c r="A72" t="inlineStr">
        <is>
          <t>in-36ef9e88112f0d69</t>
        </is>
      </c>
      <c r="B72" t="inlineStr">
        <is>
          <t>Applied Scientist II, Prime Video Personalization and Discovery Science</t>
        </is>
      </c>
      <c r="C72" t="inlineStr">
        <is>
          <t>Amazon.com</t>
        </is>
      </c>
      <c r="D72" t="inlineStr">
        <is>
          <t>indeed</t>
        </is>
      </c>
      <c r="E72">
        <f>HYPERLINK("https://www.indeed.com/viewjob?jk=36ef9e88112f0d69", "https://www.indeed.com/viewjob?jk=36ef9e88112f0d69")</f>
        <v/>
      </c>
      <c r="F72">
        <f>HYPERLINK("https://www.amazon.jobs/jobs/3168905/applied-scientist-ii-prime-video-personalization-and-discovery-science?cmpid=DA_INAD200785B", "https://www.amazon.jobs/jobs/3168905/applied-scientist-ii-prime-video-personalization-and-discovery-science?cmpid=DA_INAD200785B")</f>
        <v/>
      </c>
      <c r="G72" t="inlineStr">
        <is>
          <t>Sunnyvale, CA, US</t>
        </is>
      </c>
      <c r="H72" s="3" t="n">
        <v>46047</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3">
      <c r="A73" t="inlineStr">
        <is>
          <t>in-c27da14d92478bf0</t>
        </is>
      </c>
      <c r="B73" t="inlineStr">
        <is>
          <t>Sr. Applied Scientist, Amazon Connect</t>
        </is>
      </c>
      <c r="C73" t="inlineStr">
        <is>
          <t>Amazon Web Services</t>
        </is>
      </c>
      <c r="D73" t="inlineStr">
        <is>
          <t>indeed</t>
        </is>
      </c>
      <c r="E73">
        <f>HYPERLINK("https://www.indeed.com/viewjob?jk=c27da14d92478bf0", "https://www.indeed.com/viewjob?jk=c27da14d92478bf0")</f>
        <v/>
      </c>
      <c r="F73">
        <f>HYPERLINK("https://www.amazon.jobs/jobs/3168991/sr-applied-scientist-amazon-connect?cmpid=DA_INAD200785B", "https://www.amazon.jobs/jobs/3168991/sr-applied-scientist-amazon-connect?cmpid=DA_INAD200785B")</f>
        <v/>
      </c>
      <c r="G73" t="inlineStr">
        <is>
          <t>New York, NY, US</t>
        </is>
      </c>
      <c r="H73" s="3" t="n">
        <v>46047</v>
      </c>
      <c r="I73"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Senior Applied Scientist will lead the scientific agenda for AI systems at the product level. The role requires identifying and solving ill\-defined problems where no textbook solutions exist, balancing rapid innovation with reliability and compliance. You should be comfortable making decisions with incomplete information and driving solutions in ambiguous problem spaces. You'll work closely with senior technical leaders within the team and across AWS, influencing across multiple teams. We're looking for scientists who can maintain high standards while moving quickly, prioritizing both rapid experimentation and responsible AI development to deliver measurable customer impact.  
Key job responsibilities  
* Lead the design, implementation, and delivery of scientifically\-complex production solutions that address medium\-to\-large business problems
* Drive your team's scientific agenda and propose new initiatives aligned with customer needs and business problems
* Invent new methodologies or paradigms when existing approaches are insufficient
* Influence across multiple teams to build consensus on technical direction and scientific approaches
* Deliver significant portions of critical\-path code that meets high quality standards (efficient, reproducible, testable, maintainable)
* Actively mentor and develop other scientists, fostering a culture of scientific excellence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in engineering, technology, computer science, machine learning, robotics, operations research, statistics, mathematics or equivalent quantitative field
* 5\+ years of building machine learning models or developing algorithms for business application experience
* Experience programming in Java, C\+\+, Python or related language
* Experience in patents or publications at top\-tier peer\-reviewed conferences or journals
* Experience collaborating and influencing multiple teams across multiple organizations
* Experience leading, mentoring and growing teams of scientists (teams of five or more scientists)
**PREFERRED QUALIFICATIONS**
----------------------------
* Experience with modeling tools such as R, scikit\-learn, Spark MLLib, MxNet, Tensorflow, numpy, scipy etc.
* Experience with large scale distributed systems such as Hadoop, Spark etc.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74">
      <c r="A74" t="inlineStr">
        <is>
          <t>in-17e56d1c12fb9027</t>
        </is>
      </c>
      <c r="B74" t="inlineStr">
        <is>
          <t>Sr. Applied Scientist, Amazon Connect</t>
        </is>
      </c>
      <c r="C74" t="inlineStr">
        <is>
          <t>Amazon Web Services</t>
        </is>
      </c>
      <c r="D74" t="inlineStr">
        <is>
          <t>indeed</t>
        </is>
      </c>
      <c r="E74">
        <f>HYPERLINK("https://www.indeed.com/viewjob?jk=17e56d1c12fb9027", "https://www.indeed.com/viewjob?jk=17e56d1c12fb9027")</f>
        <v/>
      </c>
      <c r="F74">
        <f>HYPERLINK("https://www.amazon.jobs/jobs/3168991/sr-applied-scientist-amazon-connect?cmpid=DA_INAD200785B", "https://www.amazon.jobs/jobs/3168991/sr-applied-scientist-amazon-connect?cmpid=DA_INAD200785B")</f>
        <v/>
      </c>
      <c r="G74" t="inlineStr">
        <is>
          <t>Seattle, WA, US</t>
        </is>
      </c>
      <c r="H74" s="3" t="n">
        <v>46047</v>
      </c>
      <c r="I74"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Senior Applied Scientist will lead the scientific agenda for AI systems at the product level. The role requires identifying and solving ill\-defined problems where no textbook solutions exist, balancing rapid innovation with reliability and compliance. You should be comfortable making decisions with incomplete information and driving solutions in ambiguous problem spaces. You'll work closely with senior technical leaders within the team and across AWS, influencing across multiple teams. We're looking for scientists who can maintain high standards while moving quickly, prioritizing both rapid experimentation and responsible AI development to deliver measurable customer impact.  
Key job responsibilities  
* Lead the design, implementation, and delivery of scientifically\-complex production solutions that address medium\-to\-large business problems
* Drive your team's scientific agenda and propose new initiatives aligned with customer needs and business problems
* Invent new methodologies or paradigms when existing approaches are insufficient
* Influence across multiple teams to build consensus on technical direction and scientific approaches
* Deliver significant portions of critical\-path code that meets high quality standards (efficient, reproducible, testable, maintainable)
* Actively mentor and develop other scientists, fostering a culture of scientific excellence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in engineering, technology, computer science, machine learning, robotics, operations research, statistics, mathematics or equivalent quantitative field
* 5\+ years of building machine learning models or developing algorithms for business application experience
* Experience programming in Java, C\+\+, Python or related language
* Experience in patents or publications at top\-tier peer\-reviewed conferences or journals
* Experience collaborating and influencing multiple teams across multiple organizations
* Experience leading, mentoring and growing teams of scientists (teams of five or more scientists)
**PREFERRED QUALIFICATIONS**
----------------------------
* Experience with modeling tools such as R, scikit\-learn, Spark MLLib, MxNet, Tensorflow, numpy, scipy etc.
* Experience with large scale distributed systems such as Hadoop, Spark etc.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75">
      <c r="A75" t="inlineStr">
        <is>
          <t>in-4936a7bdc2c382d2</t>
        </is>
      </c>
      <c r="B75" t="inlineStr">
        <is>
          <t>Applied Scientist, Safety ML</t>
        </is>
      </c>
      <c r="C75" t="inlineStr">
        <is>
          <t>Amazon.com</t>
        </is>
      </c>
      <c r="D75" t="inlineStr">
        <is>
          <t>indeed</t>
        </is>
      </c>
      <c r="E75">
        <f>HYPERLINK("https://www.indeed.com/viewjob?jk=4936a7bdc2c382d2", "https://www.indeed.com/viewjob?jk=4936a7bdc2c382d2")</f>
        <v/>
      </c>
      <c r="F75">
        <f>HYPERLINK("https://www.amazon.jobs/jobs/3161224/applied-scientist-safety-ml?cmpid=DA_INAD200785B", "https://www.amazon.jobs/jobs/3161224/applied-scientist-safety-ml?cmpid=DA_INAD200785B")</f>
        <v/>
      </c>
      <c r="G75" t="inlineStr">
        <is>
          <t>San Francisco, CA, US</t>
        </is>
      </c>
      <c r="H75" s="3" t="n">
        <v>46037</v>
      </c>
      <c r="I7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76">
      <c r="A76" t="inlineStr">
        <is>
          <t>in-61155fe488e260e4</t>
        </is>
      </c>
      <c r="B76" t="inlineStr">
        <is>
          <t>Applied Scientist, Safety ML</t>
        </is>
      </c>
      <c r="C76" t="inlineStr">
        <is>
          <t>Amazon.com</t>
        </is>
      </c>
      <c r="D76" t="inlineStr">
        <is>
          <t>indeed</t>
        </is>
      </c>
      <c r="E76">
        <f>HYPERLINK("https://www.indeed.com/viewjob?jk=61155fe488e260e4", "https://www.indeed.com/viewjob?jk=61155fe488e260e4")</f>
        <v/>
      </c>
      <c r="F76">
        <f>HYPERLINK("https://www.amazon.jobs/jobs/3161224/applied-scientist-safety-ml?cmpid=DA_INAD200785B", "https://www.amazon.jobs/jobs/3161224/applied-scientist-safety-ml?cmpid=DA_INAD200785B")</f>
        <v/>
      </c>
      <c r="G76" t="inlineStr">
        <is>
          <t>Seattle, WA, US</t>
        </is>
      </c>
      <c r="H76" s="3" t="n">
        <v>46037</v>
      </c>
      <c r="I7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77">
      <c r="A77" t="inlineStr">
        <is>
          <t>in-e42dca8ece8d909d</t>
        </is>
      </c>
      <c r="B77" t="inlineStr">
        <is>
          <t>Applied Scientist, LLM Code Agents, Kiro Science</t>
        </is>
      </c>
      <c r="C77" t="inlineStr">
        <is>
          <t>Amazon.com</t>
        </is>
      </c>
      <c r="D77" t="inlineStr">
        <is>
          <t>indeed</t>
        </is>
      </c>
      <c r="E77">
        <f>HYPERLINK("https://www.indeed.com/viewjob?jk=e42dca8ece8d909d", "https://www.indeed.com/viewjob?jk=e42dca8ece8d909d")</f>
        <v/>
      </c>
      <c r="F77">
        <f>HYPERLINK("https://www.amazon.jobs/jobs/3161363/applied-scientist-llm-code-agents-kiro-science?cmpid=DA_INAD200785B", "https://www.amazon.jobs/jobs/3161363/applied-scientist-llm-code-agents-kiro-science?cmpid=DA_INAD200785B")</f>
        <v/>
      </c>
      <c r="G77" t="inlineStr">
        <is>
          <t>Seattle, WA, US</t>
        </is>
      </c>
      <c r="H77" s="3" t="n">
        <v>46035</v>
      </c>
      <c r="I77"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78">
      <c r="A78" t="inlineStr">
        <is>
          <t>in-9f4bddaf51ea988e</t>
        </is>
      </c>
      <c r="B78" t="inlineStr">
        <is>
          <t>Applied Scientist, LLM Code Agents, Kiro Science</t>
        </is>
      </c>
      <c r="C78" t="inlineStr">
        <is>
          <t>Amazon.com</t>
        </is>
      </c>
      <c r="D78" t="inlineStr">
        <is>
          <t>indeed</t>
        </is>
      </c>
      <c r="E78">
        <f>HYPERLINK("https://www.indeed.com/viewjob?jk=9f4bddaf51ea988e", "https://www.indeed.com/viewjob?jk=9f4bddaf51ea988e")</f>
        <v/>
      </c>
      <c r="F78">
        <f>HYPERLINK("https://www.amazon.jobs/jobs/3161363/applied-scientist-llm-code-agents-kiro-science?cmpid=DA_INAD200785B", "https://www.amazon.jobs/jobs/3161363/applied-scientist-llm-code-agents-kiro-science?cmpid=DA_INAD200785B")</f>
        <v/>
      </c>
      <c r="G78" t="inlineStr">
        <is>
          <t>Santa Clara, CA, US</t>
        </is>
      </c>
      <c r="H78" s="3" t="n">
        <v>46035</v>
      </c>
      <c r="I78"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79">
      <c r="A79" t="inlineStr">
        <is>
          <t>in-c86410d7a994212b</t>
        </is>
      </c>
      <c r="B79" t="inlineStr">
        <is>
          <t>Senior Data Scientist, Amazon Stores Finance Science, Amazon Stores Finance Science</t>
        </is>
      </c>
      <c r="C79" t="inlineStr">
        <is>
          <t>Amazon.com</t>
        </is>
      </c>
      <c r="D79" t="inlineStr">
        <is>
          <t>indeed</t>
        </is>
      </c>
      <c r="E79">
        <f>HYPERLINK("https://www.indeed.com/viewjob?jk=c86410d7a994212b", "https://www.indeed.com/viewjob?jk=c86410d7a994212b")</f>
        <v/>
      </c>
      <c r="F79">
        <f>HYPERLINK("https://www.amazon.jobs/jobs/3161846/senior-data-scientist-amazon-stores-finance-science-amazon-stores-finance-science?cmpid=DA_INAD200785B", "https://www.amazon.jobs/jobs/3161846/senior-data-scientist-amazon-stores-finance-science-amazon-stores-finance-science?cmpid=DA_INAD200785B")</f>
        <v/>
      </c>
      <c r="G79" t="inlineStr">
        <is>
          <t>Bellevue, WA, US</t>
        </is>
      </c>
      <c r="H79" s="3" t="n">
        <v>46034</v>
      </c>
      <c r="I79"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80">
      <c r="A80" t="inlineStr">
        <is>
          <t>in-a076818fa57e66d7</t>
        </is>
      </c>
      <c r="B80" t="inlineStr">
        <is>
          <t>Senior Data Scientist, Amazon Stores Finance Science, Amazon Stores Finance Science</t>
        </is>
      </c>
      <c r="C80" t="inlineStr">
        <is>
          <t>Amazon.com</t>
        </is>
      </c>
      <c r="D80" t="inlineStr">
        <is>
          <t>indeed</t>
        </is>
      </c>
      <c r="E80">
        <f>HYPERLINK("https://www.indeed.com/viewjob?jk=a076818fa57e66d7", "https://www.indeed.com/viewjob?jk=a076818fa57e66d7")</f>
        <v/>
      </c>
      <c r="F80">
        <f>HYPERLINK("https://www.amazon.jobs/jobs/3161846/senior-data-scientist-amazon-stores-finance-science-amazon-stores-finance-science?cmpid=DA_INAD200785B", "https://www.amazon.jobs/jobs/3161846/senior-data-scientist-amazon-stores-finance-science-amazon-stores-finance-science?cmpid=DA_INAD200785B")</f>
        <v/>
      </c>
      <c r="G80" t="inlineStr">
        <is>
          <t>Seattle, WA, US</t>
        </is>
      </c>
      <c r="H80" s="3" t="n">
        <v>46034</v>
      </c>
      <c r="I80"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81">
      <c r="A81" t="inlineStr">
        <is>
          <t>in-32fa22f1e1524885</t>
        </is>
      </c>
      <c r="B81" t="inlineStr">
        <is>
          <t>Senior Data Scientist, Amazon Stores Finance Science, Amazon Stores Finance Science</t>
        </is>
      </c>
      <c r="C81" t="inlineStr">
        <is>
          <t>Amazon.com</t>
        </is>
      </c>
      <c r="D81" t="inlineStr">
        <is>
          <t>indeed</t>
        </is>
      </c>
      <c r="E81">
        <f>HYPERLINK("https://www.indeed.com/viewjob?jk=32fa22f1e1524885", "https://www.indeed.com/viewjob?jk=32fa22f1e1524885")</f>
        <v/>
      </c>
      <c r="F81">
        <f>HYPERLINK("https://www.amazon.jobs/jobs/3161846/senior-data-scientist-amazon-stores-finance-science-amazon-stores-finance-science?cmpid=DA_INAD200785B", "https://www.amazon.jobs/jobs/3161846/senior-data-scientist-amazon-stores-finance-science-amazon-stores-finance-science?cmpid=DA_INAD200785B")</f>
        <v/>
      </c>
      <c r="G81" t="inlineStr">
        <is>
          <t>Sunnyvale, CA, US</t>
        </is>
      </c>
      <c r="H81" s="3" t="n">
        <v>46034</v>
      </c>
      <c r="I81"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82">
      <c r="A82" t="inlineStr">
        <is>
          <t>in-fb0881b233a39bd9</t>
        </is>
      </c>
      <c r="B82" t="inlineStr">
        <is>
          <t>Applied Scientist II, Prime Video Personalization and Discovery Science</t>
        </is>
      </c>
      <c r="C82" t="inlineStr">
        <is>
          <t>Amazon.com</t>
        </is>
      </c>
      <c r="D82" t="inlineStr">
        <is>
          <t>indeed</t>
        </is>
      </c>
      <c r="E82">
        <f>HYPERLINK("https://www.indeed.com/viewjob?jk=fb0881b233a39bd9", "https://www.indeed.com/viewjob?jk=fb0881b233a39bd9")</f>
        <v/>
      </c>
      <c r="F82">
        <f>HYPERLINK("https://www.amazon.jobs/jobs/3165157/applied-scientist-ii-prime-video-personalization-and-discovery-science?cmpid=DA_INAD200785B", "https://www.amazon.jobs/jobs/3165157/applied-scientist-ii-prime-video-personalization-and-discovery-science?cmpid=DA_INAD200785B")</f>
        <v/>
      </c>
      <c r="G82" t="inlineStr">
        <is>
          <t>Sunnyvale, CA, US</t>
        </is>
      </c>
      <c r="H82" s="3" t="n">
        <v>46034</v>
      </c>
      <c r="I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83">
      <c r="A83" t="inlineStr">
        <is>
          <t>in-9e88232a94bad983</t>
        </is>
      </c>
      <c r="B83" t="inlineStr">
        <is>
          <t>Applied Scientist II, Prime Video Personalization and Discovery Science</t>
        </is>
      </c>
      <c r="C83" t="inlineStr">
        <is>
          <t>Amazon.com</t>
        </is>
      </c>
      <c r="D83" t="inlineStr">
        <is>
          <t>indeed</t>
        </is>
      </c>
      <c r="E83">
        <f>HYPERLINK("https://www.indeed.com/viewjob?jk=9e88232a94bad983", "https://www.indeed.com/viewjob?jk=9e88232a94bad983")</f>
        <v/>
      </c>
      <c r="F83">
        <f>HYPERLINK("https://www.amazon.jobs/jobs/3165157/applied-scientist-ii-prime-video-personalization-and-discovery-science?cmpid=DA_INAD200785B", "https://www.amazon.jobs/jobs/3165157/applied-scientist-ii-prime-video-personalization-and-discovery-science?cmpid=DA_INAD200785B")</f>
        <v/>
      </c>
      <c r="G83" t="inlineStr">
        <is>
          <t>Seattle, WA, US</t>
        </is>
      </c>
      <c r="H83" s="3" t="n">
        <v>46034</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84">
      <c r="A84" t="inlineStr">
        <is>
          <t>in-133ee3ccaba005d8</t>
        </is>
      </c>
      <c r="B84" t="inlineStr">
        <is>
          <t>Applied Scientist, Alexa Smart Home</t>
        </is>
      </c>
      <c r="C84" t="inlineStr">
        <is>
          <t>Amazon.com</t>
        </is>
      </c>
      <c r="D84" t="inlineStr">
        <is>
          <t>indeed</t>
        </is>
      </c>
      <c r="E84">
        <f>HYPERLINK("https://www.indeed.com/viewjob?jk=133ee3ccaba005d8", "https://www.indeed.com/viewjob?jk=133ee3ccaba005d8")</f>
        <v/>
      </c>
      <c r="F84">
        <f>HYPERLINK("https://www.amazon.jobs/jobs/3169205/applied-scientist-alexa-smart-home?cmpid=DA_INAD200785B", "https://www.amazon.jobs/jobs/3169205/applied-scientist-alexa-smart-home?cmpid=DA_INAD200785B")</f>
        <v/>
      </c>
      <c r="G84" t="inlineStr">
        <is>
          <t>Sunnyvale, CA, US</t>
        </is>
      </c>
      <c r="H84" s="3" t="n">
        <v>46033</v>
      </c>
      <c r="I8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85">
      <c r="A85" t="inlineStr">
        <is>
          <t>in-fe586957bb8552b0</t>
        </is>
      </c>
      <c r="B85" t="inlineStr">
        <is>
          <t>Applied Scientist, Alexa Smart Home</t>
        </is>
      </c>
      <c r="C85" t="inlineStr">
        <is>
          <t>Amazon.com</t>
        </is>
      </c>
      <c r="D85" t="inlineStr">
        <is>
          <t>indeed</t>
        </is>
      </c>
      <c r="E85">
        <f>HYPERLINK("https://www.indeed.com/viewjob?jk=fe586957bb8552b0", "https://www.indeed.com/viewjob?jk=fe586957bb8552b0")</f>
        <v/>
      </c>
      <c r="F85">
        <f>HYPERLINK("https://www.amazon.jobs/jobs/3169205/applied-scientist-alexa-smart-home?cmpid=DA_INAD200785B", "https://www.amazon.jobs/jobs/3169205/applied-scientist-alexa-smart-home?cmpid=DA_INAD200785B")</f>
        <v/>
      </c>
      <c r="G85" t="inlineStr">
        <is>
          <t>Seattle, WA, US</t>
        </is>
      </c>
      <c r="H85" s="3" t="n">
        <v>46033</v>
      </c>
      <c r="I85"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86">
      <c r="A86" t="inlineStr">
        <is>
          <t>in-a5b196805c3a5ce4</t>
        </is>
      </c>
      <c r="B86" t="inlineStr">
        <is>
          <t>Sr Applied Scientist, AWS Proactive Security</t>
        </is>
      </c>
      <c r="C86" t="inlineStr">
        <is>
          <t>Amazon.com</t>
        </is>
      </c>
      <c r="D86" t="inlineStr">
        <is>
          <t>indeed</t>
        </is>
      </c>
      <c r="E86">
        <f>HYPERLINK("https://www.indeed.com/viewjob?jk=a5b196805c3a5ce4", "https://www.indeed.com/viewjob?jk=a5b196805c3a5ce4")</f>
        <v/>
      </c>
      <c r="F86">
        <f>HYPERLINK("https://www.amazon.jobs/jobs/3164664/sr-applied-scientist-aws-proactive-security?cmpid=DA_INAD200785B", "https://www.amazon.jobs/jobs/3164664/sr-applied-scientist-aws-proactive-security?cmpid=DA_INAD200785B")</f>
        <v/>
      </c>
      <c r="G86" t="inlineStr">
        <is>
          <t>Herndon, VA, US</t>
        </is>
      </c>
      <c r="H86" s="3" t="n">
        <v>46030</v>
      </c>
      <c r="I86"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87">
      <c r="A87" t="inlineStr">
        <is>
          <t>in-bd21bbeba520fc70</t>
        </is>
      </c>
      <c r="B87" t="inlineStr">
        <is>
          <t>Sr Applied Scientist, AWS Proactive Security</t>
        </is>
      </c>
      <c r="C87" t="inlineStr">
        <is>
          <t>Amazon.com</t>
        </is>
      </c>
      <c r="D87" t="inlineStr">
        <is>
          <t>indeed</t>
        </is>
      </c>
      <c r="E87">
        <f>HYPERLINK("https://www.indeed.com/viewjob?jk=bd21bbeba520fc70", "https://www.indeed.com/viewjob?jk=bd21bbeba520fc70")</f>
        <v/>
      </c>
      <c r="F87">
        <f>HYPERLINK("https://www.amazon.jobs/jobs/3164664/sr-applied-scientist-aws-proactive-security?cmpid=DA_INAD200785B", "https://www.amazon.jobs/jobs/3164664/sr-applied-scientist-aws-proactive-security?cmpid=DA_INAD200785B")</f>
        <v/>
      </c>
      <c r="G87" t="inlineStr">
        <is>
          <t>Arlington, VA, US</t>
        </is>
      </c>
      <c r="H87" s="3" t="n">
        <v>46030</v>
      </c>
      <c r="I87"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88">
      <c r="A88" t="inlineStr">
        <is>
          <t>in-1a7ee1e1fba46d75</t>
        </is>
      </c>
      <c r="B88" t="inlineStr">
        <is>
          <t>Sr Applied Scientist, AWS Proactive Security</t>
        </is>
      </c>
      <c r="C88" t="inlineStr">
        <is>
          <t>Amazon.com</t>
        </is>
      </c>
      <c r="D88" t="inlineStr">
        <is>
          <t>indeed</t>
        </is>
      </c>
      <c r="E88">
        <f>HYPERLINK("https://www.indeed.com/viewjob?jk=1a7ee1e1fba46d75", "https://www.indeed.com/viewjob?jk=1a7ee1e1fba46d75")</f>
        <v/>
      </c>
      <c r="F88">
        <f>HYPERLINK("https://www.amazon.jobs/jobs/3164664/sr-applied-scientist-aws-proactive-security?cmpid=DA_INAD200785B", "https://www.amazon.jobs/jobs/3164664/sr-applied-scientist-aws-proactive-security?cmpid=DA_INAD200785B")</f>
        <v/>
      </c>
      <c r="G88" t="inlineStr">
        <is>
          <t>Sunnyvale, CA, US</t>
        </is>
      </c>
      <c r="H88" s="3" t="n">
        <v>46030</v>
      </c>
      <c r="I88"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89">
      <c r="A89" t="inlineStr">
        <is>
          <t>in-8d89f3c94f7e5fd0</t>
        </is>
      </c>
      <c r="B89" t="inlineStr">
        <is>
          <t>Applied Scientist, AWS Applied AI Solutions</t>
        </is>
      </c>
      <c r="C89" t="inlineStr">
        <is>
          <t>Amazon Web Services</t>
        </is>
      </c>
      <c r="D89" t="inlineStr">
        <is>
          <t>indeed</t>
        </is>
      </c>
      <c r="E89">
        <f>HYPERLINK("https://www.indeed.com/viewjob?jk=8d89f3c94f7e5fd0", "https://www.indeed.com/viewjob?jk=8d89f3c94f7e5fd0")</f>
        <v/>
      </c>
      <c r="F89">
        <f>HYPERLINK("https://www.amazon.jobs/jobs/3166907/applied-scientist-aws-applied-ai-solutions?cmpid=DA_INAD200785B", "https://www.amazon.jobs/jobs/3166907/applied-scientist-aws-applied-ai-solutions?cmpid=DA_INAD200785B")</f>
        <v/>
      </c>
      <c r="G89" t="inlineStr">
        <is>
          <t>New York, NY, US</t>
        </is>
      </c>
      <c r="H89" s="3" t="n">
        <v>46030</v>
      </c>
      <c r="I89"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90">
      <c r="A90" t="inlineStr">
        <is>
          <t>in-5aaac31327849251</t>
        </is>
      </c>
      <c r="B90" t="inlineStr">
        <is>
          <t>Applied Scientist, AWS Applied AI Solutions</t>
        </is>
      </c>
      <c r="C90" t="inlineStr">
        <is>
          <t>Amazon Web Services</t>
        </is>
      </c>
      <c r="D90" t="inlineStr">
        <is>
          <t>indeed</t>
        </is>
      </c>
      <c r="E90">
        <f>HYPERLINK("https://www.indeed.com/viewjob?jk=5aaac31327849251", "https://www.indeed.com/viewjob?jk=5aaac31327849251")</f>
        <v/>
      </c>
      <c r="F90">
        <f>HYPERLINK("https://www.amazon.jobs/jobs/3166907/applied-scientist-aws-applied-ai-solutions?cmpid=DA_INAD200785B", "https://www.amazon.jobs/jobs/3166907/applied-scientist-aws-applied-ai-solutions?cmpid=DA_INAD200785B")</f>
        <v/>
      </c>
      <c r="G90" t="inlineStr">
        <is>
          <t>Seattle, WA, US</t>
        </is>
      </c>
      <c r="H90" s="3" t="n">
        <v>46030</v>
      </c>
      <c r="I90"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91">
      <c r="A91" t="inlineStr">
        <is>
          <t>in-3d991a8e4991834a</t>
        </is>
      </c>
      <c r="B91" t="inlineStr">
        <is>
          <t>Applied Scientist, Last Mile Delivery Automation</t>
        </is>
      </c>
      <c r="C91" t="inlineStr">
        <is>
          <t>Amazon.com</t>
        </is>
      </c>
      <c r="D91" t="inlineStr">
        <is>
          <t>indeed</t>
        </is>
      </c>
      <c r="E91">
        <f>HYPERLINK("https://www.indeed.com/viewjob?jk=3d991a8e4991834a", "https://www.indeed.com/viewjob?jk=3d991a8e4991834a")</f>
        <v/>
      </c>
      <c r="F91">
        <f>HYPERLINK("https://www.amazon.jobs/jobs/3155354/applied-scientist-last-mile-delivery-automation?cmpid=DA_INAD200785B", "https://www.amazon.jobs/jobs/3155354/applied-scientist-last-mile-delivery-automation?cmpid=DA_INAD200785B")</f>
        <v/>
      </c>
      <c r="G91" t="inlineStr">
        <is>
          <t>Santa Clara, CA, US</t>
        </is>
      </c>
      <c r="H91" s="3" t="n">
        <v>46026</v>
      </c>
      <c r="I91"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in-9064f9a27993a116</t>
        </is>
      </c>
      <c r="B92" t="inlineStr">
        <is>
          <t>Applied Scientist, Last Mile Delivery Automation</t>
        </is>
      </c>
      <c r="C92" t="inlineStr">
        <is>
          <t>Amazon.com</t>
        </is>
      </c>
      <c r="D92" t="inlineStr">
        <is>
          <t>indeed</t>
        </is>
      </c>
      <c r="E92">
        <f>HYPERLINK("https://www.indeed.com/viewjob?jk=9064f9a27993a116", "https://www.indeed.com/viewjob?jk=9064f9a27993a116")</f>
        <v/>
      </c>
      <c r="F92">
        <f>HYPERLINK("https://www.amazon.jobs/jobs/3155354/applied-scientist-last-mile-delivery-automation?cmpid=DA_INAD200785B", "https://www.amazon.jobs/jobs/3155354/applied-scientist-last-mile-delivery-automation?cmpid=DA_INAD200785B")</f>
        <v/>
      </c>
      <c r="G92" t="inlineStr">
        <is>
          <t>Bellevue, WA, US</t>
        </is>
      </c>
      <c r="H92" s="3" t="n">
        <v>46026</v>
      </c>
      <c r="I92"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in-433bbe37f4fbd44b</t>
        </is>
      </c>
      <c r="B93" t="inlineStr">
        <is>
          <t>Senior Applied Scientist, Sponsored Products and Brands, Off-Search</t>
        </is>
      </c>
      <c r="C93" t="inlineStr">
        <is>
          <t>Amazon.com</t>
        </is>
      </c>
      <c r="D93" t="inlineStr">
        <is>
          <t>indeed</t>
        </is>
      </c>
      <c r="E93">
        <f>HYPERLINK("https://www.indeed.com/viewjob?jk=433bbe37f4fbd44b", "https://www.indeed.com/viewjob?jk=433bbe37f4fbd44b")</f>
        <v/>
      </c>
      <c r="F93">
        <f>HYPERLINK("https://www.amazon.jobs/jobs/3153569/senior-applied-scientist-sponsored-products-and-brands-offsearch?cmpid=DA_INAD200785B", "https://www.amazon.jobs/jobs/3153569/senior-applied-scientist-sponsored-products-and-brands-offsearch?cmpid=DA_INAD200785B")</f>
        <v/>
      </c>
      <c r="G93" t="inlineStr">
        <is>
          <t>Palo Alto, CA, US</t>
        </is>
      </c>
      <c r="H93" s="3" t="n">
        <v>46017</v>
      </c>
      <c r="I93"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in-f639123dd39f7637</t>
        </is>
      </c>
      <c r="B94" t="inlineStr">
        <is>
          <t>Senior Applied Scientist, Sponsored Products and Brands, Off-Search</t>
        </is>
      </c>
      <c r="C94" t="inlineStr">
        <is>
          <t>Amazon.com</t>
        </is>
      </c>
      <c r="D94" t="inlineStr">
        <is>
          <t>indeed</t>
        </is>
      </c>
      <c r="E94">
        <f>HYPERLINK("https://www.indeed.com/viewjob?jk=f639123dd39f7637", "https://www.indeed.com/viewjob?jk=f639123dd39f7637")</f>
        <v/>
      </c>
      <c r="F94">
        <f>HYPERLINK("https://www.amazon.jobs/jobs/3153569/senior-applied-scientist-sponsored-products-and-brands-offsearch?cmpid=DA_INAD200785B", "https://www.amazon.jobs/jobs/3153569/senior-applied-scientist-sponsored-products-and-brands-offsearch?cmpid=DA_INAD200785B")</f>
        <v/>
      </c>
      <c r="G94" t="inlineStr">
        <is>
          <t>New York, NY, US</t>
        </is>
      </c>
      <c r="H94" s="3" t="n">
        <v>46017</v>
      </c>
      <c r="I94"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in-47eee3e17cc9eafc</t>
        </is>
      </c>
      <c r="B95" t="inlineStr">
        <is>
          <t>Senior Applied Scientist, Sponsored Products and Brands, Off-Search</t>
        </is>
      </c>
      <c r="C95" t="inlineStr">
        <is>
          <t>Amazon.com</t>
        </is>
      </c>
      <c r="D95" t="inlineStr">
        <is>
          <t>indeed</t>
        </is>
      </c>
      <c r="E95">
        <f>HYPERLINK("https://www.indeed.com/viewjob?jk=47eee3e17cc9eafc", "https://www.indeed.com/viewjob?jk=47eee3e17cc9eafc")</f>
        <v/>
      </c>
      <c r="F95">
        <f>HYPERLINK("https://www.amazon.jobs/jobs/3153569/senior-applied-scientist-sponsored-products-and-brands-offsearch?cmpid=DA_INAD200785B", "https://www.amazon.jobs/jobs/3153569/senior-applied-scientist-sponsored-products-and-brands-offsearch?cmpid=DA_INAD200785B")</f>
        <v/>
      </c>
      <c r="G95" t="inlineStr">
        <is>
          <t>Seattle, WA, US</t>
        </is>
      </c>
      <c r="H95" s="3" t="n">
        <v>46017</v>
      </c>
      <c r="I95"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in-94ca1e10701fd33e</t>
        </is>
      </c>
      <c r="B96" t="inlineStr">
        <is>
          <t>Applied Scientist II, Prime Video - Personalization and Discovery Science</t>
        </is>
      </c>
      <c r="C96" t="inlineStr">
        <is>
          <t>Amazon.com</t>
        </is>
      </c>
      <c r="D96" t="inlineStr">
        <is>
          <t>indeed</t>
        </is>
      </c>
      <c r="E96">
        <f>HYPERLINK("https://www.indeed.com/viewjob?jk=94ca1e10701fd33e", "https://www.indeed.com/viewjob?jk=94ca1e10701fd33e")</f>
        <v/>
      </c>
      <c r="F96">
        <f>HYPERLINK("https://www.amazon.jobs/jobs/3154128/applied-scientist-ii-prime-video--personalization-and-discovery-science?cmpid=DA_INAD200785B", "https://www.amazon.jobs/jobs/3154128/applied-scientist-ii-prime-video--personalization-and-discovery-science?cmpid=DA_INAD200785B")</f>
        <v/>
      </c>
      <c r="G96" t="inlineStr">
        <is>
          <t>Sunnyvale, CA, US</t>
        </is>
      </c>
      <c r="H96" s="3" t="n">
        <v>46012</v>
      </c>
      <c r="I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97">
      <c r="A97" t="inlineStr">
        <is>
          <t>in-8cdb7ea16437cadd</t>
        </is>
      </c>
      <c r="B97" t="inlineStr">
        <is>
          <t>Applied Scientist II, Prime Video - Personalization and Discovery Science</t>
        </is>
      </c>
      <c r="C97" t="inlineStr">
        <is>
          <t>Amazon.com</t>
        </is>
      </c>
      <c r="D97" t="inlineStr">
        <is>
          <t>indeed</t>
        </is>
      </c>
      <c r="E97">
        <f>HYPERLINK("https://www.indeed.com/viewjob?jk=8cdb7ea16437cadd", "https://www.indeed.com/viewjob?jk=8cdb7ea16437cadd")</f>
        <v/>
      </c>
      <c r="F97">
        <f>HYPERLINK("https://www.amazon.jobs/jobs/3154128/applied-scientist-ii-prime-video--personalization-and-discovery-science?cmpid=DA_INAD200785B", "https://www.amazon.jobs/jobs/3154128/applied-scientist-ii-prime-video--personalization-and-discovery-science?cmpid=DA_INAD200785B")</f>
        <v/>
      </c>
      <c r="G97" t="inlineStr">
        <is>
          <t>Seattle, WA, US</t>
        </is>
      </c>
      <c r="H97" s="3" t="n">
        <v>46012</v>
      </c>
      <c r="I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98">
      <c r="A98" t="inlineStr">
        <is>
          <t>in-ee12748afd9ce309</t>
        </is>
      </c>
      <c r="B98" t="inlineStr">
        <is>
          <t>Applied Scientist, Delivery Foundation Model</t>
        </is>
      </c>
      <c r="C98" t="inlineStr">
        <is>
          <t>Amazon.com</t>
        </is>
      </c>
      <c r="D98" t="inlineStr">
        <is>
          <t>indeed</t>
        </is>
      </c>
      <c r="E98">
        <f>HYPERLINK("https://www.indeed.com/viewjob?jk=ee12748afd9ce309", "https://www.indeed.com/viewjob?jk=ee12748afd9ce309")</f>
        <v/>
      </c>
      <c r="F98">
        <f>HYPERLINK("https://www.amazon.jobs/jobs/3169077/applied-scientist-delivery-foundation-model-?cmpid=DA_INAD200785B", "https://www.amazon.jobs/jobs/3169077/applied-scientist-delivery-foundation-model-?cmpid=DA_INAD200785B")</f>
        <v/>
      </c>
      <c r="G98" t="inlineStr">
        <is>
          <t>Santa Clara, CA, US</t>
        </is>
      </c>
      <c r="H98" s="3" t="n">
        <v>46009</v>
      </c>
      <c r="I9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99">
      <c r="A99" t="inlineStr">
        <is>
          <t>in-b0f5d9a6da39c1c6</t>
        </is>
      </c>
      <c r="B99" t="inlineStr">
        <is>
          <t>Applied Scientist, Delivery Foundation Model</t>
        </is>
      </c>
      <c r="C99" t="inlineStr">
        <is>
          <t>Amazon.com</t>
        </is>
      </c>
      <c r="D99" t="inlineStr">
        <is>
          <t>indeed</t>
        </is>
      </c>
      <c r="E99">
        <f>HYPERLINK("https://www.indeed.com/viewjob?jk=b0f5d9a6da39c1c6", "https://www.indeed.com/viewjob?jk=b0f5d9a6da39c1c6")</f>
        <v/>
      </c>
      <c r="F99">
        <f>HYPERLINK("https://www.amazon.jobs/jobs/3169077/applied-scientist-delivery-foundation-model-?cmpid=DA_INAD200785B", "https://www.amazon.jobs/jobs/3169077/applied-scientist-delivery-foundation-model-?cmpid=DA_INAD200785B")</f>
        <v/>
      </c>
      <c r="G99" t="inlineStr">
        <is>
          <t>Bellevue, WA, US</t>
        </is>
      </c>
      <c r="H99" s="3" t="n">
        <v>46009</v>
      </c>
      <c r="I9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100">
      <c r="A100" t="inlineStr">
        <is>
          <t>in-6b8c7946878b8b32</t>
        </is>
      </c>
      <c r="B100" t="inlineStr">
        <is>
          <t>Principal Applied Scientist, Kiro Science</t>
        </is>
      </c>
      <c r="C100" t="inlineStr">
        <is>
          <t>Amazon Web Services</t>
        </is>
      </c>
      <c r="D100" t="inlineStr">
        <is>
          <t>indeed</t>
        </is>
      </c>
      <c r="E100">
        <f>HYPERLINK("https://www.indeed.com/viewjob?jk=6b8c7946878b8b32", "https://www.indeed.com/viewjob?jk=6b8c7946878b8b32")</f>
        <v/>
      </c>
      <c r="F100">
        <f>HYPERLINK("https://www.amazon.jobs/jobs/3161064/principal-applied-scientist-kiro-science?cmpid=DA_INAD200785B", "https://www.amazon.jobs/jobs/3161064/principal-applied-scientist-kiro-science?cmpid=DA_INAD200785B")</f>
        <v/>
      </c>
      <c r="G100" t="inlineStr">
        <is>
          <t>New York, NY, US</t>
        </is>
      </c>
      <c r="H100" s="3" t="n">
        <v>45999</v>
      </c>
      <c r="I100"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01">
      <c r="A101" t="inlineStr">
        <is>
          <t>in-3e0a70c2265aa5e1</t>
        </is>
      </c>
      <c r="B101" t="inlineStr">
        <is>
          <t>Principal Applied Scientist, Kiro Science</t>
        </is>
      </c>
      <c r="C101" t="inlineStr">
        <is>
          <t>Amazon Web Services</t>
        </is>
      </c>
      <c r="D101" t="inlineStr">
        <is>
          <t>indeed</t>
        </is>
      </c>
      <c r="E101">
        <f>HYPERLINK("https://www.indeed.com/viewjob?jk=3e0a70c2265aa5e1", "https://www.indeed.com/viewjob?jk=3e0a70c2265aa5e1")</f>
        <v/>
      </c>
      <c r="F101">
        <f>HYPERLINK("https://www.amazon.jobs/jobs/3161064/principal-applied-scientist-kiro-science?cmpid=DA_INAD200785B", "https://www.amazon.jobs/jobs/3161064/principal-applied-scientist-kiro-science?cmpid=DA_INAD200785B")</f>
        <v/>
      </c>
      <c r="G101" t="inlineStr">
        <is>
          <t>Santa Clara, CA, US</t>
        </is>
      </c>
      <c r="H101" s="3" t="n">
        <v>45999</v>
      </c>
      <c r="I101"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02">
      <c r="A102" t="inlineStr">
        <is>
          <t>in-63f260b8232d8546</t>
        </is>
      </c>
      <c r="B102" t="inlineStr">
        <is>
          <t>Applied Scientist, Robotic Sensing and Actuation Engineer , Amazon Industrial Robotics</t>
        </is>
      </c>
      <c r="C102" t="inlineStr">
        <is>
          <t>Amazon.com</t>
        </is>
      </c>
      <c r="D102" t="inlineStr">
        <is>
          <t>indeed</t>
        </is>
      </c>
      <c r="E102">
        <f>HYPERLINK("https://www.indeed.com/viewjob?jk=63f260b8232d8546", "https://www.indeed.com/viewjob?jk=63f260b8232d8546")</f>
        <v/>
      </c>
      <c r="F102">
        <f>HYPERLINK("https://www.amazon.jobs/jobs/3132318/applied-scientist-robotic-sensing-and-actuation-engineer---amazon-industrial-robotics?cmpid=DA_INAD200785B", "https://www.amazon.jobs/jobs/3132318/applied-scientist-robotic-sensing-and-actuation-engineer---amazon-industrial-robotics?cmpid=DA_INAD200785B")</f>
        <v/>
      </c>
      <c r="G102" t="inlineStr">
        <is>
          <t>Reading, MA, US</t>
        </is>
      </c>
      <c r="H102" s="3" t="n">
        <v>45984</v>
      </c>
      <c r="I10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 We are pioneering the development of robotics dexterous end\-effectors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novel sensing and actuation technologies for dexterous manipulation
* Develop parallel paths for rapid finger design and prototyping combining different actuation and sensing technologies as well as different finger morphologies
* Develop new testing and validation strategies to support fast continuous integration and modularity
* Build and test full hand prototypes to validate the performance of the solution
* Create hybrid approaches combining different actuation technologies, under\-actuation, active and passive compliance
* Hand integration into rest of the embodiment
* Partner with cross\-functional teams to rapidly create new concepts and prototypes
* Work with Amazon's robotics engineering and operations teams to grasp their requirements and develop tailored solutions
* Document the designs, performance, and validation of the final system
**BASIC QUALIFICATIONS**
------------------------
* Master's degree in Mechanical or Electrical Engineering, or 4\+ years of relevant discipline work experience
* Experience with CAD modelling software, such as Solidworks or MATLAB
* Experience applying theoretical models in an applied environment
* Experience in tactile sensing technologies
* Experience in dynamics simulation with physics engine (mujoco, drake, or similar)
* Experience in finger actuation, under\-actuation, active and passive compliance
* Experience in tactile sensing
**PREFERRED QUALIFICATIONS**
----------------------------
* Experience programming in Java, C\+\+, Python or related language
* Experience working effectively across cross\-functional teams and partnering well with people at all levels within an organization
* PhD in Robotics, with focus on mechanical design and robot control
* Experience in tendon\-driven, electrical and series elastic actuators
\- Experience Matlab \- Simulink / Real time workshop  
* Background in real\-time control, particularly in torque / impedance control and contact\-rich manipulation
* Experience with grasp planning
* Experience in ROS/ROS2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103">
      <c r="A103" t="inlineStr">
        <is>
          <t>in-a4d75c00af7bcabf</t>
        </is>
      </c>
      <c r="B103" t="inlineStr">
        <is>
          <t>Principal Applied Scientist, Sponsored Products and Brands</t>
        </is>
      </c>
      <c r="C103" t="inlineStr">
        <is>
          <t>Amazon.com</t>
        </is>
      </c>
      <c r="D103" t="inlineStr">
        <is>
          <t>indeed</t>
        </is>
      </c>
      <c r="E103">
        <f>HYPERLINK("https://www.indeed.com/viewjob?jk=a4d75c00af7bcabf", "https://www.indeed.com/viewjob?jk=a4d75c00af7bcabf")</f>
        <v/>
      </c>
      <c r="F103">
        <f>HYPERLINK("https://www.amazon.jobs/jobs/3130855/principal-applied-scientist-sponsored-products-and-brands?cmpid=DA_INAD200785B", "https://www.amazon.jobs/jobs/3130855/principal-applied-scientist-sponsored-products-and-brands?cmpid=DA_INAD200785B")</f>
        <v/>
      </c>
      <c r="G103" t="inlineStr">
        <is>
          <t>New York, NY, US</t>
        </is>
      </c>
      <c r="H103" s="3" t="n">
        <v>45979</v>
      </c>
      <c r="I10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in-eff6df143351703a</t>
        </is>
      </c>
      <c r="B104" t="inlineStr">
        <is>
          <t>Principal Applied Scientist, Sponsored Products and Brands</t>
        </is>
      </c>
      <c r="C104" t="inlineStr">
        <is>
          <t>Amazon.com</t>
        </is>
      </c>
      <c r="D104" t="inlineStr">
        <is>
          <t>indeed</t>
        </is>
      </c>
      <c r="E104">
        <f>HYPERLINK("https://www.indeed.com/viewjob?jk=eff6df143351703a", "https://www.indeed.com/viewjob?jk=eff6df143351703a")</f>
        <v/>
      </c>
      <c r="F104">
        <f>HYPERLINK("https://www.amazon.jobs/jobs/3130855/principal-applied-scientist-sponsored-products-and-brands?cmpid=DA_INAD200785B", "https://www.amazon.jobs/jobs/3130855/principal-applied-scientist-sponsored-products-and-brands?cmpid=DA_INAD200785B")</f>
        <v/>
      </c>
      <c r="G104" t="inlineStr">
        <is>
          <t>Seattle, WA, US</t>
        </is>
      </c>
      <c r="H104" s="3" t="n">
        <v>45979</v>
      </c>
      <c r="I10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in-521ec862fd1556ee</t>
        </is>
      </c>
      <c r="B105" t="inlineStr">
        <is>
          <t>Applied Scientist, Personalization, DTx Science</t>
        </is>
      </c>
      <c r="C105" t="inlineStr">
        <is>
          <t>Amazon.com</t>
        </is>
      </c>
      <c r="D105" t="inlineStr">
        <is>
          <t>indeed</t>
        </is>
      </c>
      <c r="E105">
        <f>HYPERLINK("https://www.indeed.com/viewjob?jk=521ec862fd1556ee", "https://www.indeed.com/viewjob?jk=521ec862fd1556ee")</f>
        <v/>
      </c>
      <c r="F105">
        <f>HYPERLINK("https://www.amazon.jobs/jobs/3136853/applied-scientist-personalization-dtx-science?cmpid=DA_INAD200785B", "https://www.amazon.jobs/jobs/3136853/applied-scientist-personalization-dtx-science?cmpid=DA_INAD200785B")</f>
        <v/>
      </c>
      <c r="G105" t="inlineStr">
        <is>
          <t>Seattle, WA, US</t>
        </is>
      </c>
      <c r="H105" s="3" t="n">
        <v>45979</v>
      </c>
      <c r="I10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06">
      <c r="A106" t="inlineStr">
        <is>
          <t>in-afbed178978e2d62</t>
        </is>
      </c>
      <c r="B106" t="inlineStr">
        <is>
          <t>Applied Scientist, Personalization, DTx Science</t>
        </is>
      </c>
      <c r="C106" t="inlineStr">
        <is>
          <t>Amazon.com</t>
        </is>
      </c>
      <c r="D106" t="inlineStr">
        <is>
          <t>indeed</t>
        </is>
      </c>
      <c r="E106">
        <f>HYPERLINK("https://www.indeed.com/viewjob?jk=afbed178978e2d62", "https://www.indeed.com/viewjob?jk=afbed178978e2d62")</f>
        <v/>
      </c>
      <c r="F106">
        <f>HYPERLINK("https://www.amazon.jobs/jobs/3136853/applied-scientist-personalization-dtx-science?cmpid=DA_INAD200785B", "https://www.amazon.jobs/jobs/3136853/applied-scientist-personalization-dtx-science?cmpid=DA_INAD200785B")</f>
        <v/>
      </c>
      <c r="G106" t="inlineStr">
        <is>
          <t>New York, NY, US</t>
        </is>
      </c>
      <c r="H106" s="3" t="n">
        <v>45979</v>
      </c>
      <c r="I106"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07">
      <c r="A107" t="inlineStr">
        <is>
          <t>in-ef4b2d77e11aaab2</t>
        </is>
      </c>
      <c r="B107" t="inlineStr">
        <is>
          <t>Senior Applied Scientist, Sponsored Products and Brands</t>
        </is>
      </c>
      <c r="C107" t="inlineStr">
        <is>
          <t>Amazon.com</t>
        </is>
      </c>
      <c r="D107" t="inlineStr">
        <is>
          <t>indeed</t>
        </is>
      </c>
      <c r="E107">
        <f>HYPERLINK("https://www.indeed.com/viewjob?jk=ef4b2d77e11aaab2", "https://www.indeed.com/viewjob?jk=ef4b2d77e11aaab2")</f>
        <v/>
      </c>
      <c r="F107">
        <f>HYPERLINK("https://www.amazon.jobs/jobs/3130062/senior-applied-scientist-sponsored-products-and-brands?cmpid=DA_INAD200785B", "https://www.amazon.jobs/jobs/3130062/senior-applied-scientist-sponsored-products-and-brands?cmpid=DA_INAD200785B")</f>
        <v/>
      </c>
      <c r="G107" t="inlineStr">
        <is>
          <t>New York, NY, US</t>
        </is>
      </c>
      <c r="H107" s="3" t="n">
        <v>45979</v>
      </c>
      <c r="I10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08">
      <c r="A108" t="inlineStr">
        <is>
          <t>in-f9149a995fcf0ffb</t>
        </is>
      </c>
      <c r="B108" t="inlineStr">
        <is>
          <t>Senior Applied Scientist, Sponsored Products and Brands</t>
        </is>
      </c>
      <c r="C108" t="inlineStr">
        <is>
          <t>Amazon.com</t>
        </is>
      </c>
      <c r="D108" t="inlineStr">
        <is>
          <t>indeed</t>
        </is>
      </c>
      <c r="E108">
        <f>HYPERLINK("https://www.indeed.com/viewjob?jk=f9149a995fcf0ffb", "https://www.indeed.com/viewjob?jk=f9149a995fcf0ffb")</f>
        <v/>
      </c>
      <c r="F108">
        <f>HYPERLINK("https://www.amazon.jobs/jobs/3130062/senior-applied-scientist-sponsored-products-and-brands?cmpid=DA_INAD200785B", "https://www.amazon.jobs/jobs/3130062/senior-applied-scientist-sponsored-products-and-brands?cmpid=DA_INAD200785B")</f>
        <v/>
      </c>
      <c r="G108" t="inlineStr">
        <is>
          <t>Seattle, WA, US</t>
        </is>
      </c>
      <c r="H108" s="3" t="n">
        <v>45979</v>
      </c>
      <c r="I10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09">
      <c r="A109" t="inlineStr">
        <is>
          <t>in-7637ce90642c042c</t>
        </is>
      </c>
      <c r="B109" t="inlineStr">
        <is>
          <t>Applied Scientist II, Prime Video Personalization and Discovery Science</t>
        </is>
      </c>
      <c r="C109" t="inlineStr">
        <is>
          <t>Amazon.com</t>
        </is>
      </c>
      <c r="D109" t="inlineStr">
        <is>
          <t>indeed</t>
        </is>
      </c>
      <c r="E109">
        <f>HYPERLINK("https://www.indeed.com/viewjob?jk=7637ce90642c042c", "https://www.indeed.com/viewjob?jk=7637ce90642c042c")</f>
        <v/>
      </c>
      <c r="F109">
        <f>HYPERLINK("https://www.amazon.jobs/jobs/3129475/applied-scientist-ii-prime-video-personalization-and-discovery-science?cmpid=DA_INAD200785B", "https://www.amazon.jobs/jobs/3129475/applied-scientist-ii-prime-video-personalization-and-discovery-science?cmpid=DA_INAD200785B")</f>
        <v/>
      </c>
      <c r="G109" t="inlineStr">
        <is>
          <t>Sunnyvale, CA, US</t>
        </is>
      </c>
      <c r="H109" s="3" t="n">
        <v>45978</v>
      </c>
      <c r="I1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0">
      <c r="A110" t="inlineStr">
        <is>
          <t>in-e91abbb437465dea</t>
        </is>
      </c>
      <c r="B110" t="inlineStr">
        <is>
          <t>Applied Scientist II, Prime Video Personalization and Discovery Science</t>
        </is>
      </c>
      <c r="C110" t="inlineStr">
        <is>
          <t>Amazon.com</t>
        </is>
      </c>
      <c r="D110" t="inlineStr">
        <is>
          <t>indeed</t>
        </is>
      </c>
      <c r="E110">
        <f>HYPERLINK("https://www.indeed.com/viewjob?jk=e91abbb437465dea", "https://www.indeed.com/viewjob?jk=e91abbb437465dea")</f>
        <v/>
      </c>
      <c r="F110">
        <f>HYPERLINK("https://www.amazon.jobs/jobs/3129475/applied-scientist-ii-prime-video-personalization-and-discovery-science?cmpid=DA_INAD200785B", "https://www.amazon.jobs/jobs/3129475/applied-scientist-ii-prime-video-personalization-and-discovery-science?cmpid=DA_INAD200785B")</f>
        <v/>
      </c>
      <c r="G110" t="inlineStr">
        <is>
          <t>Seattle, WA, US</t>
        </is>
      </c>
      <c r="H110" s="3" t="n">
        <v>45978</v>
      </c>
      <c r="I1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1">
      <c r="A111" t="inlineStr">
        <is>
          <t>in-b7b4197294c54de3</t>
        </is>
      </c>
      <c r="B111" t="inlineStr">
        <is>
          <t>Applied Scientist II, Prime Video Personalization and Discovery Science</t>
        </is>
      </c>
      <c r="C111" t="inlineStr">
        <is>
          <t>Amazon.com</t>
        </is>
      </c>
      <c r="D111" t="inlineStr">
        <is>
          <t>indeed</t>
        </is>
      </c>
      <c r="E111">
        <f>HYPERLINK("https://www.indeed.com/viewjob?jk=b7b4197294c54de3", "https://www.indeed.com/viewjob?jk=b7b4197294c54de3")</f>
        <v/>
      </c>
      <c r="F111">
        <f>HYPERLINK("https://www.amazon.jobs/jobs/3129475/applied-scientist-ii-prime-video-personalization-and-discovery-science?cmpid=DA_INAD200785B", "https://www.amazon.jobs/jobs/3129475/applied-scientist-ii-prime-video-personalization-and-discovery-science?cmpid=DA_INAD200785B")</f>
        <v/>
      </c>
      <c r="G111" t="inlineStr">
        <is>
          <t>New York, NY, US</t>
        </is>
      </c>
      <c r="H111" s="3" t="n">
        <v>45978</v>
      </c>
      <c r="I1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2">
      <c r="A112" t="inlineStr">
        <is>
          <t>in-7e1a4cecb033a5c0</t>
        </is>
      </c>
      <c r="B112" t="inlineStr">
        <is>
          <t>Sr. Applied Scientist, Sponsored Products</t>
        </is>
      </c>
      <c r="C112" t="inlineStr">
        <is>
          <t>Amazon.com</t>
        </is>
      </c>
      <c r="D112" t="inlineStr">
        <is>
          <t>indeed</t>
        </is>
      </c>
      <c r="E112">
        <f>HYPERLINK("https://www.indeed.com/viewjob?jk=7e1a4cecb033a5c0", "https://www.indeed.com/viewjob?jk=7e1a4cecb033a5c0")</f>
        <v/>
      </c>
      <c r="F112">
        <f>HYPERLINK("https://www.amazon.jobs/jobs/3136156/sr-applied-scientist-sponsored-products?cmpid=DA_INAD200785B", "https://www.amazon.jobs/jobs/3136156/sr-applied-scientist-sponsored-products?cmpid=DA_INAD200785B")</f>
        <v/>
      </c>
      <c r="G112" t="inlineStr">
        <is>
          <t>New York, NY, US</t>
        </is>
      </c>
      <c r="H112" s="3" t="n">
        <v>45976</v>
      </c>
      <c r="I11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13">
      <c r="A113" t="inlineStr">
        <is>
          <t>in-dc68be7fead19b7e</t>
        </is>
      </c>
      <c r="B113" t="inlineStr">
        <is>
          <t>Sr. Applied Scientist, Sponsored Products</t>
        </is>
      </c>
      <c r="C113" t="inlineStr">
        <is>
          <t>Amazon.com</t>
        </is>
      </c>
      <c r="D113" t="inlineStr">
        <is>
          <t>indeed</t>
        </is>
      </c>
      <c r="E113">
        <f>HYPERLINK("https://www.indeed.com/viewjob?jk=dc68be7fead19b7e", "https://www.indeed.com/viewjob?jk=dc68be7fead19b7e")</f>
        <v/>
      </c>
      <c r="F113">
        <f>HYPERLINK("https://www.amazon.jobs/jobs/3136156/sr-applied-scientist-sponsored-products?cmpid=DA_INAD200785B", "https://www.amazon.jobs/jobs/3136156/sr-applied-scientist-sponsored-products?cmpid=DA_INAD200785B")</f>
        <v/>
      </c>
      <c r="G113" t="inlineStr">
        <is>
          <t>Arlington, VA, US</t>
        </is>
      </c>
      <c r="H113" s="3" t="n">
        <v>45976</v>
      </c>
      <c r="I113"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14">
      <c r="A114" t="inlineStr">
        <is>
          <t>in-6eec9ece52c0ddde</t>
        </is>
      </c>
      <c r="B114" t="inlineStr">
        <is>
          <t>Sr. Applied Scientist, Sponsored Products</t>
        </is>
      </c>
      <c r="C114" t="inlineStr">
        <is>
          <t>Amazon.com</t>
        </is>
      </c>
      <c r="D114" t="inlineStr">
        <is>
          <t>indeed</t>
        </is>
      </c>
      <c r="E114">
        <f>HYPERLINK("https://www.indeed.com/viewjob?jk=6eec9ece52c0ddde", "https://www.indeed.com/viewjob?jk=6eec9ece52c0ddde")</f>
        <v/>
      </c>
      <c r="F114">
        <f>HYPERLINK("https://www.amazon.jobs/jobs/3136156/sr-applied-scientist-sponsored-products?cmpid=DA_INAD200785B", "https://www.amazon.jobs/jobs/3136156/sr-applied-scientist-sponsored-products?cmpid=DA_INAD200785B")</f>
        <v/>
      </c>
      <c r="G114" t="inlineStr">
        <is>
          <t>Seattle, WA, US</t>
        </is>
      </c>
      <c r="H114" s="3" t="n">
        <v>45976</v>
      </c>
      <c r="I114"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15">
      <c r="A115" t="inlineStr">
        <is>
          <t>in-6c89843d8bb3cdee</t>
        </is>
      </c>
      <c r="B115" t="inlineStr">
        <is>
          <t>Applied Scientist II, Robotics and ML, Amazon Industrial Robotics</t>
        </is>
      </c>
      <c r="C115" t="inlineStr">
        <is>
          <t>Amazon.com</t>
        </is>
      </c>
      <c r="D115" t="inlineStr">
        <is>
          <t>indeed</t>
        </is>
      </c>
      <c r="E115">
        <f>HYPERLINK("https://www.indeed.com/viewjob?jk=6c89843d8bb3cdee", "https://www.indeed.com/viewjob?jk=6c89843d8bb3cdee")</f>
        <v/>
      </c>
      <c r="F115">
        <f>HYPERLINK("https://www.amazon.jobs/jobs/3128219/applied-scientist-ii-robotics-and-ml-amazon-industrial-robotics?cmpid=DA_INAD200785B", "https://www.amazon.jobs/jobs/3128219/applied-scientist-ii-robotics-and-ml-amazon-industrial-robotics?cmpid=DA_INAD200785B")</f>
        <v/>
      </c>
      <c r="G115" t="inlineStr">
        <is>
          <t>Reading, MA, US</t>
        </is>
      </c>
      <c r="H115" s="3" t="n">
        <v>45975</v>
      </c>
      <c r="I115"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116">
      <c r="A116" t="inlineStr">
        <is>
          <t>in-6009895e9c03aba1</t>
        </is>
      </c>
      <c r="B116" t="inlineStr">
        <is>
          <t>Applied Scientist II, Amazon Industrial Robotics</t>
        </is>
      </c>
      <c r="C116" t="inlineStr">
        <is>
          <t>Amazon.com</t>
        </is>
      </c>
      <c r="D116" t="inlineStr">
        <is>
          <t>indeed</t>
        </is>
      </c>
      <c r="E116">
        <f>HYPERLINK("https://www.indeed.com/viewjob?jk=6009895e9c03aba1", "https://www.indeed.com/viewjob?jk=6009895e9c03aba1")</f>
        <v/>
      </c>
      <c r="F116">
        <f>HYPERLINK("https://www.amazon.jobs/jobs/3126443/applied-scientist-ii-amazon-industrial-robotics?cmpid=DA_INAD200785B", "https://www.amazon.jobs/jobs/3126443/applied-scientist-ii-amazon-industrial-robotics?cmpid=DA_INAD200785B")</f>
        <v/>
      </c>
      <c r="G116" t="inlineStr">
        <is>
          <t>Reading, MA, US</t>
        </is>
      </c>
      <c r="H116" s="3" t="n">
        <v>45973</v>
      </c>
      <c r="I11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 We are pioneering the development of robotics dexterous end\-effectors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novel highly dexterous and reliable robotic dexterous hand morphologies
* Develop parallel paths for rapid finger design and prototyping combining different actuation and sensing technologies as well as different finger morphologies
* Develop new testing and validation strategies to support fast continuous integration and modularity
* Build and test full hand prototypes to validate the performance of the solution
* Create hybrid approaches combining different actuation technologies, under\-actuation, active and passive compliance
* Hand integration into rest of the embodiment
* Partner with cross\-functional teams to rapidly create new concepts and prototypes
* Work with Amazon's robotics engineering and operations teams to grasp their requirements and develop tailored solutions
* Document the designs, performance, and validation of the final system
**BASIC QUALIFICATIONS**
------------------------
* PhD, or Master's degree and 4\+ years of CS, CE, ML or related field experience
* Experience using one or more of the following technologies (e.g., AutoCAD, Rhino, Revit, SolidWorks, CREO, SketchUp, KeyShot, etc.) to deliver high quality models and designs
* Experience applying theoretical models in an applied environment
* Experience in finger actuation, under\-actuation, active and passive compliance
* Experience in tactile sensing
**PREFERRED QUALIFICATIONS**
----------------------------
* Experience programming in Java, C\+\+, Python or related language
* Experience with at least one of the following: Matlab, R, Python, Stata
* Experience working effectively across cross\-functional teams and partnering well with people at all levels within an organization
* PhD in Robotics, with focus on mechanical design and robot control
* Experience in tendon\-driven, electrical and series elastic actuators
* Background in real\-time control, particularly in torque / impedance control and contact\-rich manipulation
* Experience with grasp planning
* Experience in ROS/ROS2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117">
      <c r="A117" t="inlineStr">
        <is>
          <t>in-67fe58d5da79feb8</t>
        </is>
      </c>
      <c r="B117" t="inlineStr">
        <is>
          <t>Zappos Data Scientist III, Zappos/Shopbop Catalog Engineering</t>
        </is>
      </c>
      <c r="C117" t="inlineStr">
        <is>
          <t>Amazon.com</t>
        </is>
      </c>
      <c r="D117" t="inlineStr">
        <is>
          <t>indeed</t>
        </is>
      </c>
      <c r="E117">
        <f>HYPERLINK("https://www.indeed.com/viewjob?jk=67fe58d5da79feb8", "https://www.indeed.com/viewjob?jk=67fe58d5da79feb8")</f>
        <v/>
      </c>
      <c r="F117">
        <f>HYPERLINK("https://www.amazon.jobs/jobs/3124684/zappos-data-scientist-iii-zapposshopbop-catalog-engineering?cmpid=DA_INAD200785B", "https://www.amazon.jobs/jobs/3124684/zappos-data-scientist-iii-zapposshopbop-catalog-engineering?cmpid=DA_INAD200785B")</f>
        <v/>
      </c>
      <c r="G117" t="inlineStr">
        <is>
          <t>Madison, WI, US</t>
        </is>
      </c>
      <c r="H117" s="3" t="n">
        <v>45965</v>
      </c>
      <c r="I117" t="inlineStr">
        <is>
          <t>**DESCRIPTION**
---------------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critical initiatives to reduce catalog errors, accelerate product data capture, and develop state\-of\-the\-art image classification systems for fashion features. You will partner daily with engineering teams and business stakeholders to provide expert guidance on model selection and implementation. As a member of the Zappos technical staff, you will leverage machine learning technologies and have access to industry leaders in AI/ML and E\-Commerce to help grow your expertise. You will also routinely collaborate with data science teams across our sister companies at Amazon.com and Shopbop.com. You will push the boundaries of what's possible with applied machine learning and bring innovative solutions to bear for customers (including computer vision, NLP, and advanced ML models). You will think big about how data science can transform our catalog operations and be persistent in delivering robust, scalable solutions.  
Key job responsibilities  
Design and implement machine learning approaches to improve catalog data quality. Develop and validate scientific methodologies for automated data capture and classification. Partner with engineering teams to integrate ML models into production systems. Create and present analysis that drives decision\-making at the senior leadership level.  
A day in the life  
You start the day reviewing model performance metrics, noting some drift in the image classification system that needs investigation. You spend the morning developing a new approach to reduce product attribute errors using recent advances in LLMs. In the afternoon, you meet with engineering teams to advise on model architecture for a new feature, and wrap up by analyzing the results of your latest A/B test on data capture efficiency improvements.  
About the team  
Zappos/Shopbop Catalog Tech team owns the software that drives our photostudio, product cataloging, and integration to Amazon's marketplace. We use Amazon's Leadership Principals and Engineering Expertise but have our own fun vibe. We are located in Madison WI, and Las Vegas NV.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\- 175,100\.00 \- 236,900\.00 USD annually  
USA, WI, Madison \- 159,200\.00 \- 215,300\.00 USD annually</t>
        </is>
      </c>
    </row>
    <row r="118">
      <c r="A118" t="inlineStr">
        <is>
          <t>in-8a7bce52fe1337a7</t>
        </is>
      </c>
      <c r="B118" t="inlineStr">
        <is>
          <t>Zappos Data Scientist III, Zappos/Shopbop Catalog Engineering</t>
        </is>
      </c>
      <c r="C118" t="inlineStr">
        <is>
          <t>Amazon.com</t>
        </is>
      </c>
      <c r="D118" t="inlineStr">
        <is>
          <t>indeed</t>
        </is>
      </c>
      <c r="E118">
        <f>HYPERLINK("https://www.indeed.com/viewjob?jk=8a7bce52fe1337a7", "https://www.indeed.com/viewjob?jk=8a7bce52fe1337a7")</f>
        <v/>
      </c>
      <c r="F118">
        <f>HYPERLINK("https://www.amazon.jobs/jobs/3124684/zappos-data-scientist-iii-zapposshopbop-catalog-engineering?cmpid=DA_INAD200785B", "https://www.amazon.jobs/jobs/3124684/zappos-data-scientist-iii-zapposshopbop-catalog-engineering?cmpid=DA_INAD200785B")</f>
        <v/>
      </c>
      <c r="G118" t="inlineStr">
        <is>
          <t>New York, NY, US</t>
        </is>
      </c>
      <c r="H118" s="3" t="n">
        <v>45965</v>
      </c>
      <c r="I118" t="inlineStr">
        <is>
          <t>**DESCRIPTION**
---------------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critical initiatives to reduce catalog errors, accelerate product data capture, and develop state\-of\-the\-art image classification systems for fashion features. You will partner daily with engineering teams and business stakeholders to provide expert guidance on model selection and implementation. As a member of the Zappos technical staff, you will leverage machine learning technologies and have access to industry leaders in AI/ML and E\-Commerce to help grow your expertise. You will also routinely collaborate with data science teams across our sister companies at Amazon.com and Shopbop.com. You will push the boundaries of what's possible with applied machine learning and bring innovative solutions to bear for customers (including computer vision, NLP, and advanced ML models). You will think big about how data science can transform our catalog operations and be persistent in delivering robust, scalable solutions.  
Key job responsibilities  
Design and implement machine learning approaches to improve catalog data quality. Develop and validate scientific methodologies for automated data capture and classification. Partner with engineering teams to integrate ML models into production systems. Create and present analysis that drives decision\-making at the senior leadership level.  
A day in the life  
You start the day reviewing model performance metrics, noting some drift in the image classification system that needs investigation. You spend the morning developing a new approach to reduce product attribute errors using recent advances in LLMs. In the afternoon, you meet with engineering teams to advise on model architecture for a new feature, and wrap up by analyzing the results of your latest A/B test on data capture efficiency improvements.  
About the team  
Zappos/Shopbop Catalog Tech team owns the software that drives our photostudio, product cataloging, and integration to Amazon's marketplace. We use Amazon's Leadership Principals and Engineering Expertise but have our own fun vibe. We are located in Madison WI, and Las Vegas NV.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\- 175,100\.00 \- 236,900\.00 USD annually  
USA, WI, Madison \- 159,200\.00 \- 215,300\.00 USD annually</t>
        </is>
      </c>
    </row>
    <row r="119">
      <c r="A119" t="inlineStr">
        <is>
          <t>in-a9de4e95257e0c02</t>
        </is>
      </c>
      <c r="B119" t="inlineStr">
        <is>
          <t>Applied Scientist, Sponsored Products and Brands</t>
        </is>
      </c>
      <c r="C119" t="inlineStr">
        <is>
          <t>Amazon.com</t>
        </is>
      </c>
      <c r="D119" t="inlineStr">
        <is>
          <t>indeed</t>
        </is>
      </c>
      <c r="E119">
        <f>HYPERLINK("https://www.indeed.com/viewjob?jk=a9de4e95257e0c02", "https://www.indeed.com/viewjob?jk=a9de4e95257e0c02")</f>
        <v/>
      </c>
      <c r="F119">
        <f>HYPERLINK("https://www.amazon.jobs/jobs/3122617/applied-scientist-sponsored-products-and-brands?cmpid=DA_INAD200785B", "https://www.amazon.jobs/jobs/3122617/applied-scientist-sponsored-products-and-brands?cmpid=DA_INAD200785B")</f>
        <v/>
      </c>
      <c r="G119" t="inlineStr">
        <is>
          <t>New York, NY, US</t>
        </is>
      </c>
      <c r="H119" s="3" t="n">
        <v>45965</v>
      </c>
      <c r="I11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20">
      <c r="A120" t="inlineStr">
        <is>
          <t>in-67c7f73c157fe0a9</t>
        </is>
      </c>
      <c r="B120" t="inlineStr">
        <is>
          <t>Applied Scientist, Sponsored Products and Brands</t>
        </is>
      </c>
      <c r="C120" t="inlineStr">
        <is>
          <t>Amazon.com</t>
        </is>
      </c>
      <c r="D120" t="inlineStr">
        <is>
          <t>indeed</t>
        </is>
      </c>
      <c r="E120">
        <f>HYPERLINK("https://www.indeed.com/viewjob?jk=67c7f73c157fe0a9", "https://www.indeed.com/viewjob?jk=67c7f73c157fe0a9")</f>
        <v/>
      </c>
      <c r="F120">
        <f>HYPERLINK("https://www.amazon.jobs/jobs/3122617/applied-scientist-sponsored-products-and-brands?cmpid=DA_INAD200785B", "https://www.amazon.jobs/jobs/3122617/applied-scientist-sponsored-products-and-brands?cmpid=DA_INAD200785B")</f>
        <v/>
      </c>
      <c r="G120" t="inlineStr">
        <is>
          <t>Seattle, WA, US</t>
        </is>
      </c>
      <c r="H120" s="3" t="n">
        <v>45965</v>
      </c>
      <c r="I12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21">
      <c r="A121" t="inlineStr">
        <is>
          <t>in-e3f7213f2865faa8</t>
        </is>
      </c>
      <c r="B121" t="inlineStr">
        <is>
          <t>Applied Scientist, AWS Agentic AI</t>
        </is>
      </c>
      <c r="C121" t="inlineStr">
        <is>
          <t>Amazon Web Services</t>
        </is>
      </c>
      <c r="D121" t="inlineStr">
        <is>
          <t>indeed</t>
        </is>
      </c>
      <c r="E121">
        <f>HYPERLINK("https://www.indeed.com/viewjob?jk=e3f7213f2865faa8", "https://www.indeed.com/viewjob?jk=e3f7213f2865faa8")</f>
        <v/>
      </c>
      <c r="F121">
        <f>HYPERLINK("https://www.amazon.jobs/jobs/3141517/applied-scientist-aws-agentic-ai-?cmpid=DA_INAD200785B", "https://www.amazon.jobs/jobs/3141517/applied-scientist-aws-agentic-ai-?cmpid=DA_INAD200785B")</f>
        <v/>
      </c>
      <c r="G121" t="inlineStr">
        <is>
          <t>Santa Clara, CA, US</t>
        </is>
      </c>
      <c r="H121" s="3" t="n">
        <v>45962</v>
      </c>
      <c r="I12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in-ec2b7f2e1200495f</t>
        </is>
      </c>
      <c r="B122" t="inlineStr">
        <is>
          <t>Applied Scientist, AWS Agentic AI</t>
        </is>
      </c>
      <c r="C122" t="inlineStr">
        <is>
          <t>Amazon Web Services</t>
        </is>
      </c>
      <c r="D122" t="inlineStr">
        <is>
          <t>indeed</t>
        </is>
      </c>
      <c r="E122">
        <f>HYPERLINK("https://www.indeed.com/viewjob?jk=ec2b7f2e1200495f", "https://www.indeed.com/viewjob?jk=ec2b7f2e1200495f")</f>
        <v/>
      </c>
      <c r="F122">
        <f>HYPERLINK("https://www.amazon.jobs/jobs/3141517/applied-scientist-aws-agentic-ai-?cmpid=DA_INAD200785B", "https://www.amazon.jobs/jobs/3141517/applied-scientist-aws-agentic-ai-?cmpid=DA_INAD200785B")</f>
        <v/>
      </c>
      <c r="G122" t="inlineStr">
        <is>
          <t>New York, NY, US</t>
        </is>
      </c>
      <c r="H122" s="3" t="n">
        <v>45962</v>
      </c>
      <c r="I12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in-5898743cd2fb2a24</t>
        </is>
      </c>
      <c r="B123" t="inlineStr">
        <is>
          <t>Applied Scientist, AWS Agentic AI</t>
        </is>
      </c>
      <c r="C123" t="inlineStr">
        <is>
          <t>Amazon Web Services</t>
        </is>
      </c>
      <c r="D123" t="inlineStr">
        <is>
          <t>indeed</t>
        </is>
      </c>
      <c r="E123">
        <f>HYPERLINK("https://www.indeed.com/viewjob?jk=5898743cd2fb2a24", "https://www.indeed.com/viewjob?jk=5898743cd2fb2a24")</f>
        <v/>
      </c>
      <c r="F123">
        <f>HYPERLINK("https://www.amazon.jobs/jobs/3141517/applied-scientist-aws-agentic-ai-?cmpid=DA_INAD200785B", "https://www.amazon.jobs/jobs/3141517/applied-scientist-aws-agentic-ai-?cmpid=DA_INAD200785B")</f>
        <v/>
      </c>
      <c r="G123" t="inlineStr">
        <is>
          <t>Seattle, WA, US</t>
        </is>
      </c>
      <c r="H123" s="3" t="n">
        <v>45962</v>
      </c>
      <c r="I12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in-4702de6f9c9ba4b7</t>
        </is>
      </c>
      <c r="B124" t="inlineStr">
        <is>
          <t>Applied Scientist, AI Automation, Prime Video</t>
        </is>
      </c>
      <c r="C124" t="inlineStr">
        <is>
          <t>Amazon.com</t>
        </is>
      </c>
      <c r="D124" t="inlineStr">
        <is>
          <t>indeed</t>
        </is>
      </c>
      <c r="E124">
        <f>HYPERLINK("https://www.indeed.com/viewjob?jk=4702de6f9c9ba4b7", "https://www.indeed.com/viewjob?jk=4702de6f9c9ba4b7")</f>
        <v/>
      </c>
      <c r="F124">
        <f>HYPERLINK("https://www.amazon.jobs/jobs/3119822/applied-scientist-ai-automation-prime-video?cmpid=DA_INAD200785B", "https://www.amazon.jobs/jobs/3119822/applied-scientist-ai-automation-prime-video?cmpid=DA_INAD200785B")</f>
        <v/>
      </c>
      <c r="G124" t="inlineStr">
        <is>
          <t>Culver City, CA, US</t>
        </is>
      </c>
      <c r="H124" s="3" t="n">
        <v>45949</v>
      </c>
      <c r="I1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in-79b5bb01b818634a</t>
        </is>
      </c>
      <c r="B125" t="inlineStr">
        <is>
          <t>Applied Scientist, AI Automation, Prime Video</t>
        </is>
      </c>
      <c r="C125" t="inlineStr">
        <is>
          <t>Amazon.com</t>
        </is>
      </c>
      <c r="D125" t="inlineStr">
        <is>
          <t>indeed</t>
        </is>
      </c>
      <c r="E125">
        <f>HYPERLINK("https://www.indeed.com/viewjob?jk=79b5bb01b818634a", "https://www.indeed.com/viewjob?jk=79b5bb01b818634a")</f>
        <v/>
      </c>
      <c r="F125">
        <f>HYPERLINK("https://www.amazon.jobs/jobs/3119822/applied-scientist-ai-automation-prime-video?cmpid=DA_INAD200785B", "https://www.amazon.jobs/jobs/3119822/applied-scientist-ai-automation-prime-video?cmpid=DA_INAD200785B")</f>
        <v/>
      </c>
      <c r="G125" t="inlineStr">
        <is>
          <t>Seattle, WA, US</t>
        </is>
      </c>
      <c r="H125" s="3" t="n">
        <v>45949</v>
      </c>
      <c r="I1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in-30d1519dd36fc49e</t>
        </is>
      </c>
      <c r="B126" t="inlineStr">
        <is>
          <t>Principal Applied Scientist, Advertiser Growth, Amazon Sponsored Products &amp; Brands</t>
        </is>
      </c>
      <c r="C126" t="inlineStr">
        <is>
          <t>Amazon.com</t>
        </is>
      </c>
      <c r="D126" t="inlineStr">
        <is>
          <t>indeed</t>
        </is>
      </c>
      <c r="E126">
        <f>HYPERLINK("https://www.indeed.com/viewjob?jk=30d1519dd36fc49e", "https://www.indeed.com/viewjob?jk=30d1519dd36fc49e")</f>
        <v/>
      </c>
      <c r="F126">
        <f>HYPERLINK("https://www.amazon.jobs/jobs/3115279/principal-applied-scientist-advertiser-growth-amazon-sponsored-products--brands?cmpid=DA_INAD200785B", "https://www.amazon.jobs/jobs/3115279/principal-applied-scientist-advertiser-growth-amazon-sponsored-products--brands?cmpid=DA_INAD200785B")</f>
        <v/>
      </c>
      <c r="G126" t="inlineStr">
        <is>
          <t>Seattle, WA, US</t>
        </is>
      </c>
      <c r="H126" s="3" t="n">
        <v>45942</v>
      </c>
      <c r="I12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in-6ce8658b9b1a6177</t>
        </is>
      </c>
      <c r="B127" t="inlineStr">
        <is>
          <t>Principal Applied Scientist, Advertiser Growth, Amazon Sponsored Products &amp; Brands</t>
        </is>
      </c>
      <c r="C127" t="inlineStr">
        <is>
          <t>Amazon.com</t>
        </is>
      </c>
      <c r="D127" t="inlineStr">
        <is>
          <t>indeed</t>
        </is>
      </c>
      <c r="E127">
        <f>HYPERLINK("https://www.indeed.com/viewjob?jk=6ce8658b9b1a6177", "https://www.indeed.com/viewjob?jk=6ce8658b9b1a6177")</f>
        <v/>
      </c>
      <c r="F127">
        <f>HYPERLINK("https://www.amazon.jobs/jobs/3115279/principal-applied-scientist-advertiser-growth-amazon-sponsored-products--brands?cmpid=DA_INAD200785B", "https://www.amazon.jobs/jobs/3115279/principal-applied-scientist-advertiser-growth-amazon-sponsored-products--brands?cmpid=DA_INAD200785B")</f>
        <v/>
      </c>
      <c r="G127" t="inlineStr">
        <is>
          <t>New York, NY, US</t>
        </is>
      </c>
      <c r="H127" s="3" t="n">
        <v>45942</v>
      </c>
      <c r="I12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in-078314c0c7eb63af</t>
        </is>
      </c>
      <c r="B128" t="inlineStr">
        <is>
          <t>Principal Applied Scientist, Advertiser Growth, Amazon Sponsored Products &amp; Brands</t>
        </is>
      </c>
      <c r="C128" t="inlineStr">
        <is>
          <t>Amazon.com</t>
        </is>
      </c>
      <c r="D128" t="inlineStr">
        <is>
          <t>indeed</t>
        </is>
      </c>
      <c r="E128">
        <f>HYPERLINK("https://www.indeed.com/viewjob?jk=078314c0c7eb63af", "https://www.indeed.com/viewjob?jk=078314c0c7eb63af")</f>
        <v/>
      </c>
      <c r="F128">
        <f>HYPERLINK("https://www.amazon.jobs/jobs/3115279/principal-applied-scientist-advertiser-growth-amazon-sponsored-products--brands?cmpid=DA_INAD200785B", "https://www.amazon.jobs/jobs/3115279/principal-applied-scientist-advertiser-growth-amazon-sponsored-products--brands?cmpid=DA_INAD200785B")</f>
        <v/>
      </c>
      <c r="G128" t="inlineStr">
        <is>
          <t>Palo Alto, CA, US</t>
        </is>
      </c>
      <c r="H128" s="3" t="n">
        <v>45942</v>
      </c>
      <c r="I12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in-64a907ba39ca58f4</t>
        </is>
      </c>
      <c r="B129" t="inlineStr">
        <is>
          <t>Applied Scientist, Workplace Health &amp; Safety</t>
        </is>
      </c>
      <c r="C129" t="inlineStr">
        <is>
          <t>Amazon.com</t>
        </is>
      </c>
      <c r="D129" t="inlineStr">
        <is>
          <t>indeed</t>
        </is>
      </c>
      <c r="E129">
        <f>HYPERLINK("https://www.indeed.com/viewjob?jk=64a907ba39ca58f4", "https://www.indeed.com/viewjob?jk=64a907ba39ca58f4")</f>
        <v/>
      </c>
      <c r="F129">
        <f>HYPERLINK("https://www.amazon.jobs/jobs/3144886/applied-scientist-workplace-health--safety-?cmpid=DA_INAD200785B", "https://www.amazon.jobs/jobs/3144886/applied-scientist-workplace-health--safety-?cmpid=DA_INAD200785B")</f>
        <v/>
      </c>
      <c r="G129" t="inlineStr">
        <is>
          <t>Nashville, TN, US</t>
        </is>
      </c>
      <c r="H129" s="3" t="n">
        <v>45917</v>
      </c>
      <c r="I12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in-a210be3bab969e3d</t>
        </is>
      </c>
      <c r="B130" t="inlineStr">
        <is>
          <t>Applied Scientist, Workplace Health &amp; Safety</t>
        </is>
      </c>
      <c r="C130" t="inlineStr">
        <is>
          <t>Amazon.com</t>
        </is>
      </c>
      <c r="D130" t="inlineStr">
        <is>
          <t>indeed</t>
        </is>
      </c>
      <c r="E130">
        <f>HYPERLINK("https://www.indeed.com/viewjob?jk=a210be3bab969e3d", "https://www.indeed.com/viewjob?jk=a210be3bab969e3d")</f>
        <v/>
      </c>
      <c r="F130">
        <f>HYPERLINK("https://www.amazon.jobs/jobs/3144886/applied-scientist-workplace-health--safety-?cmpid=DA_INAD200785B", "https://www.amazon.jobs/jobs/3144886/applied-scientist-workplace-health--safety-?cmpid=DA_INAD200785B")</f>
        <v/>
      </c>
      <c r="G130" t="inlineStr">
        <is>
          <t>Bellevue, WA, US</t>
        </is>
      </c>
      <c r="H130" s="3" t="n">
        <v>45917</v>
      </c>
      <c r="I130"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in-a1554973ccf6d879</t>
        </is>
      </c>
      <c r="B131" t="inlineStr">
        <is>
          <t>Sr. Applied Scientist, Prime Video - Personalization and Discovery Science</t>
        </is>
      </c>
      <c r="C131" t="inlineStr">
        <is>
          <t>Amazon.com</t>
        </is>
      </c>
      <c r="D131" t="inlineStr">
        <is>
          <t>indeed</t>
        </is>
      </c>
      <c r="E131">
        <f>HYPERLINK("https://www.indeed.com/viewjob?jk=a1554973ccf6d879", "https://www.indeed.com/viewjob?jk=a1554973ccf6d879")</f>
        <v/>
      </c>
      <c r="F131">
        <f>HYPERLINK("https://www.amazon.jobs/jobs/3084479/sr-applied-scientist-prime-video--personalization-and-discovery-science?cmpid=DA_INAD200785B", "https://www.amazon.jobs/jobs/3084479/sr-applied-scientist-prime-video--personalization-and-discovery-science?cmpid=DA_INAD200785B")</f>
        <v/>
      </c>
      <c r="G131" t="inlineStr">
        <is>
          <t>Seattle, WA, US</t>
        </is>
      </c>
      <c r="H131" s="3" t="n">
        <v>45896</v>
      </c>
      <c r="I1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32">
      <c r="A132" t="inlineStr">
        <is>
          <t>in-60d4fb175a49c2a0</t>
        </is>
      </c>
      <c r="B132" t="inlineStr">
        <is>
          <t>Sr. Applied Scientist, Prime Video - Personalization and Discovery Science</t>
        </is>
      </c>
      <c r="C132" t="inlineStr">
        <is>
          <t>Amazon.com</t>
        </is>
      </c>
      <c r="D132" t="inlineStr">
        <is>
          <t>indeed</t>
        </is>
      </c>
      <c r="E132">
        <f>HYPERLINK("https://www.indeed.com/viewjob?jk=60d4fb175a49c2a0", "https://www.indeed.com/viewjob?jk=60d4fb175a49c2a0")</f>
        <v/>
      </c>
      <c r="F132">
        <f>HYPERLINK("https://www.amazon.jobs/jobs/3084479/sr-applied-scientist-prime-video--personalization-and-discovery-science?cmpid=DA_INAD200785B", "https://www.amazon.jobs/jobs/3084479/sr-applied-scientist-prime-video--personalization-and-discovery-science?cmpid=DA_INAD200785B")</f>
        <v/>
      </c>
      <c r="G132" t="inlineStr">
        <is>
          <t>Sunnyvale, CA, US</t>
        </is>
      </c>
      <c r="H132" s="3" t="n">
        <v>45896</v>
      </c>
      <c r="I1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33">
      <c r="A133" t="inlineStr">
        <is>
          <t>in-416930317bc89ba9</t>
        </is>
      </c>
      <c r="B133" t="inlineStr">
        <is>
          <t>Sr. Applied Scientist, Prime Video - Personalization and Discovery Science</t>
        </is>
      </c>
      <c r="C133" t="inlineStr">
        <is>
          <t>Amazon.com</t>
        </is>
      </c>
      <c r="D133" t="inlineStr">
        <is>
          <t>indeed</t>
        </is>
      </c>
      <c r="E133">
        <f>HYPERLINK("https://www.indeed.com/viewjob?jk=416930317bc89ba9", "https://www.indeed.com/viewjob?jk=416930317bc89ba9")</f>
        <v/>
      </c>
      <c r="F133">
        <f>HYPERLINK("https://www.amazon.jobs/jobs/3084479/sr-applied-scientist-prime-video--personalization-and-discovery-science?cmpid=DA_INAD200785B", "https://www.amazon.jobs/jobs/3084479/sr-applied-scientist-prime-video--personalization-and-discovery-science?cmpid=DA_INAD200785B")</f>
        <v/>
      </c>
      <c r="G133" t="inlineStr">
        <is>
          <t>New York, NY, US</t>
        </is>
      </c>
      <c r="H133" s="3" t="n">
        <v>45896</v>
      </c>
      <c r="I1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34">
      <c r="A134" t="inlineStr">
        <is>
          <t>in-db21acbecc0b94f5</t>
        </is>
      </c>
      <c r="B134" t="inlineStr">
        <is>
          <t>Applied Scientist II, Prime Video , Personalization and Discovery Science</t>
        </is>
      </c>
      <c r="C134" t="inlineStr">
        <is>
          <t>Amazon.com</t>
        </is>
      </c>
      <c r="D134" t="inlineStr">
        <is>
          <t>indeed</t>
        </is>
      </c>
      <c r="E134">
        <f>HYPERLINK("https://www.indeed.com/viewjob?jk=db21acbecc0b94f5", "https://www.indeed.com/viewjob?jk=db21acbecc0b94f5")</f>
        <v/>
      </c>
      <c r="F134">
        <f>HYPERLINK("https://www.amazon.jobs/jobs/3061303/applied-scientist-ii-prime-video--personalization-and-discovery-science?cmpid=DA_INAD200785B", "https://www.amazon.jobs/jobs/3061303/applied-scientist-ii-prime-video--personalization-and-discovery-science?cmpid=DA_INAD200785B")</f>
        <v/>
      </c>
      <c r="G134" t="inlineStr">
        <is>
          <t>Seattle, WA, US</t>
        </is>
      </c>
      <c r="H134" s="3" t="n">
        <v>45886</v>
      </c>
      <c r="I1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35">
      <c r="A135" t="inlineStr">
        <is>
          <t>in-a57f123fdaed9d83</t>
        </is>
      </c>
      <c r="B135" t="inlineStr">
        <is>
          <t>Applied Scientist II, Prime Video , Personalization and Discovery Science</t>
        </is>
      </c>
      <c r="C135" t="inlineStr">
        <is>
          <t>Amazon.com</t>
        </is>
      </c>
      <c r="D135" t="inlineStr">
        <is>
          <t>indeed</t>
        </is>
      </c>
      <c r="E135">
        <f>HYPERLINK("https://www.indeed.com/viewjob?jk=a57f123fdaed9d83", "https://www.indeed.com/viewjob?jk=a57f123fdaed9d83")</f>
        <v/>
      </c>
      <c r="F135">
        <f>HYPERLINK("https://www.amazon.jobs/jobs/3061303/applied-scientist-ii-prime-video--personalization-and-discovery-science?cmpid=DA_INAD200785B", "https://www.amazon.jobs/jobs/3061303/applied-scientist-ii-prime-video--personalization-and-discovery-science?cmpid=DA_INAD200785B")</f>
        <v/>
      </c>
      <c r="G135" t="inlineStr">
        <is>
          <t>New York, NY, US</t>
        </is>
      </c>
      <c r="H135" s="3" t="n">
        <v>45886</v>
      </c>
      <c r="I1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36">
      <c r="A136" t="inlineStr">
        <is>
          <t>in-30cbca173e27577f</t>
        </is>
      </c>
      <c r="B136" t="inlineStr">
        <is>
          <t>Applied Scientist II, Prime Video , Personalization and Discovery Science</t>
        </is>
      </c>
      <c r="C136" t="inlineStr">
        <is>
          <t>Amazon.com</t>
        </is>
      </c>
      <c r="D136" t="inlineStr">
        <is>
          <t>indeed</t>
        </is>
      </c>
      <c r="E136">
        <f>HYPERLINK("https://www.indeed.com/viewjob?jk=30cbca173e27577f", "https://www.indeed.com/viewjob?jk=30cbca173e27577f")</f>
        <v/>
      </c>
      <c r="F136">
        <f>HYPERLINK("https://www.amazon.jobs/jobs/3061303/applied-scientist-ii-prime-video--personalization-and-discovery-science?cmpid=DA_INAD200785B", "https://www.amazon.jobs/jobs/3061303/applied-scientist-ii-prime-video--personalization-and-discovery-science?cmpid=DA_INAD200785B")</f>
        <v/>
      </c>
      <c r="G136" t="inlineStr">
        <is>
          <t>Sunnyvale, CA, US</t>
        </is>
      </c>
      <c r="H136" s="3" t="n">
        <v>45886</v>
      </c>
      <c r="I1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37">
      <c r="A137" t="inlineStr">
        <is>
          <t>in-7fdd1545e5d89948</t>
        </is>
      </c>
      <c r="B137" t="inlineStr">
        <is>
          <t>Sr. Applied Scientist, Prime Video - Personalization and Discovery Science</t>
        </is>
      </c>
      <c r="C137" t="inlineStr">
        <is>
          <t>Amazon.com</t>
        </is>
      </c>
      <c r="D137" t="inlineStr">
        <is>
          <t>indeed</t>
        </is>
      </c>
      <c r="E137">
        <f>HYPERLINK("https://www.indeed.com/viewjob?jk=7fdd1545e5d89948", "https://www.indeed.com/viewjob?jk=7fdd1545e5d89948")</f>
        <v/>
      </c>
      <c r="F137">
        <f>HYPERLINK("https://www.amazon.jobs/jobs/3061266/sr-applied-scientist-prime-video--personalization-and-discovery-science?cmpid=DA_INAD200785B", "https://www.amazon.jobs/jobs/3061266/sr-applied-scientist-prime-video--personalization-and-discovery-science?cmpid=DA_INAD200785B")</f>
        <v/>
      </c>
      <c r="G137" t="inlineStr">
        <is>
          <t>Seattle, WA, US</t>
        </is>
      </c>
      <c r="H137" s="3" t="n">
        <v>45886</v>
      </c>
      <c r="I1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in-7b1a5e465ccf80fa</t>
        </is>
      </c>
      <c r="B138" t="inlineStr">
        <is>
          <t>Sr. Applied Scientist, Prime Video - Personalization and Discovery Science</t>
        </is>
      </c>
      <c r="C138" t="inlineStr">
        <is>
          <t>Amazon.com</t>
        </is>
      </c>
      <c r="D138" t="inlineStr">
        <is>
          <t>indeed</t>
        </is>
      </c>
      <c r="E138">
        <f>HYPERLINK("https://www.indeed.com/viewjob?jk=7b1a5e465ccf80fa", "https://www.indeed.com/viewjob?jk=7b1a5e465ccf80fa")</f>
        <v/>
      </c>
      <c r="F138">
        <f>HYPERLINK("https://www.amazon.jobs/jobs/3061266/sr-applied-scientist-prime-video--personalization-and-discovery-science?cmpid=DA_INAD200785B", "https://www.amazon.jobs/jobs/3061266/sr-applied-scientist-prime-video--personalization-and-discovery-science?cmpid=DA_INAD200785B")</f>
        <v/>
      </c>
      <c r="G138" t="inlineStr">
        <is>
          <t>Sunnyvale, CA, US</t>
        </is>
      </c>
      <c r="H138" s="3" t="n">
        <v>45886</v>
      </c>
      <c r="I1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in-f481cade774d66c2</t>
        </is>
      </c>
      <c r="B139" t="inlineStr">
        <is>
          <t>Sr. Applied Scientist, Prime Video - Personalization and Discovery Science</t>
        </is>
      </c>
      <c r="C139" t="inlineStr">
        <is>
          <t>Amazon.com</t>
        </is>
      </c>
      <c r="D139" t="inlineStr">
        <is>
          <t>indeed</t>
        </is>
      </c>
      <c r="E139">
        <f>HYPERLINK("https://www.indeed.com/viewjob?jk=f481cade774d66c2", "https://www.indeed.com/viewjob?jk=f481cade774d66c2")</f>
        <v/>
      </c>
      <c r="F139">
        <f>HYPERLINK("https://www.amazon.jobs/jobs/3061266/sr-applied-scientist-prime-video--personalization-and-discovery-science?cmpid=DA_INAD200785B", "https://www.amazon.jobs/jobs/3061266/sr-applied-scientist-prime-video--personalization-and-discovery-science?cmpid=DA_INAD200785B")</f>
        <v/>
      </c>
      <c r="G139" t="inlineStr">
        <is>
          <t>New York, NY, US</t>
        </is>
      </c>
      <c r="H139" s="3" t="n">
        <v>45886</v>
      </c>
      <c r="I1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in-3b5ce99252ef3959</t>
        </is>
      </c>
      <c r="B140" t="inlineStr">
        <is>
          <t>Applied Scientist III, StoreGen</t>
        </is>
      </c>
      <c r="C140" t="inlineStr">
        <is>
          <t>Amazon.com</t>
        </is>
      </c>
      <c r="D140" t="inlineStr">
        <is>
          <t>indeed</t>
        </is>
      </c>
      <c r="E140">
        <f>HYPERLINK("https://www.indeed.com/viewjob?jk=3b5ce99252ef3959", "https://www.indeed.com/viewjob?jk=3b5ce99252ef3959")</f>
        <v/>
      </c>
      <c r="F140">
        <f>HYPERLINK("https://www.amazon.jobs/jobs/3065534/applied-scientist-iii-storegen?cmpid=DA_INAD200785B", "https://www.amazon.jobs/jobs/3065534/applied-scientist-iii-storegen?cmpid=DA_INAD200785B")</f>
        <v/>
      </c>
      <c r="G140" t="inlineStr">
        <is>
          <t>Sunnyvale, CA, US</t>
        </is>
      </c>
      <c r="H140" s="3" t="n">
        <v>45868</v>
      </c>
      <c r="I140"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in-95cb076d0b3e9617</t>
        </is>
      </c>
      <c r="B141" t="inlineStr">
        <is>
          <t>Applied Scientist III, StoreGen</t>
        </is>
      </c>
      <c r="C141" t="inlineStr">
        <is>
          <t>Amazon.com</t>
        </is>
      </c>
      <c r="D141" t="inlineStr">
        <is>
          <t>indeed</t>
        </is>
      </c>
      <c r="E141">
        <f>HYPERLINK("https://www.indeed.com/viewjob?jk=95cb076d0b3e9617", "https://www.indeed.com/viewjob?jk=95cb076d0b3e9617")</f>
        <v/>
      </c>
      <c r="F141">
        <f>HYPERLINK("https://www.amazon.jobs/jobs/3065534/applied-scientist-iii-storegen?cmpid=DA_INAD200785B", "https://www.amazon.jobs/jobs/3065534/applied-scientist-iii-storegen?cmpid=DA_INAD200785B")</f>
        <v/>
      </c>
      <c r="G141" t="inlineStr">
        <is>
          <t>Seattle, WA, US</t>
        </is>
      </c>
      <c r="H141" s="3" t="n">
        <v>45868</v>
      </c>
      <c r="I141"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in-87f279bce1c10b86</t>
        </is>
      </c>
      <c r="B142" t="inlineStr">
        <is>
          <t>Sr. Applied Scientist, Amazon Advertising</t>
        </is>
      </c>
      <c r="C142" t="inlineStr">
        <is>
          <t>Amazon.com</t>
        </is>
      </c>
      <c r="D142" t="inlineStr">
        <is>
          <t>indeed</t>
        </is>
      </c>
      <c r="E142">
        <f>HYPERLINK("https://www.indeed.com/viewjob?jk=87f279bce1c10b86", "https://www.indeed.com/viewjob?jk=87f279bce1c10b86")</f>
        <v/>
      </c>
      <c r="F142">
        <f>HYPERLINK("https://www.amazon.jobs/jobs/3035686/sr-applied-scientist-amazon-advertising?cmpid=DA_INAD200785B", "https://www.amazon.jobs/jobs/3035686/sr-applied-scientist-amazon-advertising?cmpid=DA_INAD200785B")</f>
        <v/>
      </c>
      <c r="G142" t="inlineStr">
        <is>
          <t>Los Angeles, CA, US</t>
        </is>
      </c>
      <c r="H142" s="3" t="n">
        <v>45851</v>
      </c>
      <c r="I14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in-50e131e0c4fa124f</t>
        </is>
      </c>
      <c r="B143" t="inlineStr">
        <is>
          <t>Sr. Applied Scientist, Amazon Advertising</t>
        </is>
      </c>
      <c r="C143" t="inlineStr">
        <is>
          <t>Amazon.com</t>
        </is>
      </c>
      <c r="D143" t="inlineStr">
        <is>
          <t>indeed</t>
        </is>
      </c>
      <c r="E143">
        <f>HYPERLINK("https://www.indeed.com/viewjob?jk=50e131e0c4fa124f", "https://www.indeed.com/viewjob?jk=50e131e0c4fa124f")</f>
        <v/>
      </c>
      <c r="F143">
        <f>HYPERLINK("https://www.amazon.jobs/jobs/3035686/sr-applied-scientist-amazon-advertising?cmpid=DA_INAD200785B", "https://www.amazon.jobs/jobs/3035686/sr-applied-scientist-amazon-advertising?cmpid=DA_INAD200785B")</f>
        <v/>
      </c>
      <c r="G143" t="inlineStr">
        <is>
          <t>New York, NY, US</t>
        </is>
      </c>
      <c r="H143" s="3" t="n">
        <v>45851</v>
      </c>
      <c r="I14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in-9e1ac8290edd7114</t>
        </is>
      </c>
      <c r="B144" t="inlineStr">
        <is>
          <t>Sr. Applied Scientist, Amazon Advertising</t>
        </is>
      </c>
      <c r="C144" t="inlineStr">
        <is>
          <t>Amazon.com</t>
        </is>
      </c>
      <c r="D144" t="inlineStr">
        <is>
          <t>indeed</t>
        </is>
      </c>
      <c r="E144">
        <f>HYPERLINK("https://www.indeed.com/viewjob?jk=9e1ac8290edd7114", "https://www.indeed.com/viewjob?jk=9e1ac8290edd7114")</f>
        <v/>
      </c>
      <c r="F144">
        <f>HYPERLINK("https://www.amazon.jobs/jobs/3035686/sr-applied-scientist-amazon-advertising?cmpid=DA_INAD200785B", "https://www.amazon.jobs/jobs/3035686/sr-applied-scientist-amazon-advertising?cmpid=DA_INAD200785B")</f>
        <v/>
      </c>
      <c r="G144" t="inlineStr">
        <is>
          <t>West Hollywood, CA, US</t>
        </is>
      </c>
      <c r="H144" s="3" t="n">
        <v>45851</v>
      </c>
      <c r="I14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in-8aa84b9d4e0b67b9</t>
        </is>
      </c>
      <c r="B145" t="inlineStr">
        <is>
          <t>Sr. Applied Scientist, Amazon Advertising</t>
        </is>
      </c>
      <c r="C145" t="inlineStr">
        <is>
          <t>Amazon.com</t>
        </is>
      </c>
      <c r="D145" t="inlineStr">
        <is>
          <t>indeed</t>
        </is>
      </c>
      <c r="E145">
        <f>HYPERLINK("https://www.indeed.com/viewjob?jk=8aa84b9d4e0b67b9", "https://www.indeed.com/viewjob?jk=8aa84b9d4e0b67b9")</f>
        <v/>
      </c>
      <c r="F145">
        <f>HYPERLINK("https://www.amazon.jobs/jobs/3035686/sr-applied-scientist-amazon-advertising?cmpid=DA_INAD200785B", "https://www.amazon.jobs/jobs/3035686/sr-applied-scientist-amazon-advertising?cmpid=DA_INAD200785B")</f>
        <v/>
      </c>
      <c r="G145" t="inlineStr">
        <is>
          <t>Palo Alto, CA, US</t>
        </is>
      </c>
      <c r="H145" s="3" t="n">
        <v>45851</v>
      </c>
      <c r="I14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in-fa950ce1ba144bab</t>
        </is>
      </c>
      <c r="B146" t="inlineStr">
        <is>
          <t>Sr. Applied Scientist, Amazon Advertising</t>
        </is>
      </c>
      <c r="C146" t="inlineStr">
        <is>
          <t>Amazon.com</t>
        </is>
      </c>
      <c r="D146" t="inlineStr">
        <is>
          <t>indeed</t>
        </is>
      </c>
      <c r="E146">
        <f>HYPERLINK("https://www.indeed.com/viewjob?jk=fa950ce1ba144bab", "https://www.indeed.com/viewjob?jk=fa950ce1ba144bab")</f>
        <v/>
      </c>
      <c r="F146">
        <f>HYPERLINK("https://www.amazon.jobs/jobs/3035686/sr-applied-scientist-amazon-advertising?cmpid=DA_INAD200785B", "https://www.amazon.jobs/jobs/3035686/sr-applied-scientist-amazon-advertising?cmpid=DA_INAD200785B")</f>
        <v/>
      </c>
      <c r="G146" t="inlineStr">
        <is>
          <t>Seattle, WA, US</t>
        </is>
      </c>
      <c r="H146" s="3" t="n">
        <v>45851</v>
      </c>
      <c r="I14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in-3e968481bf70e495</t>
        </is>
      </c>
      <c r="B147" t="inlineStr">
        <is>
          <t>Sr. Applied Scientist, Amazon Advertising</t>
        </is>
      </c>
      <c r="C147" t="inlineStr">
        <is>
          <t>Amazon.com</t>
        </is>
      </c>
      <c r="D147" t="inlineStr">
        <is>
          <t>indeed</t>
        </is>
      </c>
      <c r="E147">
        <f>HYPERLINK("https://www.indeed.com/viewjob?jk=3e968481bf70e495", "https://www.indeed.com/viewjob?jk=3e968481bf70e495")</f>
        <v/>
      </c>
      <c r="F147">
        <f>HYPERLINK("https://www.amazon.jobs/jobs/3035686/sr-applied-scientist-amazon-advertising?cmpid=DA_INAD200785B", "https://www.amazon.jobs/jobs/3035686/sr-applied-scientist-amazon-advertising?cmpid=DA_INAD200785B")</f>
        <v/>
      </c>
      <c r="G147" t="inlineStr">
        <is>
          <t>Austin, TX, US</t>
        </is>
      </c>
      <c r="H147" s="3" t="n">
        <v>45851</v>
      </c>
      <c r="I14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in-d07025958ab18971</t>
        </is>
      </c>
      <c r="B148" t="inlineStr">
        <is>
          <t>Sr. Applied Scientist, Amazon Advertising</t>
        </is>
      </c>
      <c r="C148" t="inlineStr">
        <is>
          <t>Amazon.com</t>
        </is>
      </c>
      <c r="D148" t="inlineStr">
        <is>
          <t>indeed</t>
        </is>
      </c>
      <c r="E148">
        <f>HYPERLINK("https://www.indeed.com/viewjob?jk=d07025958ab18971", "https://www.indeed.com/viewjob?jk=d07025958ab18971")</f>
        <v/>
      </c>
      <c r="F148">
        <f>HYPERLINK("https://www.amazon.jobs/jobs/3035686/sr-applied-scientist-amazon-advertising?cmpid=DA_INAD200785B", "https://www.amazon.jobs/jobs/3035686/sr-applied-scientist-amazon-advertising?cmpid=DA_INAD200785B")</f>
        <v/>
      </c>
      <c r="G148" t="inlineStr">
        <is>
          <t>Arlington, VA, US</t>
        </is>
      </c>
      <c r="H148" s="3" t="n">
        <v>45851</v>
      </c>
      <c r="I14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in-dc3480e556571bcf</t>
        </is>
      </c>
      <c r="B149" t="inlineStr">
        <is>
          <t>Sr. Applied Scientist, Amazon Advertising</t>
        </is>
      </c>
      <c r="C149" t="inlineStr">
        <is>
          <t>Amazon.com</t>
        </is>
      </c>
      <c r="D149" t="inlineStr">
        <is>
          <t>indeed</t>
        </is>
      </c>
      <c r="E149">
        <f>HYPERLINK("https://www.indeed.com/viewjob?jk=dc3480e556571bcf", "https://www.indeed.com/viewjob?jk=dc3480e556571bcf")</f>
        <v/>
      </c>
      <c r="F149">
        <f>HYPERLINK("https://www.amazon.jobs/jobs/3035686/sr-applied-scientist-amazon-advertising?cmpid=DA_INAD200785B", "https://www.amazon.jobs/jobs/3035686/sr-applied-scientist-amazon-advertising?cmpid=DA_INAD200785B")</f>
        <v/>
      </c>
      <c r="G149" t="inlineStr">
        <is>
          <t>Simi Valley, CA, US</t>
        </is>
      </c>
      <c r="H149" s="3" t="n">
        <v>45851</v>
      </c>
      <c r="I14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in-66c65f6a4fd73585</t>
        </is>
      </c>
      <c r="B150" t="inlineStr">
        <is>
          <t>Sr. Applied Scientist, Sales AI</t>
        </is>
      </c>
      <c r="C150" t="inlineStr">
        <is>
          <t>Amazon.com</t>
        </is>
      </c>
      <c r="D150" t="inlineStr">
        <is>
          <t>indeed</t>
        </is>
      </c>
      <c r="E150">
        <f>HYPERLINK("https://www.indeed.com/viewjob?jk=66c65f6a4fd73585", "https://www.indeed.com/viewjob?jk=66c65f6a4fd73585")</f>
        <v/>
      </c>
      <c r="F150">
        <f>HYPERLINK("https://www.amazon.jobs/jobs/3020528/sr-applied-scientist-sales-ai?cmpid=DA_INAD200785B", "https://www.amazon.jobs/jobs/3020528/sr-applied-scientist-sales-ai?cmpid=DA_INAD200785B")</f>
        <v/>
      </c>
      <c r="G150" t="inlineStr">
        <is>
          <t>New York, NY, US</t>
        </is>
      </c>
      <c r="H150" s="3" t="n">
        <v>45830</v>
      </c>
      <c r="I15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in-501b24f9e3fe6b28</t>
        </is>
      </c>
      <c r="B151" t="inlineStr">
        <is>
          <t>Sr. Applied Scientist, Sales AI</t>
        </is>
      </c>
      <c r="C151" t="inlineStr">
        <is>
          <t>Amazon.com</t>
        </is>
      </c>
      <c r="D151" t="inlineStr">
        <is>
          <t>indeed</t>
        </is>
      </c>
      <c r="E151">
        <f>HYPERLINK("https://www.indeed.com/viewjob?jk=501b24f9e3fe6b28", "https://www.indeed.com/viewjob?jk=501b24f9e3fe6b28")</f>
        <v/>
      </c>
      <c r="F151">
        <f>HYPERLINK("https://www.amazon.jobs/jobs/3020528/sr-applied-scientist-sales-ai?cmpid=DA_INAD200785B", "https://www.amazon.jobs/jobs/3020528/sr-applied-scientist-sales-ai?cmpid=DA_INAD200785B")</f>
        <v/>
      </c>
      <c r="G151" t="inlineStr">
        <is>
          <t>Sunnyvale, CA, US</t>
        </is>
      </c>
      <c r="H151" s="3" t="n">
        <v>45830</v>
      </c>
      <c r="I15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in-bfdff12a5820dc14</t>
        </is>
      </c>
      <c r="B152" t="inlineStr">
        <is>
          <t>Sr. Applied Scientist, Sales AI</t>
        </is>
      </c>
      <c r="C152" t="inlineStr">
        <is>
          <t>Amazon.com</t>
        </is>
      </c>
      <c r="D152" t="inlineStr">
        <is>
          <t>indeed</t>
        </is>
      </c>
      <c r="E152">
        <f>HYPERLINK("https://www.indeed.com/viewjob?jk=bfdff12a5820dc14", "https://www.indeed.com/viewjob?jk=bfdff12a5820dc14")</f>
        <v/>
      </c>
      <c r="F152">
        <f>HYPERLINK("https://www.amazon.jobs/jobs/3020528/sr-applied-scientist-sales-ai?cmpid=DA_INAD200785B", "https://www.amazon.jobs/jobs/3020528/sr-applied-scientist-sales-ai?cmpid=DA_INAD200785B")</f>
        <v/>
      </c>
      <c r="G152" t="inlineStr">
        <is>
          <t>Seattle, WA, US</t>
        </is>
      </c>
      <c r="H152" s="3" t="n">
        <v>45830</v>
      </c>
      <c r="I15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in-79097143b1ee57ff</t>
        </is>
      </c>
      <c r="B153" t="inlineStr">
        <is>
          <t>Senior Applied Scientist, Delivery Foundation Model</t>
        </is>
      </c>
      <c r="C153" t="inlineStr">
        <is>
          <t>Amazon.com</t>
        </is>
      </c>
      <c r="D153" t="inlineStr">
        <is>
          <t>indeed</t>
        </is>
      </c>
      <c r="E153">
        <f>HYPERLINK("https://www.indeed.com/viewjob?jk=79097143b1ee57ff", "https://www.indeed.com/viewjob?jk=79097143b1ee57ff")</f>
        <v/>
      </c>
      <c r="F153">
        <f>HYPERLINK("https://www.amazon.jobs/jobs/2998435/senior-applied-scientist-delivery-foundation-model-?cmpid=DA_INAD200785B", "https://www.amazon.jobs/jobs/2998435/senior-applied-scientist-delivery-foundation-model-?cmpid=DA_INAD200785B")</f>
        <v/>
      </c>
      <c r="G153" t="inlineStr">
        <is>
          <t>New York, NY, US</t>
        </is>
      </c>
      <c r="H153" s="3" t="n">
        <v>45806</v>
      </c>
      <c r="I15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in-be33b3b9c852c620</t>
        </is>
      </c>
      <c r="B154" t="inlineStr">
        <is>
          <t>Senior Applied Scientist, Delivery Foundation Model</t>
        </is>
      </c>
      <c r="C154" t="inlineStr">
        <is>
          <t>Amazon.com</t>
        </is>
      </c>
      <c r="D154" t="inlineStr">
        <is>
          <t>indeed</t>
        </is>
      </c>
      <c r="E154">
        <f>HYPERLINK("https://www.indeed.com/viewjob?jk=be33b3b9c852c620", "https://www.indeed.com/viewjob?jk=be33b3b9c852c620")</f>
        <v/>
      </c>
      <c r="F154">
        <f>HYPERLINK("https://www.amazon.jobs/jobs/2998435/senior-applied-scientist-delivery-foundation-model-?cmpid=DA_INAD200785B", "https://www.amazon.jobs/jobs/2998435/senior-applied-scientist-delivery-foundation-model-?cmpid=DA_INAD200785B")</f>
        <v/>
      </c>
      <c r="G154" t="inlineStr">
        <is>
          <t>Bellevue, WA, US</t>
        </is>
      </c>
      <c r="H154" s="3" t="n">
        <v>45806</v>
      </c>
      <c r="I15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in-e84590678114f6c5</t>
        </is>
      </c>
      <c r="B155" t="inlineStr">
        <is>
          <t>Senior Applied Scientist, Delivery Foundation Model</t>
        </is>
      </c>
      <c r="C155" t="inlineStr">
        <is>
          <t>Amazon.com</t>
        </is>
      </c>
      <c r="D155" t="inlineStr">
        <is>
          <t>indeed</t>
        </is>
      </c>
      <c r="E155">
        <f>HYPERLINK("https://www.indeed.com/viewjob?jk=e84590678114f6c5", "https://www.indeed.com/viewjob?jk=e84590678114f6c5")</f>
        <v/>
      </c>
      <c r="F155">
        <f>HYPERLINK("https://www.amazon.jobs/jobs/2998435/senior-applied-scientist-delivery-foundation-model-?cmpid=DA_INAD200785B", "https://www.amazon.jobs/jobs/2998435/senior-applied-scientist-delivery-foundation-model-?cmpid=DA_INAD200785B")</f>
        <v/>
      </c>
      <c r="G155" t="inlineStr">
        <is>
          <t>Santa Clara, CA, US</t>
        </is>
      </c>
      <c r="H155" s="3" t="n">
        <v>45806</v>
      </c>
      <c r="I15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in-f0450ad35c2c0adf</t>
        </is>
      </c>
      <c r="B156" t="inlineStr">
        <is>
          <t>Sr. Applied Scientist - Privacy, Privacy Engineering</t>
        </is>
      </c>
      <c r="C156" t="inlineStr">
        <is>
          <t>Amazon.com</t>
        </is>
      </c>
      <c r="D156" t="inlineStr">
        <is>
          <t>indeed</t>
        </is>
      </c>
      <c r="E156">
        <f>HYPERLINK("https://www.indeed.com/viewjob?jk=f0450ad35c2c0adf", "https://www.indeed.com/viewjob?jk=f0450ad35c2c0adf")</f>
        <v/>
      </c>
      <c r="F156">
        <f>HYPERLINK("https://www.amazon.jobs/jobs/2997657/sr-applied-scientist--privacy-privacy-engineering?cmpid=DA_INAD200785B", "https://www.amazon.jobs/jobs/2997657/sr-applied-scientist--privacy-privacy-engineering?cmpid=DA_INAD200785B")</f>
        <v/>
      </c>
      <c r="G156" t="inlineStr">
        <is>
          <t>Santa Clara, CA, US</t>
        </is>
      </c>
      <c r="H156" s="3" t="n">
        <v>45787</v>
      </c>
      <c r="I156"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in-4a76b1c0a48d9af9</t>
        </is>
      </c>
      <c r="B157" t="inlineStr">
        <is>
          <t>Sr. Applied Scientist - Privacy, Privacy Engineering</t>
        </is>
      </c>
      <c r="C157" t="inlineStr">
        <is>
          <t>Amazon.com</t>
        </is>
      </c>
      <c r="D157" t="inlineStr">
        <is>
          <t>indeed</t>
        </is>
      </c>
      <c r="E157">
        <f>HYPERLINK("https://www.indeed.com/viewjob?jk=4a76b1c0a48d9af9", "https://www.indeed.com/viewjob?jk=4a76b1c0a48d9af9")</f>
        <v/>
      </c>
      <c r="F157">
        <f>HYPERLINK("https://www.amazon.jobs/jobs/2997657/sr-applied-scientist--privacy-privacy-engineering?cmpid=DA_INAD200785B", "https://www.amazon.jobs/jobs/2997657/sr-applied-scientist--privacy-privacy-engineering?cmpid=DA_INAD200785B")</f>
        <v/>
      </c>
      <c r="G157" t="inlineStr">
        <is>
          <t>San Francisco, CA, US</t>
        </is>
      </c>
      <c r="H157" s="3" t="n">
        <v>45787</v>
      </c>
      <c r="I15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in-5d4c749ba36b545a</t>
        </is>
      </c>
      <c r="B158" t="inlineStr">
        <is>
          <t>Sr. Applied Scientist - Privacy, Privacy Engineering</t>
        </is>
      </c>
      <c r="C158" t="inlineStr">
        <is>
          <t>Amazon.com</t>
        </is>
      </c>
      <c r="D158" t="inlineStr">
        <is>
          <t>indeed</t>
        </is>
      </c>
      <c r="E158">
        <f>HYPERLINK("https://www.indeed.com/viewjob?jk=5d4c749ba36b545a", "https://www.indeed.com/viewjob?jk=5d4c749ba36b545a")</f>
        <v/>
      </c>
      <c r="F158">
        <f>HYPERLINK("https://www.amazon.jobs/jobs/2997657/sr-applied-scientist--privacy-privacy-engineering?cmpid=DA_INAD200785B", "https://www.amazon.jobs/jobs/2997657/sr-applied-scientist--privacy-privacy-engineering?cmpid=DA_INAD200785B")</f>
        <v/>
      </c>
      <c r="G158" t="inlineStr">
        <is>
          <t>Seattle, WA, US</t>
        </is>
      </c>
      <c r="H158" s="3" t="n">
        <v>45787</v>
      </c>
      <c r="I158"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in-36163d74928904d6</t>
        </is>
      </c>
      <c r="B159" t="inlineStr">
        <is>
          <t>Sr. Applied Scientist - Privacy, Privacy Engineering</t>
        </is>
      </c>
      <c r="C159" t="inlineStr">
        <is>
          <t>Amazon.com</t>
        </is>
      </c>
      <c r="D159" t="inlineStr">
        <is>
          <t>indeed</t>
        </is>
      </c>
      <c r="E159">
        <f>HYPERLINK("https://www.indeed.com/viewjob?jk=36163d74928904d6", "https://www.indeed.com/viewjob?jk=36163d74928904d6")</f>
        <v/>
      </c>
      <c r="F159">
        <f>HYPERLINK("https://www.amazon.jobs/jobs/2997657/sr-applied-scientist--privacy-privacy-engineering?cmpid=DA_INAD200785B", "https://www.amazon.jobs/jobs/2997657/sr-applied-scientist--privacy-privacy-engineering?cmpid=DA_INAD200785B")</f>
        <v/>
      </c>
      <c r="G159" t="inlineStr">
        <is>
          <t>Sunnyvale, CA, US</t>
        </is>
      </c>
      <c r="H159" s="3" t="n">
        <v>45787</v>
      </c>
      <c r="I159"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in-9e30cdc2522dc0a5</t>
        </is>
      </c>
      <c r="B160" t="inlineStr">
        <is>
          <t>Sr. Data Scientist- Computer Vision, Data &amp; Machine Learning (DML)</t>
        </is>
      </c>
      <c r="C160" t="inlineStr">
        <is>
          <t>Amazon Web Services</t>
        </is>
      </c>
      <c r="D160" t="inlineStr">
        <is>
          <t>indeed</t>
        </is>
      </c>
      <c r="E160">
        <f>HYPERLINK("https://www.indeed.com/viewjob?jk=9e30cdc2522dc0a5", "https://www.indeed.com/viewjob?jk=9e30cdc2522dc0a5")</f>
        <v/>
      </c>
      <c r="F160">
        <f>HYPERLINK("https://www.amazon.jobs/jobs/3181194/sr-data-scientist-computer-vision-data--machine-learning-dml?cmpid=DA_INAD200785B", "https://www.amazon.jobs/jobs/3181194/sr-data-scientist-computer-vision-data--machine-learning-dml?cmpid=DA_INAD200785B")</f>
        <v/>
      </c>
      <c r="G160" t="inlineStr">
        <is>
          <t>Herndon, VA, US</t>
        </is>
      </c>
      <c r="H160" s="3" t="n">
        <v>46062</v>
      </c>
      <c r="I160"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5\+ years of data querying languages (e.g. SQL), scripting languages (e.g. Python) or statistical/mathematical software (e.g. R, SAS, Matlab, etc.) experience
* Knowledge of AWS tech stack (e.g., AWS Redshift, S3, EC2, Glue)
* Bachelor's degree in a quantitative field such as statistics, mathematics, data science, business analytics, economics, finance, engineering, or computer science
* 2\+ years of experience with machine learning, statistical modeling, data analysis tools and techniques, and performance parameters for computer vision delivery requirements
* Current, active US Government Security Clearance of Top Secret or above
**PREFERRED QUALIFICATIONS**
----------------------------
* 3\+ years of data visualization using AWS QuickSight, Tableau, R Shiny, etc. experience
* Experience managing data pipelines
* Experience as a leader and mentor on a data science team
* Master's degree in a quantitative field such as statistics, mathematics, data science, business analytics, economics, finance, engineering, or computer science
* Familiarity with internals of LLMs, VLMs, and traditional Computer Vision object detection models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161">
      <c r="A161" t="inlineStr">
        <is>
          <t>in-efffb33c157a841d</t>
        </is>
      </c>
      <c r="B161" t="inlineStr">
        <is>
          <t>Sr. Data Scientist- Computer Vision, Data &amp; Machine Learning (DML)</t>
        </is>
      </c>
      <c r="C161" t="inlineStr">
        <is>
          <t>Amazon Web Services</t>
        </is>
      </c>
      <c r="D161" t="inlineStr">
        <is>
          <t>indeed</t>
        </is>
      </c>
      <c r="E161">
        <f>HYPERLINK("https://www.indeed.com/viewjob?jk=efffb33c157a841d", "https://www.indeed.com/viewjob?jk=efffb33c157a841d")</f>
        <v/>
      </c>
      <c r="F161">
        <f>HYPERLINK("https://www.amazon.jobs/jobs/3181194/sr-data-scientist-computer-vision-data--machine-learning-dml?cmpid=DA_INAD200785B", "https://www.amazon.jobs/jobs/3181194/sr-data-scientist-computer-vision-data--machine-learning-dml?cmpid=DA_INAD200785B")</f>
        <v/>
      </c>
      <c r="G161" t="inlineStr">
        <is>
          <t>Arlington, VA, US</t>
        </is>
      </c>
      <c r="H161" s="3" t="n">
        <v>46062</v>
      </c>
      <c r="I161"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5\+ years of data querying languages (e.g. SQL), scripting languages (e.g. Python) or statistical/mathematical software (e.g. R, SAS, Matlab, etc.) experience
* Knowledge of AWS tech stack (e.g., AWS Redshift, S3, EC2, Glue)
* Bachelor's degree in a quantitative field such as statistics, mathematics, data science, business analytics, economics, finance, engineering, or computer science
* 2\+ years of experience with machine learning, statistical modeling, data analysis tools and techniques, and performance parameters for computer vision delivery requirements
* Current, active US Government Security Clearance of Top Secret or above
**PREFERRED QUALIFICATIONS**
----------------------------
* 3\+ years of data visualization using AWS QuickSight, Tableau, R Shiny, etc. experience
* Experience managing data pipelines
* Experience as a leader and mentor on a data science team
* Master's degree in a quantitative field such as statistics, mathematics, data science, business analytics, economics, finance, engineering, or computer science
* Familiarity with internals of LLMs, VLMs, and traditional Computer Vision object detection models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162">
      <c r="A162" t="inlineStr">
        <is>
          <t>in-e0c91b32106065ea</t>
        </is>
      </c>
      <c r="B162" t="inlineStr">
        <is>
          <t>Data Scientist- Vision Language Model Researcher, Data &amp; Machine Learning (DML)</t>
        </is>
      </c>
      <c r="C162" t="inlineStr">
        <is>
          <t>Amazon Web Services</t>
        </is>
      </c>
      <c r="D162" t="inlineStr">
        <is>
          <t>indeed</t>
        </is>
      </c>
      <c r="E162">
        <f>HYPERLINK("https://www.indeed.com/viewjob?jk=e0c91b32106065ea", "https://www.indeed.com/viewjob?jk=e0c91b32106065ea")</f>
        <v/>
      </c>
      <c r="F162">
        <f>HYPERLINK("https://www.amazon.jobs/jobs/3172308/data-scientist-vision-language-model-researcher-data--machine-learning-dml?cmpid=DA_INAD200785B", "https://www.amazon.jobs/jobs/3172308/data-scientist-vision-language-model-researcher-data--machine-learning-dml?cmpid=DA_INAD200785B")</f>
        <v/>
      </c>
      <c r="G162" t="inlineStr">
        <is>
          <t>Arlington, VA, US</t>
        </is>
      </c>
      <c r="H162" s="3" t="n">
        <v>46051</v>
      </c>
      <c r="I162"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63">
      <c r="A163" t="inlineStr">
        <is>
          <t>in-7b894f1601ace1a7</t>
        </is>
      </c>
      <c r="B163" t="inlineStr">
        <is>
          <t>Data Scientist- Vision Language Model Researcher, Data &amp; Machine Learning (DML)</t>
        </is>
      </c>
      <c r="C163" t="inlineStr">
        <is>
          <t>Amazon Web Services</t>
        </is>
      </c>
      <c r="D163" t="inlineStr">
        <is>
          <t>indeed</t>
        </is>
      </c>
      <c r="E163">
        <f>HYPERLINK("https://www.indeed.com/viewjob?jk=7b894f1601ace1a7", "https://www.indeed.com/viewjob?jk=7b894f1601ace1a7")</f>
        <v/>
      </c>
      <c r="F163">
        <f>HYPERLINK("https://www.amazon.jobs/jobs/3172308/data-scientist-vision-language-model-researcher-data--machine-learning-dml?cmpid=DA_INAD200785B", "https://www.amazon.jobs/jobs/3172308/data-scientist-vision-language-model-researcher-data--machine-learning-dml?cmpid=DA_INAD200785B")</f>
        <v/>
      </c>
      <c r="G163" t="inlineStr">
        <is>
          <t>Herndon, VA, US</t>
        </is>
      </c>
      <c r="H163" s="3" t="n">
        <v>46051</v>
      </c>
      <c r="I163"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64">
      <c r="A164" t="inlineStr">
        <is>
          <t>in-d5f59c28a7cb897a</t>
        </is>
      </c>
      <c r="B164" t="inlineStr">
        <is>
          <t>Data Scientist - Computer Vision, Data &amp; Machine Learning (DML)</t>
        </is>
      </c>
      <c r="C164" t="inlineStr">
        <is>
          <t>Amazon Web Services</t>
        </is>
      </c>
      <c r="D164" t="inlineStr">
        <is>
          <t>indeed</t>
        </is>
      </c>
      <c r="E164">
        <f>HYPERLINK("https://www.indeed.com/viewjob?jk=d5f59c28a7cb897a", "https://www.indeed.com/viewjob?jk=d5f59c28a7cb897a")</f>
        <v/>
      </c>
      <c r="F164">
        <f>HYPERLINK("https://www.amazon.jobs/jobs/3178354/data-scientist--computer-vision-data--machine-learning-dml?cmpid=DA_INAD200785B", "https://www.amazon.jobs/jobs/3178354/data-scientist--computer-vision-data--machine-learning-dml?cmpid=DA_INAD200785B")</f>
        <v/>
      </c>
      <c r="G164" t="inlineStr">
        <is>
          <t>Herndon, VA, US</t>
        </is>
      </c>
      <c r="H164" s="3" t="n">
        <v>46051</v>
      </c>
      <c r="I164"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primarily on the unclassified networks.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AWS Services,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Run data conversion pipelines to transform customer data into the structure needed by models for training
Perform EDA on the customer data
Train deep neural network models on overhead imagery
Develop and implement hyper\-parameter optimization strategies
Test and Evaluate models and analyze results
Package and deliver models to the customer
Implement new features to the model development code base
Collaborate with the rest of the team on long term strategy and short\-medium term implementation.
Contribute to presentations to the customer regarding the team’s work.
**BASIC QUALIFICATIONS**
------------------------
* Bachelor's degree or above in computer science, computer engineering, or related field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with AWS services including S3, Redshift, Sagemaker, EMR, Kinesis, Lambda, and EC2
* Current, active US Government Security Clearance of Top Secret or above
**PREFERRED QUALIFICATIONS**
----------------------------
* Knowledge of machine learning concepts and their application to reasoning and problem\-solving
* Experience in a ML or data scientist role with a large technology company
* Experience working on multi\-team, cross\-disciplinary projects
* Master's degree or above in computer science, machine learning, engineering, or related fields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65">
      <c r="A165" t="inlineStr">
        <is>
          <t>in-fad686bfc747694b</t>
        </is>
      </c>
      <c r="B165" t="inlineStr">
        <is>
          <t>Data Scientist - Computer Vision, Data &amp; Machine Learning (DML)</t>
        </is>
      </c>
      <c r="C165" t="inlineStr">
        <is>
          <t>Amazon Web Services</t>
        </is>
      </c>
      <c r="D165" t="inlineStr">
        <is>
          <t>indeed</t>
        </is>
      </c>
      <c r="E165">
        <f>HYPERLINK("https://www.indeed.com/viewjob?jk=fad686bfc747694b", "https://www.indeed.com/viewjob?jk=fad686bfc747694b")</f>
        <v/>
      </c>
      <c r="F165">
        <f>HYPERLINK("https://www.amazon.jobs/jobs/3178354/data-scientist--computer-vision-data--machine-learning-dml?cmpid=DA_INAD200785B", "https://www.amazon.jobs/jobs/3178354/data-scientist--computer-vision-data--machine-learning-dml?cmpid=DA_INAD200785B")</f>
        <v/>
      </c>
      <c r="G165" t="inlineStr">
        <is>
          <t>Arlington, VA, US</t>
        </is>
      </c>
      <c r="H165" s="3" t="n">
        <v>46051</v>
      </c>
      <c r="I165"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primarily on the unclassified networks.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AWS Services,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Run data conversion pipelines to transform customer data into the structure needed by models for training
Perform EDA on the customer data
Train deep neural network models on overhead imagery
Develop and implement hyper\-parameter optimization strategies
Test and Evaluate models and analyze results
Package and deliver models to the customer
Implement new features to the model development code base
Collaborate with the rest of the team on long term strategy and short\-medium term implementation.
Contribute to presentations to the customer regarding the team’s work.
**BASIC QUALIFICATIONS**
------------------------
* Bachelor's degree or above in computer science, computer engineering, or related field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with AWS services including S3, Redshift, Sagemaker, EMR, Kinesis, Lambda, and EC2
* Current, active US Government Security Clearance of Top Secret or above
**PREFERRED QUALIFICATIONS**
----------------------------
* Knowledge of machine learning concepts and their application to reasoning and problem\-solving
* Experience in a ML or data scientist role with a large technology company
* Experience working on multi\-team, cross\-disciplinary projects
* Master's degree or above in computer science, machine learning, engineering, or related fields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li-4293212630</t>
        </is>
      </c>
      <c r="B2" t="inlineStr">
        <is>
          <t>Data Scientist</t>
        </is>
      </c>
      <c r="C2" t="inlineStr">
        <is>
          <t>Siro</t>
        </is>
      </c>
      <c r="D2" t="inlineStr">
        <is>
          <t>linkedin</t>
        </is>
      </c>
      <c r="E2" t="inlineStr"/>
      <c r="F2" t="inlineStr"/>
      <c r="G2" t="inlineStr">
        <is>
          <t>New York, United States</t>
        </is>
      </c>
      <c r="H2" t="inlineStr"/>
      <c r="I2" t="inlineStr">
        <is>
          <t>Field sales powers the economy — but most teams are struggling. Reps are buried in admin work, managers are stretched thin, and leaders can’t see what’s really happening in the field.
 Siro is redefining how field sales teams learn, perform, and win.
 We started as an AI\-powered coaching platform that helped reps improve their outcomes in the field.
 Today, we’re something much bigger — an intelligent companion that automates sales reps’ tedious admin work, gives managers real\-time visibility, and helps executives see around corners.
 Our platform integrates with systems like Salesforce, analyzing thousands of in\-person sales conversations to surface insights, automate workflows, and drive better outcomes across the org. Think
 *Iron Man’s* 
 Jarvis for sales — proactive, personalized, and built directly into the tools teams already use.
 Siro has raised $75M and is backed by world\-class investors like Index, Fika, CRV, and SignalFire. We are trusted by leading home\-improvement, retail, hospitality, and automotive brands, and powered by a lean team from Meta, McKinsey, Doordash, and Uber.
 We’re building the future of human\-AI collaboration in sales — and we’re just getting started.
**About The Role**
 We're looking for a pioneering Data Scientist. This role combines classical data science with cutting\-edge LLM applications, sitting at the intersection of business intelligence, experimentation, and AI\-powered product features.
 This role will build the data foundation that empowers Siro teams to make confident decisions \-from Product launching AI\-powered features, to Sales identifying winning patterns, to Customer Success driving adoption. Your work will unlock insights that directly accelerate growth and shape our product strategy.
 If you're excited about turning raw data into actionable insights and shaping the future of a high\-growth AI\-first company, this is the role for you.
 What you’ll do
 Product Analytics and Business Intelligence
* Partner with multiple functions to understand customer behavior, visualize usage trends, and identify opportunities
* Develop and optimize product analytics infrastructure and dashboards for internal and external stakeholders
* Contribute to weekly and quarterly business reviews for strategic accounts
 Ad Hoc Insights and LLM Applications
* Explore customer sales conversation data to extract insights via LLM\-based and traditional analysis methods
* Communicate ad hoc insights to external customers
* Implement LLM evaluations
 Data Quality
* Own data quality in our databases
* Establish data quality standards and monitoring
* Identify improvements needed and work with Engineering to implement
 Success Metrics
* Adoption rate of data products, internal and customer\-facing
* Impact on product development velocity and decision quality
* Quality and reliability of AI\-powered insights
* % of product decisions backed by quantitative data
**Qualifications**
* 2\+ years of experience in data science, ML/AI, or related field
* Strong foundation in statistics and experimental design
* Expertise in Python, SQL, and data pipeline development
* Experience with business intelligence and visualization tools (e.g., Looker, Metabase, Tableau)
* Experience working with structured and unstructured data
* Strong problem\-solving skills with a business\-focused approach
* Excellent communication skills
* Familiarity with LLMs
 Our Tech Stack
 Core Tools
* Data Infrastructure: Google Cloud Platform (GCP), BigQuery, Postgres
* BI/Analytics: Mixpanel, Explo
* Languages: Python, SQL
* Version Control: Git
 AI/ML Stack
* LLM Frameworks: Anthropic, OpenAI, Google LangChain
* Data Science \&amp; ML Libraries: pandas, scikit\-learn
* NLP Tools: Hugging Face
 Nice to Have
* Experience with Node.js/TypeScript
* Background in conversation AI or natural language processing
 Who You Are
* Product\-minded data scientist who balances rigorous analysis with practical impact
* Strong communicator who can translate complex concepts for various audiences
* Self\-directed learner excited about emerging AI technologies
* Collaborative team player who thrives in a fast\-paced environment
* Passionate about using data to improve human performance and outcomes
*At Siro, we are committed to creating a diverse and inclusive environment where all people feel that they are equally respected and valued, whether they are applying for an open position or working at the company. We provide equal employment opportunities to all applicants without regard to race, religion, color, national origin, gender, sexual orientation, age, marital status, veteran status, or disability status.*</t>
        </is>
      </c>
    </row>
    <row r="3">
      <c r="A3" t="inlineStr">
        <is>
          <t>li-4313228879</t>
        </is>
      </c>
      <c r="B3" t="inlineStr">
        <is>
          <t>Senior Product Data Scientist</t>
        </is>
      </c>
      <c r="C3" t="inlineStr">
        <is>
          <t>Talkiatry</t>
        </is>
      </c>
      <c r="D3" t="inlineStr">
        <is>
          <t>linkedin</t>
        </is>
      </c>
      <c r="E3" t="inlineStr"/>
      <c r="F3" t="inlineStr"/>
      <c r="G3" t="inlineStr"/>
      <c r="H3" t="inlineStr"/>
      <c r="I3" t="inlineStr">
        <is>
          <t>We are looking for a Sr. Product Data Scientist to join our growing Data team in our Product organization. This is a senior individual contributor role with broad scope across product insights, experimentation, modeling and applied analytics focusing on growth. The ideal candidate is not only technically strong, but also proactive in uncovering opportunities, framing insights, and ensuring leaders have the context they need to make the right calls. We are looking for this individual to bring analytical thought leadership as we continue to rapidly grow and iterate on our product offerings across Talkiatry.
 You’ll own projects that range from producing growth and performance analyses that guide strategic and product decisions, to designing and evaluating experiments, to building predictive models, and to improving patient engagement and clinical efficiency. You’ll be expected to communicate insights proactively, frame results in business terms, and work closely with your core cross\-functional teammates (Product, Engineering and Design) as well as stakeholders across Operations, Clinical, and Finance.
**About Talkiatry:**
 Talkiatry transforms psychiatry with accessible, human, and responsible care. We’re a national mental health practice co\-founded by a patient and a triple\-board\-certified psychiatrist to solve the problems both groups face in accessing and providing the highest quality treatment.
 60% of adults in the U.S. with a diagnosable mental illness go untreated every year because care is inaccessible, while 45% of clinicians are out of network with insurers because reimbursement rates are low, and paperwork is unduly burdensome. With innovative technology and a human\-centered philosophy, we provide patients with the care they need—and allow psychiatrists to focus on why they got into medicine.
**You will:**
* Proactive Insights \&amp; Storytelling
* Identify growth opportunities for the Product teams by analyzing data and understanding patient behaviors
* Help Product teams maximize impact, by working with PMs and engineers to understand costs and constraints, while looking at underlying data and making reasonable assumptions to size opportunities
* Identify risks by exploring data and monitoring trends to understand the impact of emerging issues before they become problems
* Frame analyses and estimates in terms of “so what” for the practice to ensure findings don’t just inform, but influence the team
* Develop regular deliverables that turn historical data into forward looking guidance for product and operational teams
* Anticipate questions our teams should be asking and bring forward insights before they’re requested
* Modeling \&amp; Prediction
* Build, evaluate, and productionalize models to forecast outcomes such as patient retention, no shows, demand patterns, and more
* Balance technical sophistication with pragmatic application, recognizing when simpler analyses can achieve the same business impact
* Experimentation \&amp; Measurement
* Partner with Product and Operations teams to design experiments, define success metrics, and implement robust statistical evaluation frameworks
* Ensure appropriate statistical power, so results are both valid and actionable
* Analyze experiment results and establish clear post experiment communication, ensuring learnings (positive or negative) are codified and inform future product or operational decisions
* Applied Analytics
* Lead analyses on patient growth, clinician utilization, marketplace dynamics and more to surface actionable insights to leadership
* Translate adhoc analyses into repeatable frameworks and scalable reporting so insights don’t stay one\-off, but become institutional knowledge
* Collaboration
* Collaborate with Data Engineering and BI teams to define requirements and highlight gaps, so that data pipelines reliably support advanced analytics and modeling
* Act as a thought partner to Operations, Clinical, and Finance leaders, not just answering questions, but shaping the questions we should be asking
**You have:**
* 4\+ years of experience in data science, analytics, or related fields, with a track record of delivering measurable business impact
* Advanced proficiency in Python (pandas, scikit\-learn, statsmodels and all other common data science packages) and SQL; experience with modern data warehouses (Snowflake, Redshift, BigQuery)
* Strong foundation in experimental design, causal inference, and statistical methods
* Practical understanding of ML modeling trade\-offs: when to deploy advanced models vs. when a well\-structured analysis is the right tool
* Understands the spirit of George Box’s reminder that “all models are wrong, but some are useful” and applies that judgment to build solutions that balance sophistication with pragmatism
* Exceptional communication skills, displaying the ability to frame technical findings in a way that resonates with stakeholders
* Experience in DBT is a plus, but not required
* Experience on a Product growth team, where experimentation and opportunity identification were key aspects of the role, is a plus
* Strong applied experience in data science is essential; a Master’s or PhD in a quantitative field is a plus
**Why Talkiatry:**
* Top\-notch team: we're a diverse, experienced group motivated to make a difference in mental health care
* Collaborative environment: be part of building something from the ground up at a fast\-paced startup
* Excellent benefits: medical, dental, vision, effective day 1 of employment, 401K with match, generous PTO plus paid holidays, paid parental leave, and more!
* Grow your career with us: hone your skills and build new ones with our Learning team as Talkiatry expands
* It all comes back to care: we’re a mental health company, and we put our team’s well\-being first
*Talkiatry participates in E\-Verify and will provide the federal government with your Form I\-9 information to confirm that you are authorized to work in the U.S. only after a job offer is accepted and Form I\-9 is completed. For more information on E\-Verify, please visit the following:* 
*EVerify Participation* 
*\&amp;* 
*IER Right to Work* 
*.*
*At Talkiatry, we are an equal opportunity employer committed to a diverse, inclusive, and equitable workplace and candidate experience. We strive to create an environment where everyone has a sense of belonging and purpose, and where we learn from the unique experiences of those around us.*
*We encourage all qualified candidates to apply regardless of race, color, ancestry, religion, national origin, sexual orientation, age, citizenship, marital or family status, disability, gender, gender identity or expression, pregnancy or caregiver status, veteran status, or any other legally protected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Compensation range for this position is $145,000 to $180,000, depending on experience; actual compensation will be dependent upon the specific role, location, as well as the individual’s qualifications, experience, skills and certifications.</t>
        </is>
      </c>
    </row>
    <row r="4">
      <c r="A4" t="inlineStr">
        <is>
          <t>li-4314681686</t>
        </is>
      </c>
      <c r="B4" t="inlineStr">
        <is>
          <t>Research Data Scientist</t>
        </is>
      </c>
      <c r="C4" t="inlineStr">
        <is>
          <t>Roku</t>
        </is>
      </c>
      <c r="D4" t="inlineStr">
        <is>
          <t>linkedin</t>
        </is>
      </c>
      <c r="E4" t="inlineStr"/>
      <c r="F4" t="inlineStr"/>
      <c r="G4" t="inlineStr">
        <is>
          <t>New York, NY</t>
        </is>
      </c>
      <c r="H4" t="inlineStr"/>
      <c r="I4"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Core Analytics Team is a centralized function dedicated to providing data\-driven insights to drive business and product success. We work closely with our Product, Engineering, and Marketing teams to deliver exceptional experiences to our customers while maximizing the value proposition for the business.
**About the role** 
 Roku is looking for a Research Data Scientist to join the Core Analytics team to support our experimentation platform. This individual will be responsible for helping to scale Roku’s experimentation capabilities, exploring and implementing scalable and robust statistical methods that can be applied to a broad range of experimentation problems. The successful candidate will help build tooling for engineers, product managers, and marketers to self\-serve their own experiments and establish experimentation best practices across Roku. This individual will work closely with product management and data engineering, and a software engineer to identify opportunities to create new features, drive their adoption. This individual will investigate and develop solutions to track, monitor, and improve our Experimentation ecosystem. The successful candidate is quantitatively driven, well\-versed in experimentation and advanced statistical methods, detail\-focused, and possesses an elevated level of problem\-solving expertise.
 For New York Only \- The estimated annual salary for this position is between $132,000\-$240,000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Roku will be accepting applications for this position until November 27, 2025 \[or until the position filled].
 This is a hybrid role with four days per week in the office, Monday through Thursday.  The selected candidate will be based out of San Jose, CA or NYC. 
 **What you'll be doing** 
* Own the experimentation roadmap for Core Analytics in partnership with Product and Engineering.
* Define the standard for statistical analysis across varying types of experiments and units of analysis, ensuring robust results with minimal bias
* Lead the design, implementation, and analysis of sophisticated A/B tests and experiments, leveraging innovative techniques like Bayesian inference and causal methods to optimize complex strategies
* Develop necessary data pipelines to power automation, validation, and reporting
* Collaborate with stakeholders to align data science initiatives with organizational goals and strategy
* Collaborate with the Product Management and Engineering team to proactively seek and incorporate feedback
**We're excited if you have** 
* 2\+ years of work experience with a PhD in a quantitative field (e.g., Computer Science, Mathematics, Physics, Data Science, etc.)
 OR 5\+ years of equivalent practical experience with a master’s degree.
* Deep knowledge of statistics, probability, and machine learning techniques
* Hands\-on experience on experimental design, A/B testing, causal inference, and statistical modeling/forecasting
* Expertise in SQL, SAS, R, Python, or other programming languages to query data and perform analysis
* Hands\-on experience with visualization tools like Tableau or Looker
* Have a bias towards action in resolving issues and operate in a dynamic environment.
* The ability to effectively communicate with technical and non\-technical business partners alike, who are interested in building strong cross\-functional relationships.
* A desire to question the status quo and promote innovative solutions to challenging problems.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5">
      <c r="A5" t="inlineStr">
        <is>
          <t>li-4319965227</t>
        </is>
      </c>
      <c r="B5" t="inlineStr">
        <is>
          <t>Data Scientist</t>
        </is>
      </c>
      <c r="C5" t="inlineStr">
        <is>
          <t>Opendoor</t>
        </is>
      </c>
      <c r="D5" t="inlineStr">
        <is>
          <t>linkedin</t>
        </is>
      </c>
      <c r="E5" t="inlineStr"/>
      <c r="F5" t="inlineStr"/>
      <c r="G5" t="inlineStr">
        <is>
          <t>Seattle, WA</t>
        </is>
      </c>
      <c r="H5" t="inlineStr"/>
      <c r="I5" t="inlineStr">
        <is>
          <t>**Data Scientist, Pricing**
***Location: In office 4 days a week** 
 ; Seattle WA.*
 Opendoor is transforming one of the largest, most complex markets in the world — residential real estate — using data at massive scale. Every pricing signal we generate directly impacts how we value homes, how we manage risk, and how efficiently capital moves through our marketplace. The work is highly leveraged: the quality of our pricing decisions influences conversion, margins, customer trust, and the company’s financial performance.
 We are looking for mid to senior level Data Scientists. In this role, you will be a core driver of how Opendoor prices real estate at scale. You’ll operate at the intersection of economics, machine learning, experimentation, and product strategy — tackling ambiguity, shaping the pricing roadmap, and building models/analyses that materially move the business. Your insights will influence how we evaluate millions of dollars of housing inventory — and directly shape outcomes for our customers, our balance sheet, and the health of our marketplace.
**What You’ll Do**
* Build and maintain pricing metrics, dashboards, and frameworks.
* Run experiments and causal analyses to measure impact and drive decisions.
* Develop predictive \+ statistical models that improve pricing accuracy.
* Partner closely with Product, Engineering, and Operations teams to influence roadmap and model deployment.
* Deliver insights and narratives that inform executive strategy.
**Skills \&amp; Qualifications**
* Deep statistical reasoning: hypothesis design, experimental design, causal inference, and ability to distinguish signal vs noise.
* Proven end\-to\-end ML ownership: data acquisition, feature engineering, model development, validation, deployment, and ongoing monitoring.
* Strong SQL \+ Python proficiency; comfortable working with production data pipelines and modern ML tooling (e.g., Spark, Airflow, Ray, SageMaker, Vertex, etc.).
* Demonstrated ability to translate complex analytical findings into clear business recommendations and influence cross\-functional decision\-making.
* Experience working with ill\-defined problems and driving clarity on problem definition, success metrics, and realistic tradeoffs.
* High data\-quality bar: disciplined approach to validation, bias analysis, and making decisions rooted in evidence vs intuition.
* Effective communicator — able to tell the story behind the model to both highly technical and non\-technical audiences.
*Base salary range for this role varies. Generally, the base salary range is $143,200 – $213,000 annually \+ RSUs \+ bonus \+ ESPP \+ additional employee benefits (medical/dental/vision, life insurance, unlimited PTO, 401K).*
 JR 9200
 At Opendoor our mission is to tilt the world in favor of homeowners and those who aim to become one. Homeownership matters. It's how people build wealth, stability, and community. It's how families put down roots, how neighborhoods strengthen, how the future gets built. We're building the modern system of homeownership giving people the freedom to buy and sell on their own terms. We’ve built an end\-to\-end online experience that has already helped thousands of people and we’re just getting started.</t>
        </is>
      </c>
    </row>
    <row r="6">
      <c r="A6" t="inlineStr">
        <is>
          <t>li-4300920881</t>
        </is>
      </c>
      <c r="B6" t="inlineStr">
        <is>
          <t>Research Data Scientist</t>
        </is>
      </c>
      <c r="C6" t="inlineStr">
        <is>
          <t>Roku</t>
        </is>
      </c>
      <c r="D6" t="inlineStr">
        <is>
          <t>linkedin</t>
        </is>
      </c>
      <c r="E6" t="inlineStr"/>
      <c r="F6" t="inlineStr"/>
      <c r="G6" t="inlineStr">
        <is>
          <t>San Jose, CA</t>
        </is>
      </c>
      <c r="H6" t="inlineStr"/>
      <c r="I6"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Core Analytics Team is a centralized function dedicated to providing data\-driven insights to drive business and product success. We work closely with our Product, Engineering, and Marketing teams to deliver exceptional experiences to our customers while maximizing the value proposition for the business.
**About the role** 
 Roku is looking for a Research Data Scientist to join the Core Analytics team to support our experimentation platform. This individual will be responsible for helping to scale Roku’s experimentation capabilities, exploring and implementing scalable and robust statistical methods that can be applied to a broad range of experimentation problems. The successful candidate will help build tooling for engineers, product managers, and marketers to self\-serve their own experiments and establish experimentation best practices across Roku. This individual will work closely with product management and data engineering, and a software engineer to identify opportunities to create new features, drive their adoption. This individual will investigate and develop solutions to track, monitor, and improve our Experimentation ecosystem. The successful candidate is quantitatively driven, well\-versed in experimentation and advanced statistical methods, detail\-focused, and possesses an elevated level of problem\-solving expertise.
 For California Only \- The estimated annual salary for this position is between $132,000\-$240,000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This is a hybrid role with four days per week in the office, Monday through Thursday.  The selected candidate will be based out of San Jose, CA or NYC. 
 **What you'll be doing** 
* Own the experimentation roadmap for Core Analytics in partnership with Product and Engineering.
* Define the standard for statistical analysis across varying types of experiments and units of analysis, ensuring robust results with minimal bias
* Lead the design, implementation, and analysis of sophisticated A/B tests and experiments, leveraging innovative techniques like Bayesian inference and causal methods to optimize complex strategies
* Develop necessary data pipelines to power automation, validation, and reporting
* Collaborate with stakeholders to align data science initiatives with organizational goals and strategy
* Collaborate with the Product Management and Engineering team to proactively seek and incorporate feedback
**We're excited if you have** 
* 2\+ years of work experience with a PhD in a quantitative field (e.g., Computer Science, Mathematics, Physics, Data Science, etc.)
 OR 5\+ years of equivalent practical experience with a master’s degree.
* Deep knowledge of statistics, probability, and machine learning techniques
* Hands\-on experience on experimental design, A/B testing, causal inference, and statistical modeling/forecasting
* Expertise in SQL, SAS, R, Python, or other programming languages to query data and perform analysis
* Hands\-on experience with visualization tools like Tableau or Looker
* Have a bias towards action in resolving issues and operate in a dynamic environment
* The ability to effectively communicate with technical and non\-technical business partners alike, who are interested in building strong cross\-functional relationships.
* A desire to question the status quo and promote innovative solutions to challenging problems.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7">
      <c r="A7" t="inlineStr">
        <is>
          <t>li-4291315440</t>
        </is>
      </c>
      <c r="B7" t="inlineStr">
        <is>
          <t>AI/ML Scientist/Developer</t>
        </is>
      </c>
      <c r="C7" t="inlineStr">
        <is>
          <t>Axle</t>
        </is>
      </c>
      <c r="D7" t="inlineStr">
        <is>
          <t>linkedin</t>
        </is>
      </c>
      <c r="E7" t="inlineStr"/>
      <c r="F7" t="inlineStr"/>
      <c r="G7" t="inlineStr">
        <is>
          <t>Frederick, MD</t>
        </is>
      </c>
      <c r="H7" t="inlineStr"/>
      <c r="I7" t="inlineStr">
        <is>
          <t>(ID: 2025\-0402\)
**Axle** 
 is a bioscience and information technology company that offers advancements in translational research, biomedical informatics, and data science applications to research centers and healthcare organizations nationally and abroad. With experts in biomedical science, software engineering, and program management, we focus on developing and applying research tools and techniques to empower decision\-making and accelerate research discoveries. We work with some of the top research organizations and facilities in the country including multiple institutes at the National Institutes of Health (NIH).
**Axle** 
 is seeking a
 ***AI/ML Scientist/Developer***
 to join our vibrant team at the
 **National Institutes of Health (NIH)** 
 supporting the Standardized Organoid Model Center in 
 **Frederick, MD.** 
 The Standardized Organoid Model Center is an NIH\-funded initiative dedicated to advancing organoid research through the development of validated, reproducible, and well\-characterized organoid models. The center brings together interdisciplinary teams of researchers to establish standardized protocols, develop quality control measures, and create resources that will benefit the broader organoid research community.
**Benefits We Offer:** 
* 100% Medical, Dental \&amp; Vision Coverage for Employees
* Paid Time Off and Paid Holidays
* 401K match up to 5%
* Educational Benefits for Career Growth
* Employee Referral Bonus
* Flexible Spending Accounts:
	+ Healthcare (FSA)
	+ Parking Reimbursement Account (PRK)
	+ Dependent Care Assistant Program (DCAP)
	+ Transportation Reimbursement Account (TRN)
**Overview** 
 The AI/ML Scientist/Developer will develop innovative computational models to predict and optimize organoid growth and differentiation protocols. This position represents a unique opportunity to apply cutting\-edge machine learning techniques to advance organoid standardization and contribute to the development of predictive models for tissue engineering applications.
**Responsibilities** 
* The successful candidate will design and implement machine learning models that predict organoid development outcomes based on protocol parameters, environmental conditions, and molecular characterization data.
* They will develop in silico models that can simulate organoid growth dynamics and identify optimal conditions for reproducible organoid generation.
* The role involves creating feedback loops between experimental validation and computational prediction to iteratively improve protocol standardization.
* Collaboration with experimental teams to design validation experiments and with data scientists to integrate multi\-modal datasets will be essential components of this position.
**Required Qualifications** 
* Candidates must possess a Master's degree or PhD in computer science, engineering, applied mathematics, or a related field with demonstrated experience in AI/ML model development.
* Strong programming skills in Python, R, or similar languages are required, along with experience with machine learning frameworks such as TensorFlow, PyTorch, or scikit\-learn.
* Previous experience applying computational methods in biological laboratory settings is necessary, with knowledge of experimental design principles and biological data types.
**Preferred Qualifications** 
* Experience with organoid systems or tissue engineering applications is highly desirable.
* Knowledge of differential equations, systems biology modeling, and experience with deep learning approaches for biological applications will be considered strong assets.
* Familiarity with cloud computing platforms and containerization technologies is preferred.
**Disclaimer:** 
 The above description is meant to illustrate the general nature of work and level of effort being performed by individuals assigned to this position or job description. This is not restricted as a complete list of all skills, responsibilities, duties, and/or assignments required. Individuals may be required to perform duties outside of their position, job description or responsibilities as needed.
 The diversity of Axle’s employees is a tremendous asset. We are firmly committed to providing equal opportunity in all aspects of employment and will not tolerate any illegal discrimination or harassment based on age, race, gender, religion, national origin, disability, marital status, covered veteran status, sexual orientation, status with respect to public assistance, and other characteristics protected under state, federal, or local law and to deter those who aid, abet, or induce discrimination or coerce others to discriminate.
 Accessibility: If you need an accommodation as part of the employment process please contact:
 careers@axleinfo.com
 This role has a market\-competitive salary with an anticipated base compensation range listed below. Actual salaries will vary depending on a candidate’s experience, qualifications, skills, and location.
 Salary Range: $115,000 USD \- $130,000 USD</t>
        </is>
      </c>
    </row>
    <row r="8">
      <c r="A8" t="inlineStr">
        <is>
          <t>li-4352354140</t>
        </is>
      </c>
      <c r="B8" t="inlineStr">
        <is>
          <t>Data Scientist</t>
        </is>
      </c>
      <c r="C8" t="inlineStr">
        <is>
          <t>UL Solutions</t>
        </is>
      </c>
      <c r="D8" t="inlineStr">
        <is>
          <t>linkedin</t>
        </is>
      </c>
      <c r="E8" t="inlineStr"/>
      <c r="F8" t="inlineStr"/>
      <c r="G8" t="inlineStr"/>
      <c r="H8" t="inlineStr"/>
      <c r="I8" t="inlineStr">
        <is>
          <t>**Job Description**
* Process, cleanse, and verify the integrity, quality, and reliability of data used for analysis, reporting, and predictive modeling.
* Perform ad\-hoc and recurring analyses, presenting results and insights in a clear, concise manner to support business decision\-making.
* Analyze large, complex datasets to extract meaningful insights, selecting appropriate statistical, analytical, and machine learning techniques based on the problem context.
* Select relevant features and build, evaluate, and optimize classification and predictive models using machine learning techniques.
* Apply data mining and advanced analytical methods to identify trends, patterns, and relationships within structured and unstructured data.
* Extend and enrich customer and business datasets using third\-party data sources when required to improve analytical outcomes.
* Enhance data collection and preparation procedures to ensure relevant, high\-quality inputs for analytic and machine learning systems.
* Use data modeling and evaluation strategies to identify patterns and accurately predict unseen or future instances.
* Collaborate with business and technical stakeholders to align analytical solutions with business objectives.
* Adhere to the Underwriters Laboratories Code of Conduct and follow all physical and digital security, data governance, and compliance practices.
* Perform other related duties as directed in support of analytics and data science initiatives.
**Responsibilities**
* Collaborate with business stakeholders to gather, analyze, and document requirements, translating needs into BRDs, user stories, and functional specifications.
* Analyze large, complex datasets using statistical and analytical techniques to identify trends, patterns, and actionable insights.
* Build and maintain dashboards, reports, and data visualizations using Power BI, Tableau, or similar tools.
* Apply statistical methods and basic machine learning models to support forecasting, prediction, and business decision\-making.
* Perform ad\-hoc and recurring analyses to support both operational reporting and strategic initiatives.
* Process, cleanse, validate, and maintain data accuracy and integrity across analytical datasets.
* Enhance data collection processes and integrate third\-party data sources to improve analytical coverage and model performance.
* Communicate analytical findings and recommendations clearly to both technical and non\-technical audiences.
* Partner with development teams using Azure DevOps to manage work items, track progress, and ensure timely delivery.
* Support data science and analytics initiatives using SQL, Python, R, and Excel.
 Collaborate with data engineering teams to support analytics pipelines and data lake initiatives.
**Qualifications**
**Required:**
* Master’s degree in Data Science, Data Analytics, Computer Science, or related field
* 3–5 years of experience in data analytics or data science roles
* Strong proficiency in SQL, Python, and R
* Experience with Power BI, Tableau, or similar visualization tools, including data modeling and DAX
* Strong analytical and problem\-solving skills with attention to detail
* Experience gathering and documenting business requirements
* Familiarity with Agile methodologies and Azure DevOps
* Excellent communication, interpersonal, and stakeholder management skills
* Understanding of statistical methods and probability theory
**Preferred:**
* Experience with machine learning frameworks such as scikit\-learn, TensorFlow, or Keras
* Experience with Salesforce data and reporting
* Experience in business services or manufacturing industries
* Familiarity with NLP or deep learning techniques
**What You’ll Experience Working For ULS**
 UL Solutions has been pioneering change since 1894 and we’re still leading the way. From day one, we’ve blazed a trail protecting the planet and everyone on it. Our teams have influenced billions of products, plus services, software offerings and more. We break things, burn things and blow things up. All in the name of safety science.
 That’s where you come in — because none of it could happen without you. It takes passion to protect people, problem\-solving to safeguard personal data and conviction to make the world a more sustainable place. It takes bold ideas and brilliant minds to build a better world for future generations across the globe.
 This is more than a job. It’s a calling. A passion to use our expertise and play our part in creating a more secure, sustainable world today — and tomorrow. As a member of our safety science community, you’ll use your ideas, your energy and your ambition to innovate, challenge and ultimately, help create a safer world.
 Everyone here is unique. But we’re also a global community, working together to help create a safer world. Join UL Solutions and you can connect with the brightest minds in the business, all bringing their distinct perspectives and diverse backgrounds together to deliver real change.
 Empowering our customers to keep the world safe means thinking ahead. It means investing in training and empowering our people to learn and innovate. At UL Solutions, we help build a better future — one where everyone benefits.
 Join UL Solutions to be at the center of safety. To learn more about us and the work we do, visit UL.com
 Total Rewards: We understand compensation is an important factor as you consider the next step in your career. The estimated salary range for this position is $80,000 to $100,000 and is based on multiple factors, including job\-related knowledge/skills, experience, geographical location, as well as other factors. This position is eligible for annual bonus compensation with a target payout of 10% of the base salary. This position also provides health benefits such as medical, dental and vision; wellness benefits such as mental and financial health; and retirement savings (401K) commensurate with the standard rewards offered in each individual location or country. We also provide full\-time employees with paid time off including vacation (15 days), holiday including floating holidays (12 days) and sick time off (72 hours).
 Accepting applications until 1/15/2026</t>
        </is>
      </c>
    </row>
    <row r="9">
      <c r="A9" t="inlineStr">
        <is>
          <t>li-4239977999</t>
        </is>
      </c>
      <c r="B9" t="inlineStr">
        <is>
          <t>Data Scientist</t>
        </is>
      </c>
      <c r="C9" t="inlineStr">
        <is>
          <t>Figma</t>
        </is>
      </c>
      <c r="D9" t="inlineStr">
        <is>
          <t>linkedin</t>
        </is>
      </c>
      <c r="E9" t="inlineStr"/>
      <c r="F9" t="inlineStr"/>
      <c r="G9" t="inlineStr">
        <is>
          <t>New York, NY</t>
        </is>
      </c>
      <c r="H9" t="inlineStr"/>
      <c r="I9"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Scientist to join our growing data team. At Figma, Data Scientists are deeply embedded within cross\-functional teams across the company—from Product to Finance, Marketing, and Platform. We are hiring across a number of roles in these areas. This is ideal for someone excited to own high\-impact data projects, partner strategically with stakeholders, and shape the future of our products and business.
 The ideal candidate will bring strong analytical and technical skills, business intuition, and a collaborative mindset to guide decision\-making and unlock growth opportunities. You’ll work on problems ranging from understanding user behavior to optimizing revenue strategies, improving internal tooling, and influencing product direction through experimentation and data modeling.
 This is a full\-time role that can be held from one of our US hubs or remotely in the United States.
 What you’ll do at Figma:
* Collaborate across teams to define and measure key metrics, design experiments, and uncover insights that inform strategic decisions
* Build models and analytical frameworks to support product, marketing, platform, or finance initiatives
* Develop tools, datasets, and systems that enable others to work with data more efficiently and rigorously
* Own complex data projects end\-to\-end—from problem scoping to solution delivery
* Champion data quality, accessibility, and the democratization of data across the organization
* Partner with Product, Engineering, Design, Research, Sales, Marketing, or Finance to drive impact
 We'd love to hear from you if you have:
* 4\+ years of experience in Analytics, Data Science, or a related field
* Fluency in SQL and proficiency in a scripting language like Python or R
* Experience with distributed data systems (e.g., Redshift, Snowflake, Presto, Hive, Spark)
* Strong foundation in statistical methods, experimentation, and/or forecasting
* A track record of working cross\-functionally and communicating effectively with both technical and non\-technical partners
* Experience supporting one or more of the following: Product, Marketing, Finance, or internal Platform/Tooling teams
**While it’s not required, it’s an added plus if you also have:**
* A self\-starter attitude and the ability to thrive in ambiguous and fast\-paced environments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$136,000—$338,000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10">
      <c r="A10" t="inlineStr">
        <is>
          <t>li-4313117330</t>
        </is>
      </c>
      <c r="B10" t="inlineStr">
        <is>
          <t>Data Scientist, Marketing</t>
        </is>
      </c>
      <c r="C10" t="inlineStr">
        <is>
          <t>OpenAI</t>
        </is>
      </c>
      <c r="D10" t="inlineStr">
        <is>
          <t>linkedin</t>
        </is>
      </c>
      <c r="E10" t="inlineStr"/>
      <c r="F10" t="inlineStr"/>
      <c r="G10" t="inlineStr">
        <is>
          <t>San Francisco, CA</t>
        </is>
      </c>
      <c r="H10" t="inlineStr"/>
      <c r="I10" t="inlineStr">
        <is>
          <t>**About The Role**
 We’re hiring a senior data scientist to partner with our rapidly growing Marketing team. You’ll help define how we measure success, understand what drives growth, and build the systems that guide where and how we invest. This is a rare opportunity to build foundational marketing science at a time when we’re scaling from zero to one.
**In This Role, You Will**
* Embed with the GTM, User Ops, Marketing, and Partnerships organization as a trusted partner, uncovering new ways to improve the business and drive growth
* Manage cross\-functional data science projects about revenue, marketing, pricing, usage, and other topics core to the business.
* Establish a data\-driven culture by driving the definition, tracking, and operationalizing of metrics
* Become an expert in OAI’s data and systems. Through partnership with Data Eng, Finance and other business teams, you should be able to self\-serve all the underlying data for our business and derive insights from them.
* Develop and socialize dashboards, reports, and other ways of enabling the team and company to answer product data questions in a self\-serve way
* Partner with other data scientists across the company to share knowledge and continually synthesizing learnings across the organization
**You Might Thrive In This Role If You Have**
* At least 10\+ years of experience in Data Science roles within dynamic, outcome\-driven organizations.
* Expertise in statistics and causal inference, applied in both experimentation and observational causal inference studies.
* Proficiency in quantitative programming languages, such as Python and R.
* Expertise in SQL, with extensive experience extracting large datasets and designing ETL workflows.
* Experience using business intelligence tools, such as Mode, Tableau, and Looker.
* Strategic and impact\-driven mindset, capable of translating complex business problems into actionable frameworks.
* Ability to build relationships with diverse stakeholders and cultivate strong partnerships.
* Strong communication skills, including the ability to bridge technical and non\-technical stakeholders and collaborate across various functions to ensure business impact.
* Ability to craft clear data stories using decks, memos, and dashboards to drive decision\-making at every level.
* Best\-in\-class attention to detail and unwavering commitment to accuracy.
* Proven track record in solving problems within Finance, Marketing, Partnerships, Sales, Support, or other GTM areas.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11">
      <c r="A11" t="inlineStr">
        <is>
          <t>li-4222974134</t>
        </is>
      </c>
      <c r="B11" t="inlineStr">
        <is>
          <t>Data Scientist</t>
        </is>
      </c>
      <c r="C11" t="inlineStr">
        <is>
          <t>Versa Networks</t>
        </is>
      </c>
      <c r="D11" t="inlineStr">
        <is>
          <t>linkedin</t>
        </is>
      </c>
      <c r="E11" t="inlineStr"/>
      <c r="F11" t="inlineStr"/>
      <c r="G11" t="inlineStr">
        <is>
          <t>Santa Clara, CA</t>
        </is>
      </c>
      <c r="H11" t="inlineStr"/>
      <c r="I11" t="inlineStr">
        <is>
          <t>**Description**
 About Us
 At Versa Networks, we're revolutionizing the way businesses connect, secure, and optimize their networks. Our mission is to secure anywhere, anytime access to anything. As a leader in Secure SD\-WAN, SSE (Secure Service Edge), SASE (Secure Access Service Edge) and Next\-generation Managed Services, we are empowering organizations across the globe to transform their IT infrastructure for the modern cloud era. Our innovative products enable enterprises to deliver a seamless, scalable, and secure digital experience, no matter where their users, devices, or applications are located. Founded by industry veterans and backed by premier venture capital firms, Versa is a market leader driving innovation and growth as it positions itself for a future IPO.
 We believe in fostering a culture of innovation, collaboration, and customer success. Our team is comprised of passionate, forward\-thinking professionals dedicated to driving the future of networking technology. We encourage creativity, offer opportunities for growth, and provide a dynamic environment where our people can thrive and make an impact.
 At Versa Networks, we don’t just build products – we build relationships, elevate businesses, and shape the digital future. Join us and be part of a fast\-paced, cutting\-edge company that's making a real difference in how the world connects and communicates.
**Job Summary**
 We are seeking a talented and motivated Data Scientist to join our Machine Learning team. In this role, you will contribute to a wide range of data\-driven projects, from exploratory data analysis to building and deploying machine learning models for a variety of Networking, Security and Language use\-cases. You will work closely with cross\-functional teams to uncover insights, solve complex problems, and drive data\-informed decision\-making.
**Responsibilities**
* Data Analysis and Visualization: Conduct exploratory data analysis (EDA) to understand data characteristics and identify patterns. Utilize data visualization techniques to communicate insights effectively.
* Data Preparation and Engineering: Ingest, clean, preprocess, and transform data to prepare it for analysis and modeling. Handle missing values, outliers, and inconsistencies. Labeling datasets appropriately for classification problems.
* Machine Learning: Build, train, and evaluate machine learning models, including traditional algorithms like CNNs, XGBoost, Transformers, Various Graph ML algorithms, Time Series modelling, LLM etc.
* Model Deployment: Collaborate with engineering teams to deploy models into production, ensuring scalability and reliability. You need to be aware of and have experience in model quantization, model evaluation and various deployment formats like ONNX, GGUF etc
* Problem\-Solving: Apply critical thinking and problem\-solving skills to tackle complex data challenges.
* Collaboration: Work effectively with data engineers, analysts, and domain experts to understand business requirements and translate them into actionable data insights.
**Qualifications**
* Masters degree in Computer Science/Engineering.
* 8\+ years of experience in data science or a related field.
* Strong proficiency in Python programming language.
* Experience with data analysis and visualization tools (e.g., Pandas, NumPy, Matplotlib, Seaborn).
* Knowledge of machine learning algorithms and techniques.
* Familiarity with deep learning frameworks (e.g., TensorFlow, PyTorch).
* Experience with natural language processing (NLP) and large language models (LLMs) is a plus.
* Strong problem\-solving and analytical skills.
* Excellent communication and collaboration skills.
* Preferred Qualifications:
+ Experience with Go programming language.
+ Acceleration frameworks such as RAPIDS, Spark is preferable.
+ Knowledge of cloud platforms (e.g., AWS, GCP, Azure).
+ Experience with data version control and MLOps practices.
 Location: Santa Clara
* Applicants must be authorized to work in the US
 The pay range for this position at commencement of employment in California, Washington, or New York City is expected in the range of $225,000 \- $300,000\. A candidate’s specific pay within this range will depend on a variety of factors, including job\-related skills, training, location, experience, relevant education, certifications, and other business and organizational needs.
 Why Versa?
**Benefits**
 At Versa Networks, we believe in taking care of our people – both professionally and personally. We offer a comprehensive benefits package designed to support the well\-being, growth, and work\-life balance of our employees. When you join our team, you can expect:
* Competitive Salary \&amp; Incentives: We offer a competitive compensation package with and pre\-IPO equity to reward your hard work and dedication.
* Health \&amp; Wellness: Comprehensive medical, dental, and vision insurance plans to ensure you and your family stay healthy and covered.
* Paid Time Off (PTO): Enjoy a generous PTO policy that includes vacation days, sick leave, and paid holidays to recharge and take care of personal matters.
* Flexible Work Environment: We understand the importance of work\-life balance. Enjoy the flexibility of remote work, and hybrid option to create the work schedule that works best for you.
* Professional Development: We believe in continuous learning. Access to training, certifications, and educational resources to help you grow in your career and stay ahead of industry trends.
* Employee Recognition: We celebrate achievements both big and small, with regular recognition programs and awards that highlight your contributions to our collective success.
* Collaborative Culture: Be part of a dynamic, inclusive, and supportive team where innovation and collaboration are at the heart of everything we do.
* Parental Leave: Generous parental leave policies to support you during life's important moments.
 At Versa Networks, our benefits are designed to help you thrive both inside and outside the office. Join us and experience a rewarding, fulfilling career in a supportive environment that values your health, happiness, and success.
 Versa Networks is an Equal Opportunity Employer. We are committed to providing equal employment opportunities to all employees and applicants without regard to race, color, religion, sex, sexual orientation, gender identity, national origin, age, disability, veteran status, or any other protected characteristic. This policy applies to all terms and conditions of employment, including recruiting, hiring, placement, promotion, termination, layoff, recall, transfer, leaves of absence, compensation, and training.</t>
        </is>
      </c>
    </row>
    <row r="12">
      <c r="A12" t="inlineStr">
        <is>
          <t>li-4373277489</t>
        </is>
      </c>
      <c r="B12" t="inlineStr">
        <is>
          <t>Data Scientist</t>
        </is>
      </c>
      <c r="C12" t="inlineStr">
        <is>
          <t>Wiraa</t>
        </is>
      </c>
      <c r="D12" t="inlineStr">
        <is>
          <t>linkedin</t>
        </is>
      </c>
      <c r="E12" t="inlineStr"/>
      <c r="F12" t="inlineStr"/>
      <c r="G12" t="inlineStr"/>
      <c r="H12" t="inlineStr"/>
      <c r="I12" t="inlineStr">
        <is>
          <t>**About The Company**
 Guidehouse is a leading consulting firm dedicated to delivering innovative solutions across various sectors, including government, financial services, energy, and healthcare. Renowned for its commitment to excellence, diversity, and inclusion, Guidehouse provides strategic advisory, technology, and management consulting services to help organizations navigate complex challenges. With a focus on impactful outcomes, the company fosters a collaborative environment that encourages professional growth and development. As an employer, Guidehouse values integrity, innovation, and a client\-centric approach, ensuring that its teams are equipped with the latest tools and expertise to deliver exceptional results.
**About The Role**
 We are seeking a talented Data Scientist within our Defense \&amp; Security AI \&amp; Data team to join our dynamic consulting environment. In this role, you will work closely with federal clients to harness the power of data, develop advanced analytics, and implement machine learning and artificial intelligence solutions. Your primary responsibilities will include analyzing large datasets, designing predictive models, and creating insightful visualizations that support mission\-critical decision\-making processes. You will be an integral part of a collaborative team dedicated to leveraging data science to enhance operational effectiveness and strategic outcomes for government agencies. This position offers opportunities for professional growth, involvement in innovative projects, and the flexibility to operate remotely or in hybrid settings within the DC metro area.
**Qualifications**
* U.S. citizenship with the ability to obtain and maintain a federal Public Trust clearance (active clearance preferred)
* B.S. or B.A. in computer science, engineering, mathematics, statistics, or a related quantitative discipline
* Minimum of three (3\) years of relevant professional experience in data analysis or two (2\) years with a relevant M.S./M.A. degree
* Proficiency in Python and/or R programming languages
* Experience with Business Intelligence tools such as Tableau or Power BI
* Proven ability to lead data analytic activities from requirements gathering to solution deployment
* Experience manipulating large datasets to identify trends and support strategic decisions
* Strong communication skills with the ability to present complex topics to diverse audiences
* Ability to support on\-site and hybrid projects within the DC metro area
**Responsibilities**
* Collaborate with cross\-functional teams to understand client needs and develop tailored data analytics solutions
* Design, develop, and implement data pipelines, models, and algorithms to extract actionable insights
* Create and maintain dashboards and visualizations to communicate findings effectively
* Lead data analysis efforts, including data cleaning, transformation, and validation of large datasets
* Support business development activities by contributing to proposals and technical demonstrations
* Assist in defining data strategies and governance policies to ensure data quality and security
* Conduct research on emerging data science techniques and tools to continuously improve project outcomes
* Support federal clients by providing expert guidance on data management and analytic best practices
**Benefits**
* Comprehensive medical, dental, and vision insurance plans
* Personal and family sick leave, along with company\-paid holidays
* Discretionary variable incentive bonus potential
* Parental leave and adoption assistance programs
* 401(k) retirement savings plan with company match
* Basic and supplemental life insurance options
* Health Savings Account, Flexible Spending Accounts for dental, vision, and dependent care
* Short\-term and long\-term disability coverage
* Student Loan PayDown program
* Tuition reimbursement and ongoing professional development opportunities
* Skills development certifications and training programs
* Employee referral program and community engagement initiatives
* Emergency backup childcare program and mobility stipends
 Equal Opportunity
 Guidehouse is an Equal Opportunity Employer that values diversity and inclusion in the workplace. We welcome applications from protected veterans, individuals with disabilities, and all qualified applicants regardless of race, gender, sexual orientation, age, religion, or other protected status. We are committed to providing a work environment free from discrimination and harassment, ensuring equal access to employment opportunities for all candidates. We also consider qualified applicants with criminal histories in accordance with applicable laws and ordinances. If you require accommodations during the application process, please contact our recruiting team. Guidehouse does not charge fees for recruitment and maintains strict policies to prevent unauthorized solicitations or requests for payment from third parties.</t>
        </is>
      </c>
    </row>
    <row r="13">
      <c r="A13" t="inlineStr">
        <is>
          <t>li-4332959084</t>
        </is>
      </c>
      <c r="B13" t="inlineStr">
        <is>
          <t>AI Engineer (Applied Scientist) III</t>
        </is>
      </c>
      <c r="C13" t="inlineStr">
        <is>
          <t>Cedar</t>
        </is>
      </c>
      <c r="D13" t="inlineStr">
        <is>
          <t>linkedin</t>
        </is>
      </c>
      <c r="E13" t="inlineStr"/>
      <c r="F13" t="inlineStr"/>
      <c r="G13" t="inlineStr"/>
      <c r="H13" t="inlineStr"/>
      <c r="I13" t="inlineStr">
        <is>
          <t>Our healthcare system is the leading cause of personal bankruptcy in the U.S. Every year, over 50 million Americans suffer adverse financial consequences as a result of seeking care, from lower credit scores to garnished wages. The challenge is only getting worse, as high deductible health plans are the fastest growing plan design in the U.S.
 Cedar’s mission is to leverage data science, smart product design and personalization to make healthcare more affordable and accessible. Today, healthcare providers still engage with its consumers in a “one\-size\-fits\-all” approach; and Cedar is excited to leverage consumer best practices to deliver a superior experience.
**The Role:** 
 Cedar is seeking an
 **AI Engineer** 
**/Applied Scientist III** 
 to join our team and help build and optimize product features powered by generative AI
 . Our goal is to use AI to drive bill clarity for patients and streamline workflows for our customers, which are large healthcare systems across the US. 
 This role is for the Support/Kora squad, where you will work on Kora, an AI Voice Agent purpose\-built for patient billing, which is the central product for our Cedar Support offering. In this role, you will develop a deep understanding of Cedar’s data and workflows and utilize your skillset in rigorous data analysis combined with production\-level coding and rapid execution to design, build, and improve the AI workflows that solve problems for patients via the voice medium.  
**Responsibilities:** 
* Dive into unstructured data with finesse and rigor, combining quantitative and qualitative approaches to solve complex problems. This data can include call transcripts, patient account details, and more
* Design robust experiment plans that allow you to rapidly test hypotheses and solve problems that will lead to an improved patient experience (and execute these plans!)
* Build and enhance features for our AI Voice Agent, Kora – utilizing your skillset in production\-level coding as well as prompt and context engineering
* Measure and track the impact of the new features and enhancements that you build, displaying a strong ownership mentality as you continue to iterate on Kora based on your results and findings
* Partner closely with other scientists, engineers, designers, and product counterparts to solve problems as a team
* Work in a fast\-paced environment where we cheer each other on as we find small ways to make the patient experience a little bit better every day, while we work towards our ultimate goal to transform the healthcare financial experience
**Skills and Experience:** 
* 3 or more years of full\-time experience working in a structured product development environment on a product that had frequent releases (i.e., regular updates with enhancements, bug fixes, and new features)
* Experience collaborating with partners from different job functions, and the ability to translate business requirements into technical builds
* A strong understanding of both the scientific method and software engineering principles, with a proven ability to balance experimental rigor and rapid production deployment
* Experience with modern programming languages (in this role, you’ll use both Python and Typescript)
* Ability to thrive in an entrepreneurial environment, showing a tendency toward speed and action while achieving clarity from ambiguity
* A passion not only for AI, but also in the application of AI to solve real problems for real users.
 If you are a match for this role, you’ll feel comfortable diving deep into the data to figure out the best way to solve a particular user problem, presenting your findings, incorporating updates based on feedback, and implementing your solution in code. Ultimately doing all of this to make a
 tangible difference for users
* You are excited by the opportunity to use your combined skillset in data science and AI engineering to make a true impact on patient lives
**Compensation Range and Benefits** 
* Salary/Hourly Rate Range\*: $170,000 \- $200,000
* This role is equity eligible
* This role offers a competitive benefits and wellness package
 \*Subject to location, experience, and education
**What do we offer to the ideal candidate?** 
* A chance to improve the U.S. healthcare system at a high\-growth company! Our leading healthcare financial platform is scaling rapidly, helping millions of patients per year
* Unless stated otherwise, most roles have flexibility to work from home or in the office, depending on what works best for you
* For exempt employees: Unlimited PTO for vacation, sick and mental health days–we encourage everyone to take at least 20 days of vacation per year to ensure dedicated time to spend with loved ones, explore, rest and recharge
* 16 weeks paid parental leave with health benefits for all parents, plus flexible re\-entry schedules for returning to work
* Diversity initiatives that encourage Cedarians to bring their whole selves to work, including three employee resource groups: be@cedar (for BIPOC\-identifying Cedarians and their allies), Pridecones (for LGBTQIA\+ Cedarians and their allies) and Cedar Women\+ (for female\-identifying Cedarians)
* Competitive pay, equity (for qualifying roles), and health benefits, including fertility \&amp; adoption assistance, that start on the first of the month following your start date (or on your start date if your start date coincides with the first of the month)
* Cedar matches 100% of your 401(k) contributions, up to 3% of your annual compensation
*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26 million patients annually and is on target to process $3\.5 billion in patient payments annually. Cedar partners with more than 55 leading healthcare providers and payers including Highmark Inc., Allegheny Health Network, Novant Health, Allina Health and Providence.</t>
        </is>
      </c>
    </row>
    <row r="14">
      <c r="A14" t="inlineStr">
        <is>
          <t>li-4323544531</t>
        </is>
      </c>
      <c r="B14" t="inlineStr">
        <is>
          <t>Data Scientist 4</t>
        </is>
      </c>
      <c r="C14" t="inlineStr">
        <is>
          <t>Lam Research</t>
        </is>
      </c>
      <c r="D14" t="inlineStr">
        <is>
          <t>linkedin</t>
        </is>
      </c>
      <c r="E14" t="inlineStr"/>
      <c r="F14" t="inlineStr"/>
      <c r="G14" t="inlineStr">
        <is>
          <t>Fremont, CA</t>
        </is>
      </c>
      <c r="H14" t="inlineStr"/>
      <c r="I14" t="inlineStr">
        <is>
          <t>**The group you’ll be a part of**
 The Office of the CTO is where innovation takes center stage. We inspire our global technical community to take on grand challenges, understand emerging trends, identify the critical inflections, and drive our sustainability, Environment, Social, and Governance (ESG) practices that will define the next generation of semiconductors and continued impact.
**The impact you’ll make**
 Join Lam as a Data Scientist, where you'll design, develop, and program methods to analyze unstructured and diverse big data into actionable insights. You'll develop algorithms and automated processes to evaluate large data sets from disparate sources. Your expertise in generating, interpreting, and communicating actionable insights enables Lam to make informed and data\-driven decisions.
**Key Responsibilities**
* Analyze large, complex datasets from diverse sources to uncover insights and identify opportunities for innovation.
* Design, build, and deploy robust machine learning models with meaningful uncertainty quantification.
* Perform rigorous data engineering and model evaluation, including feature engineering, hyperparameter tuning, and model selection.
* Collaborate with engineering teams to integrate models into production codebases, promoting best practices in code quality and maintainability.
* Communicate findings and technical results clearly to both technical and non\-technical stakeholders.
**Required Qualifications**
* Master’s degree with 6\+ years of experience or Ph.D. with 3\+ years in Computer Science, Engineering, Physics, Applied Mathematics, Statistics, or a related quantitative field.
* Machine Learning Expertise: Strong theoretical foundation and hands\-on experience in ML algorithms, deep learning, AI, statistics, or optimization.
* Programming Skills: Proficient in Python, with motivation to write efficient, maintainable, testable, and well\-documented code.
* ML Frameworks: Experience with modern ML frameworks such as PyTorch, JAX, or TensorFlow.
* Problem Solving: Demonstrated analytical and critical thinking skills, with a track record of delivering impactful R\&amp;D solutions.
* Team Collaboration: Proven success working in cross\-functional teams with strong execution and communication skills.
**Preferred Qualifications**
* Domain expertise in semiconductor engineering, Bayesian statistics, process engineering, multi\-physics modeling, or numerical simulation.
* Familiarity with Linux/Unix operating systems.
* Experience with MLOps tools and principles (e.g., Docker, CI/CD pipelines).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**Salary**
 CA San Francisco Bay Area Salary Range for this position: $116,000\.00 \- $250,000\.00\.
 The above salary range for this position is relevant to applicants that reside or work onsite in the California, San Francisco Bay Area only. Salary offers will depend on factors that include the location you work from, your level, education, training, specific skills, years of experience and comparison to other employees already in this role. Actual salary may vary from salary offered due to numerous factors including but not limited to unpaid time off, unpaid leave, company mandated shutdown, and other relevant factors.
**Our Perks And Benefits**
 At Lam, our people make amazing things possible. That’s why we invest in you throughout the phases of your life with a comprehensive set of outstanding benefits.</t>
        </is>
      </c>
    </row>
    <row r="15">
      <c r="A15" t="inlineStr">
        <is>
          <t>li-4327267772</t>
        </is>
      </c>
      <c r="B15" t="inlineStr">
        <is>
          <t>AI-First Data Scientist</t>
        </is>
      </c>
      <c r="C15" t="inlineStr">
        <is>
          <t>CSC Generation</t>
        </is>
      </c>
      <c r="D15" t="inlineStr">
        <is>
          <t>linkedin</t>
        </is>
      </c>
      <c r="E15" t="inlineStr"/>
      <c r="F15" t="inlineStr"/>
      <c r="G15" t="inlineStr"/>
      <c r="H15" t="inlineStr"/>
      <c r="I15" t="inlineStr">
        <is>
          <t>CSC Generation is the AI\-native holding company re\-engineering omni\-channel retail. We acquire iconic brands and transform them with Genesis—our operating platform unifying a Data Fabric, Automation Engine, proprietary tools, and shared services—to modernize operations, elevate customer experience, and expand margins.
 With $1B\+ in revenue across 13 brands, our portfolio includes Sur La Table, Backcountry, One Kings Lane, and more—premier home and outdoor banners that double as real\-world innovation hubs. CSC Generation continues to grow through M\&amp;A, revitalizing companies with strong brand recognition and loyal customers.
 We’re hiring an
 **AI\-First Data Scientist** 
 who combines deep statistical and machine learning expertise with modern MLOps tooling and automation instincts. You will design and deploy production\-ready ML solutions, leveraging cutting\-edge platforms like AWS Sagemaker, Vertix, and advanced causal inference techniques such as Double Machine Learning (DML). Your work will not just inform decisions—it will automate, scale, and embed intelligence directly into our operating systems.
 This is a highly technical, hands\-on role with direct business impact. You’ll be embedded with senior operators and report directly to a
 **brand CEO or platform leader** 
 , supporting mission\-critical decisions and creating AI systems that improve themselves over time.
**What you get to do:**
* Develop and deploy end\-to\-end ML pipelines using modern MLOps practices, cloud\-native platforms (e.g., AWS Sagemaker), and scalable infrastructure.
* Conduct causal analysis and treatment effect estimation using DML, causal forests, uplift modeling, and other counterfactual inference techniques to guide high\-stakes business strategy.
* Build, train, and optimize predictive and prescriptive models for use cases like pricing, promotions, inventory, marketing attribution, and personalization.
* Integrate models into production systems and monitor their performance using advanced observability tools (yes, even Happyface), including diagnosing drift and data quality issues.
* Partner directly with business leaders to translate ambiguous business problems into machine learning frameworks that deliver measurable ROI.
* Collaborate with engineering teams to improve data pipelines, ensure model reproducibility, and maintain version\-controlled, CI/CD\-enabled ML workflows.
* Continuously research and apply emerging techniques in AI, including generative AI, automated feature engineering, and reinforcement learning.
* Take complex, high\-impact problems end to end \- from exploration and feature design through model selection, backtesting, and production deployment with clear impact metrics.
* Design robust experiment and quasi\-experiment setups (A/B tests, holdouts, staggered rollouts) and recommend approaches when fully randomized tests are not feasible.
**What you bring:**
* 5\+ years of experience in applied data science, machine learning engineering, with a proven track record of deploying ML models into production.
* Master or PhD degree in Data Science, Computer Science, Statistics, Economics, or related quantitative field.
* Expertise in causal inference frameworks—especially Double Machine Learning (DML), A/B testing, uplift modeling, and other counterfactual methods.
* Strong proficiency in Python or R, with hands\-on experience in SQL, Jupyter, Git, and cloud ML platforms (AWS Sagemaker experience preferred).
* Familiarity with MLOps tools for experiment tracking, model registry, reproducibility, and automated deployment.
* Experience working with large datasets, distributed computing frameworks, and data engineering best practices.
* Strong experience applying advanced causal and time\-series methods in real\-world settings, including diagnosing bias, drift, and data quality issues.
* Demonstrated ability to independently take ambiguous, cross\-functional problems from zero to a deployed ML solution with clear success metrics and post\-launch evaluation.
**Why This Role Is Different**
* Most data scientist roles focus on building models that live in notebooks. This one takes those models all the way to production—where they shape decisions in real time.
* You won’t just be running experiments—you’ll be building the future of how our business thinks and operates. You’ll integrate AI directly into decision loops, create reusable data science products, and champion a culture of AI\-first thinking across the organization.
**What’s in It for You? Joining CSC Generation isn’t just about having a seat at the table—it’s about helping redesign the table entirely. You’ll be challenged, stretched, and supported as you grow faster than you thought possible. In addition to competitive compensation, we offer:**
* Executive Access: Work directly with brand CEOs and senior leadership, solving real business problems and earning mentorship from top operators.
* AI\-First Skill Building: Get hands\-on with the most advanced AI tools in the market. From automation to prompt engineering, you’ll build a modern tech stack that sets you apart in any industry.
* Accelerated Career Path: High performers are quickly entrusted with greater responsibility, new challenges, and leadership opportunities across our portfolio of brands.
* Competitive Benefits: Paid time off policies, 401(k)/RRSP match, medical/dental/vision and a variety of supplemental policies, and employee discounts at our portfolio companies.
**Our interview process:**
* 📞 Step 1: If you align with our vision and meet the qualifications, we’ll reach out to schedule a conversation and introduce CSC.
* 🧠 Step 2: You’ll complete a short AI or product\-building challenge so we can understand how you approach problems and execution.
* 💬 Step 3: Participate in deep\-dive interviews with CSC leadership focused on your experience, product mindset, and operational thinking.
* 📩 Step 4: Offer. We’ll move fast for the right candidate.
 For US\-based candidates, this posting is intended for candidates that reside in the following states:
 AZ, DE, FL, GA, IN, LA, MI, MS, MO, NV, NC, OK, PA, TN, TX, UT, WV, WI, and WY.
 Our preference is for candidates who reside near our hubs in Northwest Indiana, Austin, Texas, and Toronto, Ontario.
 Washington state applicants only: If you believe that this job posting does not comply with applicable Washington state law, please notify us by sending an email to \[email protected] .
 The CSC family of brands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provincial, state or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Washington state applicants only: If you believe that this job posting does not comply with applicable Washington state law, please notify us by sending an email to \[email protected] .
 It is unlawful in Massachusetts to require or administer a lie\-detector test as a condition of employment or continued employment. An employer who violates this law shall be subject to criminal penalties and civil liability.
 The CSC family of brands is committed to providing reasonable accommodations for qualified individuals with disabilities in our job application procedures. If you need assistance or an accommodation due to a disability, please contact \[email protected]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
      <c r="A16" t="inlineStr">
        <is>
          <t>li-4323533943</t>
        </is>
      </c>
      <c r="B16" t="inlineStr">
        <is>
          <t>Data Scientist Graduate (TikTok Shop AMS Data Science) - 2026 Start (BS/MS)</t>
        </is>
      </c>
      <c r="C16" t="inlineStr">
        <is>
          <t>TikTok</t>
        </is>
      </c>
      <c r="D16" t="inlineStr">
        <is>
          <t>linkedin</t>
        </is>
      </c>
      <c r="E16" t="inlineStr"/>
      <c r="F16" t="inlineStr"/>
      <c r="G16" t="inlineStr">
        <is>
          <t>San Jose, CA</t>
        </is>
      </c>
      <c r="H16" t="inlineStr"/>
      <c r="I16" t="inlineStr">
        <is>
          <t>**Responsibilities**
 The Global e\-commerce Data Science team aims to maximize the efficiency of e\-commerce transactions, lead product decision\-making iterations, and achieve sustainable growth in revenue with data and scientific methods, through quantitative techniques such as mathematical statistics and machine learning. This role for our US Operations team will be providing data solutions to E\-commerce Operations teams to help solve interesting challenges for our Creator \&amp; Merchants.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Online Assessment
 Candidates who pass resume screening will be invited to participate in TikTok's technical online assessment.
**Responsibilities:**
* Provide actionable insights to drive business growth and enhance operational efficiency;
* Utilize data science expertise to design data solutions that address commerce operations and product challenges, such as supply growth, user growth, and marketplace efficiency;
* Collaborate closely with key stakeholders to optimize overall business performance and health;
* Recommend improvements that align with business goals.
**Qualifications**
 Minimum Qualifications:
* Currently pursuing a (BS/MS) in quantitative fields such as statistics, engineering, economics, etc;
* Proficient in SQL, Python, or R, with expertise in at least one of the following areas: advanced measurement (e.g., causal inference or systems with complex trade\-offs), modeling, or optimization;
* To succeed in this role, you must be proactive, self\-driven, and impact\-oriented;
* Ability to work with cross\-functional teams in a fast\-paced environment.
**Preferred Qualifications:**
* Previous experience in data science or a bachelor’s degree majoring in a quantitative field, such as statistics, is preferred;
* Experience in e\-commerce or online marketplaces is strongly preferred.
 By submitting an application for this role, you accept and agree to our global applicant privacy policy, which may be accessed here: https://careers.tiktok.com/legal/privacy
 If you have any questions, please reach out to us at apac\-earlycareers@tiktok.com
 Job Information
**【For Pay Transparency】Compensation Description (Annually)**
 The base salary range for this position in the selected city is $114000 \- $177778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7">
      <c r="A17" t="inlineStr">
        <is>
          <t>li-4343467522</t>
        </is>
      </c>
      <c r="B17" t="inlineStr">
        <is>
          <t>Senior Data Scientist</t>
        </is>
      </c>
      <c r="C17" t="inlineStr">
        <is>
          <t>Intuit</t>
        </is>
      </c>
      <c r="D17" t="inlineStr">
        <is>
          <t>linkedin</t>
        </is>
      </c>
      <c r="E17" t="inlineStr"/>
      <c r="F17" t="inlineStr"/>
      <c r="G17" t="inlineStr">
        <is>
          <t>Mountain View, CA</t>
        </is>
      </c>
      <c r="H17" t="inlineStr"/>
      <c r="I17" t="inlineStr">
        <is>
          <t>**Overview**
 Come join the Mailchimp Paid Media Marketing Data Science team as a Senior Data Scientist. You will be joining a team that is responsible for driving marketing decisions through data\-backed insights, bringing in new customers via paid marketing channels. As a paid media marketing data scientist, you will drive a deeper understanding of marketing campaign performance, help identify areas of opportunity within marketing channels, and inform marketing strategy through advanced analytics and data science tools.
**Responsibilities**
* Build and execute marketing measurement and learning plans for Mailchimp paid media campaigns and growth initiatives
* Deploy measurement models to drive insights and business intelligence for the paid media and broader Mailchimp marketing teams
* Own E2E data exploration including ETL, hypothesis formation, analysis, and readout
* Leverage GenAI and dashboarding tools to create recurring views of paid media performance for marketing partners
* Execute and manage a portfolio of paid media experiments to drive channel innovation and customer acquisition
* Give guidance to business leaders by driving the POV around campaign performance relative to business objectives, marketing goals, and financial forecasts; clearly calling out drivers of strength and areas of opportunity
**Qualifications**
* 4\+ years of experience delivering data and analytics solutions and roadmaps for marketing organizations
* Fundamental understanding of SAAS\-based product marketing strategy, corporate strategy, corporate finance
* Domain knowledge of paid media channels, media data, and marketing technology stacks strongly preferred
* Experience with incremental marketing measurement models, experimentation, and causal inference with paid media applications
* Strong data storytelling and executive communication skills
* Advanced degree in a quantitative field or business/economics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$159,500 \- 215,500\.</t>
        </is>
      </c>
    </row>
    <row r="18">
      <c r="A18" t="inlineStr">
        <is>
          <t>li-4302483637</t>
        </is>
      </c>
      <c r="B18" t="inlineStr">
        <is>
          <t>Data Scientist II</t>
        </is>
      </c>
      <c r="C18" t="inlineStr">
        <is>
          <t>Garner Health</t>
        </is>
      </c>
      <c r="D18" t="inlineStr">
        <is>
          <t>linkedin</t>
        </is>
      </c>
      <c r="E18" t="inlineStr"/>
      <c r="F18" t="inlineStr"/>
      <c r="G18" t="inlineStr">
        <is>
          <t>New York, NY</t>
        </is>
      </c>
      <c r="H18" t="inlineStr"/>
      <c r="I18"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effectively, and physicians are rewarded for delivering exceptional care rather than performing more procedures.
 Garner is one of the fastest\-growing healthcare technology companies in the country. Our products are trusted by the most sophisticated employers and providers in the industry, and we are building a team of talented, mission\-driven individuals who are motivated to make a meaningful impact on healthcare at scale.
**About the role:**
 We are seeking an exceptional Data Scientist to join our Garner Health Intelligence team to help build and evolve our provider data insights. You'll work with our clinical researchers, data scientists, and data engineers to improve the rules and models we use to evaluate provider performance – e.g., answering questions like, how do we know which providers deliver better surgical outcomes or what data concepts do we need to build out to improve our analysis. Your work will directly impact our member recommendations and provider\-facing data products.
**Where you will work:**
 This role will be based in our New York City office. You must be willing to work in the office 3 days per week on Tuesday, Wednesday and Thursday.
**What you will do:**
* Partner with data scientists and clinical experts to shape how we define provider performance metrics, apply statistical rules, and model provider behavior
* Drive the evolution and construction of tools we use to write, assess, and combine rules measuring provider behaviors
* Build and maintain data\-driven algorithms, including AI and machine learning models, to improve our provider recommendations estimates.
* Design scalable data pipelines that ingest, clean, and enrich healthcare provider data.
* Collaborate cross\-functionally with product, engineering, research, and operations teams to translate business needs into data\-driven solutions.
**The ideal candidate has:**
* 2\-5 years professional experience in data science, product analytics, and/or healthcare
* A demonstrated ability to independently solve difficult problems and deliver high quality results to senior stakeholders
* Strong Python and SQL skills
* A willingness to "roll up your sleeves" and do whatever is necessary to ensure company success
* Experience working in a rapidly evolving startup environment
* A desire to be a part of our mission to improve the U.S. healthcare system
* A desire to be a part of a high\-performing, mission\-driven team that operates with intense urgency, a strong sense of individual accountability, and a commitment to authentic feedback
**Technologies we use:**
* Python, TypeScript, React, NodeJS, Kubernetes, Istio, Postgres, ElasticSearch, NATS, AWS, Terraform
 This is a unique opportunity to join a fast\-growing company in a transformative role, helping shape the future of healthcare.
**Please note: we are unable to sponsor or take over sponsorship of an employment visa at this time.**
**Compensation Transparency:**
 The target salary range for this position is $160,000 \- $185,000\. Individual compensation for this role will depend on various factors, including qualifications, skills, and applicable laws. In addition to base compensation, this role is eligible to participate in our equity incentive and competitive benefits plans, including but not limited to: flexible PTO, Medical/Dental/Vision plan options, 401(k) with company match, flexible spending accounts, Teladoc Health and more.
**Fraud and Security Notice:**
 Please be aware of recent job scam attempts. Our recruiters use getgarner.com and garnerhealth.com email domains exclusively. If you have been contacted by someone claiming to be a Garner recruiter or a hiring manager from a different domain about a potential job, please report it to law enforcement here and to candidateprotection@garnerhealth.com.
**Equal Employment Opportunity:**
 Garner Health is proud to be an Equal Employment Opportunity employer and values diversity in the workplace.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Garner Health is committed to providing accommodations for qualified individuals with disabilities in our recruiting process. If you need assistance or an accommodation due to a disability, you may contact us at talent@garnerhealth.com.</t>
        </is>
      </c>
    </row>
    <row r="19">
      <c r="A19" t="inlineStr">
        <is>
          <t>li-4372323044</t>
        </is>
      </c>
      <c r="B19" t="inlineStr">
        <is>
          <t>Data Scientist</t>
        </is>
      </c>
      <c r="C19" t="inlineStr">
        <is>
          <t>RemoteHunter</t>
        </is>
      </c>
      <c r="D19" t="inlineStr">
        <is>
          <t>linkedin</t>
        </is>
      </c>
      <c r="E19" t="inlineStr"/>
      <c r="F19" t="inlineStr"/>
      <c r="G19" t="inlineStr"/>
      <c r="H19" t="inlineStr"/>
      <c r="I19"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
      <c r="A20" t="inlineStr">
        <is>
          <t>li-4346868636</t>
        </is>
      </c>
      <c r="B20" t="inlineStr">
        <is>
          <t>Associate R &amp; D Data Scientist</t>
        </is>
      </c>
      <c r="C20" t="inlineStr">
        <is>
          <t>ETS</t>
        </is>
      </c>
      <c r="D20" t="inlineStr">
        <is>
          <t>linkedin</t>
        </is>
      </c>
      <c r="E20" t="inlineStr"/>
      <c r="F20" t="inlineStr"/>
      <c r="G20" t="inlineStr">
        <is>
          <t>Princeton, NJ</t>
        </is>
      </c>
      <c r="H20" t="inlineStr"/>
      <c r="I20" t="inlineStr">
        <is>
          <t>**About ETS**
 ETS is a global education and talent solutions organization enabling lifelong learners worldwide to be future\-ready. For more than 75 years, we've been advancing the science of measurement to build benchmarks for fair and valid skill assessment across cultures and borders. Our worldwide impact extends through our renowned assessments including TOEFL®, TOEIC®, GRE® and Praxis® tests, serving millions of learners in more than 200 countries and territories. Through strategic acquisitions, we've expanded our global capabilities: PSI strengthens our workforce assessment solutions, while Edusoft, Kira Talent, Pipplet, Vericant, and Wheebox enhance our educational technology and assessment platforms across critical markets worldwide.
 Through ETS Research Institute and ETS Solutions, we're partnering with educational institutions, governments, and organizations globally to promote skill proficiency, empower upward mobility, and unlock opportunities for everyone, everywhere. With offices and partners across Asia, Europe, the Middle East, Africa, and the Americas, we deliver nearly 50 million tests annually. Join us in our journey of measuring progress to power human progress worldwide.
 The Associate R\&amp;D Data Scientist contributes to the planning, development, and execution of data science analyses for research and development projects within the ETS Research Institute. This role focuses on applying advanced data science, statistics, machine learning, and AI to make inferences and/or predictions from data. The position requires expertise in modern frameworks and cloud computing environments to support innovative research in educational measurement and assessment.
**Technical Responsibilties**
**Primary Responsibilities**
 Data Management and Analysis
* Collect, preprocess, and manage structured and unstructured data from diverse sources, ensuring data quality and integrity.
* Perform exploratory data analysis to identify trends, patterns, and actionable insights.
 Model Development and Evaluation
* Design, implement, and validate predictive models and machine\-learning algorithms using frameworks such as PyTorch/TensorFlow, and scikit\-learn.
* Experiment with large language models and generative AI techniques (e.g., working with large language model APIs, prompt engineering) to support innovative research.
 Deployment and Scalability
* Develop and maintain pipelines for model deployment in cloud computing environments (e.g., AWS, Azure) to ensure scalability and reproducibility.
 Research and Collaboration
* Collaborate with scientists and cross\-functional research teams to align data science efforts with program objectives
* Contribute to technical reports, presentations, and publications that disseminate research findings.
* Communicate complex technical concepts clearly to both technical and non\-technical stakeholders.
 \#Remote
* Demonstrable proficiency and experience in Python and/or R for data analysis and modeling.
* Hands\-on experience with PyTorch/TensorFlow, Scikit\-learn, and other machine learning frameworks.
* Familiarity with generative AI methods and their practical applications.
* Strong understanding of statistical methods, experimental design, and data visualization.
* Ability to work in cloud computing environments (e.g., AWS) for model deployment and data processing.
* Excellent problem\-solving skills and adaptability to evolving research priorities.
* Effective written and verbal communication skills for collaborative research environments.
* Exceptional attention to detail, ensuring accuracy and reliability in data analysis, modeling, and reporting.
**Education**
 Master’s degree in Data Science, Computer Science, Statistics, or a related quantitative field; or equivalent combination of education and experience.
**ETS is mission driven and action oriented**
* We are passionate about hiring innovative thinkers who believe in the promise of education and lifelong learning.
* We are energized by cultivating growth, innovation, and continuous transformation for the next generation of rising professionals as leaders. In support of this ETS offers multiple Business Resource Groups (BRG) for you to learn and advance your career growth!
* As a not\-for\-profit organization we will encourage you to lean in to your passion for volunteering. At ETS you may qualify for up to an additional 8 hours of PTO for volunteer work on causes that are important to you!
* The base salary range advertised represents the low and high end of the anticipated salary range for this position. The base pay actually offered will take into account internal equity and also may vary depending on the candidate's geographic region, job\-related knowledge, skills, and experience among other factors. The base pay is only one aspect of the Total Rewards Package that will be offered to the successful candidate.
**ETS is an Equal Opportunity Employer. We are committed to providing equal employment opportunities to all employees and applicants for employment without regard to race, color, religion, sex, national origin, age, disability, marital status, veteran status, sexual orientation, gender identity, or any other characteristic protected by law. We believe in creating a work environment where all individuals are treated with respect and dignity.**</t>
        </is>
      </c>
    </row>
    <row r="21">
      <c r="A21" t="inlineStr">
        <is>
          <t>li-4372319212</t>
        </is>
      </c>
      <c r="B21" t="inlineStr">
        <is>
          <t>Data Scientist | Clinical AI</t>
        </is>
      </c>
      <c r="C21" t="inlineStr">
        <is>
          <t>RemoteHunter</t>
        </is>
      </c>
      <c r="D21" t="inlineStr">
        <is>
          <t>linkedin</t>
        </is>
      </c>
      <c r="E21" t="inlineStr"/>
      <c r="F21" t="inlineStr"/>
      <c r="G21" t="inlineStr"/>
      <c r="H21" t="inlineStr"/>
      <c r="I21" t="inlineStr">
        <is>
          <t>About the Opportunity:
 A healthcare intelligence organization with expertise across the payment continuum seeks a Data Scientist to advance an AI system for clinical criteria evaluation. The role involves translating medical policy into testable code and building measurement and quality systems to improve an AI pipeline that extracts structured clinical signals from medical records.
 Responsibilities:
 • Translate medical policy into executable logic by interpreting clinical criteria such as lab thresholds, temporal windows, trend logic, and exclusions
 • Convert requirements into maintainable SQL and Python code (e.g., creatinine\-based AKI rules, bilirubin thresholds, troponin dynamics, ABG\-derived criteria)
 • Design composable and auditable rule representations with clear inputs, outputs, assumptions, and edge cases
 • Perform prompt engineering and tune system parameters for AI extraction of clinical information from medical records
 • Build and maintain robust clinical feature pipelines computing features from labs, vitals, flowsheets, and notes\-derived facts
 • Handle data challenges including missing timestamps, multiple sources, unit normalization, deduplication, conflicting values, and provenance tracking
 • Define and instrument accuracy metrics for the AI extraction system
 • Develop gold datasets, sampling strategies, and review workflows with clinical and operations partners
 • Conduct error analysis to identify root causes such as retrieval failures, OCR issues, extraction ambiguity, and policy gaps, and drive improvements
 • Create reusable tooling for policy\-to\-code translation including templates, test harnesses, validation suites, regression checks, and monitoring dashboards
 • Improve infrastructure for large\-scale runs covering orchestration, logging, lineage, versioning, and reproducibility
 • Implement guardrails and QA gates to ensure safe, traceable, and measurable policy logic changes
 • Collaborate with clinicians, policy specialists, and operations to clarify ambiguous requirements and ensure implementations reflect real\-world intent
 • Produce clear documentation explaining code functionality with examples and edge\-case handling
 Requirements:
 • Strong SQL and Python skills with ability to write correct, efficient, and maintainable code using CTEs, window functions, joins, and performance tuning
 • Experience building testable, production\-quality pipelines rather than ad hoc analyses
 • Proven record of operationalizing complex business or clinical logic reliably
 • Comfort working with imperfect, high\-volume, messy datasets
 • Experience designing metrics, building ground truth, running experiments, and improving system quality through structured iteration
 • Ability to link technical quality metrics to business outcomes such as accuracy versus reviewer burden
 • Systems thinking to develop shared libraries, patterns, tooling, and clear interfaces that accelerate team productivity
 • Attention to detail in handling edge cases, provenance, temporal logic, unit conversion, and regression safety
 • Interest in healthcare data, medical records, and policy\-to\-decision translation; prior healthcare experience is a plus but not required
 Nice to Have:
 • Familiarity with clinical data standards or lab data normalization (e.g., LOINC, units conversion, reference ranges)
 • Experience evaluating large language models or information extraction systems and building human\-in\-the\-loop QA workflows
 • Knowledge of distributed data systems such as Spark, BigQuery, Snowflake, Databricks, and workflow orchestrators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2">
      <c r="A22" t="inlineStr">
        <is>
          <t>li-4292579407</t>
        </is>
      </c>
      <c r="B22" t="inlineStr">
        <is>
          <t>Applied Scientist II, Prime Video Recommendation/Search Science</t>
        </is>
      </c>
      <c r="C22" t="inlineStr">
        <is>
          <t>Prime Video &amp; Amazon MGM Studios</t>
        </is>
      </c>
      <c r="D22" t="inlineStr">
        <is>
          <t>linkedin</t>
        </is>
      </c>
      <c r="E22" t="inlineStr"/>
      <c r="F22" t="inlineStr"/>
      <c r="G22" t="inlineStr">
        <is>
          <t>Seattle, WA</t>
        </is>
      </c>
      <c r="H22" t="inlineStr"/>
      <c r="I22"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with Recommender System or Search Ranking or Ads Ranking experience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Recommendation/Search Science team owns science solution to power search experience on various devices, from sourcing, relevance, ranking, to name a few. We work closely with the engineering teams to launch our solutions in production.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A3068500</t>
        </is>
      </c>
    </row>
    <row r="23">
      <c r="A23" t="inlineStr">
        <is>
          <t>li-4372335229</t>
        </is>
      </c>
      <c r="B23" t="inlineStr">
        <is>
          <t>Data Scientist</t>
        </is>
      </c>
      <c r="C23" t="inlineStr">
        <is>
          <t>Egotechworld</t>
        </is>
      </c>
      <c r="D23" t="inlineStr">
        <is>
          <t>linkedin</t>
        </is>
      </c>
      <c r="E23" t="inlineStr"/>
      <c r="F23" t="inlineStr"/>
      <c r="G23" t="inlineStr">
        <is>
          <t>Mobile, AL</t>
        </is>
      </c>
      <c r="H23" t="inlineStr"/>
      <c r="I23" t="inlineStr">
        <is>
          <t>**Company Description**
 EgoTECHworld is a trusted partner delivering innovative technology solutions, expertise, and insights. The organization supports clients with cutting\-edge IT solutions while providing opportunities to gain valuable industry experience. In addition, EgoTECHworld fosters a learning environment through insightful tech articles, empowering professionals and businesses with knowledge to succeed in a dynamic tech landscape.
**Role Description**
 This is a full\-time remote role for a Data Scientist. The Data Scientist will be responsible for analyzing and interpreting complex data sets, building predictive models, creating insightful visualizations, and supporting data\-driven decision\-making processes. The role entails applying statistical techniques, designing data experiments, collaborating with cross\-functional teams, and providing actionable business insights.
**Qualifications**
* Proficiency in Data Science and Data Analytics techniques
* Strong understanding of Statistics and Data Analysis methodologies
* Experience in Data Visualization tools and methods
* Excellent problem\-solving and critical thinking skills
* Proficiency in programming languages such as Python, R, or SQL is preferred
* Effective communication skills to present technical findings in an accessible manner
* Bachelor’s or Master’s degree in Data Science, Statistics, Computer Science, or a related field
* Experience working with large datasets and performing</t>
        </is>
      </c>
    </row>
    <row r="24">
      <c r="A24" t="inlineStr">
        <is>
          <t>li-4343477063</t>
        </is>
      </c>
      <c r="B24" t="inlineStr">
        <is>
          <t>Data Scientist, Mid</t>
        </is>
      </c>
      <c r="C24" t="inlineStr">
        <is>
          <t>Booz Allen Hamilton</t>
        </is>
      </c>
      <c r="D24" t="inlineStr">
        <is>
          <t>linkedin</t>
        </is>
      </c>
      <c r="E24" t="inlineStr"/>
      <c r="F24" t="inlineStr"/>
      <c r="G24" t="inlineStr">
        <is>
          <t>Fort Meade, MD</t>
        </is>
      </c>
      <c r="H24" t="inlineStr"/>
      <c r="I24" t="inlineStr">
        <is>
          <t>**Job Number: R0230755**
 Data Scientist, Mid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1\+ year of experience in statistics, operations research, or advanced mathematics
* Experience with R or Python
* Experience using scientific methods to inform qualitative and quantitative analyses
* Ability to work effectively in a collaborative and fast\-paced environment
* TS/SCI clearance with a polygraph
* HS diploma or GED
**Nice If You Have:**
* Experience with optimization, modeling and simulation, prediction, estimation, decision analysis, or engineering management
* Experience analyzing large\-scale datasets
* Experience with data gathering, cleansing, and parsing
* Experience developing and applying optimization and simulation models
* Ability to work in Windows and Linux OS environments
* Bachelor's degree in Operations Research, Applied Mathematics, or Data Science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5">
      <c r="A25" t="inlineStr">
        <is>
          <t>li-4338361574</t>
        </is>
      </c>
      <c r="B25" t="inlineStr">
        <is>
          <t>Data Scientist</t>
        </is>
      </c>
      <c r="C25" t="inlineStr">
        <is>
          <t>Booz Allen Hamilton</t>
        </is>
      </c>
      <c r="D25" t="inlineStr">
        <is>
          <t>linkedin</t>
        </is>
      </c>
      <c r="E25" t="inlineStr"/>
      <c r="F25" t="inlineStr"/>
      <c r="G25" t="inlineStr">
        <is>
          <t>Fayetteville, NC</t>
        </is>
      </c>
      <c r="H25" t="inlineStr"/>
      <c r="I25" t="inlineStr">
        <is>
          <t>**Job Number: R0229726**
 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2\+ years of experience with data exploration, data cleaning, data analysis, data visualization, or data mining
* 2\+ years of experience with exploratory data analysis using programming languages, including SQL and Python
* Experience analyzing structured and unstructured data sources
* Experience developing predictive data models, quantitative analyses, and visualization of targeted data sources
* Knowledge of Machine Learning, Artificial Intelligence, or Natural Language Processing
* Ability to explain data insights clearly to both technical and non\-technical stakeholders
* TS/SCI clearance
* Bachelor’s degree
**Nice If You Have:**
* 2\+ years of experience with visualization software, including Qlik or Tableau
* 2\+ years of experience with distributed data and computing tools, including MapReduce, Hadoop, Hive, EMR, Kafka, Spark, Gurobi, or MySQL
* 2\+ years of experience with Machine Learning, AI, or NLP
* Experience with translating complex data into a compelling narrative that informs and influences a specific audience
* Experience with visualization packages, including Plotly, Seaborn, or ggplot2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6">
      <c r="A26" t="inlineStr">
        <is>
          <t>li-4337500154</t>
        </is>
      </c>
      <c r="B26" t="inlineStr">
        <is>
          <t>Data Scientist</t>
        </is>
      </c>
      <c r="C26" t="inlineStr">
        <is>
          <t>Booz Allen Hamilton</t>
        </is>
      </c>
      <c r="D26" t="inlineStr">
        <is>
          <t>linkedin</t>
        </is>
      </c>
      <c r="E26" t="inlineStr"/>
      <c r="F26" t="inlineStr"/>
      <c r="G26" t="inlineStr">
        <is>
          <t>Fort Meade, MD</t>
        </is>
      </c>
      <c r="H26" t="inlineStr"/>
      <c r="I26" t="inlineStr">
        <is>
          <t>**Job Number: R0229687**
 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5\+ years of experience in statistics, operations research, or advanced mathematics
* 5\+ years of experience with conducting analyses of management and operational problems using Operations Research techniques
* Experience with R or Python
* Experience with using scientific methods to inform qualitative and quantitative analyses
* Ability to work effectively in a collaborative and fast\-paced environment
* TS/SCI clearance with a polygraph
* Bachelor's degree in Operations Research, Industrial Engineering, Applied Mathematics, or Data Science
**Nice If You Have:**
* Experience with optimization, modeling and simulation, prediction, estimation, decision analysis, or engineering management
* Experience with analyzing large\-scale datasets
* Experience with data gathering, cleansing, and parsing
* Experience with developing and applying optimization and simulation models
* Ability to work in Windows and Linux OS environments
* Master's degree in Operations Research, Applied Mathematics, or Data Science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7">
      <c r="A27" t="inlineStr">
        <is>
          <t>li-4343388083</t>
        </is>
      </c>
      <c r="B27" t="inlineStr">
        <is>
          <t>Staff Data Scientist, Marketing</t>
        </is>
      </c>
      <c r="C27" t="inlineStr">
        <is>
          <t>Intuit</t>
        </is>
      </c>
      <c r="D27" t="inlineStr">
        <is>
          <t>linkedin</t>
        </is>
      </c>
      <c r="E27" t="inlineStr"/>
      <c r="F27" t="inlineStr"/>
      <c r="G27" t="inlineStr">
        <is>
          <t>Mountain View, CA</t>
        </is>
      </c>
      <c r="H27" t="inlineStr"/>
      <c r="I27" t="inlineStr">
        <is>
          <t>**Overview**
 Come join the Mailchimp Paid Media Marketing Analytics team as a Staff Data Scientist. You will be joining a team that is responsible for driving marketing decisions through data\-backed insights, bringing new customers via paid marketing channels. As a paid media marketing data scientist, you will drive a deeper understanding of marketing campaign performance, help identify areas of opportunity within marketing channels, and inform marketing strategy through advanced analytics and data science tools.
**Responsibilities**
* Partner across marketing, DS, and research teams to drive comprehensive paid media measurement roadmaps
* Build channel learning plans to unpack and deliver deep insights on the factors driving media performance including creative, audience, partners, and media tactics
* Execute the technical DS components of measurement roadmaps including data instrumentation, attribution, experimentation, marketing model deployment, and ad\-hoc analytics work
* Track the performance of paid media against business goals, lead the construction of channel reporting and data narratives related to paid media to senior leaders, guiding strategic optimization decisions
* Shape paid media strategy and investment mix by running cross channel optimization scenarios and sizing marginal contributions from incremental budgets
* Inform the strategic roadmap for marketing science capabilities, including MMM, AMM, and geo experimentation
**Qualifications**
* 7\+ years of experience in a data science or analytics position specific to marketing and paid media measurement
* Experienced in advanced statistical analysis, A/B testing, geo/match\-market experimentation, marketing AI/ML use cases including MMM, and marketing attribution
* Practical experience constructing data pipelines and ETL utilizing SQL and Python, as instrumenting new data requirements and manipulating large complex datasets
* Very strong insight mining and data storytelling skills, with a proven ability to rapidly construct data narratives and drive decisions with marketing leaders
* Well developed business acumen, with proven ability to shape GTM and growth strategy across highly complex businesses with multiple interdependent SKUs/business lines, financial services preferred
* Experience in using GenAI tools to augment self service reporting and insight generation capabilities
* Bachelor’s degree in a quantitative field or equivalent work experience, advanced degree preferred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$186,500 \- 252,000</t>
        </is>
      </c>
    </row>
    <row r="28">
      <c r="A28" t="inlineStr">
        <is>
          <t>li-4303128393</t>
        </is>
      </c>
      <c r="B28" t="inlineStr">
        <is>
          <t>Senior Data Scientist (LLM) - Team Lead (Hybrid)</t>
        </is>
      </c>
      <c r="C28" t="inlineStr">
        <is>
          <t>AbbVie</t>
        </is>
      </c>
      <c r="D28" t="inlineStr">
        <is>
          <t>linkedin</t>
        </is>
      </c>
      <c r="E28" t="inlineStr"/>
      <c r="F28" t="inlineStr"/>
      <c r="G28" t="inlineStr">
        <is>
          <t>North Chicago, IL</t>
        </is>
      </c>
      <c r="H28" t="inlineStr"/>
      <c r="I28"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Conceive, design and implement new business technology solutions that solve significant scientific or business problems through the integration, visualization, and analysis of large and complex data. Generate new proposals and lead those efforts. Investigate, identify, develop, and optimize new methods, algorithms, and technologies to derive novel, competitive insights from disparate data sources or drive productivity and efficiency gains throughout multiple business areas. Act as a lead data scientist in his/her area of expertise and critically evaluate relevant scientific and technological advances and integrate this knowledge into new business technology solutions.
**This position will be onsite in Lake County 3 days a week.**
**Responsibilities**
* Conceive, design and implement new business technology solutions that solve significant scientific or business problems through the integration, visualization, and analysis of large and complex data.
* Demonstrate the ability to resolve key project hurdles and assumptions by effectively utilizing available information and technical expertise.
* Demonstrate high proficiency across a wide range of technologies related to the storage, transfer, integration, visualization, and analysis of large and complex data sets. Broad expertise in software development, data warehousing, statistics, and machine learning.
* Demonstrate deep knowledge of the pharmaceutical and healthcare business, and utilize this knowledge in the rapid advancement of agile, impactful, and cost\-effective solutions
* Highly autonomous and productive in performing activities, requiring only minimal direction from or interaction with supervisor.
* Seize opportunities to pursue relevant leads that are in line with the group’s strategy.
* Proactively seek out new information and technologies in the literature/public domain and incorporate into individual project(s) as well as the overall program
* May mentor/supervise a team of one or more and guide and evaluate the performance of those individuals; is accountable for the effective performance of the team/individuals.
* A primary author of publications and presentations.
* Understand and adhere to corporate standards regarding applicable Corporate and Divisional Policies, including code of conduct, safety, GxP compliance, and data security.
**Qualifications**
* Bachelor’s Degree with 7 years’ experience; Master’s Degree with 6 years’ experience’ PhD with 2 years’ experience. Background in life sciences or work experience in the pharmaceutical industry preferred.
* Must have experience with Large Language Models (LLM) and Agentic AI
* Experience with junior data scientist mentorship or management is preferred.
* Possess thorough theoretical and practical understanding of own discipline.
* Proven implementation of creative technology solutions that advanced the business.
* Excellent written and oral English communication skills.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 This job is eligible to participate in our long\-term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29">
      <c r="A29" t="inlineStr">
        <is>
          <t>li-4370895889</t>
        </is>
      </c>
      <c r="B29" t="inlineStr">
        <is>
          <t>Lead Data Scientist</t>
        </is>
      </c>
      <c r="C29" t="inlineStr">
        <is>
          <t>Caterpillar Inc.</t>
        </is>
      </c>
      <c r="D29" t="inlineStr">
        <is>
          <t>linkedin</t>
        </is>
      </c>
      <c r="E29" t="inlineStr"/>
      <c r="F29" t="inlineStr"/>
      <c r="G29" t="inlineStr">
        <is>
          <t>Peoria, IL</t>
        </is>
      </c>
      <c r="H29" t="inlineStr"/>
      <c r="I29"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As a Lead Data Scientist in Corporate Aftermarket Finance Services, you will provide specialized data science expertise and technical leadership to support all aspects of forecast analytics for Caterpillar aftermarket parts and related special projects. The role is responsible for managing and optimizing key analytical processes that support the enterprise\-critical Dealer Parts Orders (DPO) forecast and insights generation. This position oversees the end‑to‑end Parts Long‑Term Forecast (LTF) process – spanning system architecture design and implementation; data engineering and statistical model development; user training, and stakeholder approvals – to ensure accurate and efficient forecasting. The role owns design, maintenance and enhancements of Power BI dashboards to deliver clear, actionable insights to stakeholders.
 A core responsibility is safeguarding the integrity of both the Sales \&amp; Operations Planning (S\&amp;OP) forecast disaggregation and the annual business plan disaggregation for DPO. This includes owning the statistical modeling required to calculate probabilistic confidence intervals for aftermarket parts forecasts. The position also ensures timely, accurate updates to DPO systems and provides expert\-level support for all product‑based allocation inquiries.
 The role requires strong planning and prioritization skills to independently complete broadly scoped assignments and drive key business outcomes. Success in this position directly contributes to organizational goals related to customer satisfaction, process quality, accuracy, efficiency, and continuous improvement.
**What You Will Do**
* Responsible for answering questions regarding the Dealer Parts Orders (DPO) product\-based allocation.
* Own the Parts LTF process: system architecture design, analytics solution development, and user training.
* Own the design, development and maintenance of PowerBI dashboards to deliver the forecast analytics solutions.
* Responsible for the integrity of the disaggregation of the S\&amp;OP forecast.
* Own the foundational research in leveraging Gen AI LLM models for explainable forecast initiative.
* Lead design and implementation of LLM\-powered analytics insight generation to explain forecast miss
* Own the statistical modelling for calculating forecast confidence intervals for aftermarket parts.
* Responsible for the integrity of the annual business plan disaggregation for DPO.
* Regularly and accurately maintain and update DPO systems and answer all related queries for their assigned allocations.
* Responsible for setting priorities and preparing work plan to complete broadly defined assignments and achieve desired results.
* Responsible for Value Stream Mapping for Business Process analysis and improvement.
* Responsible for Impact key quality goals including Customer Satisfaction, Continuous Improvement, Timeliness, Accuracy, Efficiency, Cost Savings, Process Quality, etc.
**What You Have**
 Business Statistics: In\-depth knowledge of statistical methods, models, tools, and techniques, as used as industry\-best\-practices to solve diverse business problems and support business decision\-making.
 Time Series Modeling: In\-depth knowledge of fundamental concepts of time series stationarity, seasonality, and time series decomposition. Extensive experience in applying statistical tools and techniques for time series analysis and modelling.
 Machine Learning: In\-depth knowledge of principles, technologies and algorithms of machine learning and deep learning; Demonstrated ability to develop, implement and deliver related systems, products and services.
 Accuracy and Attention to Detail: Understanding the necessity and value of accuracy; ability to complete tasks with high levels of precision.
 Analytical Thinking: Knowledge of techniques and tools that promote effective analysis; ability to determine the root cause of organizational problems and create alternative solutions that resolve these problems.
 Platform and Programming Skill: Knowledge of basic concepts and capabilities of analytics programming languages; Ability to use tools, techniques and platforms in order to write and modify analytics programs; Proficiency in the following:
* Analytics Programming Language: Python, R, SQL and SAS
* Data Engineering and Warehousing: Snowflake
* ML Platform: PyTorch or Tensorflow
* Insights Delivery: PowerBI; Rshiny / Dash / Streamlit
* Cloud Platform: AWS (S3, EC2, LAMBDA, Glue, Sagemaker) or its equivalent in Azure
* AI and Gen AI Orchestration: Ollama, AWS Bedrock / Sagemaker or Azure ML / Azure OpenAI
 Query and Database Access Tools: Knowledge of data management systems; ability to use, support and access facilities for searching, extracting and formatting data for further use; Specifically, Proficiency in Snowflake SQL.
 Requirements Analysis: Knowledge of tools, methods, and techniques of requirement analysis; ability to elicit, analyze and record required business functionality and non\-functionality requirements to ensure the success of a system or software development project. Specifically, Experience in Azure DevOps
**Top Candidates Will Also Have**
* Doctoral or Master’s degree with 5 years of experience or a Bachelor’s degree with 10 years of experience in Computer Science, Mathematics, Engineering, Accounting, Statistics, Data Science, Business Analytics, or a closely related field with extensive coursework in mathematical and statistical modeling.
* 5\+ years of extensive experience in applying statistical models and methods to solve wide range of industry problems.
* 5\+ years of extensive experience in applying statistical tools and techniques for time series analysis and modelling; demonstrating deep understanding of fundamental concepts of time series analysis: stationarity; seasonality; time series decomposition.
* 5\+ years of extensive experience in developing end\-to\-end analytics solutions that span from data pipeline to insights delivery.
* Deep expertise and experience in applying classical statistical modelling methods, tools and techniques for time series forecasting included in the GLM, ARIMA and State Space family of models.
* Deep expertise and experience in contemporary deep learning tools and techniques for time series forecasting included in Transformer family of models with self\-attention mechanism.
* Deep understanding of models and methods for Hierarchical time series and forecast reconciliation.
* Extensive experience and proficiency in R, Python and SQL / Snowflake queries
* Experience with AWS Cloud platform and AWS Glue
* Experience with Alteryx and SAS
* Extensive experience with PowerBI for development of reporting dashboards
* Experience with Rshiny / Dash / Streamlit for development of interactive web application for forecast analytics.
* High level of interpersonal skills and excellent communication and storytelling skills
* Experience in Value Stream Mapping for Business Process analysis and improvement
**Additional Info**
* The ideal location for this role is Peoria – IL or Dallas \- TX
* This position may require 10% travel.
**About Caterpillar \-**
 For more than a century, Caterpillar has helped build a better, more sustainable world. With 2025 sales and revenues of $67\.6 billion, Caterpillar Inc. is shaping the future as the world’s leading manufacturer of construction and mining equipment, off\-highway diesel and natural gas engines, industrial gas turbines and diesel\-electric locomotives. Backed by one of the largest independent global dealer networks and financing services through Cat Financial, the company’s primary business segments: Power \&amp; Energy, Construction Industries and Resource Industries are solving customers’ toughest challenges through commercial excellence and advanced technology, driven by a highly skilled, dedicated global team. Learn more at www.caterpillar.com.
**Summary Pay Range**
 $128,470\.00 \- $208,770\.00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This position requires working onsite five days a week.
 Relocation is available for this position.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February 9, 2026 \- February 22,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30">
      <c r="A30" t="inlineStr">
        <is>
          <t>li-4337128962</t>
        </is>
      </c>
      <c r="B30" t="inlineStr">
        <is>
          <t>Senior/Lead Applied Scientist, Responsible AI</t>
        </is>
      </c>
      <c r="C30" t="inlineStr">
        <is>
          <t>Salesforce</t>
        </is>
      </c>
      <c r="D30" t="inlineStr">
        <is>
          <t>linkedin</t>
        </is>
      </c>
      <c r="E30" t="inlineStr"/>
      <c r="F30" t="inlineStr"/>
      <c r="G30" t="inlineStr">
        <is>
          <t>Palo Alto, CA</t>
        </is>
      </c>
      <c r="H30" t="inlineStr"/>
      <c r="I30"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AI Research is seeking a forward\-thinking and accomplished Applied Scientist with deep expertise in AI fairness, accountability, transparency, and explainability (FATE). In this high\-impact role, you will operate at the forefront of responsible AI development, working closely with research scientists and engineers in AI Research, as well as cross\-functional partners in Responsible AI, Agentforce, and other teams across Salesforce.
 You will lead the design and implementation of Trust Layer models, as well as RAI tools and frameworks that ensure our AI systems are fair, accountable, and transparent. Using advanced machine learning techniques, you’ll generate actionable insights, drive research excellence, and support responsible AI practices across the full development lifecycle—from experimentation to production deployment.
 We’re looking for a principled and collaborative thought leader who is passionate about bridging the gap between innovation and ethical implementation. You will engage with interdisciplinary teams, strategic partners, vendors, and customers while upholding Salesforce’s core values: trust, customer success, equality, innovation, and sustainability.
 Check out our website to learn more about the Salesforce AI Research team https://www.salesforceairesearch.com
**Job Responsibilities**
* Build state\-of\-the\-art LLM safeguards for enterprise.
* Analyze data and models to identify potential trust and safety issues; define testing protocols for different data types and model architectures; recommend mitigation strategies, tooling investments, and safe thresholds for deployment.
* Define technical goals and guide research/engineering teams on responsible AI best practices. Offer development support and thought leadership on critical ethical tradeoffs in algorithmic design.
* Contribute to the development and adoption of libraries and tools that support evaluation, testing, and mitigation of risks. Build features that enhance explainability and user trust in model outputs.
* Collaborate with industry leaders in similar positions in peer organizations on ways to improve the state of responsible AI development.
**Minimum Qualifications**
* Practical experience in machine learning
* MS or Ph.D. in a quantitative discipline with 3\+ years of industrial experience, or a BS in a quantitative discipline with 5\+ years of industrial experience.
* Fluent in building/prototyping machine learning models and algorithms and wrangling large datasets.
* Proficient in using Python and common machine learning frameworks (e.g., TensorFlow, PyTorch) and AI tools to implement models and algorithms.
* Up to date on the evolution of trusted AI and ability to meet both state\-of\-the\-art and global standards for evaluation, particularly in generative AI.
* Experience working across teams of engineers, data scientists, and researchers.
* Strong communication skills. Comfortable presenting ideas to peers, cross\-functional groups, and executives in multiple formats, from slide decks to informal chats.
* Builds trusted relationships across all levels, both internally and externally. Thoughtfully challenges the status quo to enhance team productivity, effectiveness, and culture while maintaining strong, positive partnerships.
* Ability to creatively prioritize, stage, and sequence solutions to challenging/complex problems.
* Demonstrated experience with actually shipping code, getting data science into production.
* Passion for the idea that technology can be a force for social good and for ethics and fairness.
**Preferred Qualifications**
* Strong experience leading multi\-disciplinary teams driving significant business results.
* Knowledge of enterprise SaaS space.
* Experience with designing and building micro\-services, familiar with Kubernetes/containerization/RESTful API/gRPC, etc.
* Proficient in SQL, shell scripting, and Unix/Linux command\-line tools.
* Strong publications at top AI conferences.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$148,500 \- $313,700 annually. In select cities within the San Francisco and New York City metropolitan area, the base salary range for this role is $178,900 \- $344,700 annually. The range represents base salary only, and does not include company bonus, incentive for sales roles, equity or benefits, as applicable.</t>
        </is>
      </c>
    </row>
    <row r="31">
      <c r="A31" t="inlineStr">
        <is>
          <t>li-4349056174</t>
        </is>
      </c>
      <c r="B31" t="inlineStr">
        <is>
          <t>Senior Applied Scientist – Research Products</t>
        </is>
      </c>
      <c r="C31" t="inlineStr">
        <is>
          <t>Thomson Reuters</t>
        </is>
      </c>
      <c r="D31" t="inlineStr">
        <is>
          <t>linkedin</t>
        </is>
      </c>
      <c r="E31" t="inlineStr"/>
      <c r="F31" t="inlineStr"/>
      <c r="G31" t="inlineStr">
        <is>
          <t>Frisco, TX</t>
        </is>
      </c>
      <c r="H31" t="inlineStr"/>
      <c r="I31" t="inlineStr">
        <is>
          <t>Are you excited about working at the forefront of applied research in an industry setting? Thomson Reuters Labs in the USA is seeking scientists with a passion for solving problems using state\-of\-the\-art information retrieval, natural language processing and generative AI.
 What does Thomson Reuters Labs do? We experiment, we build, we deliver. We support the organization and our customers through applied research in informational retrieval and natural language processing. We work closely with product and domain experts to identify compelling solutions at the intersection of user needs and technical feasibility. Our team is designing the next generation of research technology for Legal and Tax Professionals globally. We drive AI innovation for Thomson Reuters’ Core Research Products, including Westlaw, Practical Law, and Checkpoint.
**About The Role**
 Senior Applied Scientists are experts in Machine Learning / NLP, responsible for the design and delivery of AI solutions that enhance Thomson Reuters' products. They leverage information retrieval techniques, agentic workflows, and extensive evaluation design to build and optimize solutions. Their work ensures AI technologies are effectively aligned with business objectives, driving product innovation and value.
**As a Senior Applied Scientist, You Will**
* Own and manage end\-to\-end model development, guiding others in research, data engineering, and evaluation.
* Operate in an agile way, pushing for quick iterations guided by customers’ needs.
* Be accountable for all research deliverables on small to medium\-sized projects
* Communicate research in peer\-reviewed publications and develop patentable ideas ensuring competitiveness of the company’s products and services.
* Work with stakeholders to define scope, determine feasibility, and translate business/customer objectives into technical requirements.
* Partner effectively with Engineering to ensure well\-managed software delivery and co\-design ML Ops processes related to model monitoring, evaluation, and retraining.
**About You**
 You’re a fit for the role of Senior Applied Scientist if your background includes:
* PhD in a relevant discipline or Master’s plus a comparable level of experience
* 5\+ years of hands\-on experience building IR / NLP systems for commercial applications
* 2\+ years experience building customer\-facing products with generative AI
* 1\+ years experience building agentic AI systems
* Experience writing production code and ensuring well\-managed software delivery
* Demonstrable experience translating complex problems into successful AI applications
* Outstanding communication, problem\-solving, and analysis skills
* Collaborating with Product, Engineering and Business Stakeholders in an agile manner to demonstrate value and iterate with customer feedback
* (Preferred) Publications at relevant venues such as ACL, EMNLP, NAACL, NeurIPS, ICLR, SIGIR, or KDD.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$137,100 USD \- $254,700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03/31/2026\.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32">
      <c r="A32" t="inlineStr">
        <is>
          <t>li-4373500141</t>
        </is>
      </c>
      <c r="B32" t="inlineStr">
        <is>
          <t>Data Scientist - Remote Work</t>
        </is>
      </c>
      <c r="C32" t="inlineStr">
        <is>
          <t>Mercor</t>
        </is>
      </c>
      <c r="D32" t="inlineStr">
        <is>
          <t>linkedin</t>
        </is>
      </c>
      <c r="E32" t="inlineStr"/>
      <c r="F32" t="inlineStr"/>
      <c r="G32" t="inlineStr"/>
      <c r="H32" t="inlineStr"/>
      <c r="I32" t="inlineStr">
        <is>
          <t>**About The Job**
**Mercor** 
 connects elite creative and technical talent with leading AI research labs. Headquartered in San Francisco, our investors include
 **Benchmark** 
 ,
 **General Catalyst** 
 ,
 **Peter Thiel** 
 ,
 **Adam D'Angelo** 
 ,
 **Larry Summers** 
 , and
 **Jack Dorsey** 
 .
**Position:** 
 Data Scientist IV
**Type:** 
**Onsite**
**Compensation:** 
**$105–$125/hour**
**Location:** 
**NYC**
**Role Responsibilities**
* Execute, debug, and optimize distributed compute workflows for metric computation, analysis, and modeling across large datasets.
* Apply knowledge of statistics, machine learning, programming, data modeling, and advanced mathematics to recognize patterns and identify opportunities.
* Design, develop, and evaluate predictive models and advanced algorithms for optimal value extraction from biosensor data.
* Generate and test hypotheses, analyzing and interpreting results of product experiments.
* Collaborate with engineers to translate prototypes into new products, services, and features, providing guidelines for large\-scale implementation.
* Leverage data visualization to guide future R\&amp;D directions.
**Qualifications**
**Must\-Have**
* Experience with hardware sensors and data analysis of real\-world data.
* Experience with signal processing for time domain signals and/or medical imaging systems.
* Experience presenting findings from statistical and machine learning methods to diverse audiences.
* Experience working with large datasets.
* 3\+ years of experience in data extraction, manipulation, and visualization using Python, R, MATLAB, or SQL.
* Proficiency in data structures and algorithms.
* Experience with scientific computing and analysis packages such as NumPy, SciPy, Pandas, Scikit\-learn, dplyr, caret.
* Experience with data visualization libraries such as Matplotlib, Pyplot, seaborn, ggplot2\.
**Preferred**
* Master's or PhD in computer science, statistics, neuroscience, biomedical engineering, or other relevant field.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33">
      <c r="A33" t="inlineStr">
        <is>
          <t>li-4373293507</t>
        </is>
      </c>
      <c r="B33" t="inlineStr">
        <is>
          <t>Data Scientist - Remote Work</t>
        </is>
      </c>
      <c r="C33" t="inlineStr">
        <is>
          <t>Mercor</t>
        </is>
      </c>
      <c r="D33" t="inlineStr">
        <is>
          <t>linkedin</t>
        </is>
      </c>
      <c r="E33" t="inlineStr"/>
      <c r="F33" t="inlineStr"/>
      <c r="G33" t="inlineStr"/>
      <c r="H33" t="inlineStr"/>
      <c r="I33" t="inlineStr">
        <is>
          <t>**About The Job**
**Mercor** 
 connects elite creative and technical talent with leading AI research labs. Headquartered in San Francisco, our investors include
 **Benchmark** 
 ,
 **General Catalyst** 
 ,
 **Peter Thiel** 
 ,
 **Adam D'Angelo** 
 ,
 **Larry Summers** 
 , and
 **Jack Dorsey** 
 .
**Position:** 
 Data Science Contractor
**Type:** 
**Contract**
**Compensation:** 
**$90–$110/hour**
**Location:** 
**Onsite at MPK**
**Role Responsibilities**
* Conduct rigorous analysis of complex datasets to identify trends and actionable insights in the ecosystem.
* Design and maintain critical metrics to measure ecosystem health, growth, and engagement.
* Develop and execute structured experiments to evaluate new features and strategies.
* Engage with cross\-functional teams to define requirements and deliver insights.
* Construct dashboards and reports to communicate findings to stakeholders.
* Provide timely analytical responses to urgent business inquiries.
**Qualifications**
**Must\-Have**
* Bachelor's degree or Master's in Data Science, Statistics, Computer Science, Economics, or related field.
* 5\+ years of professional experience in data science or analytics.
* Proficiency in SQL and one programming language (Python, R).
* Experience with data visualization tools (Tableau, Unidash, Metrics360\).
* Exceptional communication skills for presenting complex findings.
* Ability to work autonomously in a dynamic environment.
**Preferred**
* Experience with large\-scale data infrastructure in tech ecosystems.
* Familiarity with tools like Presto, Scuba, Hive.
* Knowledge of experiment design and causal inference methodologies.
**Compensation \&amp; Legal**
* Hourly contractor, Paid weekly via Stripe Connect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34">
      <c r="A34" t="inlineStr">
        <is>
          <t>li-4338427752</t>
        </is>
      </c>
      <c r="B34" t="inlineStr">
        <is>
          <t>Data Scientist</t>
        </is>
      </c>
      <c r="C34" t="inlineStr">
        <is>
          <t>RAPP</t>
        </is>
      </c>
      <c r="D34" t="inlineStr">
        <is>
          <t>linkedin</t>
        </is>
      </c>
      <c r="E34" t="inlineStr"/>
      <c r="F34" t="inlineStr"/>
      <c r="G34" t="inlineStr"/>
      <c r="H34" t="inlineStr"/>
      <c r="I34" t="inlineStr">
        <is>
          <t>RAPP Los Angeles is looking for a Data Scientist to join our award\-winning Marketing Sciences team.
**Who We Are**
 We are RAPP – world leaders in activating growth with precision and empathy at scale.
 As a global, next\-generation precision marketing agency we leverage data, creativity, technology, and empathy to foster client growth. We champion individuality in the marketing solutions we create, and in our workplace. We fight for solutions that adapt to the individual’s needs, beliefs, behaviors, and aspirations.
 We foster an inclusive workplace that emphasizes personal well\-being.
**How We Do It**
 At RAPP, our fearless superconnectors help to create value from personal brand experiences by focusing on three key areas: connected data, connected content and connected decisioning.
 Our data analysts identify who that person is, our strategists understand what they want, and our award\-winning technologists and creatives know how to deliver it – ensuring we’re able to activate authentic customer connections for our clients.
 Part of Omnicom’s Precision Marketing Group, RAPP is comprised of 2,000\+ creatives, technologists, strategists, and data and marketing scientists across 15\+ global markets.
**Your Role**
 We are seeking a highly skilled Data Scientist with deep expertise and understanding in statistical methods, machine learning models, Retrieval\-Augmented Generation (RAG) architectures and neural networks. The ideal candidate will play an important role in researching, developing, and deploying advanced AI/ML solutions that drive business impact. Under the direction of the Director, Data Science, the Data Scientist will work cross\-functionally to solve complex problems and deliver innovative, production\-grade models.
**Responsibilities**
* Analyzes large and small internal and external datasets to extract actionable insights
* Develop statistical/ machine learning models to drive targeting, messaging and strategic decision\-making, which may include and is not limited to:
* Marketing Mix (MMM) and Marketing Attribution (MTA) models
* Profile\-based, Behavioral, LTV and other customer segmentation models
* Response, look\-alike, loyalty, net lift and other sales models
* Survival Analysis, In\-market and other timing models
* Leads, sales and other KPI forecasting models
* Support iteration and feature enhancement of existing models
* Create new or challenger models with methods, data, and/or tools that are currently not in production.
* Aid in code standardization, review, and versioning to increase efficiency and streamline process
* Collaborate with other disciplines to explain insights around statistical output that helps describe the targeting group, consumer, or model tier to non\-technical audiences
**Requirements**
* Master’s degree in computer science, Data Science, , Statistics, Mathematics, Economics, or related discipline
* 1\-2 years’ experience applying statistical \-mathematical analysis and/or analytics\-based programming to model, forecast and/or answer tactical and strategic questions.
* Working knowledge of database marketing principles, and databases and structure
* Proficient in Python.
* Familiarity with AI/Neural Networks.
* Ideal candidate will have some experience with SparkML and/or other programming languages and API packages
* Strong written and verbal communication skills
**Our Hybrid Work Model**
 RAPP's current hybrid model is designed to enable in\-person connections and collaboration that is core to our culture, while also supporting flexibility for all employees. As such, we have the option to work from home two days per week, if we'd like.
**RAPP provides a competitive salary and comprehensive benefits plan. Benefits for this role include health/vision/dental insurance, 401(k), stock options, Healthcare \&amp; Dependent Flexible Spending Accounts, vacation, sick, and personal days and positive activism days, paid parental leave and disability benefits. For more information regarding Omnicom benefits, please visit www.omnicombenefits.com. A reasonable estimate of the salary for this role, at the time of posting, is $85,000 \- $93,500\. This range is specific to Los Angeles and multiple factors are considered in making compensation decisions including, but not limited to: skill set, experience and training, certifications; etc. This is an exempt position. If your requirements fall outside of this range, you are still welcome to apply.**
 “As an EEO/Affirmative Action Employer all qualified applicants will receive consideration for employment without regard to race, color, religion, sex, sexual orientation, gender identity, national origin, disability, veteran status.”
*NOTE: This job description is not intended to be all\-inclusive. Employee may perform other related duties as negotiated to meet the ongoing needs of the organization.*</t>
        </is>
      </c>
    </row>
    <row r="35">
      <c r="A35" t="inlineStr">
        <is>
          <t>li-4373503052</t>
        </is>
      </c>
      <c r="B35" t="inlineStr">
        <is>
          <t>Biosensor AI/ML Data Scientist</t>
        </is>
      </c>
      <c r="C35" t="inlineStr">
        <is>
          <t>Mercor</t>
        </is>
      </c>
      <c r="D35" t="inlineStr">
        <is>
          <t>linkedin</t>
        </is>
      </c>
      <c r="E35" t="inlineStr"/>
      <c r="F35" t="inlineStr"/>
      <c r="G35" t="inlineStr"/>
      <c r="H35" t="inlineStr"/>
      <c r="I35" t="inlineStr">
        <is>
          <t>**About The Job**
**Mercor** 
 connects elite creative and technical talent with leading AI research labs. Headquartered in San Francisco, our investors include
 **Benchmark** 
 ,
 **General Catalyst** 
 ,
 **Peter Thiel** 
 ,
 **Adam D'Angelo** 
 ,
 **Larry Summers** 
 , and
 **Jack Dorsey** 
 .
**Position:** 
 Data Scientist IV
**Type:** 
**Onsite**
**Compensation:** 
**$105–$125/hour**
**Location:** 
**NYC**
**Role Responsibilities**
* Execute, debug, and optimize distributed compute workflows for metric computation, analysis, and modeling across large datasets.
* Apply knowledge of statistics, machine learning, programming, data modeling, and advanced mathematics to recognize patterns and identify opportunities.
* Design, develop, and evaluate predictive models and advanced algorithms for optimal value extraction from biosensor data.
* Generate and test hypotheses, analyzing and interpreting results of product experiments.
* Collaborate with engineers to translate prototypes into new products, services, and features, providing guidelines for large\-scale implementation.
* Leverage data visualization to guide future R\&amp;D directions.
**Qualifications**
**Must\-Have**
* Experience with hardware sensors and data analysis of real\-world data.
* Experience with signal processing for time domain signals and/or medical imaging systems.
* Experience presenting findings from statistical and machine learning methods to diverse audiences.
* Experience working with large datasets.
* 3\+ years of experience in data extraction, manipulation, and visualization using Python, R, MATLAB, or SQL.
* Proficiency in data structures and algorithms.
* Experience with scientific computing and analysis packages such as NumPy, SciPy, Pandas, Scikit\-learn, dplyr, caret.
* Experience with data visualization libraries such as Matplotlib, Pyplot, seaborn, ggplot2\.
**Preferred**
* Master's or PhD in computer science, statistics, neuroscience, biomedical engineering, or other relevant field.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36">
      <c r="A36" t="inlineStr">
        <is>
          <t>li-4292575429</t>
        </is>
      </c>
      <c r="B36" t="inlineStr">
        <is>
          <t>Applied Scientist II, Prime Video Recommendation/Search Science</t>
        </is>
      </c>
      <c r="C36" t="inlineStr">
        <is>
          <t>Prime Video &amp; Amazon MGM Studios</t>
        </is>
      </c>
      <c r="D36" t="inlineStr">
        <is>
          <t>linkedin</t>
        </is>
      </c>
      <c r="E36" t="inlineStr"/>
      <c r="F36" t="inlineStr"/>
      <c r="G36" t="inlineStr">
        <is>
          <t>Sunnyvale, CA</t>
        </is>
      </c>
      <c r="H36" t="inlineStr"/>
      <c r="I36"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with Recommender System or Search Ranking or Ads Ranking experience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Recommendation/Search Science team owns science solution to power search experience on various devices, from sourcing, relevance, ranking, to name a few. We work closely with the engineering teams to launch our solutions in production.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A3068500</t>
        </is>
      </c>
    </row>
    <row r="37">
      <c r="A37" t="inlineStr">
        <is>
          <t>li-4333148414</t>
        </is>
      </c>
      <c r="B37" t="inlineStr">
        <is>
          <t>Senior Data Scientist</t>
        </is>
      </c>
      <c r="C37" t="inlineStr">
        <is>
          <t>Tubi</t>
        </is>
      </c>
      <c r="D37" t="inlineStr">
        <is>
          <t>linkedin</t>
        </is>
      </c>
      <c r="E37" t="inlineStr"/>
      <c r="F37" t="inlineStr"/>
      <c r="G37" t="inlineStr">
        <is>
          <t>New York, NY</t>
        </is>
      </c>
      <c r="H37" t="inlineStr"/>
      <c r="I37" t="inlineStr">
        <is>
          <t>**About the Role:**
 Tubi is transforming the future of television with a vast library of free, premium content supported by advertising. We’re seeking a curious, strategic, and technically strong Senior Data Scientist to join our growing Data Science team—specifically supporting our Content function. In this high\-impact role, you’ll help drive smarter content decisions, power personalization strategies, and unlock viewer engagement through data.
 As a Senior Data Scientist at Tubi, you’ll lead end\-to\-end analytical projects that shape what our viewers see and how they experience our platform. You’ll work at the intersection of content strategy, product, marketing, and monetization, bringing a rigorous experimentation mindset and technical expertise to our most critical initiatives. Your work will be crucial in expanding our audience, optimizing our content library, and developing data\-driven frameworks that scale with the business.
 You’ll collaborate cross\-functionally with content strategy, data engineering, product managers, and executives—ensuring that data and experimentation are deeply embedded in how we choose, evaluate, and present content. This is an exciting opportunity for someone passionate about streaming, thrives in ambiguity, and wants to influence the future of TV through data.
**What You'll Do:**
* Design, execute, and analyze A/B tests and quasi\-experiments that inform content acquisition, placement, and personalization strategies.
* Apply statistical rigor and causal inference methods to evaluate content performance and viewer engagement at scale.
* Work with large, complex datasets using SQL, Python, and Spark to uncover actionable insights that drive strategic content decisions.
* Develop and maintain dashboards, data products, and visualizations that translate data into clear business recommendations.
* Partner closely with cross\-functional stakeholders to influence decisions with thoughtful, transparent, and evidence\-based insights.
* Collaborate with Data Engineering and ML Ops to improve data pipelines, feature engineering, and automation across experimentation workflows.
* Serve as a thought partner across teams, advocating for best practices in experimentation, measurement, and data strategy.
**Your Background:**
* 8\+ years of experience in a data science, analytics, or quantitative research role, ideally in a consumer technology or media company.
* Advanced proficiency in SQL, Python, and Spark, with hands\-on experience managing and analyzing large\-scale, event\-level data.
* Deep understanding of A/B testing, experimental design, and causal inference methodologies.
* Proven ability to translate data into compelling stories and recommendations for non\-technical audiences.
* Experience with product analytics, content performance measurement, or personalization systems is a plus.
* Bachelor’s degree in Statistics, Computer Science, Mathematics, Economics, or a related field.
* Experience in video streaming, entertainment, or ad\-supported media is highly preferred.
 Pursuant to state and local pay disclosure requirements, the pay range for this role, with final offer amount dependent on education, skills, experience, and location is is listed annually below. This role is also eligible for an annual discretionary bonus, long\-term incentive plan, and various benefits including medical/dental/vision, insurance, a 401(k) plan, paid time off and other benefits in accordance with applicable plan documents.
 High cost labor markets such as but not limited to Los Angeles, New York City, and San Francisco
 $151,800—$216,800 USD
 Tubi is a division of Fox Corporation, and the FOX Employee Benefits summarized here, covers the majority of all US employee benefits. The following distinctions below outline the differences between the Tubi and FOX benefits:
* For US\-based non\-exempt Tubi employees, the FOX Employee Benefits summary accurately captures the Vacation and Sick Time.
* For all salaried/exempt employees, in lieu of the FOX Vacation policy, Tubi offers a Flexible Time off Policy to manage all personal matters.
* For all full\-time, regular employees, in lieu of FOX Paid Parental Leave, Tubi offers a generous Parental Leave Program, which allows parents twelve (12\) weeks of paid bonding leave within the first year of birth, adoption, surrogacy, or foster placement of a child in addition to applicable government leave program(s) and FOX’s short\-term disability policy. This time is 100% paid through a combination of any applicable state, city, and federal leaves and wage\-replacement programs in addition to contributions made by Tubi.
* For all full\-time, regular employees, Tubi offers a monthly wellness reimbursement.
 About Tubi:
 Boldly built for every fandom, Tubi is a free streaming service that entertains over 100 million monthly active users. Tubi offers the world's largest collection of Hollywood movies and TV shows, thousands of creator\-led stories and hundreds of Tubi Originals made for the most passionate fans. Headquartered in San Francisco and founded in 2014, Tubi is part of Tubi Media Group, a division of Fox Corporation.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is>
      </c>
    </row>
    <row r="38">
      <c r="A38" t="inlineStr">
        <is>
          <t>li-4373290669</t>
        </is>
      </c>
      <c r="B38" t="inlineStr">
        <is>
          <t>Sr. Data Scientist | Up to $110/hr</t>
        </is>
      </c>
      <c r="C38" t="inlineStr">
        <is>
          <t>Mercor</t>
        </is>
      </c>
      <c r="D38" t="inlineStr">
        <is>
          <t>linkedin</t>
        </is>
      </c>
      <c r="E38" t="inlineStr"/>
      <c r="F38" t="inlineStr"/>
      <c r="G38" t="inlineStr"/>
      <c r="H38" t="inlineStr"/>
      <c r="I38" t="inlineStr">
        <is>
          <t>**About The Job**
**Mercor** 
 connects elite creative and technical talent with leading AI research labs. Headquartered in San Francisco, our investors include
 **Benchmark** 
 ,
 **General Catalyst** 
 ,
 **Peter Thiel** 
 ,
 **Adam D'Angelo** 
 ,
 **Larry Summers** 
 , and
 **Jack Dorsey** 
 .
**Position:** 
 Data Science Contractor
**Type:** 
**Contract**
**Compensation:** 
**$90–$110/hour**
**Location:** 
**Onsite at MPK**
**Role Responsibilities**
* Conduct rigorous analysis of complex datasets to identify trends and actionable insights in the ecosystem.
* Design and maintain critical metrics to measure ecosystem health, growth, and engagement.
* Develop and execute structured experiments to evaluate new features and strategies.
* Engage with cross\-functional teams to define requirements and deliver insights.
* Construct dashboards and reports to communicate findings to stakeholders.
* Provide timely analytical responses to urgent business inquiries.
**Qualifications**
**Must\-Have**
* Bachelor's degree or Master's in Data Science, Statistics, Computer Science, Economics, or related field.
* 5\+ years of professional experience in data science or analytics.
* Proficiency in SQL and one programming language (Python, R).
* Experience with data visualization tools (Tableau, Unidash, Metrics360\).
* Exceptional communication skills for presenting complex findings.
* Ability to work autonomously in a dynamic environment.
**Preferred**
* Experience with large\-scale data infrastructure in tech ecosystems.
* Familiarity with tools like Presto, Scuba, Hive.
* Knowledge of experiment design and causal inference methodologies.
**Compensation \&amp; Legal**
* Hourly contractor, Paid weekly via Stripe Connect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39">
      <c r="A39" t="inlineStr">
        <is>
          <t>li-4332969035</t>
        </is>
      </c>
      <c r="B39" t="inlineStr">
        <is>
          <t>Senior Data Scientist</t>
        </is>
      </c>
      <c r="C39" t="inlineStr">
        <is>
          <t>Tubi</t>
        </is>
      </c>
      <c r="D39" t="inlineStr">
        <is>
          <t>linkedin</t>
        </is>
      </c>
      <c r="E39" t="inlineStr"/>
      <c r="F39" t="inlineStr"/>
      <c r="G39" t="inlineStr">
        <is>
          <t>San Francisco, CA</t>
        </is>
      </c>
      <c r="H39" t="inlineStr"/>
      <c r="I39" t="inlineStr">
        <is>
          <t>**About the Role:**
 Tubi is transforming the future of television with a vast library of free, premium content supported by advertising. We’re seeking a curious, strategic, and technically strong Senior Data Scientist to join our growing Data Science team—specifically supporting our Content function. In this high\-impact role, you’ll help drive smarter content decisions, power personalization strategies, and unlock viewer engagement through data.
 As a Senior Data Scientist at Tubi, you’ll lead end\-to\-end analytical projects that shape what our viewers see and how they experience our platform. You’ll work at the intersection of content strategy, product, marketing, and monetization, bringing a rigorous experimentation mindset and technical expertise to our most critical initiatives. Your work will be crucial in expanding our audience, optimizing our content library, and developing data\-driven frameworks that scale with the business.
 You’ll collaborate cross\-functionally with content strategy, data engineering, product managers, and executives—ensuring that data and experimentation are deeply embedded in how we choose, evaluate, and present content. This is an exciting opportunity for someone passionate about streaming, thrives in ambiguity, and wants to influence the future of TV through data.
**What You'll Do:**
* Design, execute, and analyze A/B tests and quasi\-experiments that inform content acquisition, placement, and personalization strategies.
* Apply statistical rigor and causal inference methods to evaluate content performance and viewer engagement at scale.
* Work with large, complex datasets using SQL, Python, and Spark to uncover actionable insights that drive strategic content decisions.
* Develop and maintain dashboards, data products, and visualizations that translate data into clear business recommendations.
* Partner closely with cross\-functional stakeholders to influence decisions with thoughtful, transparent, and evidence\-based insights.
* Collaborate with Data Engineering and ML Ops to improve data pipelines, feature engineering, and automation across experimentation workflows.
* Serve as a thought partner across teams, advocating for best practices in experimentation, measurement, and data strategy.
**Your Background:**
* 8\+ years of experience in a data science, analytics, or quantitative research role, ideally in a consumer technology or media company.
* Advanced proficiency in SQL, Python, and Spark, with hands\-on experience managing and analyzing large\-scale, event\-level data.
* Deep understanding of A/B testing, experimental design, and causal inference methodologies.
* Proven ability to translate data into compelling stories and recommendations for non\-technical audiences.
* Experience with product analytics, content performance measurement, or personalization systems is a plus.
* Bachelor’s degree in Statistics, Computer Science, Mathematics, Economics, or a related field.
* Experience in video streaming, entertainment, or ad\-supported media is highly preferred.
 Pursuant to state and local pay disclosure requirements, the pay range for this role, with final offer amount dependent on education, skills, experience, and location is is listed annually below. This role is also eligible for an annual discretionary bonus, long\-term incentive plan, and various benefits including medical/dental/vision, insurance, a 401(k) plan, paid time off and other benefits in accordance with applicable plan documents.
 High cost labor markets such as but not limited to Los Angeles, New York City, and San Francisco
 $151,800—$216,800 USD
 Tubi is a division of Fox Corporation, and the FOX Employee Benefits summarized here, covers the majority of all US employee benefits. The following distinctions below outline the differences between the Tubi and FOX benefits:
* For US\-based non\-exempt Tubi employees, the FOX Employee Benefits summary accurately captures the Vacation and Sick Time.
* For all salaried/exempt employees, in lieu of the FOX Vacation policy, Tubi offers a Flexible Time off Policy to manage all personal matters.
* For all full\-time, regular employees, in lieu of FOX Paid Parental Leave, Tubi offers a generous Parental Leave Program, which allows parents twelve (12\) weeks of paid bonding leave within the first year of birth, adoption, surrogacy, or foster placement of a child in addition to applicable government leave program(s) and FOX’s short\-term disability policy. This time is 100% paid through a combination of any applicable state, city, and federal leaves and wage\-replacement programs in addition to contributions made by Tubi.
* For all full\-time, regular employees, Tubi offers a monthly wellness reimbursement.
 About Tubi:
 Boldly built for every fandom, Tubi is a free streaming service that entertains over 100 million monthly active users. Tubi offers the world's largest collection of Hollywood movies and TV shows, thousands of creator\-led stories and hundreds of Tubi Originals made for the most passionate fans. Headquartered in San Francisco and founded in 2014, Tubi is part of Tubi Media Group, a division of Fox Corporation.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is>
      </c>
    </row>
    <row r="40">
      <c r="A40" t="inlineStr">
        <is>
          <t>li-4337632210</t>
        </is>
      </c>
      <c r="B40" t="inlineStr">
        <is>
          <t>Data Scientist</t>
        </is>
      </c>
      <c r="C40" t="inlineStr">
        <is>
          <t>Booz Allen Hamilton</t>
        </is>
      </c>
      <c r="D40" t="inlineStr">
        <is>
          <t>linkedin</t>
        </is>
      </c>
      <c r="E40" t="inlineStr"/>
      <c r="F40" t="inlineStr"/>
      <c r="G40" t="inlineStr">
        <is>
          <t>Tampa, FL</t>
        </is>
      </c>
      <c r="H40" t="inlineStr"/>
      <c r="I40" t="inlineStr">
        <is>
          <t>**Job Number: R0229725**
 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2\+ years of experience with data exploration, data cleaning, data analysis, data visualization, or data mining
* 2\+ years of experience with exploratory data analysis using programming languages, including SQL and Python
* Experience analyzing structured and unstructured data sources
* Experience developing predictive data models, quantitative analyses, and visualization of targeted data sources
* Knowledge of Machine Learning, Artificial Intelligence, or Natural Language Processing
* Ability to explain data insights clearly to both technical and non\-technical stakeholders
* TS/SCI clearance
* Bachelor’s degree
**Nice If You Have:**
* 2\+ years of experience with visualization software, including Qlik or Tableau
* 2\+ years of experience with distributed data and computing tools, including MapReduce, Hadoop, Hive, EMR, Kafka, Spark, Gurobi, or MySQL
* 2\+ years of experience with Machine Learning, AI, or NLP
* Experience with translating complex data into a compelling narrative that informs and influences a specific audience
* Experience with visualization packages, including Plotly, Seaborn, or ggplot2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1">
      <c r="A41" t="inlineStr">
        <is>
          <t>li-4333177988</t>
        </is>
      </c>
      <c r="B41" t="inlineStr">
        <is>
          <t>Senior Data Scientist</t>
        </is>
      </c>
      <c r="C41" t="inlineStr">
        <is>
          <t>Tubi</t>
        </is>
      </c>
      <c r="D41" t="inlineStr">
        <is>
          <t>linkedin</t>
        </is>
      </c>
      <c r="E41" t="inlineStr"/>
      <c r="F41" t="inlineStr"/>
      <c r="G41" t="inlineStr">
        <is>
          <t>Los Angeles, CA</t>
        </is>
      </c>
      <c r="H41" t="inlineStr"/>
      <c r="I41" t="inlineStr">
        <is>
          <t>**About the Role:**
 Tubi is transforming the future of television with a vast library of free, premium content supported by advertising. We’re seeking a curious, strategic, and technically strong Senior Data Scientist to join our growing Data Science team—specifically supporting our Content function. In this high\-impact role, you’ll help drive smarter content decisions, power personalization strategies, and unlock viewer engagement through data.
 As a Senior Data Scientist at Tubi, you’ll lead end\-to\-end analytical projects that shape what our viewers see and how they experience our platform. You’ll work at the intersection of content strategy, product, marketing, and monetization, bringing a rigorous experimentation mindset and technical expertise to our most critical initiatives. Your work will be crucial in expanding our audience, optimizing our content library, and developing data\-driven frameworks that scale with the business.
 You’ll collaborate cross\-functionally with content strategy, data engineering, product managers, and executives—ensuring that data and experimentation are deeply embedded in how we choose, evaluate, and present content. This is an exciting opportunity for someone passionate about streaming, thrives in ambiguity, and wants to influence the future of TV through data.
**What You'll Do:**
* Design, execute, and analyze A/B tests and quasi\-experiments that inform content acquisition, placement, and personalization strategies.
* Apply statistical rigor and causal inference methods to evaluate content performance and viewer engagement at scale.
* Work with large, complex datasets using SQL, Python, and Spark to uncover actionable insights that drive strategic content decisions.
* Develop and maintain dashboards, data products, and visualizations that translate data into clear business recommendations.
* Partner closely with cross\-functional stakeholders to influence decisions with thoughtful, transparent, and evidence\-based insights.
* Collaborate with Data Engineering and ML Ops to improve data pipelines, feature engineering, and automation across experimentation workflows.
* Serve as a thought partner across teams, advocating for best practices in experimentation, measurement, and data strategy.
**Your Background:**
* 8\+ years of experience in a data science, analytics, or quantitative research role, ideally in a consumer technology or media company.
* Advanced proficiency in SQL, Python, and Spark, with hands\-on experience managing and analyzing large\-scale, event\-level data.
* Deep understanding of A/B testing, experimental design, and causal inference methodologies.
* Proven ability to translate data into compelling stories and recommendations for non\-technical audiences.
* Experience with product analytics, content performance measurement, or personalization systems is a plus.
* Bachelor’s degree in Statistics, Computer Science, Mathematics, Economics, or a related field.
* Experience in video streaming, entertainment, or ad\-supported media is highly preferred.
 Pursuant to state and local pay disclosure requirements, the pay range for this role, with final offer amount dependent on education, skills, experience, and location is is listed annually below. This role is also eligible for an annual discretionary bonus, long\-term incentive plan, and various benefits including medical/dental/vision, insurance, a 401(k) plan, paid time off and other benefits in accordance with applicable plan documents.
 High cost labor markets such as but not limited to Los Angeles, New York City, and San Francisco
 $151,800—$216,800 USD
 Tubi is a division of Fox Corporation, and the FOX Employee Benefits summarized here, covers the majority of all US employee benefits. The following distinctions below outline the differences between the Tubi and FOX benefits:
* For US\-based non\-exempt Tubi employees, the FOX Employee Benefits summary accurately captures the Vacation and Sick Time.
* For all salaried/exempt employees, in lieu of the FOX Vacation policy, Tubi offers a Flexible Time off Policy to manage all personal matters.
* For all full\-time, regular employees, in lieu of FOX Paid Parental Leave, Tubi offers a generous Parental Leave Program, which allows parents twelve (12\) weeks of paid bonding leave within the first year of birth, adoption, surrogacy, or foster placement of a child in addition to applicable government leave program(s) and FOX’s short\-term disability policy. This time is 100% paid through a combination of any applicable state, city, and federal leaves and wage\-replacement programs in addition to contributions made by Tubi.
* For all full\-time, regular employees, Tubi offers a monthly wellness reimbursement.
 About Tubi:
 Boldly built for every fandom, Tubi is a free streaming service that entertains over 100 million monthly active users. Tubi offers the world's largest collection of Hollywood movies and TV shows, thousands of creator\-led stories and hundreds of Tubi Originals made for the most passionate fans. Headquartered in San Francisco and founded in 2014, Tubi is part of Tubi Media Group, a division of Fox Corporation.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is>
      </c>
    </row>
    <row r="42">
      <c r="A42" t="inlineStr">
        <is>
          <t>li-4373280270</t>
        </is>
      </c>
      <c r="B42" t="inlineStr">
        <is>
          <t>Applied Scientist, Marketing Measurement</t>
        </is>
      </c>
      <c r="C42" t="inlineStr">
        <is>
          <t>Uber</t>
        </is>
      </c>
      <c r="D42" t="inlineStr">
        <is>
          <t>linkedin</t>
        </is>
      </c>
      <c r="E42" t="inlineStr"/>
      <c r="F42" t="inlineStr"/>
      <c r="G42" t="inlineStr">
        <is>
          <t>New York, NY</t>
        </is>
      </c>
      <c r="H42" t="inlineStr"/>
      <c r="I42" t="inlineStr">
        <is>
          <t>**About The Role**
 As an Applied Scientist on the incrementality foundations team within marketing measurement, you will contribute to Uber Marketing Org's commitment to science\-backed decision making. This team is responsible for building experiment forms, models, \&amp; processes for turning complex hypotheses into reliable, actionable incrementality signals that inform planning, forecasting, and investment decisions across the business. Your work will focus on building robust processes for interpreting measurement data, building foundational models for estimation \&amp; inference, and researching experimentation best practices for accurate and complete incrementality measurement. Your work will inform smarter investment and decision\-making systems across Uber's Brand and Performance Marketing. This team sits close to production systems, partnering with Product, Engineering, and cross\-functional Science teams to ensure incrementality measurement is rigorous, scalable, and decision\-ready
**What The Candidate Will Need / Bonus Points**
* Develop and apply statistical and causal inference models to estimate the incremental impact of marketing across channels, markets, and test designs.
* Design custom tests \&amp; analyze results from complex experiments, including multi\-cell, market\-level, and longitudinal tests.
* Contribute to foundational modeling efforts such as hierarchical smoothing, aggregation across tests, and handling of low\-signal or sparse data.
* Assist in research on advanced topics, including learning elasticity with experiments and analyzing event relationships to improve experiment accuracy and interpretation.
* Partner with Product and Engineering to integrate incrementality models into reporting and decision\-making workflows
* Research and help establish best practices for experiment design, post\-analysis interpretation, and measurement tradeoffs.
* Collaborate with other Applied Science and Data Science teams to align incrementality outputs with broader measurement and investment frameworks.
**Basic Qualifications**
* Bachelor's degree or higher in a quantitative field such as Statistics, Economics, Mathematics, Computer Science, or a related discipline.
* 2\+ years of experience applying statistical and causal inference methods to real\-world data in an applied setting.
* Strong foundation in statistical modeling, hypothesis testing, and experimental design, including A/B testing, incrementality, or quasi\-experimental methods.
* Hands\-on experience designing, analyzing, and interpreting experiments, including evaluation of uncertainty, limitations, and tradeoffs.
* Proficiency in Python or R and SQL for analyzing and modeling large, complex datasets.
* Experience working with marketing, growth, advertising, or similar business domains where measurement and investment decisions are central.
* Ability to clearly communicate analytical insights to technical and non\-technical stakeholders and collaborate effectively in cross\-functional teams.
* Demonstrated ability to collaborate effectively in cross\-functional, fast\-moving environments.
**Preferred Qualifications**
* Bachelor's, Master's or PhD in a quantitative discipline (e.g., Statistics, Economics, Mathematics, Computer Science), or equivalent applied industry experience.
* Experience with advanced statistical or modeling techniques such as hierarchical / multi\-level models, time\-series analysis, or meta\-analysis.
* Experience with incrementality testing, geo\-experiments, or marketing measurement use cases (e.g., attribution, MMM, or related frameworks).
* Familiarity with marketing investment concepts such as elasticity, budget allocation, or cross\-channel tradeoffs.
* Experience contributing to shared codebases or production\-adjacent analytics systems, including collaboration with Product or Engineering partners.
* Ability to independently drive scoped projects end\-to\-end with guidance, and operate effectively in ambiguous or evolving problem spaces.
* Curiosity and learning mindset, with demonstrated ability to ramp quickly on new domains, tools, or methodologies.
 For New York, NY\-based roles: The base salary range for this role is USD$161,000 per year \- USD$179,000 per year. For San Francisco, CA\-based roles: The base salary range for this role is USD$161,000 per year \- USD$179,000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USD$161,000 per year \- USD$179,000 per year. For San Francisco, CA\-based roles: The base salary range for this role is USD$161,000 per year \- USD$179,000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43">
      <c r="A43" t="inlineStr">
        <is>
          <t>li-4312952079</t>
        </is>
      </c>
      <c r="B43" t="inlineStr">
        <is>
          <t>Principal Applied Scientist - AI &amp; Robotics</t>
        </is>
      </c>
      <c r="C43" t="inlineStr">
        <is>
          <t>General Motors</t>
        </is>
      </c>
      <c r="D43" t="inlineStr">
        <is>
          <t>linkedin</t>
        </is>
      </c>
      <c r="E43" t="inlineStr"/>
      <c r="F43" t="inlineStr"/>
      <c r="G43" t="inlineStr">
        <is>
          <t>Mountain View, CA</t>
        </is>
      </c>
      <c r="H43" t="inlineStr"/>
      <c r="I43" t="inlineStr">
        <is>
          <t>**Job Description**
 Our AI Research team is building end\-to\-end robot policies that enable dexterous manipulation in real\-world environments. We are advancing embodied AI by integrating multimodal perception, robot learning architectures, and physical execution systems to solve manipulation, autonomy, and simulation challenges at an industrial scale.
 As a Principal Applied Scientist, you will define technical direction, create breakthrough robot learning methodologies, and drive the execution of large\-scale initiatives that deliver end\-to\-end manipulation policies. You will architect new model families, lead cross\-functional research efforts, and guide teams in transitioning scientific advances into reliable robotic capabilities deployed in real systems.
**What You’ll Do**
* Define the research strategy and technical roadmap for embodied manipulation policies that span perception, training, control, and deployment.
* Invent or advance robot learning architectures (e.g., diffusion\-based policies, ACT\-style agents, multimodal embodied transformers) to enable robust dexterous manipulation.
* Architect end\-to\-end policy systems from multimodal sensing to hardware control, across simulation and real environments.
* Establish standards for data generation, demonstrations, simulation fidelity, evaluation, and sim\-to\-real adaptation for manipulation tasks.
* Guide cross\-functional efforts to scale robot learning from prototypes to production, including reliability constraints, observability, and performance guarantees.
* Mentor scientists and engineers, influence hiring, and shape research priorities within the organization.
* Represent GM in external communities (e.g., CoRL, RSS, ICRA, NeurIPS), pursue collaborations, and drive thought leadership in embodied AI.
**Required Qualifications**
* PhD in a relevant STEM field, with a recognized track record in robotics, robot learning, or embodied AI.
* Significant experience designing and deploying robot learning systems on physical hardware, including manipulation tasks and real\-time policy execution.
* Expertise in modern AI architectures (Transformers, diffusion models, VLM/VLA agents, imitation learning, offline RL) and ability to extend them to new embodied scenarios.
* Mastery of PyTorch, including model internals, performance optimization, distributed training, and debugging complex failures.
* Hands\-on experience with ROS/ROS2, motion planning stacks, and integration of ML components into robotic platforms.
* Evidence of high\-impact contributions: top\-tier publications, influential open\-source efforts, field deployments, or foundational algorithms.
* Proven ability to lead ambiguous multi\-disciplinary research programs and deliver tangible embodied AI outcomes.
**Preferred Qualifications**
* Experience establishing research agendas in robot learning or dexterous manipulation that resulted in widely adopted systems or protocols.
* Leadership of projects involving perception → policy → control integration, staged training, or multi\-robot deployment.
* Deep expertise in at least one advanced area:
* Dexterous manipulation / affordance\-driven action
* Multi\-step task sequencing / long horizon reasoning
* Offline RL or imitation learning at scale
* Physics\-informed or tactile\-informed policies
* Foundation models for embodied agents
* Strong industry or academic presence: invited talks, program committees, major open\-source contributions, or collaborations with robotics research institutions.
**Why Join Us**
 You will shape how robots behave in the physical world—designing the foundational learning systems that enable dexterous, autonomous manipulation across GM’s future robotics platforms.
**Location:** 
 This role is categorized as hybrid. This means the successful candidate is expected to report to the MTV office three times per week or any other frequency dictated by the business.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259,000 to 320,000\.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**Relocation:** 
 This job may be eligible for relocation benefits.
 \#GMAI\-B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4">
      <c r="A44" t="inlineStr">
        <is>
          <t>li-4355682510</t>
        </is>
      </c>
      <c r="B44" t="inlineStr">
        <is>
          <t>Senior Data Scientist/Engineer</t>
        </is>
      </c>
      <c r="C44" t="inlineStr">
        <is>
          <t>Thermo Fisher Scientific</t>
        </is>
      </c>
      <c r="D44" t="inlineStr">
        <is>
          <t>linkedin</t>
        </is>
      </c>
      <c r="E44" t="inlineStr"/>
      <c r="F44" t="inlineStr"/>
      <c r="G44" t="inlineStr">
        <is>
          <t>Raleigh, NC</t>
        </is>
      </c>
      <c r="H44" t="inlineStr"/>
      <c r="I44" t="inlineStr">
        <is>
          <t>**Work Schedule**
 Standard (Mon\-Fri)
**Environmental Conditions**
 Office
 When you join us at Thermo Fisher Scientific, you’ll be part of an inquisitive team that shares your passion for exploration and discovery. We have revenues of more than $40 billion and make the largest R\&amp;D investment in the industry. This gives our people the resources and chances to make significant contributions to the world.
 If you are passionate about engineering and how it can drive decision\-making within a world\-leading life science company, then this is the role for you!
 As a key member of our team, you will collaborate across all divisions and functions. You will develop, build, and maintain analytics and data solutions for customers with various technical backgrounds. Your work will generate data insights to improve efficiency, productivity, and revenue. The ideal candidate will possess strong business analytics and communication skills, experience with data analytics and reporting tools, ETL processes, modeling knowledge, and solid project management abilities.
 Key Responsibilities:
 Lead the architecture and implementation of data pipelines and Microsoft Fabric\-based data models to enable unified financial reporting and analytics.
* Build, review, and optimize ETL processes developed in Python, ensuring efficient data ingestion, transformation, and quality across diverse data sources (ERP, financial systems, operational platforms).
* Partner with Finance leadership to define business requirements, translate them into robust technical builds, and deliver actionable insights for decision\-making.
* Establish and implement data engineering standards, including coding guidelines, documentation, version control, and automated testing for ETL pipelines.
* Develop, test, and deploy scalable data models using Lakehouse architectures and Fabric Data Warehouses to support forecasting, planning, and profitability analysis.
* Provide technical leadership and mentorship to data engineers and analysts, encouraging skill development in Fabric, Power BI, and modern Python data frameworks (Pandas, PySpark, SQLAlchemy).
* Collaborate multi\-functionally with Finance, IT, and Data Governance teams to ensure alignment with enterprise data architecture and security policies.
* Keep up to date with developments in Microsoft Fabric, Power BI, Python, and data orchestration tools, and suggest their strategic implementation.
* Run multiple concurrent initiatives — leading all aspects of planning, prioritisation, communication, and customer engagement.
 Requirements/Qualifications:
* Bachelor’s degree or equivalent experience in a quantitative field, such as Statistics, Computer Science, Mathematics, Data Science or a related field, master’s or equivalent experience preferred
* Proven experience in a data engineer or data science role with dynamic responsibilities and scope
* Experience building models and analyzing large, complex data sets yielding opportunities for revenue and/or process improvement within an organization
* Technical proficiency in Python and SQL
* Proficiency in data engineering and reporting platforms (Databricks, Power Bi, Tableau, SAS Analytics)
* Interpersonal skills: outstanding verbal/written communication
* Proven track record of achieving desired results without direct report authority
* Knowledge of Agile/Scrum methodology is a plus
* Hands\-on experience with distributed computational framework, such as Spark
* Command of statistical topics, including distributions, hypothesis testing, and experiment building
* Minimal travel required about 10%</t>
        </is>
      </c>
    </row>
    <row r="45">
      <c r="A45" t="inlineStr">
        <is>
          <t>li-4337109706</t>
        </is>
      </c>
      <c r="B45" t="inlineStr">
        <is>
          <t>Senior Data Scientist</t>
        </is>
      </c>
      <c r="C45" t="inlineStr">
        <is>
          <t>Crunchbase</t>
        </is>
      </c>
      <c r="D45" t="inlineStr">
        <is>
          <t>linkedin</t>
        </is>
      </c>
      <c r="E45" t="inlineStr"/>
      <c r="F45" t="inlineStr"/>
      <c r="G45" t="inlineStr">
        <is>
          <t>California, United States</t>
        </is>
      </c>
      <c r="H45" t="inlineStr"/>
      <c r="I45" t="inlineStr">
        <is>
          <t>**About Crunchbase**
 Crunchbase is a predictive solution that provides intelligence on private companies, powered by the unique combination of live private company data, AI, and market activity from over 80 million users. We predict private market movements that matter to help investors, dealmakers, and analysts make the right decisions.
 We are committed to fostering a positive, diverse, and inclusive culture by hiring for potential and embracing individuals with diverse perspectives, backgrounds, experiences, and skill sets. We value transparency and openness, believing that an inclusive environment strengthens our teams and enhances our products.
 Crunchbase has a remote\-first approach, and is open to hiring in residents of these states: California, Colorado, Illinois, Florida, Georgia, Massachusetts, Nevada, New Jersey, New York, North Carolina, Oregon, Pennsylvania, South Carolina, Texas, Virginia, Washington, and Maine.
 Our inclusive remote\-first culture, generous PTO policies, competitive pay, and employee wellness benefits set us apart!
**About The Role**
 As a Senior Data Scientist at Crunchbase, you will play a pivotal role in transforming our business vision into tangible features and actionable insights through the power of data. Your contributions will significantly influence the user experience, restructuring how our users engage with and derive value from our products. You'll work at the intersection of data science and product development, turning raw data into meaningful insights that drive business success.
 What You'll Do
* Utilize your expertise to enhance and optimize the Crunchbase insights engine, turning raw data into meaningful and actionable insights
* Collaborate closely with the product team to align data science efforts with business objectives and user needs
* Engage in all aspects of the feature delivery cycle, from ideation to production, ensuring seamless integration of data\-driven features into our products
* Work closely with internal partners to gather and refine requirements for data\-driven features
* Develop and implement statistical and machine learning models that address user queries and business questions, such as predicting potential investors in a given company
* Stay current with advancements in data science and machine learning to continuously improve model accuracy and relevance
* Collaborate with product managers, engineers, and other stakeholders to understand business problems and provide data\-driven solutions
* Collaborates cross\-functionally with Product, Engineering, and GTM teams to prioritize AI initiatives
* Actively engages in AI experimentation to drive innovation and efficiency
* Communicate complex findings and insights in a clear and understandable manner to both technical and non\-technical audiences
 Who You Are
* 4\+ years of experience in data science, with a focus on developing and deploying machine learning models.
* Excellent communication skills, capable of simplifying complex issues for effective collaboration
* Proven ability to understand products and deliver impactful features to drive business success
* Hands\-on experience and expertise in Python coding
* Familiarity with a range of analytics and big data tools (e.g., R, SQL, etc.)
* Passion for identifying patterns in data, showcasing strong analytical skills
* Proficient with Google Office Suite or related software
* Ideally, you have experience with recommendation systems and/or time series analysis
**Compensation Package**
 The salary range is $170,000 \- $190,000\. We also offer equity in the form of stock options on top of that as the total compensation package.
**What Crunchbase Offers**
 At Crunchbase, we’re building a culture where talented people can grow, innovate, and make an impact. We invest in our team so everyone has the support, tools, and trust to do meaningful work and thrive — personally and professionally.
**Here’s What You Can Expect**
* Competitive compensation and equity — rewarding you for your contributions and ownership mindset
* Remote\-first flexibility — work primarily from home within our list of approved states, with opportunities for in\-person collaboration
* Comprehensive health benefits for you and your family, including medical, dental, and vision coverage (PPO, HDHP, and HMO options)
* Continuous learning support through generous reimbursement for professional development and skills growth
* 401(k) and Roth plans with an annual financial adviser check\-in to help you plan your future
* Wellness resources — including a monthly stipend to support physical and mental health
* Work\-from\-home enablement — internet stipend and home office setup allowance
* Charitable giving match through our Town Hall awards and community impact initiatives
* A mission\-driven, transparent team of creative thinkers and builders passionate about helping companies connect and grow
 At Crunchbase, we value team members who are passionate and enthusiastic about what we're building here. We believe there is no "perfect" candidate, and want to encourage applying even if all the requirements listed aren’t met. If you're passionate about Crunchbase and looking to learn and grow, then we look forward to reviewing your application!
 Crunchbase does not discriminate on the basis of race, creed, color, ethnicity, national origin, religion, sex, sexual orientation, gender expression, age, height, weight, veteran status, military obligations, or marital status. We will consider for employment qualified applicants with arrest and conviction records. Every day our team is honored to work with entrepreneurs and innovators from every corner of the globe, and we aim to build a team that reflects the diversity of our customers. Each individual at Crunchbase brings their own perspectives, work experiences, lifestyles, and cultures with them, and we believe that a more diverse team creates more innovative products, provides a better service to its customers, and helps us all grow and learn as individuals.</t>
        </is>
      </c>
    </row>
    <row r="46">
      <c r="A46" t="inlineStr">
        <is>
          <t>li-4337269115</t>
        </is>
      </c>
      <c r="B46" t="inlineStr">
        <is>
          <t>Senior Data Scientist</t>
        </is>
      </c>
      <c r="C46" t="inlineStr">
        <is>
          <t>Crunchbase</t>
        </is>
      </c>
      <c r="D46" t="inlineStr">
        <is>
          <t>linkedin</t>
        </is>
      </c>
      <c r="E46" t="inlineStr"/>
      <c r="F46" t="inlineStr"/>
      <c r="G46" t="inlineStr">
        <is>
          <t>Florida, United States</t>
        </is>
      </c>
      <c r="H46" t="inlineStr"/>
      <c r="I46" t="inlineStr">
        <is>
          <t>**About Crunchbase**
 Crunchbase is a predictive solution that provides intelligence on private companies, powered by the unique combination of live private company data, AI, and market activity from over 80 million users. We predict private market movements that matter to help investors, dealmakers, and analysts make the right decisions.
 We are committed to fostering a positive, diverse, and inclusive culture by hiring for potential and embracing individuals with diverse perspectives, backgrounds, experiences, and skill sets. We value transparency and openness, believing that an inclusive environment strengthens our teams and enhances our products.
 Crunchbase has a remote\-first approach, and is open to hiring in residents of these states: California, Colorado, Illinois, Florida, Georgia, Massachusetts, Nevada, New Jersey, New York, North Carolina, Oregon, Pennsylvania, South Carolina, Texas, Virginia, Washington, and Maine.
 Our inclusive remote\-first culture, generous PTO policies, competitive pay, and employee wellness benefits set us apart!
**About The Role**
 As a Senior Data Scientist at Crunchbase, you will play a pivotal role in transforming our business vision into tangible features and actionable insights through the power of data. Your contributions will significantly influence the user experience, restructuring how our users engage with and derive value from our products. You'll work at the intersection of data science and product development, turning raw data into meaningful insights that drive business success.
 What You'll Do
* Utilize your expertise to enhance and optimize the Crunchbase insights engine, turning raw data into meaningful and actionable insights
* Collaborate closely with the product team to align data science efforts with business objectives and user needs
* Engage in all aspects of the feature delivery cycle, from ideation to production, ensuring seamless integration of data\-driven features into our products
* Work closely with internal partners to gather and refine requirements for data\-driven features
* Develop and implement statistical and machine learning models that address user queries and business questions, such as predicting potential investors in a given company
* Stay current with advancements in data science and machine learning to continuously improve model accuracy and relevance
* Collaborate with product managers, engineers, and other stakeholders to understand business problems and provide data\-driven solutions
* Collaborates cross\-functionally with Product, Engineering, and GTM teams to prioritize AI initiatives
* Actively engages in AI experimentation to drive innovation and efficiency
* Communicate complex findings and insights in a clear and understandable manner to both technical and non\-technical audiences
 Who You Are
* 4\+ years of experience in data science, with a focus on developing and deploying machine learning models.
* Excellent communication skills, capable of simplifying complex issues for effective collaboration
* Proven ability to understand products and deliver impactful features to drive business success
* Hands\-on experience and expertise in Python coding
* Familiarity with a range of analytics and big data tools (e.g., R, SQL, etc.)
* Passion for identifying patterns in data, showcasing strong analytical skills
* Proficient with Google Office Suite or related software
* Ideally, you have experience with recommendation systems and/or time series analysis
**Compensation Package**
 The salary range is $170,000 \- $190,000\. We also offer equity in the form of stock options on top of that as the total compensation package.
**What Crunchbase Offers**
 At Crunchbase, we’re building a culture where talented people can grow, innovate, and make an impact. We invest in our team so everyone has the support, tools, and trust to do meaningful work and thrive — personally and professionally.
**Here’s What You Can Expect**
* Competitive compensation and equity — rewarding you for your contributions and ownership mindset
* Remote\-first flexibility — work primarily from home within our list of approved states, with opportunities for in\-person collaboration
* Comprehensive health benefits for you and your family, including medical, dental, and vision coverage (PPO, HDHP, and HMO options)
* Continuous learning support through generous reimbursement for professional development and skills growth
* 401(k) and Roth plans with an annual financial adviser check\-in to help you plan your future
* Wellness resources — including a monthly stipend to support physical and mental health
* Work\-from\-home enablement — internet stipend and home office setup allowance
* Charitable giving match through our Town Hall awards and community impact initiatives
* A mission\-driven, transparent team of creative thinkers and builders passionate about helping companies connect and grow
 At Crunchbase, we value team members who are passionate and enthusiastic about what we're building here. We believe there is no "perfect" candidate, and want to encourage applying even if all the requirements listed aren’t met. If you're passionate about Crunchbase and looking to learn and grow, then we look forward to reviewing your application!
 Crunchbase does not discriminate on the basis of race, creed, color, ethnicity, national origin, religion, sex, sexual orientation, gender expression, age, height, weight, veteran status, military obligations, or marital status. We will consider for employment qualified applicants with arrest and conviction records. Every day our team is honored to work with entrepreneurs and innovators from every corner of the globe, and we aim to build a team that reflects the diversity of our customers. Each individual at Crunchbase brings their own perspectives, work experiences, lifestyles, and cultures with them, and we believe that a more diverse team creates more innovative products, provides a better service to its customers, and helps us all grow and learn as individuals.</t>
        </is>
      </c>
    </row>
    <row r="47">
      <c r="A47" t="inlineStr">
        <is>
          <t>li-4338550102</t>
        </is>
      </c>
      <c r="B47" t="inlineStr">
        <is>
          <t>Principal Applied Scientist, Sponsored Products and Brands</t>
        </is>
      </c>
      <c r="C47" t="inlineStr">
        <is>
          <t>Amazon</t>
        </is>
      </c>
      <c r="D47" t="inlineStr">
        <is>
          <t>linkedin</t>
        </is>
      </c>
      <c r="E47" t="inlineStr"/>
      <c r="F47" t="inlineStr"/>
      <c r="G47" t="inlineStr">
        <is>
          <t>New York, United States</t>
        </is>
      </c>
      <c r="H47" t="inlineStr"/>
      <c r="I47" t="inlineStr">
        <is>
          <t>**Description**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
**Basic Qualifications**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A3130855</t>
        </is>
      </c>
    </row>
    <row r="48">
      <c r="A48" t="inlineStr">
        <is>
          <t>li-4337259222</t>
        </is>
      </c>
      <c r="B48" t="inlineStr">
        <is>
          <t>Senior Data Scientist</t>
        </is>
      </c>
      <c r="C48" t="inlineStr">
        <is>
          <t>Crunchbase</t>
        </is>
      </c>
      <c r="D48" t="inlineStr">
        <is>
          <t>linkedin</t>
        </is>
      </c>
      <c r="E48" t="inlineStr"/>
      <c r="F48" t="inlineStr"/>
      <c r="G48" t="inlineStr">
        <is>
          <t>Massachusetts, United States</t>
        </is>
      </c>
      <c r="H48" t="inlineStr"/>
      <c r="I48" t="inlineStr">
        <is>
          <t>**About Crunchbase**
 Crunchbase is a predictive solution that provides intelligence on private companies, powered by the unique combination of live private company data, AI, and market activity from over 80 million users. We predict private market movements that matter to help investors, dealmakers, and analysts make the right decisions.
 We are committed to fostering a positive, diverse, and inclusive culture by hiring for potential and embracing individuals with diverse perspectives, backgrounds, experiences, and skill sets. We value transparency and openness, believing that an inclusive environment strengthens our teams and enhances our products.
 Crunchbase has a remote\-first approach, and is open to hiring in residents of these states: California, Colorado, Illinois, Florida, Georgia, Massachusetts, Nevada, New Jersey, New York, North Carolina, Oregon, Pennsylvania, South Carolina, Texas, Virginia, Washington, and Maine.
 Our inclusive remote\-first culture, generous PTO policies, competitive pay, and employee wellness benefits set us apart!
**About The Role**
 As a Senior Data Scientist at Crunchbase, you will play a pivotal role in transforming our business vision into tangible features and actionable insights through the power of data. Your contributions will significantly influence the user experience, restructuring how our users engage with and derive value from our products. You'll work at the intersection of data science and product development, turning raw data into meaningful insights that drive business success.
 What You'll Do
* Utilize your expertise to enhance and optimize the Crunchbase insights engine, turning raw data into meaningful and actionable insights
* Collaborate closely with the product team to align data science efforts with business objectives and user needs
* Engage in all aspects of the feature delivery cycle, from ideation to production, ensuring seamless integration of data\-driven features into our products
* Work closely with internal partners to gather and refine requirements for data\-driven features
* Develop and implement statistical and machine learning models that address user queries and business questions, such as predicting potential investors in a given company
* Stay current with advancements in data science and machine learning to continuously improve model accuracy and relevance
* Collaborate with product managers, engineers, and other stakeholders to understand business problems and provide data\-driven solutions
* Collaborates cross\-functionally with Product, Engineering, and GTM teams to prioritize AI initiatives
* Actively engages in AI experimentation to drive innovation and efficiency
* Communicate complex findings and insights in a clear and understandable manner to both technical and non\-technical audiences
 Who You Are
* 4\+ years of experience in data science, with a focus on developing and deploying machine learning models.
* Excellent communication skills, capable of simplifying complex issues for effective collaboration
* Proven ability to understand products and deliver impactful features to drive business success
* Hands\-on experience and expertise in Python coding
* Familiarity with a range of analytics and big data tools (e.g., R, SQL, etc.)
* Passion for identifying patterns in data, showcasing strong analytical skills
* Proficient with Google Office Suite or related software
* Ideally, you have experience with recommendation systems and/or time series analysis
**Compensation Package**
 The salary range is $170,000 \- $190,000\. We also offer equity in the form of stock options on top of that as the total compensation package.
**What Crunchbase Offers**
 At Crunchbase, we’re building a culture where talented people can grow, innovate, and make an impact. We invest in our team so everyone has the support, tools, and trust to do meaningful work and thrive — personally and professionally.
**Here’s What You Can Expect**
* Competitive compensation and equity — rewarding you for your contributions and ownership mindset
* Remote\-first flexibility — work primarily from home within our list of approved states, with opportunities for in\-person collaboration
* Comprehensive health benefits for you and your family, including medical, dental, and vision coverage (PPO, HDHP, and HMO options)
* Continuous learning support through generous reimbursement for professional development and skills growth
* 401(k) and Roth plans with an annual financial adviser check\-in to help you plan your future
* Wellness resources — including a monthly stipend to support physical and mental health
* Work\-from\-home enablement — internet stipend and home office setup allowance
* Charitable giving match through our Town Hall awards and community impact initiatives
* A mission\-driven, transparent team of creative thinkers and builders passionate about helping companies connect and grow
 At Crunchbase, we value team members who are passionate and enthusiastic about what we're building here. We believe there is no "perfect" candidate, and want to encourage applying even if all the requirements listed aren’t met. If you're passionate about Crunchbase and looking to learn and grow, then we look forward to reviewing your application!
 Crunchbase does not discriminate on the basis of race, creed, color, ethnicity, national origin, religion, sex, sexual orientation, gender expression, age, height, weight, veteran status, military obligations, or marital status. We will consider for employment qualified applicants with arrest and conviction records. Every day our team is honored to work with entrepreneurs and innovators from every corner of the globe, and we aim to build a team that reflects the diversity of our customers. Each individual at Crunchbase brings their own perspectives, work experiences, lifestyles, and cultures with them, and we believe that a more diverse team creates more innovative products, provides a better service to its customers, and helps us all grow and learn as individuals.</t>
        </is>
      </c>
    </row>
    <row r="49">
      <c r="A49" t="inlineStr">
        <is>
          <t>li-4337199476</t>
        </is>
      </c>
      <c r="B49" t="inlineStr">
        <is>
          <t>Senior Data Scientist</t>
        </is>
      </c>
      <c r="C49" t="inlineStr">
        <is>
          <t>Crunchbase</t>
        </is>
      </c>
      <c r="D49" t="inlineStr">
        <is>
          <t>linkedin</t>
        </is>
      </c>
      <c r="E49" t="inlineStr"/>
      <c r="F49" t="inlineStr"/>
      <c r="G49" t="inlineStr">
        <is>
          <t>Colorado, United States</t>
        </is>
      </c>
      <c r="H49" t="inlineStr"/>
      <c r="I49" t="inlineStr">
        <is>
          <t>**About Crunchbase**
 Crunchbase is a predictive solution that provides intelligence on private companies, powered by the unique combination of live private company data, AI, and market activity from over 80 million users. We predict private market movements that matter to help investors, dealmakers, and analysts make the right decisions.
 We are committed to fostering a positive, diverse, and inclusive culture by hiring for potential and embracing individuals with diverse perspectives, backgrounds, experiences, and skill sets. We value transparency and openness, believing that an inclusive environment strengthens our teams and enhances our products.
 Crunchbase has a remote\-first approach, and is open to hiring in residents of these states: California, Colorado, Illinois, Florida, Georgia, Massachusetts, Nevada, New Jersey, New York, North Carolina, Oregon, Pennsylvania, South Carolina, Texas, Virginia, Washington, and Maine.
 Our inclusive remote\-first culture, generous PTO policies, competitive pay, and employee wellness benefits set us apart!
**About The Role**
 As a Senior Data Scientist at Crunchbase, you will play a pivotal role in transforming our business vision into tangible features and actionable insights through the power of data. Your contributions will significantly influence the user experience, restructuring how our users engage with and derive value from our products. You'll work at the intersection of data science and product development, turning raw data into meaningful insights that drive business success.
 What You'll Do
* Utilize your expertise to enhance and optimize the Crunchbase insights engine, turning raw data into meaningful and actionable insights
* Collaborate closely with the product team to align data science efforts with business objectives and user needs
* Engage in all aspects of the feature delivery cycle, from ideation to production, ensuring seamless integration of data\-driven features into our products
* Work closely with internal partners to gather and refine requirements for data\-driven features
* Develop and implement statistical and machine learning models that address user queries and business questions, such as predicting potential investors in a given company
* Stay current with advancements in data science and machine learning to continuously improve model accuracy and relevance
* Collaborate with product managers, engineers, and other stakeholders to understand business problems and provide data\-driven solutions
* Collaborates cross\-functionally with Product, Engineering, and GTM teams to prioritize AI initiatives
* Actively engages in AI experimentation to drive innovation and efficiency
* Communicate complex findings and insights in a clear and understandable manner to both technical and non\-technical audiences
 Who You Are
* 4\+ years of experience in data science, with a focus on developing and deploying machine learning models.
* Excellent communication skills, capable of simplifying complex issues for effective collaboration
* Proven ability to understand products and deliver impactful features to drive business success
* Hands\-on experience and expertise in Python coding
* Familiarity with a range of analytics and big data tools (e.g., R, SQL, etc.)
* Passion for identifying patterns in data, showcasing strong analytical skills
* Proficient with Google Office Suite or related software
* Ideally, you have experience with recommendation systems and/or time series analysis
**Compensation Package**
 The salary range is $170,000 \- $190,000\. We also offer equity in the form of stock options on top of that as the total compensation package.
**What Crunchbase Offers**
 At Crunchbase, we’re building a culture where talented people can grow, innovate, and make an impact. We invest in our team so everyone has the support, tools, and trust to do meaningful work and thrive — personally and professionally.
**Here’s What You Can Expect**
* Competitive compensation and equity — rewarding you for your contributions and ownership mindset
* Remote\-first flexibility — work primarily from home within our list of approved states, with opportunities for in\-person collaboration
* Comprehensive health benefits for you and your family, including medical, dental, and vision coverage (PPO, HDHP, and HMO options)
* Continuous learning support through generous reimbursement for professional development and skills growth
* 401(k) and Roth plans with an annual financial adviser check\-in to help you plan your future
* Wellness resources — including a monthly stipend to support physical and mental health
* Work\-from\-home enablement — internet stipend and home office setup allowance
* Charitable giving match through our Town Hall awards and community impact initiatives
* A mission\-driven, transparent team of creative thinkers and builders passionate about helping companies connect and grow
 At Crunchbase, we value team members who are passionate and enthusiastic about what we're building here. We believe there is no "perfect" candidate, and want to encourage applying even if all the requirements listed aren’t met. If you're passionate about Crunchbase and looking to learn and grow, then we look forward to reviewing your application!
 Crunchbase does not discriminate on the basis of race, creed, color, ethnicity, national origin, religion, sex, sexual orientation, gender expression, age, height, weight, veteran status, military obligations, or marital status. We will consider for employment qualified applicants with arrest and conviction records. Every day our team is honored to work with entrepreneurs and innovators from every corner of the globe, and we aim to build a team that reflects the diversity of our customers. Each individual at Crunchbase brings their own perspectives, work experiences, lifestyles, and cultures with them, and we believe that a more diverse team creates more innovative products, provides a better service to its customers, and helps us all grow and learn as individuals.</t>
        </is>
      </c>
    </row>
    <row r="50">
      <c r="A50" t="inlineStr">
        <is>
          <t>li-4337109707</t>
        </is>
      </c>
      <c r="B50" t="inlineStr">
        <is>
          <t>Senior Data Scientist</t>
        </is>
      </c>
      <c r="C50" t="inlineStr">
        <is>
          <t>Crunchbase</t>
        </is>
      </c>
      <c r="D50" t="inlineStr">
        <is>
          <t>linkedin</t>
        </is>
      </c>
      <c r="E50" t="inlineStr"/>
      <c r="F50" t="inlineStr"/>
      <c r="G50" t="inlineStr">
        <is>
          <t>Illinois, United States</t>
        </is>
      </c>
      <c r="H50" t="inlineStr"/>
      <c r="I50" t="inlineStr">
        <is>
          <t>**About Crunchbase**
 Crunchbase is a predictive solution that provides intelligence on private companies, powered by the unique combination of live private company data, AI, and market activity from over 80 million users. We predict private market movements that matter to help investors, dealmakers, and analysts make the right decisions.
 We are committed to fostering a positive, diverse, and inclusive culture by hiring for potential and embracing individuals with diverse perspectives, backgrounds, experiences, and skill sets. We value transparency and openness, believing that an inclusive environment strengthens our teams and enhances our products.
 Crunchbase has a remote\-first approach, and is open to hiring in residents of these states: California, Colorado, Illinois, Florida, Georgia, Massachusetts, Nevada, New Jersey, New York, North Carolina, Oregon, Pennsylvania, South Carolina, Texas, Virginia, Washington, and Maine.
 Our inclusive remote\-first culture, generous PTO policies, competitive pay, and employee wellness benefits set us apart!
**About The Role**
 As a Senior Data Scientist at Crunchbase, you will play a pivotal role in transforming our business vision into tangible features and actionable insights through the power of data. Your contributions will significantly influence the user experience, restructuring how our users engage with and derive value from our products. You'll work at the intersection of data science and product development, turning raw data into meaningful insights that drive business success.
 What You'll Do
* Utilize your expertise to enhance and optimize the Crunchbase insights engine, turning raw data into meaningful and actionable insights
* Collaborate closely with the product team to align data science efforts with business objectives and user needs
* Engage in all aspects of the feature delivery cycle, from ideation to production, ensuring seamless integration of data\-driven features into our products
* Work closely with internal partners to gather and refine requirements for data\-driven features
* Develop and implement statistical and machine learning models that address user queries and business questions, such as predicting potential investors in a given company
* Stay current with advancements in data science and machine learning to continuously improve model accuracy and relevance
* Collaborate with product managers, engineers, and other stakeholders to understand business problems and provide data\-driven solutions
* Collaborates cross\-functionally with Product, Engineering, and GTM teams to prioritize AI initiatives
* Actively engages in AI experimentation to drive innovation and efficiency
* Communicate complex findings and insights in a clear and understandable manner to both technical and non\-technical audiences
 Who You Are
* 4\+ years of experience in data science, with a focus on developing and deploying machine learning models.
* Excellent communication skills, capable of simplifying complex issues for effective collaboration
* Proven ability to understand products and deliver impactful features to drive business success
* Hands\-on experience and expertise in Python coding
* Familiarity with a range of analytics and big data tools (e.g., R, SQL, etc.)
* Passion for identifying patterns in data, showcasing strong analytical skills
* Proficient with Google Office Suite or related software
* Ideally, you have experience with recommendation systems and/or time series analysis
**Compensation Package**
 The salary range is $170,000 \- $190,000\. We also offer equity in the form of stock options on top of that as the total compensation package.
**What Crunchbase Offers**
 At Crunchbase, we’re building a culture where talented people can grow, innovate, and make an impact. We invest in our team so everyone has the support, tools, and trust to do meaningful work and thrive — personally and professionally.
**Here’s What You Can Expect**
* Competitive compensation and equity — rewarding you for your contributions and ownership mindset
* Remote\-first flexibility — work primarily from home within our list of approved states, with opportunities for in\-person collaboration
* Comprehensive health benefits for you and your family, including medical, dental, and vision coverage (PPO, HDHP, and HMO options)
* Continuous learning support through generous reimbursement for professional development and skills growth
* 401(k) and Roth plans with an annual financial adviser check\-in to help you plan your future
* Wellness resources — including a monthly stipend to support physical and mental health
* Work\-from\-home enablement — internet stipend and home office setup allowance
* Charitable giving match through our Town Hall awards and community impact initiatives
* A mission\-driven, transparent team of creative thinkers and builders passionate about helping companies connect and grow
 At Crunchbase, we value team members who are passionate and enthusiastic about what we're building here. We believe there is no "perfect" candidate, and want to encourage applying even if all the requirements listed aren’t met. If you're passionate about Crunchbase and looking to learn and grow, then we look forward to reviewing your application!
 Crunchbase does not discriminate on the basis of race, creed, color, ethnicity, national origin, religion, sex, sexual orientation, gender expression, age, height, weight, veteran status, military obligations, or marital status. We will consider for employment qualified applicants with arrest and conviction records. Every day our team is honored to work with entrepreneurs and innovators from every corner of the globe, and we aim to build a team that reflects the diversity of our customers. Each individual at Crunchbase brings their own perspectives, work experiences, lifestyles, and cultures with them, and we believe that a more diverse team creates more innovative products, provides a better service to its customers, and helps us all grow and learn as individuals.</t>
        </is>
      </c>
    </row>
    <row r="51">
      <c r="A51" t="inlineStr">
        <is>
          <t>li-4338560091</t>
        </is>
      </c>
      <c r="B51" t="inlineStr">
        <is>
          <t>Principal Applied Scientist, Sponsored Products and Brands</t>
        </is>
      </c>
      <c r="C51" t="inlineStr">
        <is>
          <t>Amazon</t>
        </is>
      </c>
      <c r="D51" t="inlineStr">
        <is>
          <t>linkedin</t>
        </is>
      </c>
      <c r="E51" t="inlineStr"/>
      <c r="F51" t="inlineStr"/>
      <c r="G51" t="inlineStr">
        <is>
          <t>Seattle, WA</t>
        </is>
      </c>
      <c r="H51" t="inlineStr"/>
      <c r="I51" t="inlineStr">
        <is>
          <t>**Description**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
**Basic Qualifications**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A3130855</t>
        </is>
      </c>
    </row>
    <row r="52">
      <c r="A52" t="inlineStr">
        <is>
          <t>li-4337169652</t>
        </is>
      </c>
      <c r="B52" t="inlineStr">
        <is>
          <t>Senior Data Scientist</t>
        </is>
      </c>
      <c r="C52" t="inlineStr">
        <is>
          <t>Crunchbase</t>
        </is>
      </c>
      <c r="D52" t="inlineStr">
        <is>
          <t>linkedin</t>
        </is>
      </c>
      <c r="E52" t="inlineStr"/>
      <c r="F52" t="inlineStr"/>
      <c r="G52" t="inlineStr">
        <is>
          <t>Maine, United States</t>
        </is>
      </c>
      <c r="H52" t="inlineStr"/>
      <c r="I52" t="inlineStr">
        <is>
          <t>**About Crunchbase**
 Crunchbase is a predictive solution that provides intelligence on private companies, powered by the unique combination of live private company data, AI, and market activity from over 80 million users. We predict private market movements that matter to help investors, dealmakers, and analysts make the right decisions.
 We are committed to fostering a positive, diverse, and inclusive culture by hiring for potential and embracing individuals with diverse perspectives, backgrounds, experiences, and skill sets. We value transparency and openness, believing that an inclusive environment strengthens our teams and enhances our products.
 Crunchbase has a remote\-first approach, and is open to hiring in residents of these states: California, Colorado, Illinois, Florida, Georgia, Massachusetts, Nevada, New Jersey, New York, North Carolina, Oregon, Pennsylvania, South Carolina, Texas, Virginia, Washington, and Maine.
 Our inclusive remote\-first culture, generous PTO policies, competitive pay, and employee wellness benefits set us apart!
**About The Role**
 As a Senior Data Scientist at Crunchbase, you will play a pivotal role in transforming our business vision into tangible features and actionable insights through the power of data. Your contributions will significantly influence the user experience, restructuring how our users engage with and derive value from our products. You'll work at the intersection of data science and product development, turning raw data into meaningful insights that drive business success.
 What You'll Do
* Utilize your expertise to enhance and optimize the Crunchbase insights engine, turning raw data into meaningful and actionable insights
* Collaborate closely with the product team to align data science efforts with business objectives and user needs
* Engage in all aspects of the feature delivery cycle, from ideation to production, ensuring seamless integration of data\-driven features into our products
* Work closely with internal partners to gather and refine requirements for data\-driven features
* Develop and implement statistical and machine learning models that address user queries and business questions, such as predicting potential investors in a given company
* Stay current with advancements in data science and machine learning to continuously improve model accuracy and relevance
* Collaborate with product managers, engineers, and other stakeholders to understand business problems and provide data\-driven solutions
* Collaborates cross\-functionally with Product, Engineering, and GTM teams to prioritize AI initiatives
* Actively engages in AI experimentation to drive innovation and efficiency
* Communicate complex findings and insights in a clear and understandable manner to both technical and non\-technical audiences
 Who You Are
* 4\+ years of experience in data science, with a focus on developing and deploying machine learning models.
* Excellent communication skills, capable of simplifying complex issues for effective collaboration
* Proven ability to understand products and deliver impactful features to drive business success
* Hands\-on experience and expertise in Python coding
* Familiarity with a range of analytics and big data tools (e.g., R, SQL, etc.)
* Passion for identifying patterns in data, showcasing strong analytical skills
* Proficient with Google Office Suite or related software
* Ideally, you have experience with recommendation systems and/or time series analysis
**Compensation Package**
 The salary range is $170,000 \- $190,000\. We also offer equity in the form of stock options on top of that as the total compensation package.
**What Crunchbase Offers**
 At Crunchbase, we’re building a culture where talented people can grow, innovate, and make an impact. We invest in our team so everyone has the support, tools, and trust to do meaningful work and thrive — personally and professionally.
**Here’s What You Can Expect**
* Competitive compensation and equity — rewarding you for your contributions and ownership mindset
* Remote\-first flexibility — work primarily from home within our list of approved states, with opportunities for in\-person collaboration
* Comprehensive health benefits for you and your family, including medical, dental, and vision coverage (PPO, HDHP, and HMO options)
* Continuous learning support through generous reimbursement for professional development and skills growth
* 401(k) and Roth plans with an annual financial adviser check\-in to help you plan your future
* Wellness resources — including a monthly stipend to support physical and mental health
* Work\-from\-home enablement — internet stipend and home office setup allowance
* Charitable giving match through our Town Hall awards and community impact initiatives
* A mission\-driven, transparent team of creative thinkers and builders passionate about helping companies connect and grow
 At Crunchbase, we value team members who are passionate and enthusiastic about what we're building here. We believe there is no "perfect" candidate, and want to encourage applying even if all the requirements listed aren’t met. If you're passionate about Crunchbase and looking to learn and grow, then we look forward to reviewing your application!
 Crunchbase does not discriminate on the basis of race, creed, color, ethnicity, national origin, religion, sex, sexual orientation, gender expression, age, height, weight, veteran status, military obligations, or marital status. We will consider for employment qualified applicants with arrest and conviction records. Every day our team is honored to work with entrepreneurs and innovators from every corner of the globe, and we aim to build a team that reflects the diversity of our customers. Each individual at Crunchbase brings their own perspectives, work experiences, lifestyles, and cultures with them, and we believe that a more diverse team creates more innovative products, provides a better service to its customers, and helps us all grow and learn as individuals.</t>
        </is>
      </c>
    </row>
    <row r="53">
      <c r="A53" t="inlineStr">
        <is>
          <t>li-4244549600</t>
        </is>
      </c>
      <c r="B53" t="inlineStr">
        <is>
          <t>Senior Data Scientist, Specialist Senior - SFL Scientific</t>
        </is>
      </c>
      <c r="C53" t="inlineStr">
        <is>
          <t>Deloitte</t>
        </is>
      </c>
      <c r="D53" t="inlineStr">
        <is>
          <t>linkedin</t>
        </is>
      </c>
      <c r="E53" t="inlineStr"/>
      <c r="F53" t="inlineStr"/>
      <c r="G53" t="inlineStr">
        <is>
          <t>San Jose, CA</t>
        </is>
      </c>
      <c r="H53" t="inlineStr"/>
      <c r="I53" t="inlineStr">
        <is>
          <t>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business design and transformation, infrastructure and real estate, mergers and acquisitions (M\&amp;A), and sustainability. Work alongside clients every step of the way, helping them navigate new challenges, avoid financial pitfalls, and provide practical solutions at every stage of their journey\-before, during, and after any major transformational projects or transactions.
 SFL Scientific, a Deloitte Business, is a U.S. based, data science consulting firm specializing in building industry\-specific, artificial intelligence (AI) technologies.
 We are hiring a Senior Data Scientist to collaborate directly with clients to design and develop novel projects and solutions. Join a rapidly growing team of professionals working to build a world\-class data science practice focused on solving complex and R\&amp;D problems.
 Recruiting for this role ends on 2/28/2026\.
**Work You'll Do**
 As a Senior Data Scientist at SFL Scientific, a Deloitte Business, you will define data strategy, drive technical development, and help us create the next generation of tools, products, and AI services. You will work closely with clients to understand their data sets, strategy, and operational requirements, in order to drive exploratory analysis and design long\-term solutions.
 Working with a team of interdisciplinary data scientists, engineers, architects, and consultants, our work includes novel areas such as cancer detection, drug discovery, optimizing population health and clinical trials, autonomous systems and edge AI, agentic solutions, and consumer product innovation. Join us to expand your technical career through the lens of consulting and work on novel projects and use cases to expand your data science \&amp; AI skills.
* Guide clients with high autonomy in AI strategy and development, including understanding organizational needs, performing exploratory data analysis, building and validating models, and deploying models into production
* Lead client initiatives to deliver AI/ML solutions, including providing thought leadership, long\-term maintenance, and AI strategy objectives
* Research and implement novel machine learning approaches, including advancing state of the art training, solution design, network design, and hardware optimization
* Validate AI models and algorithm via code reviews, unit, and integration tests
* Support prioritization of project performance and model development and ensure AI solutions are delivered to maximize business impact and new initiatives
* Collaborate with data engineers, data scientists, project managers, and business teams to make sure delivery and presentations align with business objectives
**The Team**
 Our Strategy offering architects bold strategies to achieve business and mission goals, enabling growth, competitive advantage, technology modernization, and continuous digital and AI transformation.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**Qualifications:**
* Master's or Ph.D. in a relevant STEM field (Data Science, Computer Science, Engineering, Physics, Mathematics, etc.)
* 3\+ years of experience in AI/ML algorithm development using core data science languages and frameworks (Python, PyTorch, etc.) and data analysis (NLP, time\-series analysis, computer vision)
* 3\+ years of experience and a proven track record applying traditional ML and deep learning techniques (CNNs, RNNs, GANs) across real\-world projects, including model tuning and performance validation in production environments
* 3\+ years of experience deploying and optimizing ML models using tools like Kubernetes, Docker, TensorRT/Trion, RAPIDs, Kubeflow, and MLflow
* 3\+ years of experience in leveraging cloud environments (AWS, Azure, or GCP) to deploy AI/ML workloads
* Live within commuting distance to one of Deloitte's consulting offices
* Ability to travel 10%, on average, based on the work you do and the clients and industries/sectors you serve
* Limited immigration sponsorship may be available
**Preferred:**
* 2\+ years of experience working in a client\-facing, consulting environment
* 2\+ years of experience leading project/client engagement teams in the execution of complex AI data science solutions
* 1\+ year of experience with LLM/GenAI use cases and developing RAG solutions, tools, and services (i.e., LangChain, LangGraph, MCP, etc.)
* 1\+ year of experience with AWS Sagemaker or AWS ML Studio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\#MonitorDeloitte
 \#DeloitteJobs
 \#StrategyConsulting
 \#DeloitteStrategy
 \#Strategy26
 \#SFL26</t>
        </is>
      </c>
    </row>
    <row r="54">
      <c r="A54" t="inlineStr">
        <is>
          <t>li-4373504088</t>
        </is>
      </c>
      <c r="B54" t="inlineStr">
        <is>
          <t>Data Scientist</t>
        </is>
      </c>
      <c r="C54" t="inlineStr">
        <is>
          <t>Wiraa</t>
        </is>
      </c>
      <c r="D54" t="inlineStr">
        <is>
          <t>linkedin</t>
        </is>
      </c>
      <c r="E54" t="inlineStr"/>
      <c r="F54" t="inlineStr"/>
      <c r="G54" t="inlineStr"/>
      <c r="H54" t="inlineStr"/>
      <c r="I54" t="inlineStr">
        <is>
          <t>**About The Company**
 Information Technology Solutions (ITS) at the University of California, Riverside, is dedicated to providing innovative and comprehensive technological services to support the university's mission of education, research, and community engagement. Committed to fostering a dynamic and inclusive environment, ITS leverages cutting\-edge technologies to enhance the experience of students, faculty, and staff. Our team is passionate about developing solutions that address complex challenges, promote efficiency, and enable the university to stay at the forefront of academic excellence and technological advancement.
**About The Role**
 We are seeking a curious, self\-motivated Junior Data Scientist to join our dynamic team. In this role, you will play a vital part in leveraging data to improve various aspects of university operations and experiences. Unlike traditional scripting roles, this position involves engaging with the full lifecycle of machine learning projects—from initial data discovery and model development to deployment and ongoing maintenance using Google Vertex AI. Additionally, you will be involved in building agentic AI systems utilizing Google ADK and deploying intelligent agents via Gemini Enterprise. This role offers an exciting opportunity to work on innovative AI initiatives that directly impact the university community.
**Qualifications**
* Bachelor’s degree in Computer Science, Data Science, Statistics, or a related field
* Experience with machine learning frameworks and libraries (e.g., TensorFlow, scikit\-learn)
* Proficiency in programming languages such as Python or R
* Familiarity with cloud platforms, particularly Google Cloud Platform (GCP) and Google Vertex AI
* Knowledge of data discovery, data cleaning, and feature engineering techniques
* Experience with deploying and maintaining machine learning models in production environments
* Understanding of AI agent development and deployment, especially using Google ADK and Gemini Enterprise
* Strong analytical, problem\-solving, and communication skills
* Ability to work independently and collaboratively in a dynamic environment
**Responsibilities**
* Manage the full machine learning lifecycle, including data discovery, model development, deployment, and maintenance using Google Vertex AI
* Develop and refine machine learning models to address university\-specific challenges and opportunities
* Build agentic AI systems utilizing Google ADK and deploy intelligent agents through Gemini Enterprise
* Collaborate with stakeholders across departments to identify data\-driven solutions and translate requirements into technical implementations
* Refine ambiguous problems into clear, actionable technical solutions in a fast\-paced environment
* Monitor, evaluate, and improve the performance of deployed models and AI agents
* Stay current with emerging trends in AI and machine learning to continuously enhance project outcomes
* Document processes, models, and system architectures to ensure maintainability and knowledge sharing
**Benefits**
* Competitive hourly salary ranging from $30\.13 to $52\.73, with an initial pay scale up to $38\.31 per hour
* Opportunity to work on innovative AI projects impacting the university community
* Flexible remote work arrangement with occasional on\-campus visits
* Professional development opportunities and exposure to cutting\-edge technologies
* Supportive work environment promoting innovation and continuous learning
 Equal Opportunity
 The University of California, Riverside, is an Equal Opportunity/Affirmative Action employer committed to excellence through diversity. All qualified applicants will receive consideration for employment without regard to race, color, religion, sex, sexual orientation, gender identity, national origin, age, disability, protected veteran status, or any other characteristic protected by law. We encourage individuals from underrepresented groups to apply and join our inclusive community.</t>
        </is>
      </c>
    </row>
    <row r="55">
      <c r="A55" t="inlineStr">
        <is>
          <t>li-4372341558</t>
        </is>
      </c>
      <c r="B55" t="inlineStr">
        <is>
          <t>Data Scientist I</t>
        </is>
      </c>
      <c r="C55" t="inlineStr">
        <is>
          <t>RemoteHunter</t>
        </is>
      </c>
      <c r="D55" t="inlineStr">
        <is>
          <t>linkedin</t>
        </is>
      </c>
      <c r="E55" t="inlineStr"/>
      <c r="F55" t="inlineStr"/>
      <c r="G55" t="inlineStr"/>
      <c r="H55" t="inlineStr"/>
      <c r="I55" t="inlineStr">
        <is>
          <t>About the Opportunity:
 This role involves developing predictive models and algorithms to automate critical business functions. The focus is on exploring and analyzing data from multiple sources to gain insights that provide a competitive advantage.
 Responsibilities:
 • Develop, implement, and validate predictive and statistical models
 • Analyze data from various sources to extract meaningful insights
 • Manage the full modeling life cycle, including data cleansing, feature creation, and iterative model selection
 • Apply statistics, modeling, and machine learning to enhance system efficiency and algorithm relevance
 • Participate in Agile ceremonies such as daily scrum, refinement, sprint planning, and retrospectives
 • Recommend process improvements
 • Follow safety guidelines and participate in pre\-task planning
 • Report safety concerns to management
 • Maintain quality standards across projects
 Requirements:
 • Bachelor’s degree in statistics, mathematics, economics, computer science, or related technical discipline plus 3 years of relevant experience, or 7 years of related experience without a degree
 • Experience with statistics, machine learning, algorithm development, predictive modeling, and advanced mathematics
 • Proficiency in programming languages
 • Valid driver’s license with acceptable violation history
 Benefits \&amp; Perks:
 • Medical, dental, and vision insurance
 • Life insurance
 • 401(k) plan
 • Paid time off and holidays
 • Education reimbursement
 • Various bonus programs
 Employment Type:
 Regular, Full Time
 Exempt
 Service Line:
 Office Management/Administration
 Location:
 Olathe, KS (Remote Only)
 Job Category:
 IT
 Job Expires:
 28\-Jan\-2026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6">
      <c r="A56" t="inlineStr">
        <is>
          <t>li-4338449406</t>
        </is>
      </c>
      <c r="B56" t="inlineStr">
        <is>
          <t>Staff Data Scientist, Marketplace</t>
        </is>
      </c>
      <c r="C56" t="inlineStr">
        <is>
          <t>Airbnb</t>
        </is>
      </c>
      <c r="D56" t="inlineStr">
        <is>
          <t>linkedin</t>
        </is>
      </c>
      <c r="E56" t="inlineStr"/>
      <c r="F56" t="inlineStr"/>
      <c r="G56" t="inlineStr"/>
      <c r="H56" t="inlineStr"/>
      <c r="I56"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You will join a team dedicated to driving innovation and optimizing our dynamic Marketplace. As a member of the Marketplace Data Science team, you will tackle challenges at the core of our business, including pricing, supply management, and fee strategies. Collaborating with leaders across the company, you will play a key role in shaping the future of our marketplace.
**The Difference You Will Make**
 As a Staff Data Scientist, you will be responsible for building data products, inference frameworks, and intelligence to enable the growth of our marketplace. Your work will include:
* Specifying and estimating models to determine the impact of supply and demand on marketplace outcomes
* Delivering data and insights to enable the company’s supply growth efforts
* Providing mentorship to other data scientists and exemplifying a high bar for technical excellence
**A Typical Day**
* Crafting models: You will develop models to accurately forecast key marketplace metrics, enabling proactive decision\-making and strategic planning.
* Advanced causal inference: Utilizing cutting\-edge causal inference techniques, you will quantify the impact of changes in supply and demand on the marketplace, informing targeted improvements and interventions.
* Cross\-functional collaboration: You will actively collaborate with teams across product, engineering, and operations to integrate data science insights into initiatives aimed at enhancing supply acquisition, retention, and success.
* Stakeholder engagement: You will engage with stakeholders to understand their business objectives and provide data\-driven solutions tailored to these goals.
**Your Expertise**
* 9\+ years of relevant industry experience and a Master’s degree or PhD in a quantitative field
* Strong fluency in Python or R for hands\-on IC work and SQL for advanced data analysis at scale
* Experience with causal inference and machine learning techniques, ideally in a multi\-sided platform setting
* Proven ability to succeed in collaborative environments with cross\-functional stakeholders and also in independent work environments
* Proven ability to communicate clearly and effectively to audiences of varying technical levels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$194,000—$240,000 USD</t>
        </is>
      </c>
    </row>
    <row r="57">
      <c r="A57" t="inlineStr">
        <is>
          <t>li-4373510029</t>
        </is>
      </c>
      <c r="B57" t="inlineStr">
        <is>
          <t>Data Scientist</t>
        </is>
      </c>
      <c r="C57" t="inlineStr">
        <is>
          <t>SteerBridge</t>
        </is>
      </c>
      <c r="D57" t="inlineStr">
        <is>
          <t>linkedin</t>
        </is>
      </c>
      <c r="E57" t="inlineStr"/>
      <c r="F57" t="inlineStr"/>
      <c r="G57" t="inlineStr">
        <is>
          <t>Vienna, VA</t>
        </is>
      </c>
      <c r="H57" t="inlineStr"/>
      <c r="I57" t="inlineStr">
        <is>
          <t>**SteerBridge Strategies is a modern technology company delivering innovative, mission‑focused solutions to the U.S. Government and private sector.** 
 Leveraging deep expertise in federal acquisition, digital transformation, and emerging technologies, we deliver agile, commercial‑grade capabilities that accelerate operational effectiveness and drive measurable mission success.At the core of SteerBridge is our people—especially the veterans whose leadership, problem‑solving mindset, and commitment to excellence elevate every project we support. We don’t simply hire exceptional talent;
 **we cultivate it** 
 , creating meaningful career pathways for veterans, military spouses, and professionals who share our passion for advancing technology and strengthening the missions we serve.
 SteerBridge is looking for a Data Scientist to evaluate multi\-dimensional USMC C130 global supplychain and operational data to construct and maintain predictive models. Candidates must befamiliar with multiple types of data models including, but not limited to, generalized linearand multilinear regression, logistic and multinomial regression, and time series analysis.Candidates must have hand\-on experience with supervised (classification, regression)and unsupervised learning (clustering, dimension reduction).The Data Scientist must be prepared to dive deep into disparate data from multiple sources inmultiple formats in order to integrate and evaluate to determine the most appropriate modelingapproach. The Data Scientist will be responsible for leading end\-to\-end analytical models anddata science framing activities, including but not limited to working with partners to identify fields,data provenance and integration, data quality assessments, and documentation of dataprocesses and models.The Data Scientist must be able to review and understand large sets of data while being able tohighlight relevant trends and patterns. The ideal candidate is a quick learner, curious, innovative,results\-oriented and has strong interpersonal skills.Benefits
* Health insurance
* Dental insurance
* Vision insurance
* Life Insurance
* 401(k) Retirement Plan with matching
* Paid Time Off
* Paid Federal Holidays
 Qualifications
* Must be a U.S. Citizen.
* MSc or PhD degree in applied mathematics, statistics, or relevant work experience.
* An active security clearance or the ability to obtain one is required.
* Collaborate with various stakeholders to understand requirements and translate those requirements into data science solutions.
* Provide guidance on best practices and industry standards across data science and analytics, data visualization, and share expertise to improve technical capabilities of the team.
* Design, develop, and integrate templates, data, and models for repeatability.
* Develop and implement data quality assurance and management protocols.
* Create, maintain, and organize technical documentation for all data collection, cleaning, and analyses.
* RAG, Embedding, Vector DB, hugging face transformer, BERT, BART, LLMs
 Required and Preferred Skillsets
* Must be familiar with multiple types of data models including, but not limited to, generalized linear and multilinear regression, logistic and multinomial regression, and time series analysis.
* Must have hand\-on experience with supervised (classification, regression) and unsupervised learning (clustering, dimension reduction).
* 3\+ years of experience evaluating relationships in data using statistical modeling and leveraging analytics tools.
* 3\+ years of experience in advanced Classification and Regression modeling.
* 3\+ years of professional proficiency using R, or Python for data wrangling and model building.
* Experience in SQL or Spark SQL, and basic database design.
* Cloud project work using Google, AWS and/or Azure.
* Demonstrated high proficiency in statistical analysis and data visualization.
* Demonstrated high proficiency in data wrangling and documentation.
* Solid technical skills across a wide variety of tools and data platforms.
* Able to successfully prioritize and manage multiple project tasks simultaneously and complete them in a timely manner with a high degree of accuracy.
* Strong record of applied data analysis.
* Excellent writing and presentation skills with a successful track record of communicating complex concepts to diverse audiences.
 Preferred:(Highly preferred) AWS or Google Cloud Professional or Specialty Certification or ability to obtain certification.Top Secret security clearance.Experience with supply chain management data systems and technology is desirable (e.g., ERP, Transportation Management and Warehouse Management systems).Experience supporting DoD and/or VA missions.Proficiency in integrating and interfacing with software development processes.Consulting experience.$137,000 \- $155,000 a yearA salary commensurate with background and experience will be offered.
 **SteerBridge Strategies is proud to be an Equal Opportunity Employer.** 
 We are committed to creating a diverse and inclusive workplace where all qualified applicants and employees are treated with respect and dignity—regardless of race, color, gender, age, religion, national origin, ancestry, disability, veteran status, genetic information, sexual orientation, or any other characteristic protected by law.We also provide reasonable accommodations for individuals with disabilities in accordance with applicable laws. If you require assistance during the application process, we encourage you to reach out so we can support your needs.We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8">
      <c r="A58" t="inlineStr">
        <is>
          <t>li-4373504300</t>
        </is>
      </c>
      <c r="B58" t="inlineStr">
        <is>
          <t>Data Scientist</t>
        </is>
      </c>
      <c r="C58" t="inlineStr">
        <is>
          <t>Best Job Tool</t>
        </is>
      </c>
      <c r="D58" t="inlineStr">
        <is>
          <t>linkedin</t>
        </is>
      </c>
      <c r="E58" t="inlineStr"/>
      <c r="F58" t="inlineStr"/>
      <c r="G58" t="inlineStr"/>
      <c r="H58" t="inlineStr"/>
      <c r="I58" t="inlineStr">
        <is>
          <t>**About The Company**
 Bowhead / UIC Technical Services is a renowned provider of specialized engineering, technical, and scientific solutions dedicated to supporting national defense and government agencies. With a strong emphasis on innovation and excellence, Bowhead collaborates with clients to deliver mission\-critical services that enhance operational capabilities. Our commitment to integrity, quality, and customer satisfaction has established us as a trusted partner in the defense sector. We foster a dynamic work environment that encourages professional growth and values diversity, ensuring our team remains at the forefront of technological advancements.
**About The Role**
 We are seeking a highly skilled Data Scientist to join our team supporting the Naval Surface Warfare Center Dahlgren Division (NSWCDD), E Department. This role is pivotal in analyzing complex data trends and developing predictive models to support naval defense initiatives. The successful candidate will work onsite at either the Bowhead office or a Navy installation, applying advanced data analysis techniques to uncover insights that inform strategic decisions. The position involves designing and implementing software components, building testing tools, and presenting data\-driven findings to both technical and non\-technical audiences. The role offers an exciting opportunity to contribute to national security efforts through innovative data science solutions.
**Qualifications**
 The ideal candidate will possess a Bachelor’s Degree in physics, data science, or a related field, coupled with a minimum of 5\-8 years of relevant experience. Demonstrated expertise in data trend analysis, database management, and development is essential. Candidates should have a solid understanding of relational database management systems and data warehousing concepts. Experience with creating reports and dashboards, as well as proficiency in SQL query writing and analysis, is required. Knowledge of virtual machines, AI, and software development is highly preferred. Strong mathematical reasoning skills and familiarity with analytical tools and evaluation techniques are necessary. Excellent communication skills, both oral and written, are essential for effective collaboration with senior government clients and stakeholders.
**Responsibilities**
* Apply mathematics, statistics, predictive modeling, and machine learning techniques to identify meaningful patterns within recorded data.
* Design, develop, modify, verify, and document software components to deliver value aligned with stakeholder requirements.
* Build and refine tools for data testing to ensure accuracy and reliability.
* Analyze large volumes of diverse data types, including numerical, symbolic, textual, audio, and visual data.
* Develop real\-time, predictive, model\-based insights to create value and automate decision\-making processes.
* Present complex data insights in innovative formats to facilitate understanding across technical and non\-technical audiences.
* Identify, validate, and leverage internal and external data sources from various processes.
* Manage data and information in all formats, including logical analysis of taxonomies, data, and metadata structures.
* Support additional duties as assigned, contributing to project goals and organizational objectives.
**Benefits**
 Bowhead offers competitive compensation packages complemented by comprehensive benefits programs designed to support our employees' well\-being and professional development. Benefits include health, dental, and vision insurance, retirement plans, paid time off, and opportunities for continuous learning and career advancement. We promote a collaborative work environment that encourages innovation, diversity, and inclusion. Additionally, employees have access to resources and support systems that foster work\-life balance and personal growth, ensuring a fulfilling professional experience.
 Equal Opportunity
 Bowhead / UIC Technical Services is an equal opportunity employer. We are committed to fostering an inclusive environment where all employees and applicants are treated with fairness and respect. We do not discriminate based on race, color, religion, sex, national origin, age, disability, sexual orientation, gender identity, or any other protected characteristic. We encourage individuals from diverse backgrounds to apply and join our team dedicated to supporting national security and technological innovation.</t>
        </is>
      </c>
    </row>
    <row r="59">
      <c r="A59" t="inlineStr">
        <is>
          <t>li-4372330610</t>
        </is>
      </c>
      <c r="B59" t="inlineStr">
        <is>
          <t>Data Scientist</t>
        </is>
      </c>
      <c r="C59" t="inlineStr">
        <is>
          <t>RemoteHunter</t>
        </is>
      </c>
      <c r="D59" t="inlineStr">
        <is>
          <t>linkedin</t>
        </is>
      </c>
      <c r="E59" t="inlineStr"/>
      <c r="F59" t="inlineStr"/>
      <c r="G59" t="inlineStr"/>
      <c r="H59" t="inlineStr"/>
      <c r="I59"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0">
      <c r="A60" t="inlineStr">
        <is>
          <t>li-4373501230</t>
        </is>
      </c>
      <c r="B60" t="inlineStr">
        <is>
          <t>Data Scientist, Research</t>
        </is>
      </c>
      <c r="C60" t="inlineStr">
        <is>
          <t>Wiraa</t>
        </is>
      </c>
      <c r="D60" t="inlineStr">
        <is>
          <t>linkedin</t>
        </is>
      </c>
      <c r="E60" t="inlineStr"/>
      <c r="F60" t="inlineStr"/>
      <c r="G60" t="inlineStr"/>
      <c r="H60" t="inlineStr"/>
      <c r="I60" t="inlineStr">
        <is>
          <t>**About The Company**
 Stanford University is a globally renowned institution committed to advancing knowledge, learning, and innovation across a broad spectrum of disciplines. Known for its cutting\-edge research and academic excellence, Stanford fosters a collaborative environment that encourages discovery and the application of knowledge to solve real\-world problems. The university’s culture emphasizes diversity, inclusion, and the pursuit of innovative solutions to global challenges. Stanford’s research initiatives span various fields including science, engineering, medicine, and social sciences, making it a leader in academic and technological advancements. The institution is dedicated to fostering an environment where faculty, staff, and students can thrive and contribute to societal progress through groundbreaking research and education.
**About The Role**
 Stanford University is seeking a highly skilled Research Data Scientist to join its innovative Data Science team within the Vice Provost for Research / Dean of Research. This is a three\-year fixed\-term appointment designed to support the university’s strategic initiative centered around high\-performance computing, specifically through the Marlowe GPU\-centric infrastructure. The successful candidate will leverage their expertise in computational research, machine learning, and data science to develop and optimize workflows that unlock Marlowe’s capabilities for large\-scale, data\-intensive research projects.
 This role involves close collaboration with faculty and research groups to design GPU\-accelerated pipelines, develop novel algorithms, and contribute to scientific codes across various disciplines including biology, physics, and digital twin simulations. Additionally, the Research Data Scientist will serve as a vital bridge between the Marlowe infrastructure and the broader research community by providing technical consultation, training, and mentorship. This position offers a unique opportunity to influence transformational research initiatives and establish Marlowe as a cornerstone of Stanford’s pioneering discovery efforts. Remote work options are available, with occasional in\-person attendance required for certain events.
**Qualifications**
* Ph.D. in a computational, data science, or related field or equivalent experience
* Minimum of five years of experience at an academic research staff level or equivalent
* Extensive experience with Linux operating systems
* Proficiency in running and troubleshooting jobs in batch scheduled environments
* Strong background in GPU\-centric high\-performance computing and parallel programming
* Experience developing and optimizing scientific workflows and algorithms
* Proven ability to collaborate with multidisciplinary teams and communicate complex technical concepts
* Experience in writing grant proposals and supervising technical staff is preferred
**Responsibilities**
* Design and architect GPU\-accelerated computational workflows in collaboration with principal investigators and research teams
* Develop innovative algorithms and computational methodologies to advance research objectives
* Optimize data movement strategies to enhance efficiency between CPU and GPU architectures
* Assist researchers in applying for and utilizing supercomputing resources at national centers
* Install, configure, and maintain software stacks necessary for high\-performance scientific computing
* Lead workshops, training sessions, and courses on GPU\-centric research techniques across disciplines
* Mentor graduate students, postdoctoral fellows, and early\-career researchers in computational methods
* Integrate open science principles into research workflows, ensuring data and code provenance and reproducibility
* Develop tools and workflows to ensure long\-term sustainability and usability of research software and data
* Support research continuity and compliance with funding agency mandates regarding data management and transparency
* Contribute to scholarly publications and dissemination of research outcomes
**Benefits**
* Competitive salary range of $142,000 to $200,000 per annum, commensurate with experience and location
* Comprehensive health, dental, and vision insurance plans
* Retirement savings plans with university contributions
* Generous paid time off, including holidays, vacation, and sick leave
* Professional development opportunities and ongoing training
* Access to cutting\-edge high\-performance computing resources and research infrastructure
* Supportive and inclusive work environment fostering innovation and collaboration
* Flexible work arrangements, including remote work options
 Equal Opportunity
 Stanford University is an equal employment opportunity employer committed to diversity and inclusion. We welcome applications from individuals of all backgrounds, regardless of race, color, religion, sex, sexual orientation, gender identity, national origin, disability, protected veteran status, or any other characteristic protected by law. We strive to create a welcoming environment that promotes equity and supports the success of all employees.</t>
        </is>
      </c>
    </row>
    <row r="61">
      <c r="A61" t="inlineStr">
        <is>
          <t>li-4372334630</t>
        </is>
      </c>
      <c r="B61" t="inlineStr">
        <is>
          <t>Data Scientist | Clinical AI</t>
        </is>
      </c>
      <c r="C61" t="inlineStr">
        <is>
          <t>RemoteHunter</t>
        </is>
      </c>
      <c r="D61" t="inlineStr">
        <is>
          <t>linkedin</t>
        </is>
      </c>
      <c r="E61" t="inlineStr"/>
      <c r="F61" t="inlineStr"/>
      <c r="G61" t="inlineStr"/>
      <c r="H61" t="inlineStr"/>
      <c r="I61" t="inlineStr">
        <is>
          <t>About the Opportunity:
 A healthcare intelligence organization with expertise across the payment continuum seeks a Data Scientist to advance an AI system for clinical criteria evaluation. The role involves translating medical policy into testable code and building measurement and quality systems to improve an AI pipeline that extracts structured clinical signals from medical records.
 Responsibilities:
 • Translate medical policy into executable logic by interpreting clinical criteria such as lab thresholds, temporal windows, trend logic, and exclusions
 • Convert requirements into maintainable SQL and Python code (e.g., creatinine\-based AKI rules, bilirubin thresholds, troponin dynamics, ABG\-derived criteria)
 • Design composable and auditable rule representations with clear inputs, outputs, assumptions, and edge cases
 • Perform prompt engineering and tune system parameters for AI extraction of clinical information from medical records
 • Build and maintain robust clinical feature pipelines computing features from labs, vitals, flowsheets, and notes\-derived facts
 • Handle data challenges including missing timestamps, multiple sources, unit normalization, deduplication, conflicting values, and provenance tracking
 • Define and instrument accuracy metrics for the AI extraction system
 • Develop gold datasets, sampling strategies, and review workflows with clinical and operations partners
 • Conduct error analysis to identify root causes such as retrieval failures, OCR issues, extraction ambiguity, and policy gaps, and drive improvements
 • Create reusable tooling for policy\-to\-code translation including templates, test harnesses, validation suites, regression checks, and monitoring dashboards
 • Improve infrastructure for large\-scale runs covering orchestration, logging, lineage, versioning, and reproducibility
 • Implement guardrails and QA gates to ensure safe, traceable, and measurable policy logic changes
 • Collaborate with clinicians, policy specialists, and operations to clarify ambiguous requirements and ensure implementations reflect real\-world intent
 • Produce clear documentation explaining code functionality with examples and edge\-case handling
 Requirements:
 • Strong SQL and Python skills with ability to write correct, efficient, and maintainable code using CTEs, window functions, joins, and performance tuning
 • Experience building testable, production\-quality pipelines rather than ad hoc analyses
 • Proven record of operationalizing complex business or clinical logic reliably
 • Comfort working with imperfect, high\-volume, messy datasets
 • Experience designing metrics, building ground truth, running experiments, and improving system quality through structured iteration
 • Ability to link technical quality metrics to business outcomes such as accuracy versus reviewer burden
 • Systems thinking to develop shared libraries, patterns, tooling, and clear interfaces that accelerate team productivity
 • Attention to detail in handling edge cases, provenance, temporal logic, unit conversion, and regression safety
 • Interest in healthcare data, medical records, and policy\-to\-decision translation; prior healthcare experience is a plus but not required
 Nice to Have:
 • Familiarity with clinical data standards or lab data normalization (e.g., LOINC, units conversion, reference ranges)
 • Experience evaluating large language models or information extraction systems and building human\-in\-the\-loop QA workflows
 • Knowledge of distributed data systems such as Spark, BigQuery, Snowflake, Databricks, and workflow orchestrators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2">
      <c r="A62" t="inlineStr">
        <is>
          <t>li-4301938603</t>
        </is>
      </c>
      <c r="B62" t="inlineStr">
        <is>
          <t>Senior Data Scientist</t>
        </is>
      </c>
      <c r="C62" t="inlineStr">
        <is>
          <t>Geotab</t>
        </is>
      </c>
      <c r="D62" t="inlineStr">
        <is>
          <t>linkedin</t>
        </is>
      </c>
      <c r="E62" t="inlineStr"/>
      <c r="F62" t="inlineStr"/>
      <c r="G62" t="inlineStr">
        <is>
          <t>Atlanta, GA</t>
        </is>
      </c>
      <c r="H62" t="inlineStr"/>
      <c r="I62" t="inlineStr">
        <is>
          <t>**Who We Are:**
 Geotab ® is a global leader in IoT and connected transportation and certified “Great Place to Work™.” We are a company of diverse and talented individuals who work together to help businesses grow and succeed, and increase the safety and sustainability of our communities.
 Geotab is advancing security, connecting commercial vehicles to the internet and providing web\-based analytics to help customers better manage their fleets. Geotab’s open platform and Geotab Marketplace ®, offering hundreds of third\-party solution options, allows both small and large businesses to automate operations by integrating vehicle data with their other data assets. Processing billions of data points a day, Geotab leverages data analytics and machine learning to improve productivity, optimize fleets through the reduction of fuel consumption, enhance driver safety and achieve strong compliance to regulatory changes.
 Our team is growing and we’re looking for people who follow their passion, think differently and want to make an impact. Ours is a fast paced, ever changing environment. Geotabbers accept that challenge and are willing to take on new tasks and activities \- ones that may not always be described in the initial job description. Join us for a fulfilling career with opportunities to innovate, great benefits, and our fun and inclusive work culture. Reach your full potential with Geotab. To see what it’s like to be a Geotabber, check out our blog and follow us @InsideGeotab on Instagram. Join our talent network to learn more about job opportunities and company news.
**Who You Are:**
 We are always looking for amazing talent who can contribute to our growth and deliver results! Geotab is seeking a Senior Data Scientist who will explore and examine data from multiple sources in order to design and construct new data modeling processes using prototypes, algorithms, predictive models, and custom analyses. If you love technology, and are keen to join an industry leader — we would love to hear from you!
**What You'll Do:**
 As a Senior Data Scientist your key area of responsibility will be designing, developing, and maintaining ongoing metrics, reports, analyses, and dashboards to drive key business decisions, providing expert project leadership as a SME, and participating in cross\-departmental projects establishing Geotab as a leader in data science. You will need to work closely with internal technical teams and external stakeholders to gather requirements.
 To be successful in this role you will be a strong team\-player with the ability to engage with all levels of th
 **e** 
 organization, and will possess strong analytical skills with the ability to problem solve to well\-judged decisions. In addition, the successful candidate will have strong project management skill and be able to identify needs, develop effective solutions, and manage projects through to completion.
**How You'll Make An Impact:**
* Implement new statistical or mathematical methodologies for specific models of data analysis.
* Create algorithms and predictive models to extract information required to solve complex business problems.
* Conduct causality experiments by applying A/B experiments or epidemiological approach to identify the root issues of an observed result.
* Identify new, complex queries from Big Data infrastructure from data warehousing database (i.e. Google BigQuery) to add value to the organization.
* Use machine learning (ML) packages (e.g. Scikit\-learn and Tensorflow) to develop ML models and features.
* Test the performance of data\-driven products and make recommendations for improving Geotab’s product suite.
* Collaborate with internal technical teams and external stakeholders to gather requirements.
* Build production datasets and help customers solve business problems.
**What You'll Bring To The Role:**
* Post\-secondary Diploma/Degree specialization in Data Science, Mathematics, Computer Science, Statistics, or related field.
* Graduate or post\-graduate Degree in Data Science, Mathematics, Computer Science, Statistics, or a related field is an asset.
* 5\-8 years of experience as a Data Scientist, writing SQL queries, and programming in Python.
* Solid understanding of machine learning and operations research.
* Knowledge of data management and visualization techniques.
* Affinity for statistical analysis and predictive modeling.
* Possess strong business acumen and link marketing initiatives to streamline operations.
* High accuracy and meticulous attention to detail.
* Must stay relevant to technology and should have the flexibility to adapt to the growing technology and market demands.
* Strong team\-player with the ability to engage with all levels of the organization.
* Technical competence using software programs, including but not limited to, Google Suite for business (Sheets, Docs, Slides).
 If you got this far, we hope you're feeling excited about this role! Even if you don't feel you meet every single requirement, we still encourage you to apply.
**Please note: Geotab does not accept agency resumes and is not responsible for any fees related to unsolicited resumes. Please do not forward resumes to Geotab employees.:**
**Why Job Seekers Choose Geotab:**
 Flex working arrangements
 Home office reimbursement program
 Baby bonus \&amp; parental leave top up program
 Online learning and networking opportunities
 Electric vehicle purchase incentive program
 Competitive medical and dental benefits
 Retirement savings program
* The above are offered to full\-time permanent employees only
**How We Work:**
 At Geotab, we have adopted a flexible hybrid working model in that we have systems, functions, programs and policies in place to support both in\-person and virtual work. However, you are welcomed and encouraged to come into our beautiful, safe, clean offices as often as you like. When working from home, you are required to have a reliable internet connection with at least 50mb DL/10mb UL. Virtual work is supported with cloud\-based applications, collaboration tools and asynchronous working. The health and safety of employees are a top priority. We encourage work\-life balance and keep the Geotab culture going strong with online social events, chat rooms and gatherings. Join us and help reshape the future of technology!
 Geotab verifies candidates' eligibility to work in the United States through E\-Verify, an internet\-based system operated by U.S. Citizen and Immigration Services.
**Other Employment Statements:**
 Geotab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We are committed to accommodating people with disabilities during the recruitment and assessment processes and when people are hired. We will ensure the accessibility needs of employees with disabilities are taken into account as part of performance management, career development, training and redeployment processes. If you require accommodation at any stage of the application process or want more information about our diversity and inclusion as well as accommodation policies and practices, please contact us at careers@geotab.com. Geotab provides equal employment opportunities (EEO) to all employees and applicants for employment without regard to race, color, religion, sex, national origin, age, disability or genetics. In addition to federal law requirements, Geotab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Geotab expressly prohibits any form of workplace harassment or discrimination based on race, color, religion, gender, sexual orientation, gender identity or expression, national origin, age, genetic information, disability, or veteran status. Improper interference with the ability of Geotab's employees to perform their job duties may result in discipline up to and including discharge. If you would like more information about our EEO program or wish to file a complaint, please contact our EEO officer, Klaus Boeckers at HRCompliance@geotab.com. For more details, view a copy of the EEOC's Know Your Rights poster. By submitting a job application to Geotab Inc. or its affiliates and subsidiaries (collectively, “Geotab”), you acknowledge Geotab’s collection, use and disclosure of your personal data in accordance with our Privacy Policy. Click here to learn more about what happens with your personal data.</t>
        </is>
      </c>
    </row>
    <row r="63">
      <c r="A63" t="inlineStr">
        <is>
          <t>li-4266979519</t>
        </is>
      </c>
      <c r="B63" t="inlineStr">
        <is>
          <t>Senior AI Data Scientist - Animation</t>
        </is>
      </c>
      <c r="C63" t="inlineStr">
        <is>
          <t>Electronic Arts (EA)</t>
        </is>
      </c>
      <c r="D63" t="inlineStr">
        <is>
          <t>linkedin</t>
        </is>
      </c>
      <c r="E63" t="inlineStr"/>
      <c r="F63" t="inlineStr"/>
      <c r="G63" t="inlineStr">
        <is>
          <t>Marina del Rey, CA</t>
        </is>
      </c>
      <c r="H63" t="inlineStr"/>
      <c r="I63"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Empowering players to create is an exciting future for the gaming industry. At Electronic Arts we have many examples of players creating content, whether it be a skateboard park in Skate or fantastical mansions in the Sims 4\. The future definitely has our players being more empowered to create with their imagination being the only limit.
 We are looking for a Data Scientist to help shape the future of content creation and gameplay with AI. If you have the right expertise and are interested we want to hear from you!
 As a Senior AI Data Scientist you will
* Build, fine\-tune and implement AI and machine learning models to solve challenging problems within the animation space
* Ensure AI and machine learning production pipelines are scalable, repeatable and tool agnostic
* Apply current and emerging techniques in deep learning, natural language processing and other machine learning areas to expand the animation space
* Collect, clean, manage, analyze and visualize large sets of data using multiple data
 platforms, tools and technique
* Work in partnership with game teams to integrate AI solutions into products and services.
* Optimize and fine\-tune AI models for performance and scalability. Analyze and interpret data to extract meaningful insights and improve AI models.
* Document and present findings and solutions to stakeholders.
**Desired Qualifications And Experience**
* A minimum of 3\+ years of experience in data science
* A minimum of 1\+ years working in the animation space of AI/ML
* PhD or MSc in statistics, mathematics, computer science, or related field
* Strong expertise in deep learning, fluent in Python and SQL
* Expertise in automating machine learning models and building end to end products
* Experience with devops tools and principles (Git, CI/CD, Docker)
* Understanding of containerization and orchestration technologies (Docker, Kubernetes, etc.)
* C\+\+ and game engine experience is a plus
* Interest \&amp; expertise in animation is desired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\*$138,700 \- $199,900 CAD
* California (depending on location e.g. Los Angeles vs. San Francisco) \*$160,600 \- $249,300 USD
* Washington (depending on location e.g. Seattle vs. Spokane) \*$149,200 \- $205,500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In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64">
      <c r="A64" t="inlineStr">
        <is>
          <t>li-4338580703</t>
        </is>
      </c>
      <c r="B64" t="inlineStr">
        <is>
          <t>Sr. Data Scientist - GenAI Use Cases</t>
        </is>
      </c>
      <c r="C64" t="inlineStr">
        <is>
          <t>Citizens</t>
        </is>
      </c>
      <c r="D64" t="inlineStr">
        <is>
          <t>linkedin</t>
        </is>
      </c>
      <c r="E64" t="inlineStr"/>
      <c r="F64" t="inlineStr"/>
      <c r="G64" t="inlineStr">
        <is>
          <t>Boston, MA</t>
        </is>
      </c>
      <c r="H64" t="inlineStr"/>
      <c r="I64" t="inlineStr">
        <is>
          <t>**Description**
**Senior Data Scientist – GenAI Use Case**
 The primary responsibility for this role is to lead the development and implementation of Generative AI (GenAI) use cases across key Risk Management areas such as Credit Risk, Anti\-Money Laundering (AML), Sanctions, and Operational Risk. In addition, this role will influence model development for credit risk and other regulatory compliance areas, ensuring adherence to governance and performance standards.
 As a Senior Data Scientist, you will drive strategy and execution, working closely with Principal Data Scientists, subject matter experts, and technology partners to design, build, and scale GenAI solutions. You will mentor junior team members and serve as a thought leader in applying advanced AI techniques to complex risk management challenges.
**Key Responsibilities**
* Lead GenAI Model Development: Architect and implement advanced ML and GenAI solutions, including LLM\-based workflows, Retrieval\-Augmented Generation (RAG), and prompt engineering.
* Strategic Collaboration: Partner with senior business stakeholders to identify high\-impact opportunities for GenAI integration and translate business needs into scalable solutions.
* Production Integration: Oversee transition of proof\-of\-concept models into enterprise\-grade production environments, ensuring compliance with governance, security, and performance standards.
* Innovation \&amp; Research: Explore emerging GenAI frameworks (e.g., LangChain, Hugging Face) and agentic design patterns to enhance model capabilities and reliability.
* Documentation \&amp; Compliance: Produce detailed documentation for model validation, audit, and regulatory requirements; manage internal and external review processes.
* Mentorship: Guide junior data scientists and analysts, fostering technical excellence and collaborative culture. Domain Expertise: Build deep knowledge of risk management processes to deliver contextual and impactful AI solutions.
**Qualifications**
**Experience:**
* 5\+ years in data science or machine learning roles, with at least 2 years focused on GenAI, LLMs, or advanced NLP applications.
* Banking or financial services experience strongly preferred.
**Technical Skills**
* Hands\-on experience with prompt engineering, RAG workflows, embeddings, and vector databases.
* Proficient in Python; familiar with frameworks such as LangChain and Hugging Face.
* Strong understanding of GenAI evaluation methodologies and metrics.
* Familiarity with agentic design patterns (reflection, tool use, memory management).
**Other Requirements**
* Proven ability to produce documentation in highly regulated environments.
* Excellent communication skills to convey complex analytics to non\-technical stakeholders.
* Demonstrated leadership and ability to mentor team members.
**Education**
* Master’s degree in Operations Research, Statistics, Mathematics, Computer Science, Economics, or Data Science required; PhD preferred.
**Work Schedule**
* Full\-time, Monday–Friday, 40 hours per week
* Hybrid: Boston MA (4 days onsite, 1 day remote)
**Pay Transparency**
* The salary range for this position is $120,000 \- $160,000 per year, plus an opportunity to earn an annual discretionary bonus. Actual pay is based on various factors including but not limited to the work location, and relevant skills and experience.
* We offer competitive pay, comprehensive medical, dental and vision coverage, retirement benefits, maternity/paternity leave, flexible work arrangements, education reimbursement, wellness programs and more. Note, Citizens’ paid time off policy exceeds the mandatory, paid sick or paid time\-away policy of very local and state
*Some job boards have started using jobseeker\-reported data to estimate salary ranges for roles. If you apply and qualify for this role, a recruiter will discuss accurate pay guidance.*
**Equal Employment Opportunity**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At Citizens, we are committed to fostering an inclusive culture that enables all colleagues to bring their best selves to work every day and everyone is expected to be treated with respect and professionalism. Employment decisions are based solely on merit, qualifications, performance and capability.
**Why Work for Us**
 At Citizens, you'll find a customer\-centric culture built around helping our customers and giving back to our local communities. When you join our team, you are part of a supportive and collaborative workforce, with access to training and tools to accelerate your potential and maximize your career growth</t>
        </is>
      </c>
    </row>
    <row r="65">
      <c r="A65" t="inlineStr">
        <is>
          <t>li-4324200360</t>
        </is>
      </c>
      <c r="B65" t="inlineStr">
        <is>
          <t>Senior Data Scientist, Learner Experience</t>
        </is>
      </c>
      <c r="C65" t="inlineStr">
        <is>
          <t>Khan Academy</t>
        </is>
      </c>
      <c r="D65" t="inlineStr">
        <is>
          <t>linkedin</t>
        </is>
      </c>
      <c r="E65" t="inlineStr"/>
      <c r="F65" t="inlineStr"/>
      <c r="G65" t="inlineStr">
        <is>
          <t>Mountain View, CA</t>
        </is>
      </c>
      <c r="H65" t="inlineStr"/>
      <c r="I65" t="inlineStr">
        <is>
          <t>**About Khan Academy**
 Khan Academy is a nonprofit with the mission to deliver a free, world\-class education to anyone, anywhere. Our proven learning platform offers free, high\-quality supplemental learning content and practice that cover Pre\-K \- 12th grade and early college core academic subjects, focusing on math and science. We have over 181 million registered learners globally and are committed to improving learning outcomes for students worldwide, focusing on learners in historically under\-resourced communities.
**OUR COMMUNITY**
 Our students, teachers, and parents come from all walks of life, and so do we. Our team includes people from academia, traditional/non\-traditional education, big tech companies, and tiny startups. We hire great people from diverse backgrounds and experiences because it makes our company stronger. We value diversity, equity, inclusion, and belonging as necessary to achieve our mission and impact the communities we serve. We know that transforming education starts in\-house with learning about ourselves and our colleagues. We strive to be world\-class in investing in our people and commit to developing you as a professional.
**Khan Academy is looking for a senior data scientist to play a critical role in our growing team. This role will partner with our chief learning officer and product leadership team to drive engagement and improve student outcomes. We are looking for curious, passionate individuals who can apply their strong technical skills to mine for insights across our rich datasets, and work collaboratively across the organization to drive critical strategic decisions.**
**THE ROLE**
* Partner with product teams to understand and help develop theories of action which describe testable hypotheses for the impact of new features
* Identify and measure success of initiatives through goal setting, forecasting, event instrumentation, monitoring, and ongoing analysis of core outcome metrics
* Perform exploratory analyses on our rich datasets to extract insights about our teacher \&amp; learner behavior and guide our decisions around product roadmap and investments
* Use your expertise with statistical techniques to quantify the impact of various features, programs, and interventions
* Share results of analyses to non\-technical audiences in ways that help them develop insights about our offerings
* Contribute to the development of self\-service analytics tools to enhance data access for the product team; work with our engineering teams to improve our tools and datasets
**What You Bring**
* Motivated by the Khan Academy mission “to provide a free world\-class education for anyone, anywhere."
* Proven cross\-cultural competency skills demonstrating self\-awareness, awareness of other, and the ability to adopt inclusive perspectives, attitudes, and behaviors to drive inclusion and belonging throughout the organization.
* Background in applied math, statistics, economics, or a related technical field
* 5\+ years of experience in data science or analytics
* Proficient with statistical techniques (i.e., multiple regression, causal inference, AB testing, hypothesis testing) for real\-world applications
* Advanced SQL foundations \&amp; ability to manipulate data using R or Python
* Compelling data storytelling and visualization (i.e. Looker) with the ability to communicate effectively with non\-technical stakeholders
* Strong business intuition \&amp; judgment, with a knack for asking the right questions to drive impact
* Prior experience working in the education industry is a plus
**Perks And Benefits**
 We may be a non\-profit, but we reward our talented team extremely well! We offer:
* Competitive salaries
* Ample paid time off as needed – Your well\-being is a priority
* 8 pre\-scheduled Wellness Days in 2026 occurring on a Monday or a Friday for a 3\-day weekend boost
* Remote\-first culture \- that caters to your time zone, with open flexibility as needed, at times
* Generous parental leave
* An exceptional team that trusts you and gives you the freedom to do your best
* The chance to put your talents towards a deeply meaningful mission and the opportunity to work on high\-impact products that are already defining the future of education
* Opportunities to connect through affinity, ally, and social groups
* And we offer all those other typical benefits as well: 401(k) \+ 4% matching \&amp; comprehensive insurance, including medical, dental, vision, and life
 At Khan Academy, we are committed to fair and equitable compensation practices, the well\-being of our employees, and our Khan community. This belief is why we have built out a robust Total Rewards package that includes competitive base salaries, and extensive benefits and perks to support physical, mental, and financial well\-being.
 The compensation band for this role is $137,871 \- $155,105 USD annually for candidates based in the United States and $186,306 \- $209,595 CAN annually for candidates based in Canada.
 The pay range for this position is a general guideline only. The salary offered will depend on internal pay equity and the candidate’s relevant skills, experience, qualifications, and job market data. Additional incentives are provided as part of the complete total rewards package, in addition to comprehensive medical and other benefits.
**More About Us**
* Sal’s TED talk from 2011
* Sal’s TED talk from 2015
* Sal's TED talk from 2023
* Our team: http://www.khanacademy.org/about/the\-team
**Our Company Values**
**Live \&amp; breathe learners**
 We deeply understand and empathize with our users. We leverage user insights, research, and experience to build content, products, services, and experiences that our users trust and love. Our success is defined by the success of our learners and educators.
**Take a stand**
 As a company, we have conviction in our aspirational point of view of how education will evolve. The work we do is in service to moving towards that point of view. However, we also listen, learn and flex in the face of new data, and commit to evolving this point of view as the industry and our users evolve.
**Embrace diverse perspectives**
 We are a diverse community. We seek out and embrace a diversity of voices, perspectives and life experiences leading to stronger, more inclusive teams and better outcomes. As individuals, we are committed to bringing up tough topics and leaning into different points of view with curiosity. We actively listen, learn and collaborate to gain a shared understanding. When a decision is made, we commit to moving forward as a united team.
**Work responsibly and sustainably**
 We understand that achieving our audacious mission is a marathon, so we set realistic timelines and we focus on delivery that also links to the bigger picture. As a non\-profit, we are supported by the generosity of donors as well as strategic partners, and understand our responsibility to our finite resources. We spend every dollar as though it were our own. We are responsible for the impact we have on the world and to each other. We ensure our team and company stay healthy and financially sustainable.
**Bring out the joy**
 We are committed to making learning a joyful process. This informs what we build for our users and the culture we co\-create with our teammates, partners and donors.
**Cultivate learning mindset**
 We believe in the power of growth for learners and for ourselves. We constantly learn and teach to improve our offerings, ourselves, and our organization. We learn from our mistakes and aren’t afraid to fail. We don't let past failures or successes stop us from taking future bold action and achieving our goals.
**Deliver wow**
 We insist on high standards and deliver delightful, effective end\-to\-end experiences that our users can rely on. We choose to focus on fewer things — each of which aligns to our ambitious vision — so we can deliver high\-quality experiences that accelerate positive measurable learning with our strategic partners.
*We are committed to equal employment opportunity regardless of race, color, ancestry, religion, sex, gender, gender identity or expression, national origin, sexual orientation, age, citizenship, marital status, disability, or Veteran status. We value diversity, equity, and inclusion, and we encourage candidates from historically underrepresented groups to apply.*
*As part of this commitment, Khan Academy will ensure that persons with disabilities are provided reasonable accommodations for the hiring process. If reasonable accommodation is needed, please contact* 
*careers@khanacademy.org*</t>
        </is>
      </c>
    </row>
    <row r="66">
      <c r="A66" t="inlineStr">
        <is>
          <t>li-4338207597</t>
        </is>
      </c>
      <c r="B66" t="inlineStr">
        <is>
          <t>Senior Staff Data Scientist, Guest &amp; Host Marketplace AI</t>
        </is>
      </c>
      <c r="C66" t="inlineStr">
        <is>
          <t>Airbnb</t>
        </is>
      </c>
      <c r="D66" t="inlineStr">
        <is>
          <t>linkedin</t>
        </is>
      </c>
      <c r="E66" t="inlineStr"/>
      <c r="F66" t="inlineStr"/>
      <c r="G66" t="inlineStr"/>
      <c r="H66" t="inlineStr"/>
      <c r="I66"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Guest Experience is responsible for Search and Discovery, Merchandising, and end\-to\-end online software experience worldwide from top\-of\-funnel discovery through post\-booking engagement. We are looking for a talented Data Scientist to join the Guest Data Science team. This tech lead will be at the core of using AI and casual inference to understand user behavior in our app, detect underlying intent, and to build data products needed to provide a compelling and personalized experience of our app. We build products that help guests find the inventory most relevant to them in our marketplace.
**The Difference You Will Make**
 As a Senior Staff Data Scientist, you will lead innovation efforts to build methodologies to identify and evaluate the preferences important to every guest, at every step of their online discovery funnel. You will be instrumental in shaping our data strategy to drive guest conversion and regular engagement with the Airbnb platform across our Homes, Experiences and Services business verticals.
 This role emphasizes technical excellence and driving business impact with cutting\-edge science. Your role will involve close collaboration with Product to identify in\-product optimizations and shape UX design architecture to path how guests navigate from surface\-to\-surface in our app.
 The ideal candidate will demonstrate to be a domain expert with granular user behavior and sequence datasets in a marketplace setting. You will hold a high bar for our customer experience and balance a passion for AI with a strong desire to accurately understand user behavior and business success. Your efforts towards personalized content discovery will help make Airbnb feel tailored for you, maintaining a dialogue with our guests to deeply understand their preferences and reflect that understanding back to them, enabling every guest to easily discover the travel they will love.
**A Typical Day**
* Learn: Develop deep understanding of how guests navigate and re\-engage with our app via analysis, research, and by leveraging granular user action and sequence datasets.
* Partner: With product and engineering, drive technical frameworks and science leadership to explore innovative paradigms for detecting revealed preferences and quantifying online frictions.
* Build: Write code for prototypes to detect and quantify taxonomy of guest preferences via iterative development of data frameworks, models and artefacts derived from AI toolkits
* Evaluate: Assess assumptions and efficacy of derived guest preferences via measurement and validating hypotheses linked to online guest action and engagement. Setup experiments and data feedback loops to own a high bar over continuous impact.
* Influence: Regularly present findings and recommendations to leadership audiences to inform strategy and cross\-functional deliverables.
* If you’re passionate about going deep into personalized user experiences, we want to hear from you!
**Your Expertise**
* Causal inference expertise with marketplace experience
* Preferred domain experience in search, UX discovery, personalized evidence systems
* Advanced degree in Computer Science, Statistics, Econometrics or related field.
* 9\+ years of industry experience with a PhD (or 12\+ years with a Masters)
* Strong in communication with XFN partners in product, engineering, and design to enable data\-driven product development with a focus on the user experience.
* Expert in at least one programming language for data analysis (Python or R) with familiarity in SQL. Comfort with developing proof\-of\-concept prototypes. Passionate about AI and possessing a learner’s mindset towards LLMs and dynamic systems.
* Proven ability to succeed in both collaborative and independent work environments
* Demonstrated willingness and track record of engagement with the technical community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$224,000—$280,000 USD</t>
        </is>
      </c>
    </row>
    <row r="67">
      <c r="A67" t="inlineStr">
        <is>
          <t>li-4365676650</t>
        </is>
      </c>
      <c r="B67" t="inlineStr">
        <is>
          <t>Principal Data Scientist Manager</t>
        </is>
      </c>
      <c r="C67" t="inlineStr">
        <is>
          <t>Microsoft</t>
        </is>
      </c>
      <c r="D67" t="inlineStr">
        <is>
          <t>linkedin</t>
        </is>
      </c>
      <c r="E67" t="inlineStr"/>
      <c r="F67" t="inlineStr"/>
      <c r="G67" t="inlineStr">
        <is>
          <t>Redmond, WA</t>
        </is>
      </c>
      <c r="H67" t="inlineStr"/>
      <c r="I67"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big data analytics team provides a range of products that enable data engineers and data scientists to extract intelligence from all data – structured, semi\-structured, and unstructured. We build the Data Engineering, Data Science, and Data Integration pillars of Microsoft Fabric.
 In particular, we are hiring for the Gray Systems Lab (GSL), an applied research group part of the Azure Data CTO office. GSL tackles interesting challenges in both open\-source and proprietary technologies related to analytics, cloud, AI, and storage systems among others. We build reliable, highly scalable and highly performing distributed systems for data analytics on Azure, we publish in top\-conferences and are actively involved in open\-source projects. GSL researchers and engineers have contributed hundreds of academic papers and build technologies that impacted tens of millions of dollars of Microsoft revenues/costs. We work on novel technologies including analytics on GPUs, container technologies, graph databases, infrastructure and models for LLMs and data\-science, machine learning for systems, and many other areas. Data Scientist in GSL focus on LLM based research as well as ML\-for\-Systems work, designed to create innovative experiences in the context of all products of Azure Data, as well as optimize and improve the efficiency of how we operate our systems. Managers in GSL act as expert guides designing a broad research agenda and working with individual researchers in pursuing world\-class novel research and successfully tech transfer it to product. GSL managers are technically active.
 The current role is for a lead of the LLM team in GSL, where you will lead a small team in exploring research topics and creating real world impact. The team has access to powerful compute resources and frontier models that we work with and to advance.
 We do not just value differences or different perspectives. We seek them out and invite them in so we can tap into the collective power of everyone in the company. As a result, our customers are better served.
**Responsibilities**
 As a Principal Data Scientist Manager, you have an opportunity to work on the latest technology of LLMs and Data Science and apply them to some of the largest problems in industry, including practical applications of ML on workload insight and optimization, apply innovative algorithms for solving placement and load balancing problems at scale. In GSL we seek collaborative and inclusive manager who can think big, working on the bleeding edge envisioning a new future, and work with our team of researchers and engineers to make it happen. Want to change the world with data and large\-scale distributed systems? Do you want to solve challenges that you didn’t even know existed until you get to a large size? Come join us on the Azure data team!
 Managers deliver success through empowerment and accountability by modeling, coaching, and caring.
 Model \- Live our culture; Embody our values; Practice our leadership principles.
 Coach \- Define team objectives and outcomes; Enable success across boundaries; Help the team adapt and learn.
 Care \- Attract and retain great people; Know each individual’s capabilities and aspirations; Invest in the growth of others.
**Business Understanding And Impact**
 Leverages subject matter expertise and organizational resources to analyze overarching problems and issues facing projects to uncover, manage, and/or mitigate factors that can influence final outcomes. Anticipates roadblocks and ensures proper resources are in place to alleviate their impact. Oversees development of Product Engineering project plans and ensures evaluation of resources, risks, contingencies, requirements, assumptions, and constraints. Leads strategy development efforts spanning multiple projects and communicates efforts to senior leadership. Develops a cohesive, strategic vision and considers broader impact within discipline and within Microsoft as a whole.
**Data Preparation And Understanding**
 Leverages technical expertise to support team members and manage activities taken to construct final dataset from initial raw data. Oversees cross\-collaboration efforts to ensure data is prepared in a multi\-functional approach. Supports team in understanding key technologies and tools necessary for data exploration (e.g., structured query language \[SQL], Python). Coaches less experienced engineers in data analysis standards and best practices. Drives discussions around ethics and privacy policies related to research processes and data/information collection. Initiates and finds new data streams and new business opportunities.
 Embody our culture and values
**Qualifications**
**Required/minimum qualifications**
* Bachelor's Degree in Statistics, Econometrics, Computer Science, Electrical or Computer Engineering, or related field AND 8\+ years related experience (e.g., statistics, predictive analytics, research)
+ OR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5\+ years related experience (e.g., statistics, predictive analytics, research)
+ OR equivalent experience.
* 3\+ years of people management experience.
 Ability to meet Microsoft, customer and/or government security screening requirements are required for this role. These requirements include, but are not limited to the following specialized security screenings: Microsoft Cloud Background Check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**Additional Or Preferred Qualifications**
- Master's Degree in Statistics, Econometrics, Computer Science, Electrical or Computer Engineering, or related field AND 12\+ years related experience (e.g., statistics, predictive analytics, research)
- OR Doctorate in Statistics, Econometrics, Computer Science, Electrical or Computer Engineering, or related field AND 8\+ years related experience (e.g., statistics, predictive analytics, research)
* OR equivalent experience.
* 7\+ years of people management experience.
* 3\+ years experience presenting at conferences or other events in the outside research/industry community as an invited speaker.
* 7\+ years experience conducting research as part of a research program (in academic or industry settings).
* 5\+ years experience developing and deploying live production systems, as part of a product team.
* 7\+ years experience developing and deploying products or systems at multiple points in the product cycle from ideation to shipping.
 \#azdat
 \#azuredata
 \#gsl \#azdat \#azuredata
 Applied Sciences M6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8">
      <c r="A68" t="inlineStr">
        <is>
          <t>li-4343701280</t>
        </is>
      </c>
      <c r="B68" t="inlineStr">
        <is>
          <t>Principal Applied Scientist, Kiro Science</t>
        </is>
      </c>
      <c r="C68" t="inlineStr">
        <is>
          <t>Amazon Web Services (AWS)</t>
        </is>
      </c>
      <c r="D68" t="inlineStr">
        <is>
          <t>linkedin</t>
        </is>
      </c>
      <c r="E68" t="inlineStr"/>
      <c r="F68" t="inlineStr"/>
      <c r="G68" t="inlineStr">
        <is>
          <t>Santa Clara, CA</t>
        </is>
      </c>
      <c r="H68" t="inlineStr"/>
      <c r="I68" t="inlineStr">
        <is>
          <t>**Description**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A3142517</t>
        </is>
      </c>
    </row>
    <row r="69">
      <c r="A69" t="inlineStr">
        <is>
          <t>li-4373519707</t>
        </is>
      </c>
      <c r="B69" t="inlineStr">
        <is>
          <t>Data Scientist (REMOTE)</t>
        </is>
      </c>
      <c r="C69" t="inlineStr">
        <is>
          <t>Lensa</t>
        </is>
      </c>
      <c r="D69" t="inlineStr">
        <is>
          <t>linkedin</t>
        </is>
      </c>
      <c r="E69">
        <f>HYPERLINK("https://www.linkedin.com/jobs/view/4373519707", "https://www.linkedin.com/jobs/view/4373519707")</f>
        <v/>
      </c>
      <c r="F69">
        <f>HYPERLINK("https://lensa.com/cgw/243066300a2a4232a7d66d8d98456656tjo1?jpsi=directemployers&amp;publisher_preference=easier_apply&amp;utm_campaign=Computer%20Occupations&amp;utm_medium=slot&amp;utm_source=linkedin&amp;utm_term=jse&amp;urlHash=iwEf", "https://lensa.com/cgw/243066300a2a4232a7d66d8d98456656tjo1?jpsi=directemployers&amp;publisher_preference=easier_apply&amp;utm_campaign=Computer%20Occupations&amp;utm_medium=slot&amp;utm_source=linkedin&amp;utm_term=jse&amp;urlHash=iwEf")</f>
        <v/>
      </c>
      <c r="G69" t="inlineStr">
        <is>
          <t>Atlanta, GA</t>
        </is>
      </c>
      <c r="H69" t="inlineStr"/>
      <c r="I6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
 \#DataScienceJobs
 \#Python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70">
      <c r="A70" t="inlineStr">
        <is>
          <t>li-4373526330</t>
        </is>
      </c>
      <c r="B70" t="inlineStr">
        <is>
          <t>Data Scientist (REMOTE)</t>
        </is>
      </c>
      <c r="C70" t="inlineStr">
        <is>
          <t>Lensa</t>
        </is>
      </c>
      <c r="D70" t="inlineStr">
        <is>
          <t>linkedin</t>
        </is>
      </c>
      <c r="E70">
        <f>HYPERLINK("https://www.linkedin.com/jobs/view/4373526330", "https://www.linkedin.com/jobs/view/4373526330")</f>
        <v/>
      </c>
      <c r="F70" t="inlineStr"/>
      <c r="G70" t="inlineStr">
        <is>
          <t>Charlotte, NC</t>
        </is>
      </c>
      <c r="H70" t="inlineStr"/>
      <c r="I7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
 \#DataScienceJobs
 \#Python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71">
      <c r="A71" t="inlineStr">
        <is>
          <t>li-4373523462</t>
        </is>
      </c>
      <c r="B71" t="inlineStr">
        <is>
          <t>Junior Data Scientist</t>
        </is>
      </c>
      <c r="C71" t="inlineStr">
        <is>
          <t>Lensa</t>
        </is>
      </c>
      <c r="D71" t="inlineStr">
        <is>
          <t>linkedin</t>
        </is>
      </c>
      <c r="E71">
        <f>HYPERLINK("https://www.linkedin.com/jobs/view/4373523462", "https://www.linkedin.com/jobs/view/4373523462")</f>
        <v/>
      </c>
      <c r="F71" t="inlineStr"/>
      <c r="G71" t="inlineStr">
        <is>
          <t>Chicago, IL</t>
        </is>
      </c>
      <c r="H71" t="inlineStr"/>
      <c r="I7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Serco. Clicking "Apply Now" or "Read more" on Lensa redirects you to the job board/employer site. Any information collected there is subject to their terms and privacy notice.
**Position Description \&amp; Qualifications**
 At Serco, we foster a dynamic and collaborative work environment where team members contribute to innovative, high\-impact projects for leading government clients. We provide opportunities to solve complex challenges, improve processes, and utilize the latest technologies to deliver top\-tier products and services to our customers. The positions on this contract are located both CONUS and OCONUS in support of Army Sustainment Command (ASC).
 As a Junior Data Scientist you will play a key role in supporting Army Sustainment Command (ASC).
**In This Role, You Will**
* Perform advanced analysis and analytics to produce algorithms and/or businessprocess recommendations.
* Develop and use data, algorithms, and analyses to identify and applymechanisms to both overcome impediments to materiel readiness and exploitopportunities to improve readiness through feasible, cost\-effective software andbusiness process improvements, changes, and interventions.
* Forecast and address complex analytical challenges and identify the challengesand opportunities within systems, develop comprehensive solutions, andincorporate these capabilities solutions into software and workflows.
* Develop analytics and process solution sets, the criteria for recommendedalgorithms and processes shall include preference for efficient methods that useas simple of a process as possible given the current state\-of\-the\-art practices.The analytics and process solution sets shall provide appropriate, economicsavings\-driven answers.
* Regularly identify and communicate courses of actions required for program andproject success, including appropriate reporting processes and applicablemetrics to monitor and assess outcomes.
* Proactively identify mechanisms to improve mission performance.
* Use appropriate quantitative analytics techniques to include time series analysisand forecasting, advanced multivariate regression (including Probit and LogitModels), systems dynamics modelling, Bayesian inference procedures, minimaxprocedures (statistical), subjective probability utilization, expected utility analysis,operational risk analysis, and uncertainty evaluation.
* Use appropriate qualitative analytics techniques to include multi\-criteria decisionanalysis, qualitative comparative analysis, causal mapping, formal game theory,minimax procedures (game theory), decision architecture, systems architectureanalysis, organizational analysis and structural reform, supply chain analysis,and multinational best practices (military and industry) evaluation.
* Use logistics and agent\-based modeling and simulation.
* Conduct business process analysis and optimization across the Doctrine,Organization, Training, Materiel, Leadership, Education, Personnel, Facilities,Policy (DOTMLPF\-P) spectrum and beyond.
* Produce formal use cases, software program change requests, and otherrequired documentation for technology insertion into related defense logisticssupport software.
* Interface and liaise with software program offices and contractors.
* Develop requirements for defense analytics software.
* Conduct stakeholder analysis and create products for stakeholdercommunications and messaging.
**To Be Successful In This Role, You Will Have**
* U.S. Citizenship
* An Active Secret Clearance or an interim Secret Clearance.
* A Bachelor's degree in data science, mathematics, statistics, economics, computer science, engineering, or other related business or quantitativediscipline.
* Minimum 1 year of experience working directly on a data science team.
* Experience working with tools, including object\-oriented programming (Python, Java), computational analysis tools (R, MATLAB), and associated data science libraries (scikit\-learn).
* Experience creating meaningful data visualizations and interactive dashboards using platforms such as Tableau, Qlik, Power BI, RShiny, plotly, and d3\.js to communicate findings and relate them back to how your insights create business impact.
* Working knowledge of databases and SQL; preferred qualifications include linking analytic and data visualization products to database connections.
* Superior communication skills, both oral and written.
* Understand data science methods related to data architecture, data munging, data and feature engineering, and predictive analytics.
* Unstructured text and natural language processing.
* Experience using tools or langauges like R, Python, SAS, or MATLAB, Anaconda, IBM Blue, and Oracle Big Data to analyze large data sets and develop automated analytics in making sense of data.
* Experience using machine learning, data mining, statistical networks, natural language processing, text analytics, and graph\-based algorithms to analyze massive data sets.
* Experience developing software to generate reports and visualizations that summarize data sets and provide data\-driven insights.
* Experience developing and implementing statistical, machine learning, and heuristic techniques to create descriptive, predictive, and prescriptive analytics as well as to develop statistical tests to make data\-driven recommendations and decisions.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https://careers.serco\-na.com/us/en/what\-we\-offer . If you require an accommodation with the application process please email: careers@serco\-na.com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
 Serco is an equal opportunity employer. We evaluate qualified applicants without regard to race, color, religion, sex, sexual orientation, gender identity, national origin, disability, veteran status, and other legally protected characteristics.
**Pay Transparency**
 Our Total Rewards package includes competitive pay, performance\-based incentives, and benefits that promote well\-being and work\-life balance—so you can thrive both professionally and personally. Eligible employees also gain access to a wide range of benefits from comprehensive health coverage and health savings accounts to retirement plans, life and disability insurance, and time\-off programs that support work\-life balance. Program availability may vary based on factors such as contract type, location, hire date, and applicable collective bargaining agreements.
 Salary range: The range for this position can be found at the top of this posting. This range is provided as a general guideline and represents a good faith estimate across all experience levels. Actual base salary will be determined by a variety of factors, including but not limited to, the scope of the role, relevant experience, job\-related knowledge, education and training, key skills, and geographic market considerations. For roles available in multiple states, the range may vary to reflect differences in local labor markets. In addition to base salary, eligible positions may include other forms of compensation such as annual bonuses or long\-term incentive opportunities. Benefits – Comprehensible benefits for full\-time employees (part\-time employees receive a limited package tailored to their role):
* Medical, dental, and vision insurance
* Robust vacation and sick leave benefits, and flexible work arrangements where permitted by role or contract
* 401(k) plan that includes employer matching funds
* Tuition reimbursement program
* Life insurance and disability coverage
* Optional coverages that can be purchased, including pet insurance, home and auto insurance, additional life and accident insurance, critical illness insurance, group legal, ID theft protection
* Birth, adoption, parental leave benefits
* Employee Assistance Plan
 To review all Serco benefits please visit: https://careers.serco\-na.com/us/en/about\-us .
 Serco complies with all applicable state and local leave laws, including providing time off under the Colorado Healthy Families and Workplaces Act for eligible Colorado residents, in alignment with our policies and benefit plans. The application window for this position is for no more than 60 days. We encourage candidates to apply promptly after the posting date, as the position may close earlier if filled or if the application volume exceeds expectations. Please submit applications exclusively through Serco’s external (or internal) career site. If an applicant has any concerns with job posting compliance, please send an email to: careers@serco\-na.com .
 If you have questions about this posting, please contact support@lensa.com</t>
        </is>
      </c>
    </row>
    <row r="72">
      <c r="A72" t="inlineStr">
        <is>
          <t>li-4364744140</t>
        </is>
      </c>
      <c r="B72" t="inlineStr">
        <is>
          <t>AI-First Data Scientist</t>
        </is>
      </c>
      <c r="C72" t="inlineStr">
        <is>
          <t>ChatGPT Jobs</t>
        </is>
      </c>
      <c r="D72" t="inlineStr">
        <is>
          <t>linkedin</t>
        </is>
      </c>
      <c r="E72">
        <f>HYPERLINK("https://www.linkedin.com/jobs/view/4364744140", "https://www.linkedin.com/jobs/view/4364744140")</f>
        <v/>
      </c>
      <c r="F72">
        <f>HYPERLINK("https://chatgpt-jobs.com/job/ai-first-data-scientist-csc-generation-2446&amp;urlHash=3vUd", "https://chatgpt-jobs.com/job/ai-first-data-scientist-csc-generation-2446&amp;urlHash=3vUd")</f>
        <v/>
      </c>
      <c r="G72" t="inlineStr"/>
      <c r="H72" t="inlineStr"/>
      <c r="I72" t="inlineStr">
        <is>
          <t>**Job Description**
 AI\-First Data Scientist
 CSC Generation
 Remote Nationwide
 Full\-Time
**Job Description**
 CSC Generation is building an AI\-driven retail operating system. Our brands—including Sur La Table, One Kings Lane, and Backcountry—rely on intelligent decision\-making rooted in data. We're hiring an AI\-First Data Analyst who combines statistical know\-how with AI tooling and automation instincts.
 This is a technical, hands\-on role. You’ll build causal models, apply advanced machine learning techniques (e.g., Double ML), and develop internal data tools.
**What You Get To Do Every Day:**
* Conduct causal analysis and treatment effect estimation to guide high\-stakes decisions.
* Build AI\-powered internal tools that automate analytical tasks and surface insights.
* Develop and own dashboards and data pipelines.
* Partner directly with business leaders to translate questions into testable hypotheses.
* Identify opportunities to automate recurring analyses via custom GPTs, scripts, or workflow platforms like n8n.
* Work closely with engineering and data platform teams to improve data cleanliness, accessibility, and documentation.
**What You Bring To The Role:**
* 1–3 years of experience in data science, quantitative analysis, or machine learning.
* Bachelor’s or Master’s degree in Statistics, Economics, Computer Science, Data Science, or a related quantitative field.
* Expertise in causal inference frameworks—especially Double ML, A/B testing, and other counterfactual methods.
* Strong coding skills in Python or R; experience with SQL, Jupyter, and version control (Git).
* Comfortable building data pipelines and working with large datasets.
* Proficiency with AI tools such as ChatGPT, Claude, or custom GPTs.
* Curious, fast\-learning, and deeply motivated to solve business problems through analysis and automation.
* Experience with workflow automation (e.g., n8n, Make, Zapier) is a plus.
 What’s in it for you?
* Executive Access: Work directly with brand CEOs and senior leadership.
* AI\-First Skill Building:Get hands\-on with the most advanced AI tools in the market.
* Accelerated Career Path:High performers are quickly entrusted with greater responsibility.
* Competitive benefits:Paid time off policies, 401(k)/RRSP match, medical/dental/vision, and employee discounts.
 For US\-based candidates, this posting is intended for candidates that reside in the following states: AZ, DE, FL, GA, IN, LA, MI, MS, MO, NV, NC, OK, OR, PA, TN, TX, UT, VA, WV, WI, and WY.</t>
        </is>
      </c>
    </row>
    <row r="73">
      <c r="A73" t="inlineStr">
        <is>
          <t>li-4373522661</t>
        </is>
      </c>
      <c r="B73" t="inlineStr">
        <is>
          <t>Junior Data Scientist</t>
        </is>
      </c>
      <c r="C73" t="inlineStr">
        <is>
          <t>Lensa</t>
        </is>
      </c>
      <c r="D73" t="inlineStr">
        <is>
          <t>linkedin</t>
        </is>
      </c>
      <c r="E73">
        <f>HYPERLINK("https://www.linkedin.com/jobs/view/4373522661", "https://www.linkedin.com/jobs/view/4373522661")</f>
        <v/>
      </c>
      <c r="F73" t="inlineStr"/>
      <c r="G73" t="inlineStr">
        <is>
          <t>North Chicago, IL</t>
        </is>
      </c>
      <c r="H73" t="inlineStr"/>
      <c r="I7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Serco. Clicking "Apply Now" or "Read more" on Lensa redirects you to the job board/employer site. Any information collected there is subject to their terms and privacy notice.
**Position Description \&amp; Qualifications**
 At Serco, we foster a dynamic and collaborative work environment where team members contribute to innovative, high\-impact projects for leading government clients. We provide opportunities to solve complex challenges, improve processes, and utilize the latest technologies to deliver top\-tier products and services to our customers. The positions on this contract are located both CONUS and OCONUS in support of Army Sustainment Command (ASC).
 As a Junior Data Scientist you will play a key role in supporting Army Sustainment Command (ASC).
**In This Role, You Will**
* Perform advanced analysis and analytics to produce algorithms and/or businessprocess recommendations.
* Develop and use data, algorithms, and analyses to identify and applymechanisms to both overcome impediments to materiel readiness and exploitopportunities to improve readiness through feasible, cost\-effective software andbusiness process improvements, changes, and interventions.
* Forecast and address complex analytical challenges and identify the challengesand opportunities within systems, develop comprehensive solutions, andincorporate these capabilities solutions into software and workflows.
* Develop analytics and process solution sets, the criteria for recommendedalgorithms and processes shall include preference for efficient methods that useas simple of a process as possible given the current state\-of\-the\-art practices.The analytics and process solution sets shall provide appropriate, economicsavings\-driven answers.
* Regularly identify and communicate courses of actions required for program andproject success, including appropriate reporting processes and applicablemetrics to monitor and assess outcomes.
* Proactively identify mechanisms to improve mission performance.
* Use appropriate quantitative analytics techniques to include time series analysisand forecasting, advanced multivariate regression (including Probit and LogitModels), systems dynamics modelling, Bayesian inference procedures, minimaxprocedures (statistical), subjective probability utilization, expected utility analysis,operational risk analysis, and uncertainty evaluation.
* Use appropriate qualitative analytics techniques to include multi\-criteria decisionanalysis, qualitative comparative analysis, causal mapping, formal game theory,minimax procedures (game theory), decision architecture, systems architectureanalysis, organizational analysis and structural reform, supply chain analysis,and multinational best practices (military and industry) evaluation.
* Use logistics and agent\-based modeling and simulation.
* Conduct business process analysis and optimization across the Doctrine,Organization, Training, Materiel, Leadership, Education, Personnel, Facilities,Policy (DOTMLPF\-P) spectrum and beyond.
* Produce formal use cases, software program change requests, and otherrequired documentation for technology insertion into related defense logisticssupport software.
* Interface and liaise with software program offices and contractors.
* Develop requirements for defense analytics software.
* Conduct stakeholder analysis and create products for stakeholdercommunications and messaging.
**To Be Successful In This Role, You Will Have**
* U.S. Citizenship
* An Active Secret Clearance or an interim Secret Clearance.
* A Bachelor's degree in data science, mathematics, statistics, economics, computer science, engineering, or other related business or quantitativediscipline.
* Minimum 1 year of experience working directly on a data science team.
* Experience working with tools, including object\-oriented programming (Python, Java), computational analysis tools (R, MATLAB), and associated data science libraries (scikit\-learn).
* Experience creating meaningful data visualizations and interactive dashboards using platforms such as Tableau, Qlik, Power BI, RShiny, plotly, and d3\.js to communicate findings and relate them back to how your insights create business impact.
* Working knowledge of databases and SQL; preferred qualifications include linking analytic and data visualization products to database connections.
* Superior communication skills, both oral and written.
* Understand data science methods related to data architecture, data munging, data and feature engineering, and predictive analytics.
* Unstructured text and natural language processing.
* Experience using tools or langauges like R, Python, SAS, or MATLAB, Anaconda, IBM Blue, and Oracle Big Data to analyze large data sets and develop automated analytics in making sense of data.
* Experience using machine learning, data mining, statistical networks, natural language processing, text analytics, and graph\-based algorithms to analyze massive data sets.
* Experience developing software to generate reports and visualizations that summarize data sets and provide data\-driven insights.
* Experience developing and implementing statistical, machine learning, and heuristic techniques to create descriptive, predictive, and prescriptive analytics as well as to develop statistical tests to make data\-driven recommendations and decisions.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https://careers.serco\-na.com/us/en/what\-we\-offer . If you require an accommodation with the application process please email: careers@serco\-na.com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
 Serco is an equal opportunity employer. We evaluate qualified applicants without regard to race, color, religion, sex, sexual orientation, gender identity, national origin, disability, veteran status, and other legally protected characteristics.
**Pay Transparency**
 Our Total Rewards package includes competitive pay, performance\-based incentives, and benefits that promote well\-being and work\-life balance\-so you can thrive both professionally and personally. Eligible employees also gain access to a wide range of benefits from comprehensive health coverage and health savings accounts to retirement plans, life and disability insurance, and time\-off programs that support work\-life balance. Program availability may vary based on factors such as contract type, location, hire date, and applicable collective bargaining agreements.
 Salary range: The range for this position can be found at the top of this posting. This range is provided as a general guideline and represents a good faith estimate across all experience levels. Actual base salary will be determined by a variety of factors, including but not limited to, the scope of the role, relevant experience, job\-related knowledge, education and training, key skills, and geographic market considerations. For roles available in multiple states, the range may vary to reflect differences in local labor markets. In addition to base salary, eligible positions may include other forms of compensation such as annual bonuses or long\-term incentive opportunities. Benefits \- Comprehensible benefits for full\-time employees (part\-time employees receive a limited package tailored to their role):
* Medical, dental, and vision insurance
* Robust vacation and sick leave benefits, and flexible work arrangements where permitted by role or contract
* 401(k) plan that includes employer matching funds
* Tuition reimbursement program
* Life insurance and disability coverage
* Optional coverages that can be purchased, including pet insurance, home and auto insurance, additional life and accident insurance, critical illness insurance, group legal, ID theft protection
* Birth, adoption, parental leave benefits
* Employee Assistance Plan
 To review all Serco benefits please visit: https://careers.serco\-na.com/us/en/about\-us .
 Serco complies with all applicable state and local leave laws, including providing time off under the Colorado Healthy Families and Workplaces Act for eligible Colorado residents, in alignment with our policies and benefit plans. The application window for this position is for no more than 60 days. We encourage candidates to apply promptly after the posting date, as the position may close earlier if filled or if the application volume exceeds expectations. Please submit applications exclusively through Serco's external (or internal) career site. If an applicant has any concerns with job posting compliance, please send an email to: careers@serco\-na.com .
 If you have questions about this posting, please contact support@lensa.com</t>
        </is>
      </c>
    </row>
    <row r="74">
      <c r="A74" t="inlineStr">
        <is>
          <t>li-4373520729</t>
        </is>
      </c>
      <c r="B74" t="inlineStr">
        <is>
          <t>Research / Data Scientist</t>
        </is>
      </c>
      <c r="C74" t="inlineStr">
        <is>
          <t>Jack &amp; Jill</t>
        </is>
      </c>
      <c r="D74" t="inlineStr">
        <is>
          <t>linkedin</t>
        </is>
      </c>
      <c r="E74">
        <f>HYPERLINK("https://www.linkedin.com/jobs/view/4373520729", "https://www.linkedin.com/jobs/view/4373520729")</f>
        <v/>
      </c>
      <c r="F74" t="inlineStr"/>
      <c r="G74" t="inlineStr">
        <is>
          <t>San Francisco, CA</t>
        </is>
      </c>
      <c r="H74" t="inlineStr"/>
      <c r="I74" t="inlineStr">
        <is>
          <t>This is a job that Jill, our AI Recruiter, is recruiting for on behalf of one of our customers.
 She will pick the best candidates from Jack's network.
 The next step is to speak to Jack.
 Research / Data Scientist
**Company Description:** 
 Fast\-growing healthtech startup
**Job Description:** 
 As the lead Research / Data Scientist, you will spearhead a high\-profile retrospective analysis with a premier medical institution. You will sit at the intersection of applied machine learning and clinical research, transforming messy healthcare data into compelling evidence that influences surgical leaders and executives at top\-tier health systems globally.
**Location:** 
 Remote
**Why this role is remarkable:** 
* Lead a flagship collaboration with one of the world's most prestigious medical centers to prove clinical and economic value.
* High\-impact early role where you will define the analytical foundation for how the company demonstrates success to health systems.
* Work in a high\-ownership environment backed by top\-tier VCs with direct access to elite clinical advisors.
**What you will do:** 
* Lead end\-to\-end retrospective analyses including cohort definition, feature construction, and predictive modeling using clinical datasets.
* Collaborate closely with surgeon advisors to pressure\-test assumptions and ensure the clinical relevance of your findings.
* Translate complex statistical results into clear visual narratives and slides that articulate clinical, operational, and financial impact.
**The ideal candidate:** 
* Strong background in applied ML and statistics (Python, SQL, survival analysis) with hands\-on experience in healthcare data like EHRs or claims.
* Pragmatic, fast\-moving executor who prioritizes actionable insights and real\-world delivery over academic perfection.
* Exceptional communicator capable of engaging directly with clinical stakeholders to iterate on research questions and translate results into strategy.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75">
      <c r="A75" t="inlineStr">
        <is>
          <t>li-4373504088</t>
        </is>
      </c>
      <c r="B75" t="inlineStr">
        <is>
          <t>Data Scientist</t>
        </is>
      </c>
      <c r="C75" t="inlineStr">
        <is>
          <t>Wiraa</t>
        </is>
      </c>
      <c r="D75" t="inlineStr">
        <is>
          <t>linkedin</t>
        </is>
      </c>
      <c r="E75">
        <f>HYPERLINK("https://www.linkedin.com/jobs/view/4373504088", "https://www.linkedin.com/jobs/view/4373504088")</f>
        <v/>
      </c>
      <c r="F75" t="inlineStr"/>
      <c r="G75" t="inlineStr"/>
      <c r="H75" t="inlineStr"/>
      <c r="I75" t="inlineStr">
        <is>
          <t>**About The Company**
 Information Technology Solutions (ITS) at the University of California, Riverside, is dedicated to providing innovative and comprehensive technological services to support the university's mission of education, research, and community engagement. Committed to fostering a dynamic and inclusive environment, ITS leverages cutting\-edge technologies to enhance the experience of students, faculty, and staff. Our team is passionate about developing solutions that address complex challenges, promote efficiency, and enable the university to stay at the forefront of academic excellence and technological advancement.
**About The Role**
 We are seeking a curious, self\-motivated Junior Data Scientist to join our dynamic team. In this role, you will play a vital part in leveraging data to improve various aspects of university operations and experiences. Unlike traditional scripting roles, this position involves engaging with the full lifecycle of machine learning projects—from initial data discovery and model development to deployment and ongoing maintenance using Google Vertex AI. Additionally, you will be involved in building agentic AI systems utilizing Google ADK and deploying intelligent agents via Gemini Enterprise. This role offers an exciting opportunity to work on innovative AI initiatives that directly impact the university community.
**Qualifications**
* Bachelor’s degree in Computer Science, Data Science, Statistics, or a related field
* Experience with machine learning frameworks and libraries (e.g., TensorFlow, scikit\-learn)
* Proficiency in programming languages such as Python or R
* Familiarity with cloud platforms, particularly Google Cloud Platform (GCP) and Google Vertex AI
* Knowledge of data discovery, data cleaning, and feature engineering techniques
* Experience with deploying and maintaining machine learning models in production environments
* Understanding of AI agent development and deployment, especially using Google ADK and Gemini Enterprise
* Strong analytical, problem\-solving, and communication skills
* Ability to work independently and collaboratively in a dynamic environment
**Responsibilities**
* Manage the full machine learning lifecycle, including data discovery, model development, deployment, and maintenance using Google Vertex AI
* Develop and refine machine learning models to address university\-specific challenges and opportunities
* Build agentic AI systems utilizing Google ADK and deploy intelligent agents through Gemini Enterprise
* Collaborate with stakeholders across departments to identify data\-driven solutions and translate requirements into technical implementations
* Refine ambiguous problems into clear, actionable technical solutions in a fast\-paced environment
* Monitor, evaluate, and improve the performance of deployed models and AI agents
* Stay current with emerging trends in AI and machine learning to continuously enhance project outcomes
* Document processes, models, and system architectures to ensure maintainability and knowledge sharing
**Benefits**
* Competitive hourly salary ranging from $30\.13 to $52\.73, with an initial pay scale up to $38\.31 per hour
* Opportunity to work on innovative AI projects impacting the university community
* Flexible remote work arrangement with occasional on\-campus visits
* Professional development opportunities and exposure to cutting\-edge technologies
* Supportive work environment promoting innovation and continuous learning
 Equal Opportunity
 The University of California, Riverside, is an Equal Opportunity/Affirmative Action employer committed to excellence through diversity. All qualified applicants will receive consideration for employment without regard to race, color, religion, sex, sexual orientation, gender identity, national origin, age, disability, protected veteran status, or any other characteristic protected by law. We encourage individuals from underrepresented groups to apply and join our inclusive community.</t>
        </is>
      </c>
    </row>
    <row r="76">
      <c r="A76" t="inlineStr">
        <is>
          <t>li-4373520585</t>
        </is>
      </c>
      <c r="B76" t="inlineStr">
        <is>
          <t>Data Scientist New College Grad - Masters Degree (Santa Clara, CA)</t>
        </is>
      </c>
      <c r="C76" t="inlineStr">
        <is>
          <t>Lensa</t>
        </is>
      </c>
      <c r="D76" t="inlineStr">
        <is>
          <t>linkedin</t>
        </is>
      </c>
      <c r="E76">
        <f>HYPERLINK("https://www.linkedin.com/jobs/view/4373520585", "https://www.linkedin.com/jobs/view/4373520585")</f>
        <v/>
      </c>
      <c r="F76" t="inlineStr"/>
      <c r="G76" t="inlineStr">
        <is>
          <t>Santa Clara, CA</t>
        </is>
      </c>
      <c r="H76" t="inlineStr"/>
      <c r="I7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Applied Materials. Clicking "Apply Now" or "Read more" on Lensa redirects you to the job board/employer site. Any information collected there is subject to their terms and privacy notice.
**Who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**Salary**
**What We Offer**
 $119,500\.00 \- $164,500\.00
 Location:
 Santa Clara,CA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(https://hrportal.ehr.com/applied/) .
**Key Responsibilities**
* Supports the design and development of program methods, processes, and systems to consolidate and analyze structured and unstructured, diverse "big data" sources
* Supports ad\-hoc statistical and data mining analysis, using statistical tools like R, SAS and MATlab
* Interfaces with internal customers for requirements analysis and compiles data for scheduled or special reports and analysis
* Supports project teams to develop analytical models, algorithms, and automated processes, applying SQL understanding and Python programming, to cleanse, integrate and evaluate large datasets.
* Supports the timely development of products for manufacturing and process information by applying sophisticated data analytics
* Create visualizations and reports to communicate findings effectively to both technical and non\-technical stakeholders
* Conduct hypothesis tests to validate assumptions and make data\-driven decisions
* Develop, implement, and fine\-tune machine learning models to solve specific business problems, such as predictive analytics, recommendation systems, or demand forecasting
**Requirements**
* Master's in computer science, Data Science, or a related field
* Strong analytical and problem\-solving skills
* Proficiency in data manipulation and analysis using tools like Python, R.
* Proficiency in database query languages like SQL, Hive, Pig is desirable. Familiarity with Scala, Java, or C\+\+ is an added advantage.
* Experience using business intelligence tools (e.g., Tableau) and data frameworks (e.g., Databricks)
* Basic understanding of machine learning concepts
* Excellent communication and teamwork abilities
**Functional Knowledge**
* Demonstrates expanded conceptual knowledge in own discipline and broadens capabilities
**Business Expertise**
* Understands key business drivers; uses this understanding to accomplish own work
**Leadership**
* No supervisory responsibilities but provides informal guidance to new team members
**Problem Solving**
* Solves problems in straightforward situations; analyzes possible solutions using technical experience and judgment and precedents
**Impact**
* Impacts quality of own work and the work of others on the team; works within guidelines and policies
**Interpersonal Skills**
* Explains complex information to others in straightforward situations
**Education:** 
 Master's Degree
**Experience:** 
 0 \- 2 Years
**Additional Information**
**Time Type:**
 Full time
**Employee Type**
 New College Grad
**Travel**
 Yes, 10% of the Time
**Relocation Eligible:**
 Yes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
 In addition, Applied endeavors to make our careers site (https://www.appliedmaterials.com/us/en/careers.html) accessible to all users. If you would like to contact us regarding accessibility of our website or need assistance completing the application process, please contact us via e\-mail at Accommodations\_Program@amat.com, or by calling our HR Direct Help Line at 877\-612\-7547, option 1, and following the prompts to speak to an HR Advisor. This contact is for accommodation requests only and cannot be used to inquire about the status of applications.
 If you have questions about this posting, please contact support@lensa.com</t>
        </is>
      </c>
    </row>
    <row r="77">
      <c r="A77" t="inlineStr">
        <is>
          <t>li-4373517472</t>
        </is>
      </c>
      <c r="B77" t="inlineStr">
        <is>
          <t>Sr. Data Scientist | Up to $125/hr</t>
        </is>
      </c>
      <c r="C77" t="inlineStr">
        <is>
          <t>Mercor</t>
        </is>
      </c>
      <c r="D77" t="inlineStr">
        <is>
          <t>linkedin</t>
        </is>
      </c>
      <c r="E77">
        <f>HYPERLINK("https://www.linkedin.com/jobs/view/4373517472", "https://www.linkedin.com/jobs/view/4373517472")</f>
        <v/>
      </c>
      <c r="F77">
        <f>HYPERLINK("https://work.mercor.com/jobs/list_AAABnDPXMbG78_w_2jFKOpwr?utm_source=linkedin&amp;utm_medium=job_slot&amp;utm_campaign=auto&amp;utm_content=list_AAABnDPXMbG78_w_2jFKOpwr&amp;utm_term=sr-data-scientist-up-to-125hr-us-f12550&amp;urlHash=UCu_", "https://work.mercor.com/jobs/list_AAABnDPXMbG78_w_2jFKOpwr?utm_source=linkedin&amp;utm_medium=job_slot&amp;utm_campaign=auto&amp;utm_content=list_AAABnDPXMbG78_w_2jFKOpwr&amp;utm_term=sr-data-scientist-up-to-125hr-us-f12550&amp;urlHash=UCu_")</f>
        <v/>
      </c>
      <c r="G77" t="inlineStr"/>
      <c r="H77" t="inlineStr"/>
      <c r="I77" t="inlineStr">
        <is>
          <t>**About The Job**
**Mercor** 
 connects elite creative and technical talent with leading AI research labs. Headquartered in San Francisco, our investors include
 **Benchmark** 
 ,
 **General Catalyst** 
 ,
 **Peter Thiel** 
 ,
 **Adam D'Angelo** 
 ,
 **Larry Summers** 
 , and
 **Jack Dorsey** 
 .
**Position:** 
 Data Scientist IV
**Type:** 
**Onsite**
**Compensation:** 
**$105–$125/hour**
**Location:** 
**NYC**
**Role Responsibilities**
* Execute, debug, and optimize distributed compute workflows for metric computation, analysis, and modeling across large datasets.
* Apply knowledge of statistics, machine learning, programming, data modeling, and advanced mathematics to recognize patterns and identify opportunities.
* Design, develop, and evaluate predictive models and advanced algorithms for optimal value extraction from biosensor data.
* Generate and test hypotheses, analyzing and interpreting results of product experiments.
* Collaborate with engineers to translate prototypes into new products, services, and features, providing guidelines for large\-scale implementation.
* Leverage data visualization to guide future R\&amp;D directions.
**Qualifications**
**Must\-Have**
* Experience with hardware sensors and data analysis of real\-world data.
* Experience with signal processing for time domain signals and/or medical imaging systems.
* Experience presenting findings from statistical and machine learning methods to diverse audiences.
* Experience working with large datasets.
* 3\+ years of experience in data extraction, manipulation, and visualization using Python, R, MATLAB, or SQL.
* Proficiency in data structures and algorithms.
* Experience with scientific computing and analysis packages such as NumPy, SciPy, Pandas, Scikit\-learn, dplyr, caret.
* Experience with data visualization libraries such as Matplotlib, Pyplot, seaborn, ggplot2\.
**Preferred**
* Master's or PhD in computer science, statistics, neuroscience, biomedical engineering, or other relevant field.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78">
      <c r="A78" t="inlineStr">
        <is>
          <t>li-4373513455</t>
        </is>
      </c>
      <c r="B78" t="inlineStr">
        <is>
          <t>Sr. Data Scientist | Up to $110/hr</t>
        </is>
      </c>
      <c r="C78" t="inlineStr">
        <is>
          <t>Mercor</t>
        </is>
      </c>
      <c r="D78" t="inlineStr">
        <is>
          <t>linkedin</t>
        </is>
      </c>
      <c r="E78">
        <f>HYPERLINK("https://www.linkedin.com/jobs/view/4373513455", "https://www.linkedin.com/jobs/view/4373513455")</f>
        <v/>
      </c>
      <c r="F78">
        <f>HYPERLINK("https://work.mercor.com/jobs/list_AAABnDPXQpGsWbcS0qJPXpa4?utm_source=linkedin&amp;utm_medium=job_slot&amp;utm_campaign=auto&amp;utm_content=list_AAABnDPXQpGsWbcS0qJPXpa4&amp;utm_term=sr-data-scientist-up-to-110hr-us-159a76&amp;urlHash=_H8c", "https://work.mercor.com/jobs/list_AAABnDPXQpGsWbcS0qJPXpa4?utm_source=linkedin&amp;utm_medium=job_slot&amp;utm_campaign=auto&amp;utm_content=list_AAABnDPXQpGsWbcS0qJPXpa4&amp;utm_term=sr-data-scientist-up-to-110hr-us-159a76&amp;urlHash=_H8c")</f>
        <v/>
      </c>
      <c r="G78" t="inlineStr"/>
      <c r="H78" t="inlineStr"/>
      <c r="I78" t="inlineStr">
        <is>
          <t>**About The Job**
**Mercor** 
 connects elite creative and technical talent with leading AI research labs. Headquartered in San Francisco, our investors include
 **Benchmark** 
 ,
 **General Catalyst** 
 ,
 **Peter Thiel** 
 ,
 **Adam D'Angelo** 
 ,
 **Larry Summers** 
 , and
 **Jack Dorsey** 
 .
**Position:** 
 Data Science Contractor
**Type:** 
**Contract**
**Compensation:** 
**$90–$110/hour**
**Location:** 
**Onsite at MPK**
**Role Responsibilities**
* Conduct rigorous analysis of complex datasets to identify trends and actionable insights in the ecosystem.
* Design and maintain critical metrics to measure ecosystem health, growth, and engagement.
* Develop and execute structured experiments to evaluate new features and strategies.
* Engage with cross\-functional teams to define requirements and deliver insights.
* Construct dashboards and reports to communicate findings to stakeholders.
* Provide timely analytical responses to urgent business inquiries.
**Qualifications**
**Must\-Have**
* Bachelor's degree or Master's in Data Science, Statistics, Computer Science, Economics, or related field.
* 5\+ years of professional experience in data science or analytics.
* Proficiency in SQL and one programming language (Python, R).
* Experience with data visualization tools (Tableau, Unidash, Metrics360\).
* Exceptional communication skills for presenting complex findings.
* Ability to work autonomously in a dynamic environment.
**Preferred**
* Experience with large\-scale data infrastructure in tech ecosystems.
* Familiarity with tools like Presto, Scuba, Hive.
* Knowledge of experiment design and causal inference methodologies.
**Compensation \&amp; Legal**
* Hourly contractor, Paid weekly via Stripe Connect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79">
      <c r="A79" t="inlineStr">
        <is>
          <t>li-4373515542</t>
        </is>
      </c>
      <c r="B79" t="inlineStr">
        <is>
          <t>Senior Data Scientist f/h</t>
        </is>
      </c>
      <c r="C79" t="inlineStr">
        <is>
          <t>Team-X</t>
        </is>
      </c>
      <c r="D79" t="inlineStr">
        <is>
          <t>linkedin</t>
        </is>
      </c>
      <c r="E79">
        <f>HYPERLINK("https://www.linkedin.com/jobs/view/4373515542", "https://www.linkedin.com/jobs/view/4373515542")</f>
        <v/>
      </c>
      <c r="F79" t="inlineStr"/>
      <c r="G79" t="inlineStr">
        <is>
          <t>Mission, TX</t>
        </is>
      </c>
      <c r="H79" t="inlineStr"/>
      <c r="I79" t="inlineStr">
        <is>
          <t>**categoryTech:** 
 TeamX TECH
**Job Type:** 
 CDI
**Job Location:** 
 Ile\-de\-France
**Toutes catégories:** 
 TeamX TECH
 Senior Data Scientist f/h
 En tant que responsable de la gestion et de l’analyse des données, vous savez exploiter et faire “parler” la DATA ; )
**Votre Rôle**
**Pour notre client, vous devrez :**
* Définir un plan stratégique afin de déterminer les enjeux, restituer les enseignements et déterminer les objectifs à atteindre;
* Explorer et extraire les données utilisables à partir de sources de données précieuses ;
* Réaliser le prétraitement des données structurées et non structurées ;
* Améliorer les procédures de collecte de données pour inclure toutes les informations pertinentes dans le développement de systèmes analytiques ;
* Permettre l’accompagnement, le nettoyage et la validation de l’intégrité des données pour l’analyse ;
* Expertiser de grandes quantités d’informations pour trouver des modèles et des solutions ;
* Expertiser des outils d’apprentissage automatique pour sélectionner des fonctionnalités, créer et optimiser des classificateurs;
* Développer des systèmes de prédiction et des algorithmes d’apprentissage automatique ;
* Savoir retranscrire les résultats de façon pertinentes ;
* …
**Votre Profil**
* Expérience avérée en tant qu’analyste de données ou scientifique de données ;
* Solides compétences en programmation ;
* Très bonnes notions des langages de programmation statistique comme Python et des langages de requête de base de données comme SQL. La connaissance de Scala, Java ou C\+\+ est un avantage supplémentaire.
* Appliquer les principes du génie logiciel, des systèmes de bases de données, de l’analyse numérique, de l’intelligence artificielle, de l’interaction homme/ordinateur, etc.
* Détecter des modèles et des anomalies dans les données.
* Bonnes connaissances des méthodes/outils d’apprentissage automatique comme AWS Sagemaker ou Tensorflow ;
* Expérience avec des outils de visualisation de données comme matplotlib, ggplot, d3\.js.
**Votre Background**
 🎓 Éducation : Bac \+4/5 – Master
 💼 Expérience : \&gt; 5 ans
**Contrat**
 Mission en CDI
**Lieu**
 📍Ile\-de\-France
**Quelques Bonnes Raisons De Nous Rejoindre**
**Qui sommes nous ?**
**Passionnée du web et du digital, Team\-X, société labélisée Happy@Work et Tech@Work,** 
 œuvre depuis 20 ans pour sauver le monde, voire l’univers ! 🪐
**Nos missions :** 
 proposer à
 **nos clients un accompagnement sur\-mesure** 
 🎯 et nous assurer que
 **nos collaborateurs bénéficient d’un suivi et de missions à la hauteur de leurs espérances** 
 💯.
**Nous Rejoindre C’est**
**💶 Un salaire fixe compétitif** 
 : notre grille salariale évolutive tient compte d’une formule adaptée au coût de la vie et de vos expériences.
**💸 Un package attractif :** 
 nos recrues perçoivent plusieurs compléments à leur salaire fixe pour récompenser leur investissement.
 🦾
 **Des outils à la pointe de la tech** 
 pour faciliter votre travail collaboratif (suite office 365, Télégram, Teams, Trello, OneDrive, BoondManager, coffre\-fort numérique \&amp; un accès privé sur notre site internet).
 👩🏽‍💻 Un modèle de travail hybride avec
 **3 jours de télétravail par semaine** 
 (au siège).
 🏥
 **Une mutuelle haut de gamme** 
 et une prévoyance premium prise en charge à 50%
 🦄 Du temps : un bien précieux avec
 **36 jours de congés / an** 
 et
 **4 jours de plus pour vous former.**
 🍴 Si pour vous aussi, la bouffe c’est la vie, nous offrons une indemnité repas journalière à 2 chiffres avec notre partenaire
 **SWILE !**
 🎪 Team Bulding Event :
 **2 événements par mois,** 
 pour créer du lien et entretenir la flamme.
**🧰 L’accès à une plateforme de plusieurs centaines de formations en ligne pour se former** 
 et se faire certifier ainsi que de nombreuses formations dispensées en interne.
**🧙‍♂️ Un encadrement et un coaching privilégié,** 
 avec entre autres un management dédié, un modèle de progression adapté à chacun et un triple suivi de carrière (RH, Technique et projets).
 …</t>
        </is>
      </c>
    </row>
    <row r="80">
      <c r="A80" t="inlineStr">
        <is>
          <t>li-4373533262</t>
        </is>
      </c>
      <c r="B80" t="inlineStr">
        <is>
          <t>Data Scientist 2 - Active TS/SCI w/poly clearance required</t>
        </is>
      </c>
      <c r="C80" t="inlineStr">
        <is>
          <t>CyberTrend Engineering LLC</t>
        </is>
      </c>
      <c r="D80" t="inlineStr">
        <is>
          <t>linkedin</t>
        </is>
      </c>
      <c r="E80">
        <f>HYPERLINK("https://www.linkedin.com/jobs/view/4373533262", "https://www.linkedin.com/jobs/view/4373533262")</f>
        <v/>
      </c>
      <c r="F80" t="inlineStr"/>
      <c r="G80" t="inlineStr">
        <is>
          <t>Annapolis Junction, MD</t>
        </is>
      </c>
      <c r="H80" t="inlineStr"/>
      <c r="I80" t="inlineStr">
        <is>
          <t>View all jobs
 Data Scientist 2 \- Active TS/SCI w/poly clearance required
 Annapolis Junction, Maryland
* Computer/Software
 CyberTrend’s leadership has 40 years of experience in the industry, and the company continues to serve as a technology leader on many defense projects and programs. Formed in 2010, CyberTrend has long\-standing partnerships and clients, including partners like AWS and IBM, government agencies, the intelligence community, and defense contractors. We provide talented and exceptionally qualified IT, architectural, system, and software engineering personnel.
**Requires TS/SCI with Poly Clearance**
 A data scientist will develop machine learning, data mining, statistical and graph\-based algorithms to analyze and make sense of datasets; prototype or consider several algorithms and decide upon final model based on suitable performance metrics; build models or develop experiments to generate data when training or example datasets are unavailable; generate reports and visualizations that summarize datasets and provide data\-driven insights to customers; partner with subject matter experts to translate manual data analysis into automated analytics; implement prototype algorithms within production frameworks for integration into analyst workflows.
**Requirements**
 Bachelor's degree from an accredited college or university in a quantitative discipline (e.g., statistics, mathematics, operations research, engineering or computer science). Five (5\) years of experience analyzing datasets and developing analytics, five (5\) years of experience programming with data analysis software such as R, Python, SAS, or MATLAB. An additional four (4\) years of experience in software development, cloud development, analyzing datasets, or developing descriptive, predictive, and prescriptive analytics can be substituted for a Bachelor's degree. A PhD from an accredited college or university in a quantitative discipline can be substituted for four (4\) years of experience.
* Programming Languages: Python, and R.
* Statistical Analysis
* Maching Learning with TensorFlow and Scikit\-Learn
* Data wrangling
* Database management
* Data visualization
**Benefits**
* Generous and competitive paid time off, scaled based on time in service, plus eleven paid annual holidays.
* CyberTrend pays 100% of the cost for the following benefits for its full\-time employees: including medical (base plan), dental, vision, disability, life, EAP, and more.
* CyberTrend contributes 10% of your monthly gross salary to a SEP\-IRA account. This retirement plan is non\-contributory for the employee, has no vesting period, and is 100% owned and managed by the employee.
* Educational assistance up to $5,250 annually for work\-related acitivies upon prior approval
* Training assistance up to $3,000 annually for work\-related activities upon prior approval
 CyberTrend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Recruiting Team
 CyberTrend Engineering, LLC
 recruitment@cybertrendeng.com</t>
        </is>
      </c>
    </row>
    <row r="81">
      <c r="A81" t="inlineStr">
        <is>
          <t>li-4373525584</t>
        </is>
      </c>
      <c r="B81" t="inlineStr">
        <is>
          <t>Data Scientist III - Active TS/SCI w/poly clearance required</t>
        </is>
      </c>
      <c r="C81" t="inlineStr">
        <is>
          <t>CyberTrend Engineering LLC</t>
        </is>
      </c>
      <c r="D81" t="inlineStr">
        <is>
          <t>linkedin</t>
        </is>
      </c>
      <c r="E81">
        <f>HYPERLINK("https://www.linkedin.com/jobs/view/4373525584", "https://www.linkedin.com/jobs/view/4373525584")</f>
        <v/>
      </c>
      <c r="F81" t="inlineStr"/>
      <c r="G81" t="inlineStr">
        <is>
          <t>Annapolis Junction, MD</t>
        </is>
      </c>
      <c r="H81" t="inlineStr"/>
      <c r="I81" t="inlineStr">
        <is>
          <t>View all jobs
 Data Scientist III \- Active TS/SCI w/poly clearance required
 Annapolis Junction, Maryland
* Computer/Software
 CyberTrend’s leadership has 40 years of experience in the industry, and the company continues to serve as a technology leader on many defense projects and programs. Formed in 2010, CyberTrend has long\-standing partnerships and clients, including partners like AWS and IBM, government agencies, the intelligence community, and defense contractors. We provide talented and exceptionally qualified IT, architectural, system, and software engineering personnel.
**Requires TS/SCI with Poly Clearance**
 A data scientist will develop machine learning, data mining, statistical and graph\-based algorithms to analyze and make sense of datasets; prototype or consider several algorithms and decide upon final model based on suitable performance metrics; build models or develop experiments to generate data when training or example datasets are unavailable; generate reports and visualizations that summarize datasets and provide data\-driven insights to customers; partner with subject matter experts to translate manual data analysis into automated analytics; implement prototype algorithms within production frameworks for integration into analyst workflows.
**Required Skills**
 The Data Scientist will support and contribute to the ever\-growing complexity behind the data our customer analytics ingest. The Data Scientist will be able to analyze and provide insight in new and existing data sets; these insights will allow the customer to better implement and optimize analytic suites. The customer has plans to expand their analytic capabilities to utilize AI/ML along with graph\-based technologies and frameworks.
* Bachelor's degree or higher from an accredited college or university in a quantitative discipline (e.g., statistics, mathematics, operations research, engineering or computer science).
* A minimum of ten (10\) years of experience in two (2\) or more of the following: designing/implementing machine learning, data mining, advanced analytical algorithms, advanced statistical analysis, artificial intelligence, or software engineering with data analysis software such as R, Python, SAS, or MATLAB.
* An additional four (4\) years of experience in software development, cloud development, analyzing datasets, or developing descriptive, predictive, and prescriptive analytics can be substituted for a Bachelor's degree.
* A Master's Degree from an accredited college or university in a quantitative discipline can be substituted for two (2\) years of experience for a total of eight (8\) years of experience required. A Doctoral Degree from an accredited college or university in a quantitative discipline can be substituted for four (4\) years of experience for a total of six (6\) years of experience required.
**Benefits**
* Generous and competitive paid time off, scaled based on time in service, plus eleven paid annual holidays.
* CyberTrend pays 100% of the cost for the following benefits for its full\-time employees: including medical (base plan), dental, vision, disability, life, EAP, and more.
* CyberTrend contributes 10% of your monthly gross salary to a SEP\-IRA account. This retirement plan is non\-contributory for the employee, has no vesting period, and is 100% owned and managed by the employee.
* Educational assistance up to $5,250 annually for work\-related acitivies upon prior approval
* Training assistance up to $3,000 annually for work\-related activities upon prior approval
 CyberTrend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Recruiting Team
 CyberTrend Engineering, LLC
 recruitment@cybertrendeng.com</t>
        </is>
      </c>
    </row>
    <row r="82">
      <c r="A82" t="inlineStr">
        <is>
          <t>li-4373220561</t>
        </is>
      </c>
      <c r="B82" t="inlineStr">
        <is>
          <t>Senior Associate, Data Scientist, Obesity</t>
        </is>
      </c>
      <c r="C82" t="inlineStr">
        <is>
          <t>BioSpace</t>
        </is>
      </c>
      <c r="D82" t="inlineStr">
        <is>
          <t>linkedin</t>
        </is>
      </c>
      <c r="E82">
        <f>HYPERLINK("https://www.linkedin.com/jobs/view/4373220561", "https://www.linkedin.com/jobs/view/4373220561")</f>
        <v/>
      </c>
      <c r="F82" t="inlineStr"/>
      <c r="G82" t="inlineStr">
        <is>
          <t>Thousand Oaks, CA</t>
        </is>
      </c>
      <c r="H82" t="inlineStr"/>
      <c r="I82" t="inlineStr">
        <is>
          <t>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**Senior Associate, Data Scientist, Obesity**
**What You Will Do**
 The Senior Associate, Data Scientist role within
 **Commercial Data \&amp; Analytics (CD\&amp;A)** 
 is a handson analytics position supporting commercial strategy, performance measurement, and decisionmaking across Amgens portfolio. Based in Thousand Oaks, this role applies advanced analytics, statistical modeling, and data science techniques to commercial business questions and partners closely with crossfunctional teams to deliver actionable insights.
 This position is designed for an earlycareer data scientist who demonstrates strong execution, technical rigor, and the ability to translate analytical outputs into businessrelevant insights. The role does not have direct reports.
**Commercial Analytics \&amp; Data Science**
* Develop, maintain, and enhance analytical and data science solutions to support commercial decisionmaking (e.g., forecasting inputs, patient/market segmentation, performance analytics)
* Apply statistical and machinelearning techniques to large, complex commercial datasets
* Conduct exploratory data analysis, feature engineering, and model validation
* Interpret results with an understanding of commercial context and data limitations
**Data \&amp; Technical Execution**
* Write and optimize SQL queries to extract, transform, and analyze data from enterprise data sources
* Work with cloudbased analytics environments and curated data assets
* Support repeatable analytics workflows and model deployment processes
* Develop dashboards and visualizations using tools such as Tableau or Spotfire
**Business Partnership**
* Translate business questions from marketing, forecasting, insights, and leadership teams into analytical approaches
* Communicate findings clearly to both technical and nontechnical audiences
* Support ongoing commercial reviews, planning activities, and adhoc analyses
* Collaborate closely with forecasting, insights, data strategy, and technology partners within CD\&amp;A
**Ways of Working**
* Manage multiple analytical priorities in a fastpaced commercial environment
* Apply structured problemsolving and sound judgment in analytical design
* Ensure adherence to data governance, compliance, and documentation standards
**What we expect of you**
 We are all different, yet we all use our unique contributions to serve patients. The professional we seek will come with these qualifications.
**Basic Qualifications**
 Masters degree
 OR
 Bachelors degree and 2 years of relevant analytics or data science experience
 Or
 Associates degree and 6 years of relevant analytics or data science experience
 Or
 High school diploma / GED and 8 years of relevant analytics or data science experience
**Preferred Qualifications**
* Proficiency in Python and/or R
* Strong experience with SQL and relational databases
* Experience with Tableau, Spotfire, or similar visualization tools
* Familiarity with cloud analytics platforms (e.g., Databricks, Azure, AWS)
* Understanding of statistical modeling and machinelearning concepts
* Ability to synthesize complex analyses into clear, businessfocused insights
* Experience in pharmaceutical, biotech, healthcare, or commercial analytics preferred
* Strong collaboration and communication skills in a matrixed organization
 What you can expect from us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where possible. Refer to the Work Location Type in the job posting to see if this applies.
 Apply now and make a lasting impact with the Amgen team.
**careers.amgen.com**
 In any materials you submit, you may redact or remove age\-identifying information such as age, date of birth, or dates of school attendance or graduation. You will not be penalized for redacting or removing this information.
 Application deadline
 Amgen does not have an application deadline for this position; we will continue accepting applications until we receive a sufficient number or select a candidate for the position.
 Sponsorship
 Sponsorship for this role is not guaranteed.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Amgen is an Equal Opportunity employer and will consider you without regard to your race, color, religion, sex, sexual orientation, gender identity, national origin, protected veteran status, or disability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2026-02-16T03:04:07Z</dcterms:created>
  <dcterms:modified xsi:type="dcterms:W3CDTF">2026-02-16T03:04:07Z</dcterms:modified>
</cp:coreProperties>
</file>