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in-0d74c0a6db1a2329</t>
        </is>
      </c>
      <c r="B2" t="inlineStr">
        <is>
          <t>Crisis Program Manager</t>
        </is>
      </c>
      <c r="C2" t="inlineStr">
        <is>
          <t>Lifeways, Inc.</t>
        </is>
      </c>
      <c r="D2" t="inlineStr">
        <is>
          <t>indeed</t>
        </is>
      </c>
      <c r="E2" t="inlineStr"/>
      <c r="F2" t="inlineStr"/>
      <c r="G2" t="inlineStr">
        <is>
          <t>Ontario, OR, US</t>
        </is>
      </c>
      <c r="H2" s="2" t="n">
        <v>46067</v>
      </c>
      <c r="I2" t="inlineStr">
        <is>
          <t>**Essential Duties and Responsibilities** *(This is not an exhaustive list of all duties/responsibilities. Other duties may be assigned)*
* Provide leadership and strong dedication to developing, implementing, and delivering evidence\-based intensive and crisis\-oriented services for individuals with serious mental illness and individuals with co\-occurring disorders.
* Provide oversight and programmatic leadership for intensive services including, but not limited to, a 23\-Hour Crisis Stabilization Center, Mobile Crisis Intervention Services (MCIS), jail diversion, AID, ASSIST, and other high\-acuity or diversionary programs.
* Manage and provide oversight of 24/7 on\-call staffing, including clinical and administrative on\-call responsibilities, ensuring appropriate coverage, response, decision\-making, and follow\-up.
* Ensure programs operate in compliance with applicable Oregon Administrative Rules (OARs), contracts, and best\-practice standards related to crisis, involuntary services, and diversion programs.
* Provide timely and accurate reports regarding program operations, utilization, outcomes, staffing, and performance measures.
* Monitor productivity, service delivery expectations, and documentation standards across all intensive programs.
* Assist supervisory and clinical staff with professional development planning; provide timely, constructive feedback; and conduct performance evaluations as scheduled.
* Oversee hiring, onboarding, training, and retention of assigned clinical and supportive staff within intensive services programs.
* Ensure appropriate clinical and operational supervision structures are in place, including individual and group supervision, to support staff working in high\-acuity and crisis\-driven environments.
* Observe and review treatment interventions, crisis response activities, and care coordination practices; provide constructive feedback to enhance quality of care, safety, and clinical effectiveness.
* Review comprehensive program and staff reports monthly, including chart audits, service delivery review, client contact, critical incidents, and compliance indicators; identify trends, risks, and training needs.
* Serve as a key liaison with community partners including hospitals, law enforcement, jails, courts, emergency services, and other stakeholders involved in crisis response and diversion efforts.
* Represent the organization in community meetings, interagency collaborations, public forums, and professional organizations related to crisis, intensive, and diversion services.
* Lead, mentor, and support an effective interdisciplinary team capable of working in fast\-paced, high\-stress environments.
Required:
* Program managers in intensive and crisis mental health programs must meet the State of Oregon’s Qualified Mental Health Provider (QMHP) requirements, including completion of two years of post\-graduate clinical experience in a mental health treatment setting
* Minimum of five (5\) years of experience working in behavioral health/mental health and/or alcohol and drug counseling settings
* Minimum of three (3\) years of leadership or supervisory experience in a behavioral health or related setting
* Demonstrated knowledge of regulations, laws, and standards governing mental health and addiction services, including current OARs, ethics, confidentiality, privacy, involuntary services, and crisis response
* Must be registered with the appropriate state licensing board and hold a valid independent clinical license in the State of Oregon, or be able to obtain independent clinical licensure within six (6\) months of hire
* Valid driver’s license
* Successful completion of background check
**Preferred:**
* Bilingual in English/Spanish</t>
        </is>
      </c>
    </row>
    <row r="3">
      <c r="A3" t="inlineStr">
        <is>
          <t>in-704265ea44088db4</t>
        </is>
      </c>
      <c r="B3" t="inlineStr">
        <is>
          <t>Benefits Training Program Manager</t>
        </is>
      </c>
      <c r="C3" t="inlineStr">
        <is>
          <t>City of Winchester, VA</t>
        </is>
      </c>
      <c r="D3" t="inlineStr">
        <is>
          <t>indeed</t>
        </is>
      </c>
      <c r="E3" t="inlineStr"/>
      <c r="F3" t="inlineStr"/>
      <c r="G3" t="inlineStr">
        <is>
          <t>Winchester, VA, US</t>
        </is>
      </c>
      <c r="H3" s="2" t="n">
        <v>46067</v>
      </c>
      <c r="I3" t="inlineStr">
        <is>
          <t>**Description**
---------------
Duties and Responsibilities:
* Coordinates onboarding of new Benefit Programs Specialists and provides comprehensive training in SNAP and Medicaid policy and practice;
* Develops and manages refresher SNAP and Medicaid materials and trainings for tenured employees;
* Trains and mentors employees in eligibility case reading standards and practices;
* Ensures training compliance by managing team training records and reports;
* Provides case consultation on state and federal regulations and eligibility systems to Benefit Programs Specialists;
* Coordinates compilation of data, reporting, and corrective actions;
* Coordinates agency initiatives, community outreach, and special projects;
* Other duties as assigned.
Requirements:* Bachelor’s degree in the human services field and human services program experience in a lead or supervisory capacity or any equivalent combination of training and experience which provides the required knowledge, skills, and abilities;
* Valid driver's license
* Knowledge of Virginia's Social Services system with significant hands\-on experience in Benefit Programs preferred
The City of Winchester is an Equal Opportunity Employer and will consider all qualified applicants without regard to race, color, age, religion, sex, sexual orientation, gender identity, genetic information, national origin, disability, protected veteran status or any other classification protected by law.</t>
        </is>
      </c>
    </row>
    <row r="4">
      <c r="A4" t="inlineStr">
        <is>
          <t>in-99c6154abceec31d</t>
        </is>
      </c>
      <c r="B4" t="inlineStr">
        <is>
          <t>Technical Program Manager</t>
        </is>
      </c>
      <c r="C4" t="inlineStr">
        <is>
          <t>Saildrone</t>
        </is>
      </c>
      <c r="D4" t="inlineStr">
        <is>
          <t>indeed</t>
        </is>
      </c>
      <c r="E4" t="inlineStr"/>
      <c r="F4" t="inlineStr"/>
      <c r="G4" t="inlineStr">
        <is>
          <t>Alameda, CA, US</t>
        </is>
      </c>
      <c r="H4" s="2" t="n">
        <v>46067</v>
      </c>
      <c r="I4" t="inlineStr">
        <is>
          <t>**About Us**
With more than 2 million nautical miles sailed and 50,000 days at sea, Saildrone has earned the trust of governments worldwide. Our unmanned surface vehicles (USVs) deliver continuous, real\-time intelligence in the toughest oceans on Earth—giving our partners faster awareness, stronger security, and a decisive edge at sea.
Our USVs are long\-range, extreme\-endurance platforms powered by advanced sensors and proprietary AI \- they have been designed to operate where no crewed vessel can. They collect critical insights above and below the surface to support border security, law enforcement, naval operations, and undersea infrastructure protection.
Headquartered in Alameda, CA, with offices in Washington, DC, and global deployment hubs, Saildrone operates missions worldwide. Join a fast\-moving, mission\-driven team at the intersection of AI, autonomy, and defense technology—where data turns into intelligence, and intelligence drives action.
 **The Role**
We’re seeking an experienced Technical Program Manager to drive execution for our Vehicle and Onboard engineering programs. You will partner with mechanical, firmware, and software teams to deliver new vehicle capabilities, improved reliability, and mission\-ready performance.
This role leads cross\-functional program planning, execution, and reporting to keep engineering schedules, priorities, and dependencies aligned. You will drive clarity and coordination across teams by developing shared systems and processes that enable effective delivery.
The ideal candidate combines strong technical fluency with program management rigor, thrives in fast\-paced environments, and communicates effectively from engineers to executives.
 **What You’ll Do**
* Lead program planning and delivery for Saildrone’s vehicle classes, aligning scope, schedule, and resources across engineering teams.
* Partner with Mechanical, Electrical, Firmware, and Software leads to ensure integration and readiness for each vehicle build.
* Drive PDLC consistency by building scalable systems, tools, and processes for execution and release management.
* Maintain clear visibility into team workload and progress through Jira dashboards, reports, and Advanced Roadmaps.
* Coordinate testing, production readiness, and cross\-team dependencies with NPI, Production, and Supply Chain.
* Identify and manage program risks, enabling data\-driven tradeoffs on scope, schedule, and quality.
* Provide concise leadership updates and executive briefings on program health, milestones, and decisions.
 **Required Skills and Experience**
* 3\-5\+ years of Technical Program Management experience delivering complex hardware \+ software products.
* Proven ability to manage engineering schedules, dependencies, and tradeoffs across multiple disciplines.
* Expertise in Jira configuration, dashboards, and Advanced Roadmaps.
* Experience collaborating with manufacturing and supply chain partners.
* Strong communication, organization, and stakeholder management skills.
* Bachelor’s degree in Systems, Mechanical, Electrical, or Software Engineering (or equivalent experience).
 **Desired Skills and Experience**
* Background in robotics, autonomous systems, or marine vehicles.
* Experience with systems engineering principles and hardware release processes.
* Strong technical understanding and credibility with cross\-functional engineering teams.
* History of designing or scaling program systems that improved delivery consistency and execution discipline.
 **Location**: This position is in Alameda, CA. Our waterfront office offers beautiful views of San Francisco Bay in always\-sunny Alameda.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**Benefits**:
* Paid time off, including vacation, bereavement, jury duty, sick time and parental leave
* Comprehensive and competitive medical, dental and vision plans, and HSA with employer matching.
* Company sponsored life insurance
* Stock Options
* Annual stipend for continued learning and development
* Quarterly company BBQs at our Alameda HQ (bring your friends and family!)
* Free Bay Area Public Transportation via AlamedaTMA with the BayPass Clipper Card
The salary range for this role is $150,000\-$200,000 annually.  
Individual compensation packages are based on geographic location, scope of the role, and relevant experience, among other factors.
Saildrone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 as outlined by federal, state, or local laws.  
\#LI\-Onsite</t>
        </is>
      </c>
    </row>
    <row r="5">
      <c r="A5" t="inlineStr">
        <is>
          <t>in-2bd7004d63c019ff</t>
        </is>
      </c>
      <c r="B5" t="inlineStr">
        <is>
          <t>Product Manager - Consumer Systems &amp; Solutions</t>
        </is>
      </c>
      <c r="C5" t="inlineStr">
        <is>
          <t>DNP Imagingcomm America Corporation</t>
        </is>
      </c>
      <c r="D5" t="inlineStr">
        <is>
          <t>indeed</t>
        </is>
      </c>
      <c r="E5" t="inlineStr"/>
      <c r="F5" t="inlineStr"/>
      <c r="G5" t="inlineStr">
        <is>
          <t>Concord, NC, US</t>
        </is>
      </c>
      <c r="H5" s="2" t="n">
        <v>46067</v>
      </c>
      <c r="I5" t="inlineStr">
        <is>
          <t>**Job purpose**
This position owns the customer\-facing product category including all Prosumer Solutions and Retail ID photography systems. This position will drive and manage the life cycle for development and deliver end\-user focused, profitable products. The role emphasizes product management, project management, and business operations in addition to product definition and technical product development.
**Duties and responsibilities**
* Oversee the full functionality and performance of prosumer systems used in retail, event, and professional settings.
* Manage the complete product lifecycle, including vision, strategy, roadmaps, requirements, development, deployment, sustainment, and end\-of\-life.
* Serve as the central point of communication for product issues, collaborating with sales, marketing, engineering, configuration management, information development, quality assurance, and customer support teams.
* Build a deep understanding of professional consumer “prosumer” and retail customers, end users, and competitors to ensure the success and longevity of new and evolving products.
* Define and deliver software requirements, with clear prioritization of features, use cases, and workflows.
* Develop and manage tailored solutions for retailers and market segments, including hardware components, configurations, and both internal and third\-party solutions.
* Lead customer integration, field trials and product rollouts; including on\-site participation when needed.
* Assume project management duties as necessary to maintain project schedules and communicate schedules to Marketing and Sales
* Conduct training for marketing, sales and technical support
* Travel as required for tradeshows and customer\-facing activities
* Ensure that DNP remains innovative and customer focused
* Other duties as assigned by management.
**Qualifications**
Required:
* 5\+ years prior Product Management / Project Management work experience
* Strong technical background; must be eager to dig into the details and have a comprehensive understanding of software and hardware internals
* Effective cross\-organizational team player
* Self\-directed and motivated
* Ability to manage multiple new projects while managing sustainment issues on existing products
* Excellent written and verbal communication and facilitation skills across functions and groups
* Ability to deal with ambiguity and learn on the fly – a strong “can\-do” attitude
* Periodic Travel
Desired:
* Technical and business education preferred (Bachelors in a technical field plus an MBA is ideal)
* Experience in Agile software development process
* Experience with digital imaging product technology, photo, print and/or color management a plus.
**Supervisory Responsibilities**
No Supervisory Responsibilities
**The hiring range for this position is $90,000 to $110,000 per year. This range is an estimate, and the actual salary may vary based on the candidate's experience, skills, and qualifications. DNP offers a competitive and comprehensive total rewards package. The benefits for this position include health, dental, vision, critical illness, life insurance, flexible spending, retirement, paid time off, pet insurance, and many retail discounts.**
**DNP IAM is a 100 percent U.S. subsidiary of Dai Nippon Printing Co., Ltd. (DNP) – the world’s largest manufacturer of dye\-sublimation media for photo printers and thermal transfer ribbons and barcode printers. DNP Imagingcomm America Corporation has the broadest selection of solutions for the photo retail market and products designed to address retailer’s specific business goals and objectives—backed by the quality and reliability today’s customers expect. Manufacturing, sales, and development offices of dye\-sublimation media for photo printers are in Concord, NC, and more information is available at** www.dnpphoto.com/en\-us/**.**
*DNP Imagingcomm America Corporation is an equal opportunity employer that does not discriminate based on race, national origin, gender, gender identity, sexual orientation, protected veteran status, disability, age, or other legally protected status.*</t>
        </is>
      </c>
    </row>
    <row r="6">
      <c r="A6" t="inlineStr">
        <is>
          <t>in-cf7bced09b3e040f</t>
        </is>
      </c>
      <c r="B6" t="inlineStr">
        <is>
          <t>Principal Technical Program Manager</t>
        </is>
      </c>
      <c r="C6" t="inlineStr">
        <is>
          <t>HP</t>
        </is>
      </c>
      <c r="D6" t="inlineStr">
        <is>
          <t>indeed</t>
        </is>
      </c>
      <c r="E6" t="inlineStr"/>
      <c r="F6" t="inlineStr"/>
      <c r="G6" t="inlineStr">
        <is>
          <t>Vancouver, WA, US</t>
        </is>
      </c>
      <c r="H6" s="2" t="n">
        <v>46066</v>
      </c>
      <c r="I6" t="inlineStr">
        <is>
          <t>If you are interested in transforming software development processes and team collaboration, the People, Process, and Technology Initiative focuses on integrating Agentic AI technologies into developers’ daily workflows. This involves defining clear processes and supporting development teams in implementing plans, tracking progress, and managing risks. The program manager will lead efforts to enhance the next\-generation developer experience, ensuring greater efficiency and maintaining high quality standards.
**Job Summary**  
This role is responsible for leading hands\-on program management during analysis, design, development, testing, implementation, and post\-implementation phases of a software feature, solution, or
product. The role drives the orchestration of various technical projects and fosters innovation through effective leadership, communication, and technical acumen. The role serves as a bridge between technical teams and business stakeholders, driving the successful execution of technical projects that contribute to the organization's strategic objectives.  
**Responsibilities**
* Plays a critical role in the planning and execution of the organization's most complex and visible technical projects or programs in support of the continuing evolution of the organization's software products.
* Partners across functions to prioritize, plan, track and execute complex, cross organizational programs while maintaining focus on building high quality programs.
* Defines the overall vision, strategy, and roadmap to address the problems/opportunities in collaboration with product managers and engineers.
* Reaches across functions or departments to mitigate program risks and resolves issues that affect release, scope, schedule, and quality.
* Drives and tracks software releases, features and bug fixes, testing, and documentation.
* Engages with executive leadership and other stakeholders to provide updates, gather requirements, and manage expectations.
* Allocates resources, including personnel and budgets, to ensure project teams have the necessary support to achieve objectives.
* Ensures that project deliverables meet established quality standards and are aligned with business and technical requirements.
* Demonstrates a comprehensive understanding of concepts and principles within own job family and knowledge of other related job families.
* Interprets internal/external business challenges and recommends best practices to improve products, processes, or services.
 **Education \&amp; Experience** **Recommended**
* Four\-year or Graduate Degree in Computer Science, Information Technology, Business Management, or any other related discipline or commensurate work experience or demonstrated competence.
* Typically has 10\+ years of work experience, preferably in program/project management, scrum master, professional technology organization, or a related field.
 **Preferred Certifications**
* Program Management Professional
 **Knowledge \&amp; Skills**
* Agile Methodology
* Automation
* Change Management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7">
      <c r="A7" t="inlineStr">
        <is>
          <t>in-b2496a5fac761f61</t>
        </is>
      </c>
      <c r="B7" t="inlineStr">
        <is>
          <t>Product Manager I – Hip Enabling Technologies</t>
        </is>
      </c>
      <c r="C7" t="inlineStr">
        <is>
          <t>Medacta USA, Inc.</t>
        </is>
      </c>
      <c r="D7" t="inlineStr">
        <is>
          <t>indeed</t>
        </is>
      </c>
      <c r="E7" t="inlineStr"/>
      <c r="F7" t="inlineStr"/>
      <c r="G7" t="inlineStr">
        <is>
          <t>Franklin, TN, US</t>
        </is>
      </c>
      <c r="H7" s="2" t="n">
        <v>46066</v>
      </c>
      <c r="I7" t="inlineStr">
        <is>
          <t>**Position Title:** Product Manager I – Hip Enabling Technologies **FLSA Status:** Salary \- Exempt
**Department:** Product Management **Location:** Franklin, TN**Supervisor:** Director, Product Management – Hip Enabling Technologies**MEDACTA INTRODUCTION**
Medacta® is a Swiss\-based orthopedic company founded in 1999, renowned for its innovative products and surgical techniques. Notably, they pioneered the Anterior Minimally Invasive Surgery (AMIS®) technique for hip replacements, MyKA™ Kinematic Alignment Platform for knee replacement, and NextAR™ Augmented Reality Surgical Platform for use in shoulder, spine, and knee procedures. Leveraging their extensive orthopedic expertise, Medacta introduced MySolutions technology, which provides surgeons with highly personalized pre\-operative planning and implant placement methodologies. Utilizing advanced personalized kinematic models and 3D planning tools, MySolutions enhances surgical precision in hip, knee, shoulder, and spine procedures. Medacta's blend of orthopedic expertise and cutting\-edge technology drives continual advancements in the field, enhancing patient care worldwide. **POSITION SUMMARY**
The Product Manager of Hip Enabling Technologies will support the organization’s hip franchise in shaping and excellerating the impact of enabling technology on our portfolio and overall business. In this role will you will drive high visibility campaigns, unlock new growth opportunities, using strategic insights to yield marketing\-developing execution. The product manager of hip enabling technologies will partner with development teams to influence product strategy and design, marketing \&amp; sales teams to maximize market growth and penetration, and will execute on downstream marketing and launch initiatives, customer development and product support processes. This includes achievement of business plan objectives, customer relationship management and education for both surgeons and sales personnel. Interfacing with key stakeholders (external, Franklin\-based, Memphis\-based \&amp; Switzerland\-based), the Product Manager will take all appropriate steps to meet department objectives, meet customer and sales force expectations, and resolve customer issues that may arise with product lines under their purview. **QUALIFICATIONS****Educational Requirements:**Bachelors Degree in business/marketing/engineering and/or professional certification in a medical profession. **Experience Requirements:**
Minimum 5 years overall orthopedic sales \&amp; product management experience in the orthopedic implantable field. **Required Skills and Abilities:*** Excellent written and oral communication skills and presentation skills.
* Outstanding organizational development and demonstrated leadership qualities.
* Operating room experience with revision arthroplasty.
* Demonstrated ability to plan, organize and execute multiple projects simultaneously.
* Problem solving \&amp; decision making
	+ Independent, proactive judgment is employed in problem prevention/solving relating to customers, sales policy, strategy and procedures. Considerable discretion and judgment are exercised in decision making involving sales policies and procedures.
* PC/Microsoft Office software suite, Mac/iOS, general office equipment, orthopedic instruments, automobile, smart phone and mobile apps.
* Physical Requirements:
	+ **Sitting:** Extended periods at a desk or workstation.
	+ **Standing and Walking:** Occasional movement within the office.
	+ **Lifting and Carrying:** Light to moderate lifting of office materials.
	+ **Learning Center Participation:** Standing for prolonged periods, as well as lifting and moving instrument trays up to 30 pounds each.
Additional tasks may require reaching, manual dexterity, and visual acuity. **INTERPERSONAL CONTACTS****External**: Surgeons, Nurses, PAs, Allied Health Professionals, Hospital/ASC Administrators, Economic Buyers, Industry Society Officers/Staff**Internal**: Sales Personnel, Marketing, Customer Service, Medical Education, Clinical Research, Finance, Compliance, Quality, Regulatory, Human Resources, and Medacta International Personnel.**Travel requirements:** Travel of up to 50% may be required, domestic and international (Western Europe).**Extent of Confidential Information:** Highly confidential information regarding technology, revenues, budgets, pricing, sales and marketing strategies, customers, customer preferences, market development, and product development. **PRINCIPAL DUTIES*** Develop marketing strategies and product launches with clear execution plans that are consistent with Medacta’s global strategy
* Develop and maintain good working relations with Healthcare Professionals (“HCPs”).
* With sales \&amp; marketing management, define sales collateral needs and organize deliverables with support of marketing/communications department in Medacta USA and Switzerland HQ.
* Support sales force with in\-depth product knowledge and ensure sales representatives, agents/Area Directors and HCPs are properly informed and trained on Medacta knee and hip revision products.
* Provide technical product support to internal cross functional teams, sales force and surgeons.
* Create, prepare and deliver hip technology product training either in\-house or on\-location.
* Assist in maintaining existing physician consultant relations or identify well\-qualified key opinion leaders for training and educational purposes and potential product development activities.
* Assist in support for all primary \&amp; revision labs and educational programs.
* Assist operations group in the development and maintenance of hip technology product planning and forecasting as it relates to the U.S. market for new and established products. This includes new product rollout and product sample organization.
* Research, analyze and remain informed about competitive products. Prepare competitive reviews and create sales aids to assist sales force.
* Develop and create promotional materials based on product and program needs.
* Communicate product related sales support information via regular written updates.
* Communicate sales force feedback to sales \&amp; marketing management.
* Assist with sales support in all U.S. territories.
* Provide case coverage assistance for knee and hip revisions if expertise is needed.
* Work with senior management to ensure the identification, use and administration of physician consultant services for each event and meet all compliance requirements.
* Assist in educating sales force with regulatory and compliance initiatives.
* Assist clinical research team with monitoring multiple hip technology clinical studies.
* Prepare and sponsor hip technology related Needs Assessment documents and budgets.
* Performs other related duties as assigned.
 **OCCASIONAL DUTIES**Sales training, Area Sales Meetings, Learning Centers, National/Local Industry Conferences, and Domestic and International Company Meetings.  
The above statements are intended to describe the general nature and level of work being performed by people assigned to this position. They are not intended to be construed as an exhaustive list of all responsibilities, duties, and skills required of personnel so classified.</t>
        </is>
      </c>
    </row>
    <row r="8">
      <c r="A8" t="inlineStr">
        <is>
          <t>in-bfe65fbd0c70c9ab</t>
        </is>
      </c>
      <c r="B8" t="inlineStr">
        <is>
          <t>Instructor &amp; Program Manager, Cybersecurity and CIT</t>
        </is>
      </c>
      <c r="C8" t="inlineStr">
        <is>
          <t>Lake-Sumter State College</t>
        </is>
      </c>
      <c r="D8" t="inlineStr">
        <is>
          <t>indeed</t>
        </is>
      </c>
      <c r="E8" t="inlineStr"/>
      <c r="F8" t="inlineStr"/>
      <c r="G8" t="inlineStr">
        <is>
          <t>Leesburg, FL, US</t>
        </is>
      </c>
      <c r="H8" s="2" t="n">
        <v>46065</v>
      </c>
      <c r="I8" t="inlineStr">
        <is>
          <t>**Job Summary**
---------------
The Instructor \&amp; Program Manager of Cybersecurity and CIT will maintain a dual\-role position as: A) an instructional faculty member and B) Program Manager responsibilities overseeing the AS in Cybersecurity, AS in Computer Information Technology, and other related academic programs as assigned.  
Observes college rules/regulations and state guidelines appropriate to the position and demonstrates the college's core values of Caring, Communicating, Collaborating, and Celebrating.
**Essential Duties \&amp; Responsibilities**
----------------------------------------
include, but are not limited to, the following:* Work at least 35 hours per week, fall and spring semesters, consisting of 9\-12 instructional hours (as assigned by supervisor) with the balance being devoted to student support, college and community service, and program manager duties. Base compensation covers additional hours beyond 35 per week that may be needed to fulfill program manager duties (such as recruitment events, facilitating program advisory meetings, etc.).
* Summer work hours will be no less than 65 hours total to perform program manager duties.
* Plan and carry out instructional duties that maximize student learning.
* Develop and revise program curriculum, as needed, to the greatest extent possible within their area of expertise.
* Engage in program student recruitment and retention efforts.
* Coordinate practicum/internship on\- and off\-site student experiences.
* Ensure fiscal responsibility in the development and management of the schedule of classes and resource management in assigned budgets; monitor spending and approve expenditures according to established policies and procedures.
* Collaborate with College partners in support of initiatives, such as articulation agreements.
* Collaborate and plan with others across the College to support student enrollment and retention.
* Track and analyze student performance, enrollments, and learning outcomes to make informed decisions regarding the status of academic programs and resource management (e.g., personnel and classroom resources)
* Work collaboratively with other faculty to ensure academic quality while focusing on student retention and completion.
* Collaborate on faculty and staff development initiatives.
* Assist in the marketing of each program and the program course offerings.
* Collaborate with other college departments regarding the development of related programs.
* Serve on College committees as assigned.
* Other duties as assigned.
**Knowledge, Skills, \&amp; Abilities**
-----------------------------------
* Experience in online course development and delivery is preferred.
* Work experience in the subject matter area is required.
* Ability to demonstrate proficiency in working with various virtual meeting platforms.
* Expertise in cybersecurity.
**ABILITIES/GENERAL:*** Promote a common purpose consistent with the College's stated goals and demonstrate a commitment to students and the learning environment.
* Possess knowledge of general written standards and procedures utilized, and have the ability to read, interpret, and follow procedural and policy manuals related to the job tasks.
* Demonstrate the ability to respond to supervision, guidance, and direction in a positive, receptive manner and follow stated policies.
* Deliver exceptional customer service by fostering a welcoming and supportive environment.
* Present a professional image in words, actions, and attire.
* Conduct oneself in a manner consistent with the College’s standards of ethical conduct.
* Apply effective techniques to establish and maintain working relationships, fostering collaboration to achieve common goals; effectively communicate and collaborate with others to achieve shared objectives.
* Demonstrate the skills necessary to examine situations and processes, making recommendations for improvement critically.
* Strong service orientation and ability to effectively work as a member or leader of a team by cooperating with others, offering to help others when needed, and considering larger organizational goals rather than individual concerns. Includes the ability to build \&amp;/or support a constructive team spirit where members are committed to the goals and objectives of the organization.
* Plan, organize, and successfully multitask to meet multiple deadlines and frequently new work tasks within required timeframes. Proven flexibility to successfully work on a variety of projects quickly and accurately.
* Effectively manage change and adaptability.
* Adheres to all workplace safety rules, safety laws, regulations, standards, and practices
* Ability to work various hours, including nights, early mornings, and weekends
* Ability to travel amongst various campuses and attend College events, on or off campus, as required.
**Minimum Qualifications \&amp; Education**
---------------------------------------
* **Required:**
	+ Master’s degree in Cybersecurity or a Master’s with at least 18 graduate hours in the teaching discipline.
	+ At least five (5\) years of full\-time, relevant professional experience related to the institution’s Cybersecurity program, demonstrating current industry knowledge and practices.
	+ At least two (2\) years of progressive administrative or leadership experience in an academic, corporate, or nonprofit setting, including responsibilities such as program development, faculty supervision, budget oversight, strategic planning, or accreditation.
	+ At least two (2\) years of successful, documented college\-level teaching experience, preferably in CTE or workforce development.
* **Preferred:**
	+ Experience with Florida College System policies and accrediting agency standards.
Lake\-Sumter State College provides a wide range of affordable, competitive, and comprehensive benefits that are a vital part of your total compensation package. These programs are centered around health and wellness, financial security, and professional development.</t>
        </is>
      </c>
    </row>
    <row r="9">
      <c r="A9" t="inlineStr">
        <is>
          <t>in-a38e1f48307a2063</t>
        </is>
      </c>
      <c r="B9" t="inlineStr">
        <is>
          <t>People Plan Program Manager</t>
        </is>
      </c>
      <c r="C9" t="inlineStr">
        <is>
          <t>City of Richmond, VA</t>
        </is>
      </c>
      <c r="D9" t="inlineStr">
        <is>
          <t>indeed</t>
        </is>
      </c>
      <c r="E9" t="inlineStr"/>
      <c r="F9" t="inlineStr"/>
      <c r="G9" t="inlineStr">
        <is>
          <t>Richmond, VA, US</t>
        </is>
      </c>
      <c r="H9" s="2" t="n">
        <v>46063</v>
      </c>
      <c r="I9" t="inlineStr">
        <is>
          <t>Are you Richmond **R.E.A.D.Y**? **R**espect. **E**quity. **A**ccountability. **D**iversity…**YOU**!!!  
This is an **EXCITING** time to Join the City of Richmond! We are committed to nurturing talent, fostering growth opportunities, and building strong connections within our workforce. As we continue to make strides to becoming the employer of choice, we are thrilled about the below employee benefit enhancements:
* **Virginia Retirement System (VRS)**
* **Language Incentive**
* **Referral Bonus**
* **T****uition Assistance Program**
**Description**
---------------
The City of Richmond, Office of Community Wealth Building, is seeking a People Plan Program Manager to lead program operations supporting residents of RRHA through the public housing relocation process by overseeing intensive case management, coordination of community partners, and collaboration with community residents to ensure successful housing transition outcomes. This role serves as a trusted point of contact for City agencies, community partners, and residents as they move from public housing to permanent housing options, ensuring compliance with housing authority requirements while centering resident dignity, choice, and stability. The candidate works closely with residents, RRHA, service providers, landlords, and internal City partners to reduce barriers throughout the housing transition, develop a coordinated system of partners, strengthen case management programming, and promote long\-term housing stability during and after relocation.
 **The salary range for this position is $80,000 \- $95,000**
**Duties include but are not limited to**
-----------------------------------------
**Resident Case Management \&amp; Coordination Oversight**
* Oversee the people plan case management program supporting residents through housing transition that seeks to support residents through all phases of housing transition, including eligibility verification, application completion, documentation gathering, and housing approval.
* Ensure individual assessments are conducted to identify barriers to housing approval (e.g., credit issues, criminal background, income verification, documentation gaps).
* Ensure development individualized housing transition plans that reflect resident needs, preferences, and readiness.
* Oversees the program that assists residents with completing and submitting housing applications, vouchers, certifications, and required documentation.
* Coordinate with housing authority staff to monitor application status and resolve outstanding issues.
* Support residents in understanding housing requirements, timelines, and expectations.
* Track case management program output, outcomes, and program evaluation to ensure effectiveness of supporting residents through transition.
**Partnership \&amp; Systems Coordination*** Collaborate with housing navigators, case managers, social service providers, legal aid, and employment partners to address barriers impacting housing eligibility.
* Build and maintain relationships with landlords, property managers, and housing providers to expand placement options.
* Coordinate warm handoffs to supportive services such as employment, benefits, financial counseling, and behavioral health resources.
**Resident Advocacy \&amp; Engagement*** Advocate in coordination with residents to ensure fair consideration and transparent decision making during the housing approval process.
* Facilitate resident meetings, workshops, and information sessions related to relocation, housing rights, and housing readiness.
* Provide trauma\-informed, culturally responsive support during what may be a highly stressful transition period.
**Program Monitoring \&amp; Reporting*** Monitor program performance metrics including application completion rates, approval outcomes, and successful relocations.
* Prepare reports and briefings for leadership on progress, barriers, and emerging resident needs.
**Continuous Improvement \&amp; Systems Learning*** Identify systemic challenges in the relocation and housing approval process and recommend policy or process improvements.
* Contribute to the refinement of relocation workflows, resident communication tools, and program guidelines.
* Research other city programs to learn from their effectiveness and process.
* Support evaluation efforts to ensure the Gilpin People Plan promotes long\-term housing stability and resident well\-being
**Qualifications, Special Certifications and Licenses**
-------------------------------------------------------
**Required Minimum Qualifications**
* Bachelor’s degree in social work, Public Administration, Human Services, Urban Studies, or a related field (or equivalent combination of education and experience).
* Minimum of 3–5 years of experience in housing navigation, case management, resident services, or related human services work.
* Demonstrated experience partnering with public housing residents.
* Strong knowledge of housing eligibility requirements, housing vouchers or subsidized housing programs.
* Experience overseeing and evaluating community programs
**Preferred Qualifications*** Experience supporting residents through large\-scale public housing redevelopment or relocation efforts.
* Familiarity with trauma\-informed care
* Experience working with housing authorities, local government, or nonprofit housing organizations.
**Knowledge, Skills, and Abilities**
* Strong interpersonal and relationship\-building skills with residents and partners.
* Excellent organizational skills and attention to detail.
* Ability to explain complex processes in clear, resident\-friendly language.
* Sound judgment, discretion, and professionalism when handling sensitive information.
* Comfort working in community settings and meeting residents where they are.
**Work Environment \&amp; Conditions**
* Combination of office, community, and on\-site resident engagement.
* May require evening or occasional weekend availability based on resident needs and meeting schedules.
* Local travel within the city required.
**Americans with Disabilities Act Requirements**
------------------------------------------------
Reasonable accommodations may be made to enable qualified individuals with disabilities to perform the essential functions of the job. Prospective and current employees are invited to discuss accommodations.
**ENVIRONMENTAL HAZARDS:** Working conditions may include exposure to travel to other locations within the City of Richmond as well as outside of the City of Richmond; exposure to hazardous physical conditions such as mechanical parts, electrical currents, vibrations, etc.; atmospheric conditions such as fumes, odors, dusts, gases, and poor ventilation; inadequate lighting; intense noise; and environmental hazards such as disruptive people, imminent danger, and a threatening environment.
**PHYSICAL REQUIREMENTS AND WORKING ENVIRONMENT:** Due to the nature of work assignments, incumbents must be able to perform detailed work on multiple, concurrent tasks, with frequent interruptions and under time constraint. The essential duties of this classification may require the ability to regularly talk, hear, see, and perform repetitive motions; and occasionally climb, stoop, crouch, reach, stand, walk, push, pull, lift, finger, grasp, and feel. The working conditions may include environmental hazards. In terms of the physical strength to perform the essential duties, this classification is considered to be light work, exerting up to 20 pounds of force occasionally, up to 10 pounds of force frequently, and a negligible amount of force constantly to move objects.
* Internal use: HR Generalist to review.
***Equal Employment Opportunity Statement***
*The City of Richmond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City of Richmond is committed to the full inclusion of all qualified individuals. As part of this commitment, the City of Richmond will ensure that persons with disabilities are provided with reasonable accommodations. **If you require reasonable accommodations under the Americans with Disabilities Act (ADA) to participate in the job application and/or the interview process,** please contact Jessica McKenzie, Human Resources Manager by email at Jessica.McKenzie@RVA.GOV.
*This policy applies to all terms and conditions of employment, including recruitment, hiring, placement, promotion, termination, layoff, transfer, leaves of absence, compensation and training.*
The **City of Richmond Values Veterans.** *We are an official* ***V3 Certified Company****.*
*The* ***City of Richmond*** *is a proud partner with the* ***US Army Partnership for Your Success PaYS Program.***
With over 4,000 employees, the City of Richmond is an "Employer of Choice" among cities throughout the nation. The City strives to hire and retain employees who bring dedication and talent to the workforce. Offering a competitive, cost effective, and quality benefits package is one element of an "Employer of Choice".   
The City offers a full range of benefit programs from initial hire through retirement. Please visit our Web site for details.</t>
        </is>
      </c>
    </row>
    <row r="10">
      <c r="A10" t="inlineStr">
        <is>
          <t>in-64f1c81410679670</t>
        </is>
      </c>
      <c r="B10" t="inlineStr">
        <is>
          <t>Transportation Services and Parking Program Manager</t>
        </is>
      </c>
      <c r="C10" t="inlineStr">
        <is>
          <t>City of Tacoma</t>
        </is>
      </c>
      <c r="D10" t="inlineStr">
        <is>
          <t>indeed</t>
        </is>
      </c>
      <c r="E10" t="inlineStr"/>
      <c r="F10" t="inlineStr"/>
      <c r="G10" t="inlineStr">
        <is>
          <t>Tacoma, WA, US</t>
        </is>
      </c>
      <c r="H10" s="2" t="n">
        <v>46062</v>
      </c>
      <c r="I10" t="inlineStr">
        <is>
          <t>**Position Description**
------------------------
Are you passionate about community engagement, smart city solutions, and making everyday systems work better for everyone? The Public Works Department is looking for a **Transportation Services and Parking Program Manager** to join our team! We’re looking for a collaborative and forward\-thinking professional to help lead and strengthen the City’s parking system while building meaningful connections with the community.
In this role, you’ll oversee community engagement efforts, manage a variety of parking programs, and lead special projects that support the City’s parking operations citywide. You’ll serve as a key point of connection between the City, residents, businesses, and stakeholders—ensuring parking programs are clear, effective, and responsive to community needs.
**Qualifications**
------------------
**Minimum Education\***  
Bachelor's degree in planning, public administration, engineering or directly related field  
**Minimum Experience\***  
5 years of planning, engineering and/or program management experience including 1 year prior at senior, lead and/or supervisory level  
**Licensing, Certifications and Other Requirements**  
Washington State Driver's License  
* Equivalency: 1 year of experience \= 1 year of education
**Desirable Qualifications**  
A master's degree in transportation planning or 7\+ years' experience working in municipal parking and/or transportation programs.
**Knowledge \&amp; Skills**
-----------------------
* Lead public outreach and community engagement related to parking programs and policy changes
* Build and maintain strong relationships with stakeholders, partners, and the public
* Manage and improve parking programs, including setting performance standards and tracking results
* Oversee staff, budgets, and financial planning to ensure responsible use of the Parking Enterprise Fund
* Lead special projects from concept to completion, including preparing procurement and contract documents
* Ensure parking strategies align with city policies, best practices, and long\-term planning goals
**Selection Process \&amp; Supplemental Information**
-------------------------------------------------
**A Commitment to Equity \&amp; Diversity**
At the City of Tacoma, we're on a mission to make our workforce as diverse and inclusive as the community we serve. We actively seek out candidates from a wide range of backgrounds and cultures. Join our team at the City of Tacoma and help us build a more vibrant, inclusive, and equitable community for all.
If you have a less traditional background, we want to hear about your transferrable skills and experience. We value a variety of perspectives and are excited to see what you bring to the table.
**The Community**  
Tacoma is centrally located just 32 miles south of the city of Seattle and 31 miles north of the state capital, Olympia. The City of Tacoma is also home to the Port of Tacoma, which is among the largest container ports in the United States. Like most cities in the northwest, Tacoma is surrounded by beautiful nature, offering residents many opportunities for outdoor adventures.
Largely suburban in nature with a small, but dense, urban core, Tacoma is home to numerous institutes of higher learning that attract students from across the country. The University of Washington Tacoma, Pacific Lutheran University, University of Puget Sound, a satellite campus of the Evergreen State College, three community/technical colleges, and several trade and business schools are within Tacoma's geographic area. Downtown's Cultural District is the site of the Washington State History Museum, Museum of Glass, the Tacoma Art Museum, and America's Car Museum.
With its affordable housing and distinctive neighborhoods and business districts, the city has been recognized numerous times as a best city to live in the nation. To see a few of the great things Tacoma has to offer, view this YouTube Video!
View this exciting video to learn more about the City of Tacoma: https://www.youtube.com/watch?v\=2n5MWl8KFvI
**Apply**  
All interested individuals should apply online and attach a detailed resume that includes job experience, major responsibilities and accomplishments related to this position. Cover letter is optional.  
Applicants who meet the minimum qualifications will have their responses to the supplemental questions scored. Applicants must receive a passing score to be placed on the eligible list for interview and hiring consideration. Applicants whose experience and training most closely reflect the needs of the department may be invited to participate in an interview.  
Appointment is subject to passing a background check and a pre\-employment medical exam and drug screen. New employees must successfully complete a nine\-month probationary period prior to obtaining permanent status in this classification. **Get Assistance**
For assistance with the application process or questions regarding this job announcement please contact the Human Resources office at (253\) 591\-5400 by 4:00 p.m. of the closing date of the job announcement.
For technical difficulties using the Neogov system, call the applicant support line at 1\-855\-524\-5627 between 6:00 a.m. and 5:00 p.m. Pacific Standard Time. This will allow us to assist you before the job announcement closes.
**Communication with the City of Tacoma**
We primarily communicate via email during the application process. Emails from Tacoma.gov and/or governmentjobs.com should be placed on your safe domain list to ensure that you receive notifications in a timely manner. As a precaution, you may also want to check your junk email folders.
Compensation \&amp; Benefits
Pay Details:
Hourly Rate: $54\.60 \- $76\.88
Annual Salary: $113,568\.00 \- $159,910\.40
Employee Benefits \| City of Tacoma</t>
        </is>
      </c>
    </row>
    <row r="11">
      <c r="A11" t="inlineStr">
        <is>
          <t>in-7122e8d46a395f40</t>
        </is>
      </c>
      <c r="B11" t="inlineStr">
        <is>
          <t>Program Manager - Youth Engagement Services</t>
        </is>
      </c>
      <c r="C11" t="inlineStr">
        <is>
          <t>City of Richmond, VA</t>
        </is>
      </c>
      <c r="D11" t="inlineStr">
        <is>
          <t>indeed</t>
        </is>
      </c>
      <c r="E11" t="inlineStr"/>
      <c r="F11" t="inlineStr"/>
      <c r="G11" t="inlineStr">
        <is>
          <t>Richmond, VA, US</t>
        </is>
      </c>
      <c r="H11" s="2" t="n">
        <v>46062</v>
      </c>
      <c r="I11" t="inlineStr">
        <is>
          <t>Are you Richmond **R.E.A.D.Y**? **R**espect. **E**quity. **A**ccountability. **D**iversity…**YOU**!!!  
This is an **EXCITING** time to Join the City of Richmond! We are committed to nurturing talent, fostering growth opportunities, and building strong connections within our workforce. As we continue to make strides to becoming the employer of choice, we are thrilled about the below employee benefit enhancements:
* **Virginia Retirement System (VRS)**
* **Language Incentive**
* **Referral Bonus**
* **T****uition Assistance Program**
**Description**
---------------
The Program Manager \- Youth Engagement Services (YES) is responsible for overseeing and leading the design, implementation, and evaluation of OCWB’s youth engagement programs aimed at empowering and supporting youth aged 14\-24\. The Program Manager ensures that the program's activities are aligned with the needs of participants and effectively provide educational, social, and career development opportunities. This role focuses on improving youth outcomes by providing mentorship, resources, and leadership to engage youth and help them achieve their goals.
**Duties include but are not limited to**
-----------------------------------------
**Key Duties and Responsibilities:**
**Program Oversight \&amp; Management:**
* **Program Design and Implementation:**
	+ Oversee the development and implementation of youth engagement programs targeting both older youth (18\-24\) and younger youth (14\-18\).
	+ Ensure that all programs meet the needs of diverse youth populations, providing a combination of educational, career, personal development, and life skills.
	+ Create and oversee youth development curricula that focus on building skills such as leadership, teamwork, job readiness, financial literacy, and college preparation.
* **Program Coordination:**
	+ Develop, manage, and evaluate programming that promotes positive outcomes, including college and career readiness, skill\-building workshops, internships, and mentorship programs.
	+ Coordinate efforts between program staff, community partners, and other relevant stakeholders to ensure seamless delivery of services.
	+ Monitor program activities and ensure alignment with organizational goals, tracking attendance, engagement, and participant outcomes.
* **Resource Management:**
	+ Ensure that resources, materials, and tools required for program delivery are available and properly utilized by staff.
	+ Manage the program budget, working with senior management to allocate funds effectively across different youth initiatives.
**Team Leadership \&amp; Supervision:**
* **Supervise and Support Staff:**
	+ Directly supervise and provide mentorship, feedback, and support to ensure high\-quality service delivery.
	+ Conduct regular team meetings, performance evaluations, and one\-on\-one check\-ins to provide guidance, track progress, and identify areas for improvement.
	+ Foster a positive and collaborative work culture that empowers staff to build meaningful relationships with youth participants and to achieve program goals.
* **Training \&amp; Development:**
	+ Provide ongoing professional development opportunities for the youth engagement team to improve their skills in youth engagement, program delivery, and mentorship.
	+ Organize regular training sessions on topics such as trauma\-informed care, youth development best practices, and conflict resolution.
**Participant Engagement \&amp; Support:**
* **Youth Support \&amp; Mentorship:**
	+ Ensure that youth participants receive personalized support to achieve their academic, career, and personal goals.
	+ Oversee case management or coaching services, ensuring that youth are supported in their individual needs, including academic counseling, job preparation, personal development, and life skills.
	+ Develop strategies to engage youth effectively and motivate them to participate in programming and stay committed to their goals.
* **Tracking Youth Progress:**
	+ Implement systems to monitor youth progress and track outcomes, including academic performance, job readiness, internships, and personal achievements.
	+ Conduct regular check\-ins with youth participants to assess their needs and progress, ensuring timely intervention and support when necessary.
**Community Outreach \&amp; Partnerships:**
* **Engage Community Partners:**
	+ Develop and maintain relationships with local community organizations, schools, employers, and service providers to offer a comprehensive support network for youth.
	+ Coordinate with partners to provide resources such as internships, scholarships, job training, and other opportunities for youth.
	+ Represent the program at community events, school meetings, and stakeholder engagement activities to raise awareness and build partnerships.
* **Family Engagement:**
	+ Develop and implement strategies to engage families of youth participants in their development and success, recognizing the importance of family support in the youth’s journey.
	+ Facilitate workshops or events that engage families in understanding program goals and how they can support their youth.
**Program Evaluation \&amp; Improvement:**
* **Evaluate Program Impact:**
	+ Collaborate with the evaluation team to gather data, assess program impact, and monitor key performance indicators (KPIs), including participant outcomes, retention rates, and post\-program success.
	+ Conduct surveys, focus groups, and other methods to gather feedback from participants, families, and staff to identify areas for improvement.
	+ Use feedback and data to refine and enhance programming to ensure it is meeting the evolving needs of youth participants.
* **Continuous Improvement:**
	+ Stay informed about best practices in youth engagement, social services, and youth development to ensure that the program remains innovative and responsive to the needs of youth.
	+ Regularly review program processes and procedures to identify efficiencies and improvements that can be made to increase effectiveness.
**Qualifications, Special Certifications and Licenses**
-------------------------------------------------------
**Minimum Qualifications:**
* Bachelor’s degree in social work, Education, Psychology, Public Administration, or a related field (required).
* Master’s degree in social work, Education, Psychology, Public Administration, or a related field (preferred).
* Minimum of 10 years of experience working with youth (ages 14\-24\), with at least 5 years in a supervisory or management role.
* Proven experience in designing and managing youth programs, particularly those focused on career readiness, education, or life skills development.
* Experience working with diverse populations and a deep understanding of the unique challenges faced by youth, particularly in underprivileged communities.
**Skills \&amp; Abilities****:**
* Strong leadership skills with the ability to motivate and manage a team.
* Excellent communication skills, both written and verbal, with the ability to connect with youth and stakeholders at all levels.
* Ability to work effectively in a fast\-paced, dynamic environment with a commitment to meeting program objectives.
* Knowledge of youth development principles and the ability to apply them in program design and delivery.
* Strong organizational skills with the ability to manage multiple tasks, projects, and deadlines.
* Experience with data tracking, reporting, and evaluating program outcomes.
**Certifications (if applicable):**
* Relevant certifications related to youth work, case management, or program management (preferred).
* Bilingual
**Physical Requirements:**
* Ability to travel locally for community outreach, employer meetings, and events.
* Ability to lift materials for program activities and events as needed.
**Working Conditions****:**
* This position may require a mix of office\-based work and fieldwork, including attending meetings, events, and conducting site visits with youth participants.
* Occasional evening or weekend work may be necessary for youth\-focused events or community outreach.
**Americans with Disabilities Act Requirements**
------------------------------------------------
Reasonable accommodations may be made to enable qualified individuals with disabilities to perform the essential functions of the job. Prospective and current employees are invited to discuss accommodations.
**ENVIRONMENTAL HAZARDS:** Working conditions may include exposure to travel to other locations within the City of Richmond as well as outside of the City of Richmond; exposure to hazardous physical conditions such as mechanical parts, electrical currents, vibrations, etc.; atmospheric conditions such as fumes, odors, dusts, gases, and poor ventilation; inadequate lighting; intense noise; and environmental hazards such as disruptive people, imminent danger, and a threatening environment.
**PHYSICAL REQUIREMENTS AND WORKING ENVIRONMENT:** Due to the nature of work assignments, incumbents must be able to perform detailed work on multiple, concurrent tasks, with frequent interruptions and under time constraint. The essential duties of this classification may require the ability to regularly talk, hear, see, and perform repetitive motions; and occasionally climb, stoop, crouch, reach, stand, walk, push, pull, lift, finger, grasp, and feel. The working conditions may include environmental hazards. In terms of the physical strength to perform the essential duties, this classification is considered to be light work, exerting up to 20 pounds of force occasionally, up to 10 pounds of force frequently, and a negligible amount of force constantly to move objects.
* Internal use: HR Generalist to review.
***Equal Employment Opportunity Statement***
*The City of Richmond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City of Richmond is committed to the full inclusion of all qualified individuals. As part of this commitment, the City of Richmond will ensure that persons with disabilities are provided with reasonable accommodations. **If you require reasonable accommodations under the Americans with Disabilities Act (ADA) to participate in the job application and/or the interview process,** please contact Jessica McKenzie, Human Resources Manager by email at Jessica.McKenzie@RVA.GOV.
*This policy applies to all terms and conditions of employment, including recruitment, hiring, placement, promotion, termination, layoff, transfer, leaves of absence, compensation and training.*
The **City of Richmond Values Veterans.** *We are an official* ***V3 Certified Company****.*
*The* ***City of Richmond*** *is a proud partner with the* ***US Army Partnership for Your Success PaYS Program.***
With over 4,000 employees, the City of Richmond is an "Employer of Choice" among cities throughout the nation. The City strives to hire and retain employees who bring dedication and talent to the workforce. Offering a competitive, cost effective, and quality benefits package is one element of an "Employer of Choice".   
The City offers a full range of benefit programs from initial hire through retirement. Please visit our Web site for details.</t>
        </is>
      </c>
    </row>
    <row r="12">
      <c r="A12" t="inlineStr">
        <is>
          <t>in-70488d20569b91af</t>
        </is>
      </c>
      <c r="B12" t="inlineStr">
        <is>
          <t>Senior Product Manager, Tech, Partner-Branded FTV, FireTV Devices</t>
        </is>
      </c>
      <c r="C12" t="inlineStr">
        <is>
          <t>Amazon.com</t>
        </is>
      </c>
      <c r="D12" t="inlineStr">
        <is>
          <t>indeed</t>
        </is>
      </c>
      <c r="E12" t="inlineStr"/>
      <c r="F12" t="inlineStr"/>
      <c r="G12" t="inlineStr">
        <is>
          <t>Sunnyvale, CA, US</t>
        </is>
      </c>
      <c r="H12" s="2" t="n">
        <v>46008</v>
      </c>
      <c r="I12"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in-75b454a9f2f7a6fe</t>
        </is>
      </c>
      <c r="B13" t="inlineStr">
        <is>
          <t>Senior Product Manager, Tech, Partner-Branded FTV, FireTV Devices</t>
        </is>
      </c>
      <c r="C13" t="inlineStr">
        <is>
          <t>Amazon.com</t>
        </is>
      </c>
      <c r="D13" t="inlineStr">
        <is>
          <t>indeed</t>
        </is>
      </c>
      <c r="E13" t="inlineStr"/>
      <c r="F13" t="inlineStr"/>
      <c r="G13" t="inlineStr">
        <is>
          <t>San Francisco, CA, US</t>
        </is>
      </c>
      <c r="H13" s="2" t="n">
        <v>46008</v>
      </c>
      <c r="I13"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in-6dc28c432f7a9927</t>
        </is>
      </c>
      <c r="B14" t="inlineStr">
        <is>
          <t>Senior Product Manager, Tech, Partner-Branded FTV, FireTV Devices</t>
        </is>
      </c>
      <c r="C14" t="inlineStr">
        <is>
          <t>Amazon.com</t>
        </is>
      </c>
      <c r="D14" t="inlineStr">
        <is>
          <t>indeed</t>
        </is>
      </c>
      <c r="E14" t="inlineStr"/>
      <c r="F14" t="inlineStr"/>
      <c r="G14" t="inlineStr">
        <is>
          <t>Seattle, WA, US</t>
        </is>
      </c>
      <c r="H14" s="2" t="n">
        <v>46008</v>
      </c>
      <c r="I14"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in-1eb1412c52f553a3</t>
        </is>
      </c>
      <c r="B15" t="inlineStr">
        <is>
          <t>Data Center Delivery - Technical Infrastructure Program Manager, One-Intake Program Team</t>
        </is>
      </c>
      <c r="C15" t="inlineStr">
        <is>
          <t>Amazon.com</t>
        </is>
      </c>
      <c r="D15" t="inlineStr">
        <is>
          <t>indeed</t>
        </is>
      </c>
      <c r="E15" t="inlineStr"/>
      <c r="F15" t="inlineStr"/>
      <c r="G15" t="inlineStr">
        <is>
          <t>Herndon, VA, US</t>
        </is>
      </c>
      <c r="H15" s="2" t="n">
        <v>46007</v>
      </c>
      <c r="I1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in-17ff780647d10d27</t>
        </is>
      </c>
      <c r="B16" t="inlineStr">
        <is>
          <t>Data Center Delivery - Technical Infrastructure Program Manager, One-Intake Program Team</t>
        </is>
      </c>
      <c r="C16" t="inlineStr">
        <is>
          <t>Amazon.com</t>
        </is>
      </c>
      <c r="D16" t="inlineStr">
        <is>
          <t>indeed</t>
        </is>
      </c>
      <c r="E16" t="inlineStr"/>
      <c r="F16" t="inlineStr"/>
      <c r="G16" t="inlineStr">
        <is>
          <t>Seattle, WA, US</t>
        </is>
      </c>
      <c r="H16" s="2" t="n">
        <v>46007</v>
      </c>
      <c r="I1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in-3e9a59259a54b7dc</t>
        </is>
      </c>
      <c r="B17" t="inlineStr">
        <is>
          <t>Senior Product Manager Tech, EFS</t>
        </is>
      </c>
      <c r="C17" t="inlineStr">
        <is>
          <t>Amazon Web Services</t>
        </is>
      </c>
      <c r="D17" t="inlineStr">
        <is>
          <t>indeed</t>
        </is>
      </c>
      <c r="E17" t="inlineStr"/>
      <c r="F17" t="inlineStr"/>
      <c r="G17" t="inlineStr">
        <is>
          <t>Boston, MA, US</t>
        </is>
      </c>
      <c r="H17" s="2" t="n">
        <v>46001</v>
      </c>
      <c r="I17"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in-5e984245e5be4e4d</t>
        </is>
      </c>
      <c r="B18" t="inlineStr">
        <is>
          <t>Senior Product Manager Tech, EFS</t>
        </is>
      </c>
      <c r="C18" t="inlineStr">
        <is>
          <t>Amazon Web Services</t>
        </is>
      </c>
      <c r="D18" t="inlineStr">
        <is>
          <t>indeed</t>
        </is>
      </c>
      <c r="E18" t="inlineStr"/>
      <c r="F18" t="inlineStr"/>
      <c r="G18" t="inlineStr">
        <is>
          <t>New York, NY, US</t>
        </is>
      </c>
      <c r="H18" s="2" t="n">
        <v>46001</v>
      </c>
      <c r="I18"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in-2a7db6840daa96f5</t>
        </is>
      </c>
      <c r="B19" t="inlineStr">
        <is>
          <t>Global Signage &amp; Wayfinding Designer Program Manager, Workplace Design &amp; Construction (WD&amp;C)</t>
        </is>
      </c>
      <c r="C19" t="inlineStr">
        <is>
          <t>Amazon.com</t>
        </is>
      </c>
      <c r="D19" t="inlineStr">
        <is>
          <t>indeed</t>
        </is>
      </c>
      <c r="E19" t="inlineStr"/>
      <c r="F19" t="inlineStr"/>
      <c r="G19" t="inlineStr">
        <is>
          <t>Arlington, VA, US</t>
        </is>
      </c>
      <c r="H19" s="2" t="n">
        <v>45998</v>
      </c>
      <c r="I19"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in-d33955fc65a98f72</t>
        </is>
      </c>
      <c r="B20" t="inlineStr">
        <is>
          <t>Global Signage &amp; Wayfinding Designer Program Manager, Workplace Design &amp; Construction (WD&amp;C)</t>
        </is>
      </c>
      <c r="C20" t="inlineStr">
        <is>
          <t>Amazon.com</t>
        </is>
      </c>
      <c r="D20" t="inlineStr">
        <is>
          <t>indeed</t>
        </is>
      </c>
      <c r="E20" t="inlineStr"/>
      <c r="F20" t="inlineStr"/>
      <c r="G20" t="inlineStr">
        <is>
          <t>Seattle, WA, US</t>
        </is>
      </c>
      <c r="H20" s="2" t="n">
        <v>45998</v>
      </c>
      <c r="I20"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in-1a8623b560422075</t>
        </is>
      </c>
      <c r="B21" t="inlineStr">
        <is>
          <t>Senior Product Manager, Ads</t>
        </is>
      </c>
      <c r="C21" t="inlineStr">
        <is>
          <t>Amazon.com</t>
        </is>
      </c>
      <c r="D21" t="inlineStr">
        <is>
          <t>indeed</t>
        </is>
      </c>
      <c r="E21" t="inlineStr"/>
      <c r="F21" t="inlineStr"/>
      <c r="G21" t="inlineStr">
        <is>
          <t>Irvine, CA, US</t>
        </is>
      </c>
      <c r="H21" s="2" t="n">
        <v>45994</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in-8c5182c85398b74b</t>
        </is>
      </c>
      <c r="B22" t="inlineStr">
        <is>
          <t>Senior Product Manager, Ads</t>
        </is>
      </c>
      <c r="C22" t="inlineStr">
        <is>
          <t>Amazon.com</t>
        </is>
      </c>
      <c r="D22" t="inlineStr">
        <is>
          <t>indeed</t>
        </is>
      </c>
      <c r="E22" t="inlineStr"/>
      <c r="F22" t="inlineStr"/>
      <c r="G22" t="inlineStr">
        <is>
          <t>Los Angeles, CA, US</t>
        </is>
      </c>
      <c r="H22" s="2"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in-cac589fe74894d96</t>
        </is>
      </c>
      <c r="B23" t="inlineStr">
        <is>
          <t>Senior Product Manager, Ads</t>
        </is>
      </c>
      <c r="C23" t="inlineStr">
        <is>
          <t>Amazon.com</t>
        </is>
      </c>
      <c r="D23" t="inlineStr">
        <is>
          <t>indeed</t>
        </is>
      </c>
      <c r="E23" t="inlineStr"/>
      <c r="F23" t="inlineStr"/>
      <c r="G23" t="inlineStr">
        <is>
          <t>Irvine, CA, US</t>
        </is>
      </c>
      <c r="H23" s="2" t="n">
        <v>45994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in-ea9ddab9544d3645</t>
        </is>
      </c>
      <c r="B24" t="inlineStr">
        <is>
          <t>Senior Product Manager, Ads</t>
        </is>
      </c>
      <c r="C24" t="inlineStr">
        <is>
          <t>Amazon.com</t>
        </is>
      </c>
      <c r="D24" t="inlineStr">
        <is>
          <t>indeed</t>
        </is>
      </c>
      <c r="E24" t="inlineStr"/>
      <c r="F24" t="inlineStr"/>
      <c r="G24" t="inlineStr">
        <is>
          <t>New York, NY, US</t>
        </is>
      </c>
      <c r="H24" s="2" t="n">
        <v>45994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in-23d3afcaf32df653</t>
        </is>
      </c>
      <c r="B25" t="inlineStr">
        <is>
          <t>Senior Product Manager, Ads</t>
        </is>
      </c>
      <c r="C25" t="inlineStr">
        <is>
          <t>Amazon.com</t>
        </is>
      </c>
      <c r="D25" t="inlineStr">
        <is>
          <t>indeed</t>
        </is>
      </c>
      <c r="E25" t="inlineStr"/>
      <c r="F25" t="inlineStr"/>
      <c r="G25" t="inlineStr">
        <is>
          <t>New York, NY, US</t>
        </is>
      </c>
      <c r="H25" s="2" t="n">
        <v>45994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in-24a469a76c3a5c55</t>
        </is>
      </c>
      <c r="B26" t="inlineStr">
        <is>
          <t>Senior Product Manager, Ads</t>
        </is>
      </c>
      <c r="C26" t="inlineStr">
        <is>
          <t>Amazon.com</t>
        </is>
      </c>
      <c r="D26" t="inlineStr">
        <is>
          <t>indeed</t>
        </is>
      </c>
      <c r="E26" t="inlineStr"/>
      <c r="F26" t="inlineStr"/>
      <c r="G26" t="inlineStr">
        <is>
          <t>San Francisco, CA, US</t>
        </is>
      </c>
      <c r="H26" s="2"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in-de95d7fdf73a702c</t>
        </is>
      </c>
      <c r="B27" t="inlineStr">
        <is>
          <t>Senior Product Manager, Ads</t>
        </is>
      </c>
      <c r="C27" t="inlineStr">
        <is>
          <t>Amazon.com</t>
        </is>
      </c>
      <c r="D27" t="inlineStr">
        <is>
          <t>indeed</t>
        </is>
      </c>
      <c r="E27" t="inlineStr"/>
      <c r="F27" t="inlineStr"/>
      <c r="G27" t="inlineStr">
        <is>
          <t>Los Angeles, CA, US</t>
        </is>
      </c>
      <c r="H27" s="2"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in-e6febf00fb86f875</t>
        </is>
      </c>
      <c r="B28" t="inlineStr">
        <is>
          <t>Senior Product Manager, Ads</t>
        </is>
      </c>
      <c r="C28" t="inlineStr">
        <is>
          <t>Amazon.com</t>
        </is>
      </c>
      <c r="D28" t="inlineStr">
        <is>
          <t>indeed</t>
        </is>
      </c>
      <c r="E28" t="inlineStr"/>
      <c r="F28" t="inlineStr"/>
      <c r="G28" t="inlineStr">
        <is>
          <t>Seattle, WA, US</t>
        </is>
      </c>
      <c r="H28" s="2"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in-e295aa7d2bba09b6</t>
        </is>
      </c>
      <c r="B29" t="inlineStr">
        <is>
          <t>Senior Product Manager, Ads</t>
        </is>
      </c>
      <c r="C29" t="inlineStr">
        <is>
          <t>Amazon.com</t>
        </is>
      </c>
      <c r="D29" t="inlineStr">
        <is>
          <t>indeed</t>
        </is>
      </c>
      <c r="E29" t="inlineStr"/>
      <c r="F29" t="inlineStr"/>
      <c r="G29" t="inlineStr">
        <is>
          <t>San Francisco, CA, US</t>
        </is>
      </c>
      <c r="H29" s="2"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in-62830e6b0aa03ef8</t>
        </is>
      </c>
      <c r="B30" t="inlineStr">
        <is>
          <t>Senior Product Manager, Ads</t>
        </is>
      </c>
      <c r="C30" t="inlineStr">
        <is>
          <t>Amazon.com</t>
        </is>
      </c>
      <c r="D30" t="inlineStr">
        <is>
          <t>indeed</t>
        </is>
      </c>
      <c r="E30" t="inlineStr"/>
      <c r="F30" t="inlineStr"/>
      <c r="G30" t="inlineStr">
        <is>
          <t>Seattle, WA, US</t>
        </is>
      </c>
      <c r="H30" s="2"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in-4102eb33aa3946ce</t>
        </is>
      </c>
      <c r="B31" t="inlineStr">
        <is>
          <t>Sr. Product Manager</t>
        </is>
      </c>
      <c r="C31" t="inlineStr">
        <is>
          <t>Amazon.com</t>
        </is>
      </c>
      <c r="D31" t="inlineStr">
        <is>
          <t>indeed</t>
        </is>
      </c>
      <c r="E31" t="inlineStr"/>
      <c r="F31" t="inlineStr"/>
      <c r="G31" t="inlineStr">
        <is>
          <t>Seattle, WA, US</t>
        </is>
      </c>
      <c r="H31" s="2" t="n">
        <v>45979</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in-fec2a4ee56d4c710</t>
        </is>
      </c>
      <c r="B32" t="inlineStr">
        <is>
          <t>Sr. Product Manager</t>
        </is>
      </c>
      <c r="C32" t="inlineStr">
        <is>
          <t>Amazon.com</t>
        </is>
      </c>
      <c r="D32" t="inlineStr">
        <is>
          <t>indeed</t>
        </is>
      </c>
      <c r="E32" t="inlineStr"/>
      <c r="F32" t="inlineStr"/>
      <c r="G32" t="inlineStr">
        <is>
          <t>Los Angeles, CA, US</t>
        </is>
      </c>
      <c r="H32" s="2"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in-1987a2efed1c1c7a</t>
        </is>
      </c>
      <c r="B33" t="inlineStr">
        <is>
          <t>Sr. Product Manager</t>
        </is>
      </c>
      <c r="C33" t="inlineStr">
        <is>
          <t>Amazon.com</t>
        </is>
      </c>
      <c r="D33" t="inlineStr">
        <is>
          <t>indeed</t>
        </is>
      </c>
      <c r="E33" t="inlineStr"/>
      <c r="F33" t="inlineStr"/>
      <c r="G33" t="inlineStr">
        <is>
          <t>New York, NY, US</t>
        </is>
      </c>
      <c r="H33" s="2"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in-6ea2ba38ad49b59c</t>
        </is>
      </c>
      <c r="B34" t="inlineStr">
        <is>
          <t>Sr. Product Manager</t>
        </is>
      </c>
      <c r="C34" t="inlineStr">
        <is>
          <t>Amazon.com</t>
        </is>
      </c>
      <c r="D34" t="inlineStr">
        <is>
          <t>indeed</t>
        </is>
      </c>
      <c r="E34" t="inlineStr"/>
      <c r="F34" t="inlineStr"/>
      <c r="G34" t="inlineStr">
        <is>
          <t>Irvine, CA, US</t>
        </is>
      </c>
      <c r="H34" s="2" t="n">
        <v>45979</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in-7d87831f38424bfb</t>
        </is>
      </c>
      <c r="B35" t="inlineStr">
        <is>
          <t>Sr. Product Manager</t>
        </is>
      </c>
      <c r="C35" t="inlineStr">
        <is>
          <t>Amazon.com</t>
        </is>
      </c>
      <c r="D35" t="inlineStr">
        <is>
          <t>indeed</t>
        </is>
      </c>
      <c r="E35" t="inlineStr"/>
      <c r="F35" t="inlineStr"/>
      <c r="G35" t="inlineStr">
        <is>
          <t>San Francisco, CA, US</t>
        </is>
      </c>
      <c r="H35" s="2" t="n">
        <v>45979</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in-08445e0496849358</t>
        </is>
      </c>
      <c r="B36" t="inlineStr">
        <is>
          <t>Program Manager, Executive Content and Programs, Global Executive Marketing</t>
        </is>
      </c>
      <c r="C36" t="inlineStr">
        <is>
          <t>Amazon Web Services</t>
        </is>
      </c>
      <c r="D36" t="inlineStr">
        <is>
          <t>indeed</t>
        </is>
      </c>
      <c r="E36" t="inlineStr"/>
      <c r="F36" t="inlineStr"/>
      <c r="G36" t="inlineStr">
        <is>
          <t>Seattle, WA, US</t>
        </is>
      </c>
      <c r="H36" s="2" t="n">
        <v>45970</v>
      </c>
      <c r="I3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in-342e9385eede0cba</t>
        </is>
      </c>
      <c r="B37" t="inlineStr">
        <is>
          <t>Program Manager, Executive Content and Programs, Global Executive Marketing</t>
        </is>
      </c>
      <c r="C37" t="inlineStr">
        <is>
          <t>Amazon Web Services</t>
        </is>
      </c>
      <c r="D37" t="inlineStr">
        <is>
          <t>indeed</t>
        </is>
      </c>
      <c r="E37" t="inlineStr"/>
      <c r="F37" t="inlineStr"/>
      <c r="G37" t="inlineStr">
        <is>
          <t>Arlington, VA, US</t>
        </is>
      </c>
      <c r="H37" s="2" t="n">
        <v>45970</v>
      </c>
      <c r="I3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in-a7b0e417cdfbaafd</t>
        </is>
      </c>
      <c r="B38" t="inlineStr">
        <is>
          <t>Sr. Supply Chain Product Manager, Amazon Custom Modules</t>
        </is>
      </c>
      <c r="C38" t="inlineStr">
        <is>
          <t>Amazon.com</t>
        </is>
      </c>
      <c r="D38" t="inlineStr">
        <is>
          <t>indeed</t>
        </is>
      </c>
      <c r="E38" t="inlineStr"/>
      <c r="F38" t="inlineStr"/>
      <c r="G38" t="inlineStr">
        <is>
          <t>Seattle, WA, US</t>
        </is>
      </c>
      <c r="H38" s="2" t="n">
        <v>45935</v>
      </c>
      <c r="I3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in-f69e94089b61f2b4</t>
        </is>
      </c>
      <c r="B39" t="inlineStr">
        <is>
          <t>Sr. Supply Chain Product Manager, Amazon Custom Modules</t>
        </is>
      </c>
      <c r="C39" t="inlineStr">
        <is>
          <t>Amazon.com</t>
        </is>
      </c>
      <c r="D39" t="inlineStr">
        <is>
          <t>indeed</t>
        </is>
      </c>
      <c r="E39" t="inlineStr"/>
      <c r="F39" t="inlineStr"/>
      <c r="G39" t="inlineStr">
        <is>
          <t>Cupertino, CA, US</t>
        </is>
      </c>
      <c r="H39" s="2" t="n">
        <v>45935</v>
      </c>
      <c r="I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in-992c3a189afda953</t>
        </is>
      </c>
      <c r="B40" t="inlineStr">
        <is>
          <t>Sr. Supply Chain Product Manager, Amazon Custom Modules</t>
        </is>
      </c>
      <c r="C40" t="inlineStr">
        <is>
          <t>Amazon.com</t>
        </is>
      </c>
      <c r="D40" t="inlineStr">
        <is>
          <t>indeed</t>
        </is>
      </c>
      <c r="E40" t="inlineStr"/>
      <c r="F40" t="inlineStr"/>
      <c r="G40" t="inlineStr">
        <is>
          <t>Austin, TX, US</t>
        </is>
      </c>
      <c r="H40" s="2" t="n">
        <v>45935</v>
      </c>
      <c r="I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in-1656e2b1d8185b89</t>
        </is>
      </c>
      <c r="B41" t="inlineStr">
        <is>
          <t>Principal Product Manager - Tech, Sponsored Products and Brands</t>
        </is>
      </c>
      <c r="C41" t="inlineStr">
        <is>
          <t>Amazon.com</t>
        </is>
      </c>
      <c r="D41" t="inlineStr">
        <is>
          <t>indeed</t>
        </is>
      </c>
      <c r="E41" t="inlineStr"/>
      <c r="F41" t="inlineStr"/>
      <c r="G41" t="inlineStr">
        <is>
          <t>Palo Alto, CA, US</t>
        </is>
      </c>
      <c r="H41" s="2" t="n">
        <v>45928</v>
      </c>
      <c r="I41"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in-554969b733e4e68e</t>
        </is>
      </c>
      <c r="B42" t="inlineStr">
        <is>
          <t>Principal Product Manager - Tech, Sponsored Products and Brands</t>
        </is>
      </c>
      <c r="C42" t="inlineStr">
        <is>
          <t>Amazon.com</t>
        </is>
      </c>
      <c r="D42" t="inlineStr">
        <is>
          <t>indeed</t>
        </is>
      </c>
      <c r="E42" t="inlineStr"/>
      <c r="F42" t="inlineStr"/>
      <c r="G42" t="inlineStr">
        <is>
          <t>New York, NY, US</t>
        </is>
      </c>
      <c r="H42" s="2" t="n">
        <v>45928</v>
      </c>
      <c r="I4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in-a453f235ef00ca3f</t>
        </is>
      </c>
      <c r="B43" t="inlineStr">
        <is>
          <t>Principal Product Manager - Tech, Sponsored Products and Brands</t>
        </is>
      </c>
      <c r="C43" t="inlineStr">
        <is>
          <t>Amazon.com</t>
        </is>
      </c>
      <c r="D43" t="inlineStr">
        <is>
          <t>indeed</t>
        </is>
      </c>
      <c r="E43" t="inlineStr"/>
      <c r="F43" t="inlineStr"/>
      <c r="G43" t="inlineStr">
        <is>
          <t>Seattle, WA, US</t>
        </is>
      </c>
      <c r="H43" s="2" t="n">
        <v>45928</v>
      </c>
      <c r="I4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in-503bc030277167c4</t>
        </is>
      </c>
      <c r="B44" t="inlineStr">
        <is>
          <t>Principal Product Manager Tech, Sponsored Products and Brands</t>
        </is>
      </c>
      <c r="C44" t="inlineStr">
        <is>
          <t>Amazon.com</t>
        </is>
      </c>
      <c r="D44" t="inlineStr">
        <is>
          <t>indeed</t>
        </is>
      </c>
      <c r="E44" t="inlineStr"/>
      <c r="F44" t="inlineStr"/>
      <c r="G44" t="inlineStr">
        <is>
          <t>New York, NY, US</t>
        </is>
      </c>
      <c r="H44" s="2" t="n">
        <v>45923</v>
      </c>
      <c r="I4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in-8deaeadc8d9df37e</t>
        </is>
      </c>
      <c r="B45" t="inlineStr">
        <is>
          <t>Principal Product Manager Tech, Sponsored Products and Brands</t>
        </is>
      </c>
      <c r="C45" t="inlineStr">
        <is>
          <t>Amazon.com</t>
        </is>
      </c>
      <c r="D45" t="inlineStr">
        <is>
          <t>indeed</t>
        </is>
      </c>
      <c r="E45" t="inlineStr"/>
      <c r="F45" t="inlineStr"/>
      <c r="G45" t="inlineStr">
        <is>
          <t>Seattle, WA, US</t>
        </is>
      </c>
      <c r="H45" s="2" t="n">
        <v>45923</v>
      </c>
      <c r="I4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in-18901be595275c27</t>
        </is>
      </c>
      <c r="B46" t="inlineStr">
        <is>
          <t>Sr. EHS Program Manager, Safety Learning and Development</t>
        </is>
      </c>
      <c r="C46" t="inlineStr">
        <is>
          <t>Amazon.com</t>
        </is>
      </c>
      <c r="D46" t="inlineStr">
        <is>
          <t>indeed</t>
        </is>
      </c>
      <c r="E46" t="inlineStr"/>
      <c r="F46" t="inlineStr"/>
      <c r="G46" t="inlineStr">
        <is>
          <t>Bellevue, WA, US</t>
        </is>
      </c>
      <c r="H46" s="2" t="n">
        <v>45910</v>
      </c>
      <c r="I46"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in-a4742bb9387dbc87</t>
        </is>
      </c>
      <c r="B47" t="inlineStr">
        <is>
          <t>Sr. EHS Program Manager, Safety Learning and Development</t>
        </is>
      </c>
      <c r="C47" t="inlineStr">
        <is>
          <t>Amazon.com</t>
        </is>
      </c>
      <c r="D47" t="inlineStr">
        <is>
          <t>indeed</t>
        </is>
      </c>
      <c r="E47" t="inlineStr"/>
      <c r="F47" t="inlineStr"/>
      <c r="G47" t="inlineStr">
        <is>
          <t>Nashville, TN, US</t>
        </is>
      </c>
      <c r="H47" s="2" t="n">
        <v>45910</v>
      </c>
      <c r="I4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in-81629b0d45df6461</t>
        </is>
      </c>
      <c r="B48" t="inlineStr">
        <is>
          <t>Senior Technical Program Manager (R&amp;D)</t>
        </is>
      </c>
      <c r="C48" t="inlineStr">
        <is>
          <t>Charles Schwab</t>
        </is>
      </c>
      <c r="D48" t="inlineStr">
        <is>
          <t>indeed</t>
        </is>
      </c>
      <c r="E48" t="inlineStr"/>
      <c r="F48" t="inlineStr"/>
      <c r="G48" t="inlineStr">
        <is>
          <t>Austin, TX, US</t>
        </is>
      </c>
      <c r="H48" s="2" t="n">
        <v>46067</v>
      </c>
      <c r="I48" t="inlineStr">
        <is>
          <t>**Your opportunity**
--------------------
At Schwab, we believe innovation starts with curiosity and the willingness to challenge how things are done today. Within Research \&amp; Development (R\&amp;D), we explore emerging technologies, test new ideas, and translate insights into meaningful business impact. Our work spans experimentation, rapid learning, and collaboration across technology and business partners.  
We are seeking a technically grounded leader who is ready to step into a broader role guiding teams, organizing complex initiatives, and helping R\&amp;D turn exploration into execution. This role is ideal for someone who has built credibility through hands‑on technical or analytical work and now wants to influence outcomes through leadership, facilitation, and strategic thinking.  
We believe in the importance of in\-office collaboration and fully intend for the selected candidate for this role to work on site in the specified location(s).  
As a **Senior** **Manager / TPM Lead, Research \&amp; Development Initiatives**, you will help shape and drive some of R\&amp;D’s most impactful programs. You will work at the intersection of technology, business, and delivery, bringing structure to ambiguity, aligning diverse stakeholders, and enabling teams to do their best work.  
You will not be expected to have all the answers. Instead, you will be expected to ask the right questions, experiment thoughtfully, and help teams learn quickly. This role blends elements of product management, program leadership, and agile delivery, with a strong emphasis on adaptability and continuous improvement.  
This role plays a key part in helping R\&amp;D move from ideas to impact. You will help ensure that exploration leads to learning, learning leads to decisions, and decisions lead to meaningful outcomes for Schwab’s clients and business. You’ll achieve this working with cross\-functional teams within Schwab. Example technology initiatives this role might be engaged with are those in Generative AI, Digital Assets, and Immersive Technologies. **Position Responsibilities:*** **Lead R\&amp;D Initiatives**
	+ Organize and drive cross‑functional initiatives from concept through experimentation and transition to delivery teams.
	+ Work with senior team members to translate loosely defined ideas or technology trends into clear goals, hypotheses, and execution plans.
	+ Provide executive level briefings and regular status updates to other senior staff.
	+ Balance near‑term execution with longer‑term exploration and learning.
	+ Help prioritize team goals and coordinate R\&amp;D team status reports.
* **Enable and Lead Teams**
	+ Lead and support multi‑disciplinary/cross\-functional teams, creating clarity around priorities, roles, and outcomes.
	+ Foster a collaborative, inclusive environment where experimentation and constructive challenge are encouraged.
	+ Coach team members through change, ambiguity, and evolving ways of working.
* **Connect Technology to Business Value**
	+ Partner with product, engineering, architecture, and business stakeholders to explore how emerging technologies may apply to real business use cases.
	+ Help teams articulate value, tradeoffs, and risks in ways that resonate with both technical and non‑technical audiences.
	+ Support decision‑making with thoughtful analysis, synthesis, and storytelling.
* **Apply Agile and Adaptive Practices**
 R\&amp;D doesn’t subscribe to a one\-size\-fits all approach to managing their research \&amp; explorations. This position will draw from a broad set of tools developed through past experiences to guide R\&amp;D initiatives.
* + Apply Agile, Lean, or hybrid delivery approaches appropriate to R\&amp;D work.
	+ Continuously inspect and adapt processes to improve flow, learning, and outcomes.
	+ Serve as a facilitator who helps teams remove impediments and stay focused on outcomes rather than outputs.
**What you have**
-----------------
 **Required Qualifications:*** Bachelor’s degree in computer science, information management, business administration, or related field. Advanced degrees or professional certifications in relevant fields are a plus.
* 7\+ years of experience in a technical, analytical, or delivery‑focused role (e.g., software development, data, architecture, business analysis, product, or program delivery).
* Comfort working across both technical and business domains
* Experience with a breadth of technologies and a constant desire to learn about new ones
* Experience working with cross‑functional teams in Agile or iterative environments.
* Demonstrated ability to organize work, manage dependencies, and drive initiatives forward.
* Strategic thinking, resource management, and the ability to synthesize complex data to develop strategic insights.
* Strong organizational skills, attention to detail, and ability to deliver high\-quality results with minimal supervision.
* Excellent written and verbal communication skills, with the ability to express ideas clearly, foster open dialogue, and promote diversity, equity, and inclusion.
**Preferred Qualifications:*** Experience in R\&amp;D, innovation teams, or exploratory technology work.
* Experience working in the financial services industry
* Coding skills a plus
* A fundamental understanding of crypto markets and digital asset technology (blockchain, smart contracts, etc.)
* A fundamental understanding of Generative AI technology (prompting, RAG, Agents, etc.)
* Background in product management, program management, scrum mastery, or product ownership.
* Experience evaluating emerging technologies or technology trends and mapping them to business opportunities.
In addition to the salary range, this role is also eligible for bonus or incentive opportunities.**What’s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49">
      <c r="A49" t="inlineStr">
        <is>
          <t>in-a48abead7ef938ed</t>
        </is>
      </c>
      <c r="B49" t="inlineStr">
        <is>
          <t>Cloud Program Manager</t>
        </is>
      </c>
      <c r="C49" t="inlineStr">
        <is>
          <t>General Dynamics Information Technology</t>
        </is>
      </c>
      <c r="D49" t="inlineStr">
        <is>
          <t>indeed</t>
        </is>
      </c>
      <c r="E49" t="inlineStr"/>
      <c r="F49" t="inlineStr"/>
      <c r="G49" t="inlineStr">
        <is>
          <t>Tampa, FL, US</t>
        </is>
      </c>
      <c r="H49" s="2" t="n">
        <v>46067</v>
      </c>
      <c r="I49" t="inlineStr">
        <is>
          <t>Your Impact
Own your opportunity to support our nation's defense. Make an impact by connecting and securing critical operations across the globe, keeping our country safe and secure.
Job Description
Oversee complex programs that drive impactful mission outcomes for our customers as a Cloud Program Manager. Here, you’ll see the bigger picture on mission initiatives and where your program management career can go at GDIT.  
MEANINGFUL WORK AND PERSONAL IMPACT  
As a Cloud Program Manager, the work you’ll do at GDIT will be impactful to the mission of USCENTCOM. You will play a crucial role in the design, implementation, and operationalization of cloud strategies and solutions for the United States Central Command (USCENTCOM) under the CITS program. This role requires expertise in aligning cloud initiatives with DoD policies, USCENTCOM mission objectives, and Zero Trust principles to ensure secure, scalable, and efficient cloud adoption and management.
Duties \&amp; Qualifications:
* Refine and implement enterprise cloud strategies, migration approaches, and operating models that align with USCENTCOM and DoD objectives.
* Support multi\-cloud environments (e.g., Azure, AWS, DISA, and others) and hybrid cloud solutions, ensuring compliance with DoD Impact Levels (IL2, IL5, IL6\).
* Lead the USCENTCOM Cloud Management Office (CMO), including governance, policy development, budget oversight, innovation initiatives, and shared services.
* Establish and enforce cloud standards, brokering processes, and best practices for enterprise\-wide cloud adoption.
* Design and operationalize cloud identity management frameworks in accordance with DoD, DISA E\-ICAM, and USCENTCOM guidelines.
* Implement Zero Trust Architecture principles for secure access control, gateway management, and protection of cloud\-based data, applications, assets, and services (DAAS).
* Ensure adherence to DoD Secure Cloud Computing Architecture (SCCA), FedRAMP, and other cloud authorization processes.
* Maintain familiarity with DoD Zero Trust Reference Architecture and NIST Cloud Reference Architecture to guide secure cloud operations.
WHAT YOU’LL NEED TO SUCCEED  
Bring your program management expertise along with a drive for innovation to GDIT. The Project/Task Sr Manager must have:
* Education: Bachelor’s degree in information systems, Computer Science, Computer Engineering, or other related field
* Certification: Security\+ CE and Azure Administrator Associate (AZ\-104\)
* Experience: 5\+ years of related experience
* Security clearance level: Secret with ability to obtain TS/SCI
* US citizenship required
* Desired Skills:
	+ Master’s degree in information systems, Computer Science, Computer Engineering, or other related field
	+ Azure Solutions Architect Expert (AZ\-305\)
	+ Project Management Professional (PMP)
	+ Certified Cloud Security Professional (CCSP)
	+ Familiarity with FedRAMP, GOVCloud, and DoD cloud authorization processes
	+ Knowledge of DoD Secure Cloud Computing Architecture and Zero Trust Reference Architecture
	+ Experience with tools such as Power BI and Azure DevOps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competitive pay and paid time off
* Community: Award\-winning culture of innovation and a military\-friendly workplace
OWN YOUR OPPORTUNITY  
Explore a career in program management at GDIT and you’ll find endless opportunities to grow alongside colleagues who share your passion for the mission and delivering results.
Work Requirements
Years of Experience
5 \+ years of related experience* may vary based on technical training, certification(s), *or* degree
Certification
Microsoft Certified: Azure Administrator Associate (AZ\-104\) \| Microsoft \- Microsoft
CompTIA Security\+ CE \| CompTIA \- CompTIA
Travel Required
Less than 10%
Citizenship
U.S. Citizenship Required
Salary and Benefit Information
The likely salary range for this position is $127,500 \- $172,500\.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50">
      <c r="A50" t="inlineStr">
        <is>
          <t>in-0a11d254f8ffb77f</t>
        </is>
      </c>
      <c r="B50" t="inlineStr">
        <is>
          <t>IT Program Manager – Enterprise Architecture &amp; AI-Driven Modernization</t>
        </is>
      </c>
      <c r="C50" t="inlineStr">
        <is>
          <t>General Dynamics Information Technology</t>
        </is>
      </c>
      <c r="D50" t="inlineStr">
        <is>
          <t>indeed</t>
        </is>
      </c>
      <c r="E50" t="inlineStr"/>
      <c r="F50" t="inlineStr"/>
      <c r="G50" t="inlineStr">
        <is>
          <t>Gaithersburg, MD, US</t>
        </is>
      </c>
      <c r="H50" s="2" t="n">
        <v>46067</v>
      </c>
      <c r="I50" t="inlineStr">
        <is>
          <t>Your Impact
Own your opportunity to work alongside federal civilian agencies. Make an impact by providing services that help the government ensure the well being and support of U.S. citizens.
Job Description
GDIT is seeking a Senior IT Program Manager to lead and oversee all Task Orders under a large, complex U.S. Department of Health and Human Services (HHS) contract in the DMV Metro area.
This role is responsible for the strategic and operational execution of enterprise\-wide IT modernization initiatives across enterprise architecture, enterprise Infrastructure, cybersecurity, and network services, with increasing emphasis on AI\-enabled and agentic AI capabilities driving automation, optimization, and decision support. The Sr. Program Manager serves as the single point of accountability for contract performance, providing leadership, governance, and direction across multiple task orders, technical domains, and stakeholder organizations within HHS.
This position requires to be at the client site in Rockville, MD or at the GDIT facility in Falls Church for 2 to 3 days per week.
Key Responsibilities
* Provide overall program leadership, governance, and execution oversight for all Task Orders under the HHS contract, ensuring alignment with HHS mission objectives, enterprise architecture standards, and modernization roadmaps.
* Lead enterprise\-scale IT modernization initiatives supporting HHS Operating Divisions (OPDIVs) and Staff Divisions (STAFFDIVs), including infrastructure modernization, cloud adoption, cybersecurity integration, and AI\-enabled service transformation.
* Serve as a trusted advisor to HHS leadership, providing strategic guidance on enterprise architecture, infrastructure modernization, and the responsible adoption of AI and agentic AI capabilities.
* Act as a change agent, coordinating across HHS stakeholders, GDIT leadership, and subcontractor teams to drive sustainable technological, operational, and cultural change.
* Manage day\-to\-day program operations including systems integration, engineering design, procurement, deployment, testing, logistics, and lifecycle support.
* Ensure AI\-enabled solutions are integrated into enterprise infrastructure and IT service delivery models in accordance with HHS policies, security requirements, and governance frameworks.
* Organize, direct, and coordinate planning and execution of all contract support activities; serve as the primary interface with HHS program management, contracting officers, and technical leadership.
* Manage and control program schedules, budgets, risks, and performance metrics to ensure on\-time, within\-budget delivery across all Task Orders.
* Ensure compliance with federal, HHS, and contract\-specific policies, standards, and security requirements.
* Lead and mentor administrative, program management, and technical personnel across multiple functional and technical domains.
* Identify, acquire, and allocate company resources to achieve technical, operational, and contractual objectives.
* Review project feasibility studies, cost estimates, and performance outcomes; ensure conformance with enterprise standards and best practices.
* Provide recommendations for resolution of technical, operational, and programmatic issues to HHS stakeholders.
* Support performance\-based and award\-fee contract execution, including performance measurement, reporting, and continuous improvement.
* Perform other duties as assigned.
Required Qualifications
* Bachelors and 10\+ years of program management experience with recent experience in complex federal enterprise IT programs, preferably within HHS or similar civilian agencies.
* Demonstrated experience managing multiple Task Orders under a single large\-scale contract.
* Proven experience in Enterprise Architecture and Enterprise Infrastructure, including modernization initiatives in federal environments.
* Experience leading or integrating AI\-enabled capabilities, including automation, analytics, or agentic AI concepts, within enterprise IT or infrastructure programs.
* Experience leading a team.
* Ability to obtain and maintain an HHS Public Trust.
Preferred Qualifications
* Master’s degree from an accredited college or university in project management, information technology, systems engineering, or a related discipline.
* Current PMI certification, such as PMP or PgMP.
* ITIL® 4 Managing Professional or higher certification.
* Strong leadership, communication, and stakeholder engagement skills with senior government officials.
* Experience supporting HHS performance\-based and award\-fee contracts of similar size and complexity.
* Familiarity with HHS enterprise architecture frameworks, cloud strategies, Zero Trust Architecture (ZTA), and AI governance principles.
* Experience operating within large, federated federal agencies with multiple OPDIVs and diverse mission systems.
\#GDITFedHealthJobs
Work Requirements
Years of Experience
10 \+ years of related experience* may vary based on technical training, certification(s), *or* degree
Certification
Travel Required
None
Salary and Benefit Information
The likely salary range for this position is $148,750 \- $201,250\.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51">
      <c r="A51" t="inlineStr">
        <is>
          <t>in-5155e71e8bad3b62</t>
        </is>
      </c>
      <c r="B51" t="inlineStr">
        <is>
          <t>Program Manager</t>
        </is>
      </c>
      <c r="C51" t="inlineStr">
        <is>
          <t>Mass General Brigham</t>
        </is>
      </c>
      <c r="D51" t="inlineStr">
        <is>
          <t>indeed</t>
        </is>
      </c>
      <c r="E51" t="inlineStr"/>
      <c r="F51" t="inlineStr"/>
      <c r="G51" t="inlineStr">
        <is>
          <t>Boston, MA, US</t>
        </is>
      </c>
      <c r="H51" s="2" t="n">
        <v>46066</v>
      </c>
      <c r="I51"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With minimal oversight and direction from the Directors of the Residency Training Programs and Administrative Manager, the Program Manager is primarily responsible for coordinating the administrative aspects of the clinical residency and fellowship training programs in the Department of Oral \&amp; Maxillofacial Surgery (OMFS). The position requires a comprehensive and detailed understanding of national accreditation policies and hospital policies, as well as a high degree of initiative and independent judgment, and the ability to communicate effectively with faculty. The Residency/Fellowship Program Manager will continually assess and direct a wide range of programmatic issues including recruiting and onboarding residents/fellows, developing projects, analyzing administrative workflow, maintaining databases, communicating with faculty and residents/fellows regarding a range of issues, managing internal and external program relations, and long\-range planning. The Manager will also work closely with the department coordinators, cross\-covering and providing support to that position as required. Coordinates and provides on\-boarding support for individuals coming to the OMFS Department on J\-1 visas.  
**Qualifications**
**Residency/Fellowship Program Management:**
* Manages and coordinates all of the administrative aspects of the Departmental clinical subspecialty residency/fellowship programs for CODA\-accredited and non\-CODA accredited clinical residencies/fellowships (e.g., OMFS, GPR, OFP and TMJ). CODA residencies include Oral \&amp; Maxillofacial Surgery, Orofacial Pain and General Practice Residency. Total number of residents is approximately 24\.
* Coordinates administrative aspects of CODA and MGB/MGH accreditation and Internal Review documentation for residents/fellowships, including preparing for and assisting in the readiness of the programs for CODA Site Visits, conducted approximately every 5 years, as well as other activities associated with program accreditation. Interprets and applies CODA, ABOMS and hospital policies to support compliance.
* Serves as primary resource to faculty serving as clinical residents/fellowship directors regarding existing or new policies and requirements, helping to advise them on particular issues regarding their subspecialty residency/fellowship program in general or regarding individual residents/fellows.
* Coordinates the recruitment process for clinical residency/fellowship applicants as needed, including application management, interviews, and offers.
* Manages all credentialing for residents/fellows, including processing of visa applications, working with OMFS Administration, MGH Physician Services, and the Partners International Office.
* Sets up rotations for clinical residents in the Department’s training program at each of the other institutions where they rotate, including credentialing and other required paperwork, such as setting up financial arrangements, working closely with OMFS Administration. Sets up MGH credentialing for outside rotators and observers, residents, fellows, and students coming to the Department from other MGH/MGB departments or outside institutions.
* Assists with updating and maintaining the resident/fellowship program manual.
* Assists with initiatives to improve the resident/fellowship programs.
* Tracks, reports, and ensures compliance with procedures regarding licensing, CODA/GME Duty Hour reporting, CRICO extensions, annual contracts, and initial and re\-credentialing of residents/fellows.
* Develops, implements, and oversees the maintenance of filing, record keeping, distribution of materials and other types of office/program systems.
* Evaluates and standardizes office procedures and effectively troubleshoots and resolves issues.
* Completes required national and hospital surveys, collating and reporting program or trainee data. Provide other information to external agencies regarding trainees as required.
* Coordinate closely with department coordinators and administrators due to interconnected nature of roles and responsibilities, provide cross\-coverage when necessary, as well as other administrative support as needed. This might include scheduling interviews, orientations, completing Residency trainee credentialing information, setting up files, etc.
* Work closely with department manager and Residency Training Program Director **s** , as well as other resident/fellowship program directors in the sub\-specialty services concerning operational and programmatic issues, and the status of projects. Identifies and evaluates the means for improving workflow and cost effectiveness; makes recommendations for improvements.
* Assist in program\-level policy development and long\-range planning. Oversees department\-level residency/fellowship orientation and any task\-specific training/certification. Informs residents/fellows of inter and intradepartmental policy and procedure changes, with assistance from GME office.
* Manages the evaluative processes of residents/fellows, the program, the faculty, and rotations.
* Works with OMFS Administration to notify and transition clinical trainees to any research programs.
* Establishes annual trainee financial arrangements with MGB Special Accounts and participating institutions, ensure proper FTE allocations and any discounts are included in the agreement. Also disseminates Departmental financial policies annually to all trainees to ensure proper expense reimbursements are followed on trainee educational allowances.
* Keeps abreast of any changes in resident/fellow status, new assignments, etc., updating databases \&amp; processing salary or credentialing status changes as necessary.
* Keep track of resident/fellows’ plans relating to rotations, so as to have a comprehensive understanding of current and future plans/rotations. Apprise OMFS Administration \&amp; Finance staff of status changes as necessary. Coordinates and provides on\-boarding support for individuals coming to the OMFS Department on J\-1 visas. Provide other administrative support to Resident/ Fellowship Program Directors as necessary.
* Assist with quality and safety protocol/following with compliance. Reports to Q\&amp;S director to make sure reports are handled accurately and in a timely manner.
* Keep an ongoing database of all reports and updates to be prepared to present at M\&amp;M conferences.
* Schedule and book conferences for the year including but not limited to, Grand Rounds, Combine Grand Rounds, Pathology, Didactics and TMD Conference. Residency Program funds \&amp; responsible for coordinating departmental events, (e.g. Change party, Holiday party, in services). Performs all other duties and responsibilities as directed.
***QUALIFICATIONS:***
* Bachelor’s degree in Business Administration or Healthcare Management required.
* Minimum of 3 years of experience performing relevant work, preferably in a healthcare and/or education setting. Familiarity with medical trainee management, including ACGME/CODA policies, preferred.
***SKILLS/ ABILITIES/ COMPETENCIES REQUIRED:***
* Strong ability to make decisions and to work independently, only escalating issues to supervisors as needed.
* Excellent written and verbal communication skills.
* Ability to multi\-task and organize information.
* Ability to handle sensitive information with absolute confidentiality.
* Strong interpersonal skills are necessary in order to interrelate with a wide range of personalities from both inside and outside of the Hospital.
* Working knowledge of software applications including Microsoft Word, Excel, PowerPoint, and Access databases, New Innovations.
* Ability to work under deadline pressure and prioritize work from several sources.
Customer\-service orientation.  
* 
**Additional Job Details (if applicable)**
**Remote Type**
Onsite  
**Work Location**
55 Fruit Street  
**Scheduled Weekly Hours**
40  
**Employee Type**
Regular  
**Work Shift**
Day (United States of America)  
**Pay Range**
$63,648\.00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52">
      <c r="A52" t="inlineStr">
        <is>
          <t>in-e357b2ad8c355731</t>
        </is>
      </c>
      <c r="B52" t="inlineStr">
        <is>
          <t>Gratiot/Shiawassee County Services Program Manager 15</t>
        </is>
      </c>
      <c r="C52" t="inlineStr">
        <is>
          <t>State of Michigan</t>
        </is>
      </c>
      <c r="D52" t="inlineStr">
        <is>
          <t>indeed</t>
        </is>
      </c>
      <c r="E52" t="inlineStr"/>
      <c r="F52" t="inlineStr"/>
      <c r="G52" t="inlineStr">
        <is>
          <t>Owosso, MI, US</t>
        </is>
      </c>
      <c r="H52" s="2" t="n">
        <v>46065</v>
      </c>
      <c r="I52" t="inlineStr">
        <is>
          <t>**Job Description**
-------------------
The physical location of this position is Shiawassee County, but it will cover Gratiot County also. Based on operational needs and within established limits, remote work and alternate or hybrid work schedule requests for this position may be considered.
Selected candidates who have been approved to work remotely or a hybrid schedule must complete that work within Michigan. Candidates should confirm work location and schedule at the time of interview. **Online application must contain detailed work experience. It will be used as the primary source for the review of your application.** **Do not put “see resume” instead of listing duties under your work experience.**  
The Michigan Department of Health and Human Services mission is to provide opportunities, services, and programs that promote a healthy, safe, and stable environment for residents to be self\-sufficient. We are committed to ensuring a diverse workforce and a work environment whereby all employees are treated with dignity, respect and fairness. For more information, please visit MDHHS Diversity Equity and Inclusion.  
This position supervises, directs and monitors the activities of the first line Children's Services in a Department of Health and Human Services local office. This position is responsible for the administration of the Child Welfare Program and other Services programs administered by the Department of Health and Human Services. The Services Program Manager will provide support, direction and serve as the resource person to subordinate staff to ensure proper application of policies and procedures for various social service programs and monitor the progress of the Department goal of ensuring safety and well\-being of vulnerable children and adults and services to ensure the stability of families. This manager will assist with the integration of program support and all child welfare programs and community services to enhance Department outcomes.  
Position Description (Download PDF reader)  
Job Specification (Download PDF reader)  
**To be considered for this position you must:*** Apply for this position online via NEOGOV; click on "Apply" in the job posting for instructions in submitting your electronic application. Hard copy applications are not accepted.
* Relevant experience and/or education referred to in supplemental questions must be documented in resume, transcript and/or application to allow for accurate screening.
* Attach a resume identifying specific experience and dates of employment. Dates of employment should include month and year and hours per week.
* Attach a cover letter.
* Attach a copy of an official transcript(s). We accept scanned copies of official transcripts. We do not accept web\-based, internet, or copies of unofficial transcripts. Official transcripts provide the name of the institution, confirmation that a degree was awarded and on what date, and the registrar's signature.
**Failure to complete any of the above items may result in your application not being considered.**
**Required Education and Experience**
-------------------------------------
**Education**
Possession of a bachelor's or master’s degree with a major in one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OR
Possession of a bachelor's degree in any major with at least 30 semester (45 term) credits in one or a combination of the following human services areas: social work, sociology, psychology, forensic psychology, interdisciplinary studies in social science, education, community development, law enforcement, behavioral science, gerontology, special education, education of the emotionally disturbed, education of the gifted, family ecology, community services, family studies, family and/or child development, counseling psychology, criminal justice, human services, or in a human services\-related counseling major.
 **Experience**  
Services Program Manager 15 \- 16  
Three years of experience equivalent to a Family Independence Manager 12\.  
OR  
Two years of experience equivalent to a Services Program Manager 13, General Services Program  
Manager 13 or Family Independence Manager 13\.  
OR  
One year of experience equivalent to a Services Program Manager 14, General Services Program  
Manager 14 or Family Independence Manager 14\.  
**SELECTIVE POSITION REQUIREMENT (SPR):**At least three years of child welfare experience equivalent to a Services Specialist  
**Alternate Education and Experience**
--------------------------------------
**Additional Requirements and Information**
-------------------------------------------
An applicant hired or promoted to a Services Program Manager position that involves the management of protective services, foster care services or adoption services must successfully complete a supervisory training program of at least 40 class hours; and pass a competency\-based performance evaluation of that training within three months after assuming the Services Program Manager position. The competency\-based performance evaluation shall include a written examination.
Follow us on LinkedIn for more job opportunities!  
\#MDHHSjobs \#Veteranfriendly \#Careerswithpurpose \#CommunityHeroes
MDHHS is proud to be a Michigan Veteran’s Affairs Agency (MVAA) Gold Level Veteran\-Friendly Employer.
**Accommodations**  
If you require a reasonable accommodation to participate in the application or selection processes, please contact the ADA coordinator (Download PDF reader) for the agency that posted this position vacancy.</t>
        </is>
      </c>
    </row>
    <row r="53">
      <c r="A53" t="inlineStr">
        <is>
          <t>in-d7c9bb4cadf73050</t>
        </is>
      </c>
      <c r="B53" t="inlineStr">
        <is>
          <t>Clinical Program Manager</t>
        </is>
      </c>
      <c r="C53" t="inlineStr">
        <is>
          <t>DV Therapy</t>
        </is>
      </c>
      <c r="D53" t="inlineStr">
        <is>
          <t>indeed</t>
        </is>
      </c>
      <c r="E53" t="inlineStr"/>
      <c r="F53" t="inlineStr"/>
      <c r="G53" t="inlineStr">
        <is>
          <t>Palmdale, CA, US</t>
        </is>
      </c>
      <c r="H53" s="2" t="n">
        <v>46068</v>
      </c>
      <c r="I53" t="inlineStr">
        <is>
          <t>DV Therapy is seeking a dedicated and experienced **BCBA Clinical Supervisor** to join our multidisciplinary team. In this leadership role, you’ll oversee ABA treatment programs, mentor clinical staff, and collaborate with families to ensure effective, compassionate care. If you're a proactive leader with a strong clinical background and a passion for improving lives—we’d love to hear from you!
### **Responsibilities**
* Design, evaluate, and implement individualized ABA treatment plans
* Supervise and train clinical staff, providing ongoing feedback and support
* Conduct assessments, analyze data, and adjust treatment strategies
* Collaborate with caregivers to teach behavior intervention techniques
* Monitor documentation for accuracy, compliance, and timeliness
* Support recruitment, onboarding, and training of new staff
* Participate in staff meetings, case reviews, and professional development
* Assist with scheduling, billing, and documentation processes
* Uphold DV Therapy’s Core Values: Respect, Drive, Flexibility, Proficiency, Empathy, Communication, Tenacity
### **Qualifications**
* Master’s degree in Applied Behavior Analysis or related field
* BCBA certification in good standing with the BACB
* Minimum 2 years of experience in ABA services
* Proven leadership and team management skills
* Strong communication, organization, and analytical abilities
* Bilingual in Spanish is a plus
**Benefits Overview**</t>
        </is>
      </c>
    </row>
    <row r="54">
      <c r="A54" t="inlineStr">
        <is>
          <t>in-dd341dc76a7a27d3</t>
        </is>
      </c>
      <c r="B54" t="inlineStr">
        <is>
          <t>DDD Program Manager (Developmental Disabilities Services)</t>
        </is>
      </c>
      <c r="C54" t="inlineStr"/>
      <c r="D54" t="inlineStr">
        <is>
          <t>indeed</t>
        </is>
      </c>
      <c r="E54" t="inlineStr"/>
      <c r="F54" t="inlineStr"/>
      <c r="G54" t="inlineStr">
        <is>
          <t>North Brunswick, NJ, US</t>
        </is>
      </c>
      <c r="H54" s="2" t="n">
        <v>46068</v>
      </c>
      <c r="I54" t="inlineStr">
        <is>
          <t>We are a licensed New Jersey home care agency dedicated to supporting individuals with intellectual and developmental disabilities. Our mission is to provide compassionate, person\-centered services that promote independence, safety, and quality of life. We are seeking an experienced **DDD Program Manager** to oversee our growing program and ensure compliance with all state and DDD regulations.
**Position Summary:**  
The DDD Program Manager will oversee daily operations of our DDD program, supervise support staff, ensure service plan compliance, coordinate with case managers and families, and maintain (Developmental Disabilities Services) high\-quality standards across all services. This role requires strong leadership, organization, and a deep understanding of NJ DDD guidelines.
**Responsibilities:**
* Train staff according to DDD guidelines and state regulations
* Accountable for achieving growth targets through proactive business development, strengthening existing referral sources, and generating new client opportunities.
* Attend community Engagement (transition fairs, sponsorship local events, conduct lunch n learns)
* Ensures compliance with all DDD/DHS policies and procedures. Periodically reviews and updates internal processes to ensure compliance. Updates Internal Standard Operating Procedure manual and communicates all changes and updates with staff in a timely manner.
* Preparation of reports including but not limited to internal/external audits
* Complete all DDD required webinars and trainings
* Be available to assist clients in crisis situations
* Work alongside DSP and make sure client medical appointment and daily activities are met
* Open Cases when needed
* Communicate directly to BCBA when client concerns arrive
* Conduct monthly client visits
 **Qualifications:**
* Bachelor’s degree in Social Work, Human Services, Psychology, or related field (required by many agencies; experience may substitute depending on your preference)
* 2–3\+ years of experience working with individuals with developmental disabilities (DDD experience strongly preferred)
* Prior management or supervisory experience in human services or home care
* Knowledge of NJ DDD, Medicaid, and state regulations
* Strong organizational and communication skills
* Ability to manage multiple tasks and deadlines
* Valid NJ driver’s license and ability to travel locally
**Preferred Skills:**
* Experience with Therap, EVV systems, or other care management platforms
* Strong understanding of person\-centered planning
* Crisis management and problem\-solving skills
**Benefits:**
* Competitive salary
* Flexible schedule
* Paid time off
* Professional development and training opportunities
* Supportive and mission\-driven work environment</t>
        </is>
      </c>
    </row>
    <row r="55">
      <c r="A55" t="inlineStr">
        <is>
          <t>in-caae7f9544e85e29</t>
        </is>
      </c>
      <c r="B55" t="inlineStr">
        <is>
          <t>Associate, Product Manager</t>
        </is>
      </c>
      <c r="C55" t="inlineStr">
        <is>
          <t>Upbound Group</t>
        </is>
      </c>
      <c r="D55" t="inlineStr">
        <is>
          <t>indeed</t>
        </is>
      </c>
      <c r="E55" t="inlineStr"/>
      <c r="F55" t="inlineStr"/>
      <c r="G55" t="inlineStr">
        <is>
          <t>Plano, TX, US</t>
        </is>
      </c>
      <c r="H55" s="2" t="n">
        <v>46067</v>
      </c>
      <c r="I55" t="inlineStr">
        <is>
          <t>Location:
5501 Headquarters Dr, Plano, Texas, 75024, United States of America  
N/A \- Contractor Conversion</t>
        </is>
      </c>
    </row>
    <row r="56">
      <c r="A56" t="inlineStr">
        <is>
          <t>in-a5d3717df8f4db90</t>
        </is>
      </c>
      <c r="B56" t="inlineStr">
        <is>
          <t>Senior Product Manager</t>
        </is>
      </c>
      <c r="C56" t="inlineStr">
        <is>
          <t>Upbound Group</t>
        </is>
      </c>
      <c r="D56" t="inlineStr">
        <is>
          <t>indeed</t>
        </is>
      </c>
      <c r="E56" t="inlineStr"/>
      <c r="F56" t="inlineStr"/>
      <c r="G56" t="inlineStr">
        <is>
          <t>Plano, TX, US</t>
        </is>
      </c>
      <c r="H56" s="2" t="n">
        <v>46067</v>
      </c>
      <c r="I56" t="inlineStr">
        <is>
          <t>Location:
5501 Headquarters Dr, Plano, Texas, 75024, United States of America  
Conversion</t>
        </is>
      </c>
    </row>
    <row r="57">
      <c r="A57" t="inlineStr">
        <is>
          <t>in-6cd42e8287a078e6</t>
        </is>
      </c>
      <c r="B57" t="inlineStr">
        <is>
          <t>Technical Program Manager</t>
        </is>
      </c>
      <c r="C57" t="inlineStr">
        <is>
          <t>Auria</t>
        </is>
      </c>
      <c r="D57" t="inlineStr">
        <is>
          <t>indeed</t>
        </is>
      </c>
      <c r="E57" t="inlineStr"/>
      <c r="F57" t="inlineStr"/>
      <c r="G57" t="inlineStr">
        <is>
          <t>Remote, US</t>
        </is>
      </c>
      <c r="H57" s="2" t="n">
        <v>46067</v>
      </c>
      <c r="I57" t="inlineStr">
        <is>
          <t>**Auria is seeking a Technical Program Manager to join our outstanding team.**
**WHAT YOU CAN EXPECT TO DO:**
* Serve as the primary point of contact for the Government customer, leading overall program delivery and communication.
* Manage all program phases, from PWS baseline execution through task order delivery, ensuring alignment with technical scope, schedule, cost, and quality objectives.
* Lead the development, integration, and deployment of complex satellite ground system software and architecture components—including mission planning, data ingest, processing pipelines, modeling frameworks, and visualization capabilities.
* Oversee execution of Agile development activities across integrated product teams, ensuring disciplined sprint planning, backlog management, and cross\-functional alignment.
* Ensure compliance with programmatic requirements including milestone tracking, systems engineering processes, cybersecurity (e.g., RMF), and configuration/change management.
* Forecast future customer needs, derive requirements, develop and coordinate task order execution plans to support the advancement of programs.
* Direct and integrate activities across multiple subcontractors and technical domains (e.g., modeling, systems engineering, cloud infrastructure, cybersecurity).
* Drive technical and programmatic risk management and provide data\-driven insights to Government decision\-makers.
* Foster strong collaboration between the contractor team and government stakeholders, facilitating regular demonstrations, planning sessions, and reviews.
* Support system design and delivery decisions with deep understanding of space domain operations, ground enterprise architecture, and end\-user mission needs.
* Ensure compliance with contract requirements, schedule commitments, cost objectives, and quality standards.
* Lead integrated planning and execution of Agile software development lifecycle.
* Coordinate and manage performance of multiple subcontractors, ensuring alignment with the overall program schedule and quality expectations.
* Oversee staffing, resource allocation, risk management, and performance tracking across functional workstreams.
* Facilitate cross\-team collaboration and integrated system delivery, including software development, cybersecurity, systems engineering, testing, and deployment.
* Provide regular progress reports, deliverable submissions, and milestone documentation to stakeholders.
* Champion a culture of transparency, accountability, and continuous improvement.
* Responsibilities related to pre\-RFP capture, proposal planning, and technical execution strategy development
**WHAT THE TEAM REQUIRES:**
* Bachelor’s degree in engineering, computer science, business management, or related field.
* 10\+ years of experience managing complex $50M\+, multi\-year DoD/federal programs, including software development, solution delivery, or system integration projects.
* Demonstrated experience managing programs involving space or satellite ground systems, including mission management, telemetry/data processing, or space weather monitoring systems.
* Strong knowledge of ground system architecture, including data ingest pipelines, cloud\-based operations, and model integration frameworks.
* Expertise managing programs under Agile methodologies with responsibility for cost, schedule, and technical performance.
* Demonstrated experience leading multi\-subcontractor efforts with responsibility for technical integration and performance tracking.
* Experience developing, reviewing and coordinating Master Integrated Master Schedules.
* Exceptional communication, presentation, and stakeholder engagement and management skills.
* U.S. Citizen.
**WHAT THE TEAM PREFERS:**
* Experience supporting DoD, US Space Force, NOAA, NASA, or similar civilian space\-focused agencies.
* PMP, PgMP, CISSP, or other relevant certification.
* Familiarity with space missions, space weather data products, or satellite ground systems, and modeling and forecasting workflows.
* Understanding of system cybersecurity and authorization processes (e.g., RMF, FedRAMP).
* Experience managing contracts with milestone\-based deliverables or incentive\-based payment structures.
* DoD Security Clearance – Secret minimum
**PAY TRANSPARENCY:** The salary offered will be based on the selected candidate’s qualifications \- skills, education \&amp; experience \- and the position level. $140,000 \- $180,000
**APPLICATION DEADLINE:**April 1, 2026
**THE AURIA TEAM:**
Auria is a provider of solutions and software in support of complex Space, National Security, and Cyber missions of federal, international, and commercial customers. Headquartered in Colorado Springs, CO our success is built on the excellence of diverse teams advancing innovative systems and operational software to strengthen our customers’ missions. With a distinguished track record and a spirit of relentless pursuit, and R\&amp;D, we set the pace for progress and execute every mission with the utmost precision.
As a full\-time Auria employee, here are some of the many benefits to enjoy:
* Generous PTO package with yearly tenure increases
* Flex time provides you with the flexibility needed
* 6 Company\-Paid Holidays \+ 5 Float days to use when you wish per year
* Up to 4% match on 401(k) employee contributions, employer and employee contributions immediately vested
* Up to $5,250 per year on Education and Certification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row>
    <row r="58">
      <c r="A58" t="inlineStr">
        <is>
          <t>in-6beac5abe15b1a90</t>
        </is>
      </c>
      <c r="B58" t="inlineStr">
        <is>
          <t>Hardware Security Engineering Program Manager</t>
        </is>
      </c>
      <c r="C58" t="inlineStr">
        <is>
          <t>Apple</t>
        </is>
      </c>
      <c r="D58" t="inlineStr">
        <is>
          <t>indeed</t>
        </is>
      </c>
      <c r="E58" t="inlineStr"/>
      <c r="F58" t="inlineStr"/>
      <c r="G58" t="inlineStr">
        <is>
          <t>Beaverton, OR, US</t>
        </is>
      </c>
      <c r="H58" s="2" t="n">
        <v>46067</v>
      </c>
      <c r="I58" t="inlineStr">
        <is>
          <t>Imagine what you could do here. At Apple, new ideas have a way of becoming extraordinary products, services, and customer experiences very quickly. The people who work here have reinvented entire industries with Apple Hardware products.  
Are you a technical leader who can drive decisions, not just track them? Can you influence across silicon and software organizations to turn security requirements into committed, shipped features?  
Security and privacy are foundational to everything we build at Apple. They are not afterthoughts\-they are core design principles embedded from the earliest stages of product development. From the silicon up, we engineer our products to protect user data, ensure device integrity, and earn the trust our customers place in us every day. This commitment requires deep technical investment and relentless focus across hardware, software, and services.  
**Description**  
Apple is seeking a Security\-focused Engineering Program Manager to own the end\-to\-end lifecycle of SoC security features\-from early architecture discussions through silicon delivery and software enablement. You will be the connective tissue between Platform Architecture, SoC design, and Software teams, ensuring security features are well\-defined, prioritized, roadmapped, and fully supported when silicon becomes available.","responsibilities":"Facilitate technical discussions across Platform Architecture, SoC design, and software teams to drive security feature definition.  
Own the decision\-making process: drive discussions, capture technical opens, drive closure, and ensure alignment across hardware and software stakeholders.  
Develop and maintain a multi\-generation security feature roadmap aligned with Apple's product priorities and silicon schedules.  
Proactively identify dependencies, conflicts, and gaps across the roadmap; drive resolution before they become critical path issues.  
Partner with Software teams early in the security feature cycle to secure commitment for feature enablement.  
Track silicon and SW readiness milestones and drive accountability to ensure features are fully supported and validated.  
Drive the security specification review and sign\-off process across all required stakeholders\-Platform Architecture, SoC design, DV , Software, and Security teams.  
Drive day\-to\-day program activities across a multi\-functional team spanning silicon, firmware, software, and systems.  
Recognize, evaluate, and communicate cross\-functional risks; drive mitigation plans.  
Build and maintain both strategic program plans and detailed execution schedules. Ability to drive issue triage and serve as a gatekeeper for incoming issues and feature asks.  
Provide clear program status across all levels\-from individual contributors to executive leadership.  
**Preferred Qualifications**  
Familiarity with SoC security architectures: secure boot, hardware key protection, cryptographic engines, attestation, trusted execution environments.  
Demonstrated success driving multi\-functional alignment and influencing without authority\-especially across silicon/software organizational boundaries.  
Track record of driving security\-focused features across hardware and software teams.  
Experience building and maintaining multi\-generation technology roadmaps.  
Awareness of SoC development lifecycle, from concept through mass production.  
Ability to quickly absorb complex technical topics and translate them for diverse audiences.  
Strong documentation and organizational skills; relentless follow\-through on action items.  
Experience presenting to and influencing senior management and executives  
**Minimum Qualifications**  
BS in Electrical Engineering, Computer Science, or related field \+ 10 years of relevant experience.  
5\+ years in SoC/Silicon/Cellular design, architecture, or silicon development.  
Proven technical program management or cross\-functional leadership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59">
      <c r="A59" t="inlineStr">
        <is>
          <t>in-b03eb67e4a806fda</t>
        </is>
      </c>
      <c r="B59" t="inlineStr">
        <is>
          <t>Product Manager, Platform, Apple Store Online</t>
        </is>
      </c>
      <c r="C59" t="inlineStr">
        <is>
          <t>Apple</t>
        </is>
      </c>
      <c r="D59" t="inlineStr">
        <is>
          <t>indeed</t>
        </is>
      </c>
      <c r="E59" t="inlineStr"/>
      <c r="F59" t="inlineStr"/>
      <c r="G59" t="inlineStr">
        <is>
          <t>Sunnyvale, CA, US</t>
        </is>
      </c>
      <c r="H59" s="2" t="n">
        <v>46067</v>
      </c>
      <c r="I59"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The ASO Platform Product management team is responsible for the infrastructure and tooling that builds our e\-commerce experience. We are looking for an experienced Product Manage to lead some of Apple Retail’s most significant growth initiatives. This team is responsible for building seamless, personalized, and innovative digital commerce experiences and capabilities for all our online customers. This is a technical role that links between business, design, and engineering to bring to life incredible products for our customers.  
**Description**  
Working together with key cross functional partners, such as other product managers, Product Marketing, Merchandising, Digital Content Management, Engineering, Operations and more, you will help chart a course to evolve our platform architecture. Your role is to challenge old assumptions, and bring them flexibility and dynamism that our business teams need to take us into the future \- all while keeping our existing multi\-billion dollar business running flawlessly. Your experience building and scaling complex distributed systems, will guide critical architecture decisions and drive the adoption of cloud native patterns, Infrastructure as Code and modern delivery pipelines. Beyond strategy and roadmaps, you’ll dive into the details and help drive projects leading cross\-functional efforts deliver platform upgrades and optimize our tools and processes.","responsibilities":"Develop multi\-year strategies, roadmaps, and plans to achieve business objectives.  
Drive product discovery, requirements, and delivery of new capabilities.  
Hand\-on drive technical projects.  
Communicate ideas, plans, and program status to senior partners and executives.  
Contribute to an inclusive environment through respecting each others' differences and having the curiosity to learn.  
**Preferred Qualifications**  
Fluent in Chinese  
Experience in Data Science  
SaaS experience including CRM tools (e.g. Salesforce, Adobe).  
Experience working with publishing, merchandising, and other key e\-commerce systems, with a focus on ensuring scalability, automation and seamless integration to the larger platform.  
Experience working with globally distributed teams, in a multi\-lingual/cultural environment.  
Experience working with external partnerships and cross functional teams to drive requirements and align on solutions to provide the best possible customer experience and technology.  
Ability to challenge conventions and debate solutions to identify the best possible outcome for customers.  
Possess strong technical skills with the ability to dive into architecture and designs in order to partner with solution architects and engineering teams.  
Capable of moving from high\-level conceptual ideas to detailed, systematically organized plans and implementations.  
Proven ability to translate complex information into concise, and compelling narratives appropriate for different stakeholders, fostering alignment across all organizational levels.  
**Minimum Qualifications**  
7\+ years combined experience in Product Management and Project/Program Management, driving e\-commerce or consumer digital experiences.  
Ability to dive into technical details and designs including data platform, CRM, web technologies, large\-scale service architectures, and app platforms.  
Ability to communicate effectively, across all levels of the organization, including the ability to communicate technical concepts to non\-technical audiences.  
BA/BS in Computer Science or a technical degree, or 7\+ years of relevant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0">
      <c r="A60" t="inlineStr">
        <is>
          <t>in-602472bb45ad54c2</t>
        </is>
      </c>
      <c r="B60" t="inlineStr">
        <is>
          <t>Hardware Security Engineering Program Manager</t>
        </is>
      </c>
      <c r="C60" t="inlineStr">
        <is>
          <t>Apple</t>
        </is>
      </c>
      <c r="D60" t="inlineStr">
        <is>
          <t>indeed</t>
        </is>
      </c>
      <c r="E60" t="inlineStr"/>
      <c r="F60" t="inlineStr"/>
      <c r="G60" t="inlineStr">
        <is>
          <t>Beaverton, OR, US</t>
        </is>
      </c>
      <c r="H60" s="2" t="n">
        <v>46067</v>
      </c>
      <c r="I60" t="inlineStr">
        <is>
          <t>Imagine what you could do here. At Apple, new ideas have a way of becoming extraordinary products, services, and customer experiences very quickly. The people who work here have reinvented entire industries with Apple Hardware products.  
Are you a technical leader who can drive decisions, not just track them? Can you influence across silicon and software organizations to turn security requirements into committed, shipped features?  
Security and privacy are foundational to everything we build at Apple. They are not afterthoughts\-they are core design principles embedded from the earliest stages of product development. From the silicon up, we engineer our products to protect user data, ensure device integrity, and earn the trust our customers place in us every day. This commitment requires deep technical investment and relentless focus across hardware, software, and services.  
**Description**  
Apple is seeking a Security\-focused Engineering Program Manager to own the end\-to\-end lifecycle of SoC security features\-from early architecture discussions through silicon delivery and software enablement. You will be the connective tissue between Platform Architecture, SoC design, and Software teams, ensuring security features are well\-defined, prioritized, roadmapped, and fully supported when silicon becomes available.","responsibilities":"Facilitate technical discussions across Platform Architecture, SoC design, and software teams to drive security feature definition.  
Own the decision\-making process: drive discussions, capture technical opens, drive closure, and ensure alignment across hardware and software stakeholders.  
Develop and maintain a multi\-generation security feature roadmap aligned with Apple's product priorities and silicon schedules.  
Proactively identify dependencies, conflicts, and gaps across the roadmap; drive resolution before they become critical path issues.  
Partner with Software teams early in the security feature cycle to secure commitment for feature enablement.  
Track silicon and SW readiness milestones and drive accountability to ensure features are fully supported and validated.  
Drive the security specification review and sign\-off process across all required stakeholders\-Platform Architecture, SoC design, DV , Software, and Security teams.  
Drive day\-to\-day program activities across a multi\-functional team spanning silicon, firmware, software, and systems.  
Recognize, evaluate, and communicate cross\-functional risks; drive mitigation plans.  
Build and maintain both strategic program plans and detailed execution schedules. Ability to drive issue triage and serve as a gatekeeper for incoming issues and feature asks.  
Provide clear program status across all levels\-from individual contributors to executive leadership.  
**Preferred Qualifications**  
Familiarity with SoC security architectures: secure boot, hardware key protection, cryptographic engines, attestation, trusted execution environments.  
Demonstrated success driving multi\-functional alignment and influencing without authority\-especially across silicon/software organizational boundaries.  
Track record of driving security\-focused features across hardware and software teams.  
Experience building and maintaining multi\-generation technology roadmaps.  
Awareness of SoC development lifecycle, from concept through mass production.  
Ability to quickly absorb complex technical topics and translate them for diverse audiences.  
Strong documentation and organizational skills; relentless follow\-through on action items.  
Experience presenting to and influencing senior management and executives  
**Minimum Qualifications**  
BS in Electrical Engineering, Computer Science, or related field \+ 10 years of relevant experience.  
5\+ years in SoC/Silicon/Cellular design, architecture, or silicon development.  
Proven technical program management or cross\-functional leadership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1">
      <c r="A61" t="inlineStr">
        <is>
          <t>in-79f7fb25a722d92b</t>
        </is>
      </c>
      <c r="B61" t="inlineStr">
        <is>
          <t>Engineering Program Manager - Cell Technology Development</t>
        </is>
      </c>
      <c r="C61" t="inlineStr">
        <is>
          <t>Apple</t>
        </is>
      </c>
      <c r="D61" t="inlineStr">
        <is>
          <t>indeed</t>
        </is>
      </c>
      <c r="E61" t="inlineStr"/>
      <c r="F61" t="inlineStr"/>
      <c r="G61" t="inlineStr">
        <is>
          <t>Cupertino, CA, US</t>
        </is>
      </c>
      <c r="H61" s="2" t="n">
        <v>46067</v>
      </c>
      <c r="I61" t="inlineStr">
        <is>
          <t>Our Battery Technology Engineering Program Management team at Apple is looking for an energetic Engineering Program Manager (EPM) for the development of battery solutions for a wide range of Apple products! Battery Technology EPMs support technically\-challenging projects and leverage engineering experience to enable multi\-functional teams to deliver complex solutions efficiently and with high quality, with ability to bridge gaps between different engineering teams, while driving and qualifying suppliers to Apple Battery specifications. Applying understanding of Battery cell design and manufacturing helps in driving and completing plans from concept development, to build management, to product integration. Combining knowledge of lithium\-based rechargeable cells, and passion for upending conventional wisdom of material, packaging, and analytics development, our team pushes the industry boundaries to deliver better batteries!  
Are you ready to join us to help deliver the next groundbreaking Apple products?  
**Description**  
As a Battery Technology EPM, you'll lead a multi\-functional team of battery, chemical, system, and manufacturing engineers, applying a strong technical background to identify, assess and communicate project risks and issues. You will facilitate good communication and offer multiple levels of status across a wide spectrum of individual contributors to executive management, as well as driving day\-to\-day program activities to meet overall program objectives.","responsibilities":"Develop project plans, manage, track and report progress to plan and drive solutions to address any/all identified gaps  
Identify and prioritize project tasks and risks, drive engineering discussions and decisions on critical system parameters  
Drive day\-to\-day activities, including build management, to meet overall project objectives  
Identify and engage cross\-functional stakeholders for project definition decisions  
Communicate status and big picture to the project team and executive management  
**Preferred Qualifications**  
Industry experience (preferably Battery or Consumer Electronics) of taking technologies from concept definition to mass production  
Technical project management experience in material development, mechanical design, simulation, or manufacturing process development  
Experience in working and managing suppliers across a diverse supply chain  
Demonstrated adeptness in working in a fast\-paced, cross\-functional environment; engaged and eager to learn  
Excellent communication, organizational and leadership skills as well as the ability to filter and distill relevant information for the right audience  
Experienced in setting up project plans, anticipate potential roadblocks and react proactively to mitigate against risks or impacts  
Ability to comprehend, communicate and manage complex design tradeoffs  
Understands and deals well with rapid development cycles; remains flexible and calm in the face of ambiguity. Highly adept in multi\-tasking of both short\-term and long\-term activities  
Experience with AI tools, modeling, and simulation work  
Ability to travel internationally  
**Minimum Qualifications**  
BS in Chemical Engineering, Material Science, Electrical Engineering or Mechanical Engineering or related field  
3 years of industry experience in Chemical Engineering, Material Science, Mechanical Engineering, Electrical Engineering or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2">
      <c r="A62" t="inlineStr">
        <is>
          <t>in-59a70589bc5adfcc</t>
        </is>
      </c>
      <c r="B62" t="inlineStr">
        <is>
          <t>Remote Healthcare Program Manager - PMO - Dallas, Tx</t>
        </is>
      </c>
      <c r="C62" t="inlineStr">
        <is>
          <t>Texas Oncology</t>
        </is>
      </c>
      <c r="D62" t="inlineStr">
        <is>
          <t>indeed</t>
        </is>
      </c>
      <c r="E62" t="inlineStr"/>
      <c r="F62" t="inlineStr"/>
      <c r="G62" t="inlineStr">
        <is>
          <t>Dallas, TX, US</t>
        </is>
      </c>
      <c r="H62" s="2" t="n">
        <v>46067</v>
      </c>
      <c r="I62" t="inlineStr">
        <is>
          <t>Overview: **The US Oncology Network** is looking for a **Remote Healthcare Program Manager \- PMO** to join our team at **Texas Oncology**.
Some travel may be necessary, up to 30%**.**
As a part of **The** **US Oncology Network**, **Texas Oncology** delivers high\-quality, evidence\-based care to patients close to home. **Texas Oncology** is the largest community oncology provider in the country and has approximately 600\+ providers in 300\+ sites across Texas, our founders pioneered community\-based cancer care because they believed in making the best available cancer care accessible to all communities, allowing people to fight cancer at home with the critical support of family and friends nearby. Our mission is still the same today—at Texas Oncology, we use leading\-edge technology and research to deliver high\-quality, evidence\-based cancer care to help our patients achieve “More breakthroughs. More victories.” ® in their fight against cancer. Today, **Texas Oncology** treats half of all Texans diagnosed with cancer on an annual basis. **The** **US Oncology Network** is one of the nation’s largest networks of community\-based oncology physicians dedicated to advancing cancer care in America. **The** **US Oncology Network** is supported by **McKesson** Corporation focused on empowering a vibrant and sustainable community patient care delivery system to advance the science, technology, and quality of care. ***Why work for us?***
Come join our team that is responsible for helping lead Texas Oncology in treating more patient diagnosed with cancer than any other provider in Texas. We offer our employees a competitive benefits package that includes Medical, Dental, Vision, Life Insurance, Short\-term and Long\-term disability coverage, a generous PTO program, a 401k plan that comes with a company match, a Wellness program that rewards you practicing a healthy lifestyle, and lots of other great perks such as Tuition Reimbursement, an Employee Assistance program and discounts on some of your favorite retailers.
 **Join a Team That Invests in Your Future**
At Texas Oncology, we recognize the long\-term impact of our people and are committed to rewarding performance and potential. That’s why select roles may be eligible to participate in our Long\-Term Incentive Plan (LTIP): an incentive program designed to attract, retain, and reward top talent. **What is the Long\-Term Incentive Plan (LTIP)?**
Long\-Term Incentive Plan (LTIP): is an incentive program that typically vests over a three\-year period and is tied to both individual performance and the operational success of Texas Oncology. Awards are discretionary and based on your position, performance, and potential for future career growth at Texas Oncology. Awards are reviewed and approved during the annual compensation review. LTIP awards are subject to your continued employment through the award payment date, and are governed by the written terms and conditions of the LTIP document. **What does this position do? (including but not limited to):**
The Program Manager drives effective portfolio governance to ensure strategic alignment, transparent decisions, and measurable value. The Program Manager leads complex organizational changes, connecting strategy to execution by coordinating cross‑functional teams, managing budgets and timelines, and ensuring accountability for major initiatives. The ideal candidate brings experience in governance frameworks, cross‑functional leadership, and managing multiple interdependent projects, along with strong strategic thinking, communication, and problem‑solving skills to deliver meaningful outcomes. Supports and adheres to the US Oncology Compliance Program, to include the Code of Ethics and Business Standards.
Responsibilities:
**The essential duties and responsibilities (including but not limited to):*** Translate enterprise objectives into program outcomes, KPIs, and benefits profiles; maintain a benefits realization plan and track progress to goals.
* Ensuring program work remains aligned to approved priorities and is sequenced against capacity, dependencies, and readiness.
* Manage program scope, schedule, budget, and resource needs across constituent projects; establish the coordinated plan and integrated milestone map.
* Monitor performance against goals, dependencies, milestones, and budgets; publish dashboards and status at the cadence defined by governance.
* Drive recovery planning when performance gaps arise; document lessons learned and integrate improvements.
* Prepare materials for governance boards/steering committees, surface trade\-offs, risks, and funding decisions with clear criteria and impacts.
* Apply agreed prioritization methods to sequence work (e.g., RICE\+\+, WSJF) and maintain transparency on what is approved vs. deferred.
* Identify cross\-workstream and cross\-project dependencies and constraints early; run an active risk register and escalation path; coordinate mitigations across IT, clinical/ operational, and product stakeholders.
* Partners with change management lead to assess adoption readiness and refine approaches.
* Maintain strong stakeholder relationships and satisfaction; facilitate cross\-functional collaboration forums.
* Forecast resource needs, confirm contracting strategies, and ensure the right skill mix is mobilized; monitor team performance and adjust as needed.
* Partner with operations and product teams to align enterprise architecture, data, security, and integration considerations.
* Apply PMO standards, tools, and templates; measure adherence and coach delivery teams; establish quality reviews of deliverables.
* Share successes, challenges, and lessons learned to strengthen program and team effectiveness
* Other duties as assigned.
Qualifications:
**The ideal candidate will have the following background and experience:**  
* Bachelor’s degree in Project Management, Business Management, or a related field, master degree preferred.
Or
Associate’s Degree \+ four (4\) years of related work experience
Or
High School diploma or equivalent and eight (8\) years of related work experience* 7–10\+ years managing complex, cross\-functional programs; demonstrated outcomes in benefits realization and governance facilitation.
* Professional certifications (e.g., PMP, PgMP, SAFe/SPC, LEAN Six Sigma, etc.) strongly preferred.
* Experience working across clinical/operational, IT, and product domains and navigating executive steering, governance boards, and workstream leadership.
* Experience working in healthcare.
* Proven ability to manage dependencies and risks; excellence in stakeholder communications and executive storytelling.
* Proficiency with program tooling (Smartsheet, Microsoft office, etc.) and data\-informed decision support.
* Ability to work independently in a remote environment and manage multiple priorties.
* Detail oriented and proactive.
* Comfortable working in a fast\-paced, dynamic environment.
* Professional demeanor with a collaborative mindset.
Core Competencies* Strategic thinking \&amp; sequencing: connect initiatives to enterprise goals; build feasible roadmaps with clear trade\-offs.
* Governance Facilitation: Enable transparent, criteria\-driven decisions
* Delivery Discipline: Drive plan/execute/track/recover cycles with rigor; maintain standards and quality reviews.
* Stakeholder \&amp; Change Leadership: Engage cross\-functional leaders, clinical champions, and product groups; advance adoption and outcomes.</t>
        </is>
      </c>
    </row>
    <row r="63">
      <c r="A63" t="inlineStr">
        <is>
          <t>in-b1605888e6615a1c</t>
        </is>
      </c>
      <c r="B63" t="inlineStr">
        <is>
          <t>Senior Development Product Owner - Finance Model DevOps &amp; Analytics</t>
        </is>
      </c>
      <c r="C63" t="inlineStr">
        <is>
          <t>USAA</t>
        </is>
      </c>
      <c r="D63" t="inlineStr">
        <is>
          <t>indeed</t>
        </is>
      </c>
      <c r="E63" t="inlineStr"/>
      <c r="F63" t="inlineStr"/>
      <c r="G63" t="inlineStr">
        <is>
          <t>San Antonio, TX, US</t>
        </is>
      </c>
      <c r="H63" s="2" t="n">
        <v>46066</v>
      </c>
      <c r="I6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the Senior Development Product Owner, the selected candidate will get to work with the Planning and Execution team in Finance. They will partner closely with engineering teams and business to accelerate the delivery of scalable, compliant solutions supporting Finance priorities.
Serves as a direct representative of the business on an agile team. Attains, understands, and communicates business vision and needs in order to write and refine user stories, prioritize work, and provide guidance to technical teams. Uses critical thinking, problem solving, and Agile principles to partner with business owners, subject matter experts, and the development team to build effective solutions. Possesses an advanced knowledge and understanding of and ability to work within multiple delivery methodologies, including Agile and other approaches, to deliver business value.
We offer a flexible work environment that requires an individual to be **in the office 4 days per week.** This position will be based in our San Antonio, TX facility.
 Relocation assistance is **not** available for this position.
**What you'll do:**
* Works with business and Subject Matter Experts to understand business strategy and vision and then writes, refines, accepts and prioritizes stories and/or features to support effective and compliant solutions while balancing investment and business value.
* Owns and maintains a prioritized work backlog for one or more Agile teams. Product backlog includes complete user stories with acceptance criteria so that they are consumable and testable by the Agile team or program. Reviews and accepts output of I/T and/or business development to ensure specified acceptance criteria have been completed.
* Serves as direct representative of the business with one or more delivery teams, representing the customers' perspective throughout the product delivery cycle.
* Participates in a cross\-functional team of user experience partners, designers, business analysts, developers, testers and others to develop, execute and release in alignment with program and/or product road maps.
* Partners with sponsors, stakeholders, and IT to facilitate, define and document relevant business processes, gaining an advanced understanding of the needs, measures, and risks \&amp; controls for the improvement area.
* Prepares the business for the change and provides tactics and metrics for benefits, adoption, and risk. Leverages existing change management routines, as needed.
* Works with different technologies, internal and external to have oversight of development, testing and controls.
* Applies advanced knowledge in the business development/execution discipline, regularly seeking out opportunities to enhance, improve and advance the function.
* Coaches and mentors other Product Owners.
* Demonstrates advanced knowledge in multiple business or system domains and capable of leading development across multiple teams at the project or program level.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Advanced knowledge of Microsoft Office products, applicable databases and product management tools.
* Advanced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Advanced ability to independently work to gather business requirements, process flows and use cases to develop and deliver on business capabilities within the approved methodology, writing user stories, and following the development process through user story acceptance.
* Experience in analyzing business requirements and ability to identify opportunities to drive decisions and streamline business processes in accordance with risk management framework and regulatory requirements.
**What sets you apart:**
* **Experience operating as a Development Product Owner in a DevOps delivery model**
* **Strong aptitude for translating complex requirements into actionable user stories, roadmaps, and delivery outcomes for Agile teams.**
* **Demonstrated ability to manage and influence IT delivery team performance, including backlog health, delivery predictability, quality outcomes, and continuous improvement within Agile/DevOps teams.**
* **Strong understanding of Finance reporting strategy centered on a measure mart, to include Finance Data Mod**
* **Proven experience with Finance data collection, organization, and consumption patterns, including managing high‑quality, governed data used for analytics and modeling use cases.**
**Compensation range:** The salary range for this position is: $103,450\-$197,730\.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64">
      <c r="A64" t="inlineStr">
        <is>
          <t>in-dd4357adab09419a</t>
        </is>
      </c>
      <c r="B64" t="inlineStr">
        <is>
          <t>Theatre Program Manager</t>
        </is>
      </c>
      <c r="C64" t="inlineStr">
        <is>
          <t>Carlsbad MainStreet</t>
        </is>
      </c>
      <c r="D64" t="inlineStr">
        <is>
          <t>indeed</t>
        </is>
      </c>
      <c r="E64">
        <f>HYPERLINK("https://www.indeed.com/viewjob?jk=dd4357adab09419a", "https://www.indeed.com/viewjob?jk=dd4357adab09419a")</f>
        <v/>
      </c>
      <c r="F64">
        <f>HYPERLINK("http://www.indeed.com/job/theatre-program-manager-dd4357adab09419a", "http://www.indeed.com/job/theatre-program-manager-dd4357adab09419a")</f>
        <v/>
      </c>
      <c r="G64" t="inlineStr">
        <is>
          <t>Carlsbad, NM, US</t>
        </is>
      </c>
      <c r="H64" s="3" t="n">
        <v>46068</v>
      </c>
      <c r="I64" t="inlineStr">
        <is>
          <t>Job Responsibilities
As the Carlsbad MainStreet Theatre Manager, you will oversee all programming, scheduling, and rentals at the Cavern Theatre. This role requires strong leadership, communication, and relationship\-building skills. You will be responsible for maintaining trusted relationships with fellow CMS staff, clients, volunteers, and vendors. The CMS Theatre Manager reports directly to the Carlsbad MainStreet Executive Director and works closely with the Board of Directors.
Responsibilities include, but are not limited to:
 Managing all aspects of events, from sales strategies to scheduling and contracting.
 Coordinating with the CMS Executive Director to develop an ongoing programming calendar.
 Planning and implementing events, including client coordination, set\-up, and execution.
 Maintaining proactive communication with patrons, renters, staff, and vendors.
 Assisting with website, social media, outreach, promotions, and other communications.
 Building strong partnerships with public agencies.
 Providing excellent customer service to all stakeholders.
 Working events as required, including **evenings, some holidays, and weekends.**
 Lifting up to 40 lbs. as needed.
 Developing and managing a volunteer program for theatre operations.
 Overseeing part\-time theatre staff.
 Providing data for report requirements to the Board of Directors, New Mexico MainStreet, and local government funding partners
 Participating when called upon in local board and committee meetings (as deemed necessary by CMS Executive Director)
 Supporting the Carlsbad MainStreet Executive Director, Board of Directors, and the Pearl of the Pecos Arts and Cultural District Committee to effectively advance the vision and mission of Carlsbad MainStreet.
 Attending relevant training, conferences, and meetings to stay informed of theatre trends and New Mexico MainStreet practices.
 Performing other duties as assigned by the CMS Executive Director and Board of Directors, including the possibility of assisting in other CMS events and activities.
 Applying skills in customer service, hospitality, project management, financial management, and learning new technology applications. Please note that the above is a general summary of responsibilities, and duties may change as needed by Carlsbad MainStreet or its funding partners.
Job Type: Full\-time
Pay: From $51,000\.00 per year
Education:
* Bachelor's (Required)
Experience:
* QuickBooks: 2 years (Required)
* Management: 3 years (Required)
Location:
* Carlsbad, NM 88220 (Preferred)
Work Location: In person</t>
        </is>
      </c>
    </row>
    <row r="65">
      <c r="A65" t="inlineStr">
        <is>
          <t>in-eff5165d8ab96494</t>
        </is>
      </c>
      <c r="B65" t="inlineStr">
        <is>
          <t>Program Manager, Non-Partisan, Non-profit</t>
        </is>
      </c>
      <c r="C65" t="inlineStr"/>
      <c r="D65" t="inlineStr">
        <is>
          <t>indeed</t>
        </is>
      </c>
      <c r="E65">
        <f>HYPERLINK("https://www.indeed.com/viewjob?jk=eff5165d8ab96494", "https://www.indeed.com/viewjob?jk=eff5165d8ab96494")</f>
        <v/>
      </c>
      <c r="F65">
        <f>HYPERLINK("http://www.indeed.com/job/program-manager-non-partisan-non-profit-eff5165d8ab96494", "http://www.indeed.com/job/program-manager-non-partisan-non-profit-eff5165d8ab96494")</f>
        <v/>
      </c>
      <c r="G65" t="inlineStr">
        <is>
          <t>Dallas, TX, US</t>
        </is>
      </c>
      <c r="H65" s="3" t="n">
        <v>46068</v>
      </c>
      <c r="I65" t="inlineStr">
        <is>
          <t>**Organization Overview:**
South Asian American Voter Empowerment Texas Education Fund’s (SAAVETX EF) mission is to strengthen voter engagement in Texas by educating and empowering our electorate.
SAAVETX EF provides a positive environment where volunteers, staff, and the Board of Directors believe that voter engagement and empowerment of South Asian Americans in Texas
is beneficial to our community, our state, our country, and our democracy. SAAVETX EF is a fiscally sponsored project of NEO Philanthropy, Inc., a non\-partisan, 501(c)(3\) non\-profit organization.
**Position Overview:**
SAAVETX Education Fund seeks a strategic and results\-oriented Program Manager to coordinate and implement statewide initiatives across Texas. This role will ensure alignment and programmatic synergy across major metropolitan regions, including, but not limited to, Dallas–Fort Worth, Houston, Austin, and San Antonio.
The Program Manager will lead the execution of civic engagement, voter education, get\-out\-the\-vote, digital outreach, community engagement, and volunteer development efforts.
A central responsibility of this position is strengthening community capacity statewide by cultivating local leadership, supporting regional teams, and building scalable systems that sustain long\-term impact. The role will also develop strategic partnerships and coalitions that expand SAAVETX Education Fund’s reach, while advancing issue\-based advocacy aligned with our mission and values to promote safe, inclusive, and thriving communities.
We seek a candidate committed to community\-driven change and democratic participation, with the ability to translate strategy into measurable statewide outcomes.
**Strategy, Planning \&amp; Execution**·
* Develop, implement, and continuously refine SAAVETX EF’s statewide civic engagement and GOTV strategy to maximize voter education, engagement, and turnout.
* Design and execute targeted outreach initiatives — including phone banking, canvassing, digital campaigns, and volunteer mobilization — with clear goals, timelines, and contingency plans.
* Lead project planning and execution by establishing measurable objectives, guiding cross\-functional meetings toward defined outcomes, and tracking progress against performance benchmarks.
* Standardize operational systems, workflows, and best practices to ensure program consistency, legal compliance, financial accountability, and accurate reporting to leadership, board members, and funders.
**Community Partnership \&amp; Coalition Development**
* Lead the development of strong, mission\-aligned coalitions with community organizations, advocacy groups, and partners who share a common vision for equity, civic participation, and representation.
* Identify and cultivate meaningful, long\-term partnerships that build collective strength, expand shared impact, and position SAAVETX Education Fund within broader statewide movements.
* Strategically convene and align partners around common goals, ensuring collaboration results in coordinated action and measurable outcomes.
* Represent SAAVETX Education Fund in coalition spaces and external forums with clarity, credibility, and a commitment to building durable, values\-driven alliances.
* Develop and implement an ecosystem approach to power\-building that strengthens local communities, connects regional efforts statewide, and positions SAAVETX EF within national networks and strategic tables.
* Build integrated relationships across local, state, and national partners to ensure coordinated strategy, shared infrastructure, and sustained collective impact.
**Data Analysis \&amp; Decision\-Making** 
* Develop dashboards, reporting structures, and evaluation frameworks to ensure transparency and accountability to leadership, board members, and funders.
* Collect and analyze quantitative and qualitative data to inform program strategy, guide outreach efforts, and drive continuous improvement across statewide initiatives.
* Demonstrate strong judgment and initiative in making timely, mission\-aligned decisions, particularly in dynamic or high\-pressure environments.
* Apply creative and collaborative problem\-solving to address complex interpersonal, organizational, and systemic challenges while fostering a culture of learning and adaptability
**Adaptability \&amp; Growth** 
* Demonstrate flexibility and resilience in a fast\-paced, evolving civic and political environment, adjusting strategies as conditions change.
* Embrace feedback and new information to continuously strengthen programs, partnerships, and internal systems.
* Take initiative in identifying emerging opportunities and challenges, proactively adapting plans to maintain momentum and impact.
* Contribute to a culture of accountability, innovation, and professional growth across the organization.
**QUALIFICATIONS:**
**Education \&amp; Experience**
* Bachelor’s degree in public policy, nonprofit management, political science, communications, or a related field preferred; equivalent professional experience will be considered.
* Minimum of 3–5 years of experience in civic engagement, community organizing, nonprofit program management, or related fields.
* Demonstrated experience developing strategic plans and successfully translating strategy into execution, including managing complex initiatives from design through implementation and evaluation.
* Proven ability to coordinate cross\-functional teams, manage volunteers, and deliver measurable outcomes in dynamic environments.
* Experience working with diverse communities — preferably South Asian or immigrant communities — with a strong understanding of culturally competent engagement and coalition\-building. Bilingual in South Asian languages is a plus.
**Skills \&amp; Abilities**
* Proven ability to build programs and systems from the ground up
* Strong project management and meticulous organizational skills
* Demonstrated leadership of paid staff and volunteer teams
* Experience operating in nonpartisan nonprofit environments
* Ability to navigate complex political and community landscapes with judgment and discretion
* Strong bias toward action and measurable outcomes
* Demonstrated ability to execute strategic plans with precision, supported by meticulous organizational and project management skills.
* Strong understanding of nonpartisan nonprofit work, including compliance requirements and operating effectively within mission\-driven environments.
* Proven capacity to manage substantial workloads and competing priorities in fast\-paced settings while delivering measurable results.
* Ability to build programs, systems, and infrastructure from the ground up within a growing organization, contributing to long\-term civic power\-building.
* Exceptional skills in consensus\-building, persuasion, negotiation, and influence, with the ability to navigate complex political environments, inspire trust, and mobilize diverse stakeholders.
* Proven leadership experience managing and motivating teams — including paid staff and volunteers — to meet goals collaboratively and independently.
* Strong ability to evaluate and improve processes, structures, and team operations to increase efficiency and impact.
* High cultural competency, including experience engaging multi\-generational and diverse South Asian communities with clarity and respect.
* Proficiency in voter database systems (e.g., VAN or equivalent), Reach, EveryAction, Excel, social media platforms, and website management tools, with comfort in data analysis and performance tracking.
**Other Requirements**
* Access to reliable internet, a working computer, and reliable transportation
* Travel is required. Driving across the state and conferences across the country
* Must be flexible working weekdays and weekends
**Supervision Duties: This individual will supervise 1\-3 direct reports.**
**Benefits:**
SAAVETX EF’s fiscal sponsor, NEO Philanthropy, provides a generous full benefit
package, including 100% medical coverage for the employee and 90% medical coverage for
dependents; 100% coverage for vision, dental, life/AD\&amp;D, and long\-term disability. NEO also
administers a 401K retirement savings plan, Healthcare Reimbursement Arrangement (HRA),
Medical FSA, Dependent Care FSA, commuter benefits, Employee Assistance Program, other
supplemental benefits, and generous paid time off.
We value lived experience and nontraditional career paths. If you're excited about this role and believe you can make an impact, we want to hear from you—even if your experience doesn't match every qualification exactly.
NEO Philanthropy is committed to attracting, developing, and retaining exceptional people, and to creating a work environment that is dynamic, rewarding, and enables each of us to realize our potential. NEO Philanthropy's work environment is safe and open to all employees and partners, respecting the full spectrum of race, color, religious creed, sex, gender identity, sexual orientation, national origin, political affiliation, ancestry, age, disability, genetic information, veteran status, and all other classifications protected by law in the locality and/or state in which you are working
**Cover letter:** Candidates should articulate specific leadership experiences that demonstrate their capacity to advance SAAVETX Education Fund’s mission of building educated voters. Submissions should highlight measurable outcomes in civic engagement, organizational strategy, team development, and community\-centered programming, and clearly explain how prior experience translates into impact in this role.
Candidates must demonstrate:
* Programs they built from scratch
* Teams they managed
* Measurable results they delivered
* Systems they implemented
* Conflicts or challenges they resolved
Pay: $55,000\.00 \- $65,000\.00 per year
Benefits:
* 401(k)
* 401(k) matching
* Dental insurance
* Employee assistance program
* Flexible spending account
* Health insurance
* Health savings account
* Paid time off
* Vision insurance
Education:
* Bachelor's (Preferred)
Work Location: Hybrid remote in Dallas, TX 75209</t>
        </is>
      </c>
    </row>
    <row r="66">
      <c r="A66" t="inlineStr">
        <is>
          <t>in-9b582aeff47d792b</t>
        </is>
      </c>
      <c r="B66" t="inlineStr">
        <is>
          <t>Associate Product Manager</t>
        </is>
      </c>
      <c r="C66" t="inlineStr">
        <is>
          <t>Globus Medical</t>
        </is>
      </c>
      <c r="D66" t="inlineStr">
        <is>
          <t>indeed</t>
        </is>
      </c>
      <c r="E66">
        <f>HYPERLINK("https://www.indeed.com/viewjob?jk=9b582aeff47d792b", "https://www.indeed.com/viewjob?jk=9b582aeff47d792b")</f>
        <v/>
      </c>
      <c r="F66">
        <f>HYPERLINK("https://globusmedical.wd5.myworkdayjobs.com/en-US/GMED_Careers/job/Audubon-PA/Associate-Product-Manager_JR105828", "https://globusmedical.wd5.myworkdayjobs.com/en-US/GMED_Careers/job/Audubon-PA/Associate-Product-Manager_JR105828")</f>
        <v/>
      </c>
      <c r="G66" t="inlineStr">
        <is>
          <t>Audubon, PA, US</t>
        </is>
      </c>
      <c r="H66" s="3" t="n">
        <v>46067</v>
      </c>
      <c r="I66"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Essential Functions:* Collaborates with management to establish strategic plans and objectives
* Implements functional strategy and contributes to the development of organizational policies
* Develops sound mechanical, pre\-clinical, and clinical data of scientific merit on all technologies developed
* Performs and maintains a market analysis for each assigned product segment to identify new offerings and line extensions
* Creates and manages a project plan for each project in conjunction with the engineer
* Leads coordination and documentation of project team activities including kick\- off meetings, design review meetings, verification/validation and cadaver lab utilization
* Develops marketing plans for each product introduction
* Forecasts and oversees inventory management for all projects
* Ensures timely and high\-quality documentation of DHFs, DMRs, and DHRs for each project according to the company’s quality policy and regulatory bodies
* Develops technique guides, product literature, brochures, sales binders, and other sales support collateral
* Partners with operations and purchasing to source products through company supply chain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Bachelor’s Degree with 0\-2 of related experience
* Excellent verbal and written communication skills
* Advanced project management skills
* Experience with new product introduction and lifecycle management
* Advanced critical thinking and problem\-solving skills
* Proficiency in using Microsoft Office products
* Ability to travel up to 20% of the time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 oriented and decisive. We overcome obstacles that arise in our quest to deliver solutions that will improve the lives of our customers and patients.
Physical Demands:  
The physical demands listed here are representative of those that must be met by and employee to successfully perform the essential functions of this job.*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Our Life Moves Us philosophy is built on four values: Passionate About Innovation, Customer Focused, Teamwork, and Driven.*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67">
      <c r="A67" t="inlineStr">
        <is>
          <t>in-4f892e8aefbe6f48</t>
        </is>
      </c>
      <c r="B67" t="inlineStr">
        <is>
          <t>Senior Program Manager</t>
        </is>
      </c>
      <c r="C67" t="inlineStr">
        <is>
          <t>Genentech</t>
        </is>
      </c>
      <c r="D67" t="inlineStr">
        <is>
          <t>indeed</t>
        </is>
      </c>
      <c r="E67">
        <f>HYPERLINK("https://www.indeed.com/viewjob?jk=4f892e8aefbe6f48", "https://www.indeed.com/viewjob?jk=4f892e8aefbe6f48")</f>
        <v/>
      </c>
      <c r="F67">
        <f>HYPERLINK("https://careers.gene.com/us/en/job/202601-101933/Senior-Program-Manager", "https://careers.gene.com/us/en/job/202601-101933/Senior-Program-Manager")</f>
        <v/>
      </c>
      <c r="G67" t="inlineStr">
        <is>
          <t>San Francisco, CA, US</t>
        </is>
      </c>
      <c r="H67" s="3" t="n">
        <v>46067</v>
      </c>
      <c r="I67" t="inlineStr">
        <is>
          <t>THE POSITION**Senior Program Manager**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Our Data, Digital and Analytics team (DDA) is dedicated to solving complex healthcare challenges and improving patient outcomes. DDA empowers business partners across Commercial, Medical, and Government Affairs (CMG) to make impactful decisions by leveraging data, analytics, business products, and AI/ML to enable fast, targeted actions in rapidly evolving business contexts.
This role is part of the Analytics Products Suite team within DDA’s Insights and Analytics (I\&amp;A) organization, which builds products to support I\&amp;A stakeholders with self\-service products across insights, targeting, segmentation, measurement, and optimization.
**Job Summary**
The **Senior Program Manager** in DDA’s Analytics Products Suite is a key strategic partner that drives the successful execution of cross\-functional initiatives, ensuring alignment with organizational goals and program roadmaps. They facilitate collaboration across teams, manage complex program structures, and guarantee timely delivery of programs with quantifiable results. This role involves designing and implementing scalable operating models, establishing effective governance and communication plans, and proactively managing risks, resources, and interdependencies across a project portfolio.
The Sr. Program Manager works closely with the Program Management community to develop standardized practices for program and project management, governance, and communication — promoting cohesion and integration across products and teams.
**Key Responsibilities:**
* Operates with a strategic, cross\-functional mindset serving as a trusted thought partner to cross\-functional stakeholders, including Business Product Owner(s) and / or Executive Director(s), supporting the delivery of the organizational program strategy and roadmap.
* Oversee alignment across multiple teams or functional groups in effort to meet the objective of key business initiatives.
* Help define program objectives, scope, and success criteria in alignment with organizational goals.
* Develop detailed program plans, including resourcing, timeline, prioritization, and roadblocks.
* Design a model for execution, including roles/responsibilities, communication plan, meetings/rituals, templates for key artifacts, \&amp; governance model including escalation plan for each project.
* Ensure on\-time program delivery by managing across related project timelines and workflows.
* Manage the overall portfolio of projects and health of the program \- identifying risks and escalating issues as needed to ensure project success.
* Ensure standards for documentation for project actions, progress, and outcomes are met.
* Identify interdependencies across a portfolio of projects and ensure appropriate order of operations \&amp; cross\-team collaborations.
* Manage and communicate program\-related changes effectively to ensure smooth delivery \&amp; align teams and stakeholders with evolving program goals and priorities.
* Consistently communicates program plans, progress, risks, changes, and successes with clarity and objectivity. Drives a high degree of accountability across program teams and groups in order to meet objectives and foster effective collaboration.
* Ensure internal team alignment to the product roadmap, coordinating across teams to meet product strategy and milestones.
* Comply with all laws, regulations and policies that govern the conduct of Genentech activities.
**Who You Are**
**Minimum** **Candidate Qualifications \&amp; Experience**
* Bachelor’s degree in business, project management, operations, or a related field or equivalent experience.
* 5 years of experience in program or project management, preferably in a cross\-functional or matrixed environment.
* Agile, PMP, CAPM, or similar project management certification.
* Proven ability to manage project timelines, workflows, and resources to ensure on\-time delivery.
* Demonstrated success in overseeing large\-scale, cross\-functional projects and delivering strategic business objectives.
* Strong ability to manage complex portfolios \&amp; coordinate multiple teams simultaneously, and work effectively under pressure.
* Experience in risk identification, escalation, and resolution.
* Proficiency in project management methodologies, including Agile and Waterfall.
* Expertise in project management tools (e.g., Jira, Trello, MS Project) and reporting platforms.
* Strong organizational and analytical skills to monitor progress and measure success.
* Excellent communication and senior stakeholder management abilities to facilitate alignment across internal teams.
 High attention to detail and proficiency in documentation and reporting tools. Ability to manage multiple projects simultaneously and work under pressure.
**Additional Desired** **Candidate Qualifications \&amp; Experience**
* Advanced degree, or equivalent experience (e.g., MBA or related graduate\-level qualification).
* Advanced knowledge of risk mitigation strategies and escalation processes.
**Location**
* This position is based in South San Francisco, CA
* Relocation Assistance is not available
*The expected salary range for this position based on the primary location of South San Francisco, CA is $136,100 \- $252,700\.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
JOB FACTS
**Job Sub Category**Operations
**Schedule**Full time
**Job Type**Regular
**Posted Date**Feb 15th 2026
**Job ID**202601\-101933</t>
        </is>
      </c>
    </row>
    <row r="68">
      <c r="A68" t="inlineStr">
        <is>
          <t>in-20f8fcae0e0124c5</t>
        </is>
      </c>
      <c r="B68" t="inlineStr">
        <is>
          <t>Program Manager (experience managing large help desk)</t>
        </is>
      </c>
      <c r="C68" t="inlineStr">
        <is>
          <t>Dhara Consulting Group</t>
        </is>
      </c>
      <c r="D68" t="inlineStr">
        <is>
          <t>indeed</t>
        </is>
      </c>
      <c r="E68">
        <f>HYPERLINK("https://www.indeed.com/viewjob?jk=20f8fcae0e0124c5", "https://www.indeed.com/viewjob?jk=20f8fcae0e0124c5")</f>
        <v/>
      </c>
      <c r="F68">
        <f>HYPERLINK("https://www.clearancejobs.com/jobs/8757270/program-manager-experience-managing-large-help-desk", "https://www.clearancejobs.com/jobs/8757270/program-manager-experience-managing-large-help-desk")</f>
        <v/>
      </c>
      <c r="G68" t="inlineStr">
        <is>
          <t>Silver Spring, MD, US</t>
        </is>
      </c>
      <c r="H68" s="3" t="n">
        <v>46067</v>
      </c>
      <c r="I68" t="inlineStr">
        <is>
          <t>Posted today
Public Trust
Management (Manager/Director of Staff)
$150,000 \- $170,000
Occasional travel
IT \- Support
Silver Spring, MD (On\-Site/Office)
Our client, a highly respected Federal Integrator is seeking experienced Program Managers to join our team in supporting a federal client. The Program Manager will manage and oversee delivery and operations of one or more IT support services contracts in the Washington, DC metro area.  
Responsibilities:  
Lead and mentor a team of support staff, providing guidance, training, and performance evaluations.  
Allocate resources effectively to meet service demands, including staffing, equipment, and software tools.  
Monitor and enforce SLAs, ensuring that services meet or exceed agreed\-upon performance metrics.  
Manage multiple contract operations, ensuring quality standards and work performance on all task orders and projects.  
Identify areas for process improvement and implement solutions to enhance the efficiency and effectiveness of operations.  
Ensure compliance with federal regulations, security protocols, and industry standards.  
Generate regular reports on performance, including key metrics, trends, and areas for improvement.  
Ensure client senior\-level management is aware of overall program status, including all relevant projects and their potential impact on higher\-level organizational strategic vision. This may include subject matter and unique technical knowledge.  
Deliver key program deliverables, including workflow diagrams, standard operating procedures (SOPs), and daily/weekly/monthly performance reports.  
Qualifications:  
Thorough knowledge of and experience with customer service practices and client relationship management.  
Demonstrated knowledge and experience with IT project management and IT operations, specifically in the areas of IT Service Desk and PC deployment.  
Strong understanding of federal regulations and compliance requirements.  
Excellent leadership and team\-building skills, with the ability to motivate and inspire staff to achieve goals.  
Exceptional communication and interpersonal abilities, with the capacity to interact effectively with stakeholders at all levels.  
Experience with budget management and resource allocation.  
Requirements:  
Minimum Seven (7\) years of experience in providing oversight and executive\-level management to multiple projects/tasks and managing relationships with senior\-level management within the client organization.  
Bachelor’s degree.  
ITIL Foundations or higher certification  
Project Management Professional (PMP) certification  
Authorization to work in the United States.  
Ability to obtain and maintain a security clearance.  
Ability to work on\-site as required.  
Desired:  
Master’s degree or other advanced degree.**GROUP ID:** 91093264</t>
        </is>
      </c>
    </row>
    <row r="69">
      <c r="A69" t="inlineStr">
        <is>
          <t>in-d50858c362f02d75</t>
        </is>
      </c>
      <c r="B69" t="inlineStr">
        <is>
          <t>Senior Program Manager</t>
        </is>
      </c>
      <c r="C69" t="inlineStr">
        <is>
          <t>Genentech</t>
        </is>
      </c>
      <c r="D69" t="inlineStr">
        <is>
          <t>indeed</t>
        </is>
      </c>
      <c r="E69">
        <f>HYPERLINK("https://www.indeed.com/viewjob?jk=d50858c362f02d75", "https://www.indeed.com/viewjob?jk=d50858c362f02d75")</f>
        <v/>
      </c>
      <c r="F69">
        <f>HYPERLINK("https://careers.gene.com/us/en/job/GENEUS202601101933EXTERNALENUS/Senior-Program-Manager", "https://careers.gene.com/us/en/job/GENEUS202601101933EXTERNALENUS/Senior-Program-Manager")</f>
        <v/>
      </c>
      <c r="G69" t="inlineStr">
        <is>
          <t>San Francisco, CA, US</t>
        </is>
      </c>
      <c r="H69" s="3" t="n">
        <v>46067</v>
      </c>
      <c r="I69" t="inlineStr">
        <is>
          <t>### **The Position**
**Senior Program Manager**
**Why Genentech**
We’re passionate about delivering on Our Promise to improve the lives of patients and create healthier communities for all. We foster a culture of inclusivity, integrity and creativity while boldly pursuing answers to the world’s most complex health challenges and transforming society.
**Who We Are**
Our Data, Digital and Analytics team (DDA) is dedicated to solving complex healthcare challenges and improving patient outcomes. DDA empowers business partners across Commercial, Medical, and Government Affairs (CMG) to make impactful decisions by leveraging data, analytics, business products, and AI/ML to enable fast, targeted actions in rapidly evolving business contexts.
This role is part of the Analytics Products Suite team within DDA’s Insights and Analytics (I\&amp;A) organization, which builds products to support I\&amp;A stakeholders with self\-service products across insights, targeting, segmentation, measurement, and optimization.
**Job Summary**
The **Senior Program Manager** in DDA’s Analytics Products Suite is a key strategic partner that drives the successful execution of cross\-functional initiatives, ensuring alignment with organizational goals and program roadmaps. They facilitate collaboration across teams, manage complex program structures, and guarantee timely delivery of programs with quantifiable results. This role involves designing and implementing scalable operating models, establishing effective governance and communication plans, and proactively managing risks, resources, and interdependencies across a project portfolio.
The Sr. Program Manager works closely with the Program Management community to develop standardized practices for program and project management, governance, and communication — promoting cohesion and integration across products and teams.
**Key Responsibilities:**
* Operates with a strategic, cross\-functional mindset serving as a trusted thought partner to cross\-functional stakeholders, including Business Product Owner(s) and / or Executive Director(s), supporting the delivery of the organizational program strategy and roadmap.
* Oversee alignment across multiple teams or functional groups in effort to meet the objective of key business initiatives.
* Help define program objectives, scope, and success criteria in alignment with organizational goals.
* Develop detailed program plans, including resourcing, timeline, prioritization, and roadblocks.
* Design a model for execution, including roles/responsibilities, communication plan, meetings/rituals, templates for key artifacts, \&amp; governance model including escalation plan for each project.
* Ensure on\-time program delivery by managing across related project timelines and workflows.
* Manage the overall portfolio of projects and health of the program \- identifying risks and escalating issues as needed to ensure project success.
* Ensure standards for documentation for project actions, progress, and outcomes are met.
* Identify interdependencies across a portfolio of projects and ensure appropriate order of operations \&amp; cross\-team collaborations.
* Manage and communicate program\-related changes effectively to ensure smooth delivery \&amp; align teams and stakeholders with evolving program goals and priorities.
* Consistently communicates program plans, progress, risks, changes, and successes with clarity and objectivity. Drives a high degree of accountability across program teams and groups in order to meet objectives and foster effective collaboration.
* Ensure internal team alignment to the product roadmap, coordinating across teams to meet product strategy and milestones.
* Comply with all laws, regulations and policies that govern the conduct of Genentech activities.
**Who You Are**
**Minimum** **Candidate Qualifications \&amp; Experience**
* Bachelor’s degree in business, project management, operations, or a related field or equivalent experience.
* 5 years of experience in program or project management, preferably in a cross\-functional or matrixed environment.
* Agile, PMP, CAPM, or similar project management certification.
* Proven ability to manage project timelines, workflows, and resources to ensure on\-time delivery.
* Demonstrated success in overseeing large\-scale, cross\-functional projects and delivering strategic business objectives.
* Strong ability to manage complex portfolios \&amp; coordinate multiple teams simultaneously, and work effectively under pressure.
* Experience in risk identification, escalation, and resolution.
* Proficiency in project management methodologies, including Agile and Waterfall.
* Expertise in project management tools (e.g., Jira, Trello, MS Project) and reporting platforms.
* Strong organizational and analytical skills to monitor progress and measure success.
* Excellent communication and senior stakeholder management abilities to facilitate alignment across internal teams.
 High attention to detail and proficiency in documentation and reporting tools. Ability to manage multiple projects simultaneously and work under pressure.
**Additional Desired** **Candidate Qualifications \&amp; Experience**
* Advanced degree, or equivalent experience (e.g., MBA or related graduate\-level qualification).
* Advanced knowledge of risk mitigation strategies and escalation processes.
**Location**
* This position is based in South San Francisco, CA
* Relocation Assistance is not available
*The expected salary range for this position based on the primary location of South San Francisco, CA is $136,100 \- $252,700\.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70">
      <c r="A70" t="inlineStr">
        <is>
          <t>in-9e28e7423155cd26</t>
        </is>
      </c>
      <c r="B70" t="inlineStr">
        <is>
          <t>Program Manager F-35 Training System D&amp;M</t>
        </is>
      </c>
      <c r="C70" t="inlineStr">
        <is>
          <t>Lockheed Martin</t>
        </is>
      </c>
      <c r="D70" t="inlineStr">
        <is>
          <t>indeed</t>
        </is>
      </c>
      <c r="E70">
        <f>HYPERLINK("https://www.indeed.com/viewjob?jk=9e28e7423155cd26", "https://www.indeed.com/viewjob?jk=9e28e7423155cd26")</f>
        <v/>
      </c>
      <c r="F70">
        <f>HYPERLINK("https://click.appcast.io/t/D8rVVLRje9nDCA8BaftUgNwcKjQ9BqtsA6fJ_5Er-r0=", "https://click.appcast.io/t/D8rVVLRje9nDCA8BaftUgNwcKjQ9BqtsA6fJ_5Er-r0=")</f>
        <v/>
      </c>
      <c r="G70" t="inlineStr">
        <is>
          <t>Orlando, FL, US</t>
        </is>
      </c>
      <c r="H70" s="3" t="n">
        <v>46033</v>
      </c>
      <c r="I70" t="inlineStr">
        <is>
          <t>**Job ID:** 710744BR
**Date posted:** Jan. 12, 2026  
**Description:****WHAT WE'RE DOING**  
Do you want to be part of the team that provides training systems for the world's most advanced aircraft \- F\-35 Joint Strike Fighter? Do you enjoy a dynamic, exciting work environment?  
**THE WORK**  
"In this role you will:  
* Direct all phases of program management from inception through completion.
* Collaborate with the Business Development team to coordinate the preparation of proposals.
* Act as a primary liasion with customer for all program activities including; cost, schedule, technical performance and program review sessions.
* Identify program problems and establish results, such as allocation of resources or changing contractual specifications as needed."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**WHO YOU ARE**  
The F\-35 Training and Logistics Market Segment, Development and Modernization Program Manager leads the development of a key release for the F\-35 Training Modernization portfolio. This is a challenging, high\-visibility assignment focused on driving execution to deliver on critical schedule commitments. The Program Manager is responsible for the cost, schedule, and technical performance of the Training System development. The Program Manager will act as a primary customer interface (LM Aeronautics and the F\-35 Joint Program Office) during the development phase. The Program Manager will manage program execution, staffing demand, risks and opportunities, and process improvement initiatives. The role includes working collaboratively across the F\-35 Training Modernization portfolio to increase throughput for new capability delivery and minimize training system lifecycle costs. The Program Manager will support Senior Leadership strategic initiatives.  
**WHY JOIN US**  
We believe that flexibility is the future of work. We are proud to offer the flexible 4X10 work schedule that support our employees diverse personal needs.  
**Basic Qualifications:**  
* Demonstrated Full Spectrum Leadership skills and experience leading diverse, distributed and virtual teams
* Program Management experience
* Adept at working with matrix organizations for executing and proposing programs
* Proven ability to identify, influence, and build strong relationships with decision makers and maintain long\-term customer intimacy
* Ability to partner with peers across Lockheed Martin Business Units
* Demonstrated business acumen to include experience in EVMS and performance metrics
* Strong communication and presentation Skills
* Be willing and able to travel as required
* Ability to obtain Secret SAR clearances
**Desired Skills:**  
* Program Management experience with DevSecOps and Agile development
* Proven track record of leading large and complex systems development programs
* Technical engineering system development experience
* Active Secret clearance with a completed investigation within the last 5 years
* Program Manager level 2 certified
* Experience in the Training and Simulation domain
* Knowledge of the F\-35 Program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71">
      <c r="A71" t="inlineStr">
        <is>
          <t>in-942347d038af39e9</t>
        </is>
      </c>
      <c r="B71" t="inlineStr">
        <is>
          <t>Senior Product Manager, Tech, Partner-Branded FTV, FireTV Devices</t>
        </is>
      </c>
      <c r="C71" t="inlineStr">
        <is>
          <t>Amazon.com</t>
        </is>
      </c>
      <c r="D71" t="inlineStr">
        <is>
          <t>indeed</t>
        </is>
      </c>
      <c r="E71">
        <f>HYPERLINK("https://www.indeed.com/viewjob?jk=942347d038af39e9", "https://www.indeed.com/viewjob?jk=942347d038af39e9")</f>
        <v/>
      </c>
      <c r="F71">
        <f>HYPERLINK("https://www.amazon.jobs/jobs/3146026/senior-product-manager-tech-partnerbranded-ftv-firetv-devices?cmpid=DA_INAD200785B", "https://www.amazon.jobs/jobs/3146026/senior-product-manager-tech-partnerbranded-ftv-firetv-devices?cmpid=DA_INAD200785B")</f>
        <v/>
      </c>
      <c r="G71" t="inlineStr">
        <is>
          <t>San Francisco, CA, US</t>
        </is>
      </c>
      <c r="H71" s="3" t="n">
        <v>46008</v>
      </c>
      <c r="I71"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in-9c054d163a97a7ec</t>
        </is>
      </c>
      <c r="B72" t="inlineStr">
        <is>
          <t>Senior Product Manager, Tech, Partner-Branded FTV, FireTV Devices</t>
        </is>
      </c>
      <c r="C72" t="inlineStr">
        <is>
          <t>Amazon.com</t>
        </is>
      </c>
      <c r="D72" t="inlineStr">
        <is>
          <t>indeed</t>
        </is>
      </c>
      <c r="E72">
        <f>HYPERLINK("https://www.indeed.com/viewjob?jk=9c054d163a97a7ec", "https://www.indeed.com/viewjob?jk=9c054d163a97a7ec")</f>
        <v/>
      </c>
      <c r="F72">
        <f>HYPERLINK("https://www.amazon.jobs/jobs/3146026/senior-product-manager-tech-partnerbranded-ftv-firetv-devices?cmpid=DA_INAD200785B", "https://www.amazon.jobs/jobs/3146026/senior-product-manager-tech-partnerbranded-ftv-firetv-devices?cmpid=DA_INAD200785B")</f>
        <v/>
      </c>
      <c r="G72" t="inlineStr">
        <is>
          <t>Sunnyvale, CA, US</t>
        </is>
      </c>
      <c r="H72" s="3" t="n">
        <v>46008</v>
      </c>
      <c r="I72"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in-149240e70465dca8</t>
        </is>
      </c>
      <c r="B73" t="inlineStr">
        <is>
          <t>Senior Product Manager, Tech, Partner-Branded FTV, FireTV Devices</t>
        </is>
      </c>
      <c r="C73" t="inlineStr">
        <is>
          <t>Amazon.com</t>
        </is>
      </c>
      <c r="D73" t="inlineStr">
        <is>
          <t>indeed</t>
        </is>
      </c>
      <c r="E73">
        <f>HYPERLINK("https://www.indeed.com/viewjob?jk=149240e70465dca8", "https://www.indeed.com/viewjob?jk=149240e70465dca8")</f>
        <v/>
      </c>
      <c r="F73">
        <f>HYPERLINK("https://www.amazon.jobs/jobs/3146026/senior-product-manager-tech-partnerbranded-ftv-firetv-devices?cmpid=DA_INAD200785B", "https://www.amazon.jobs/jobs/3146026/senior-product-manager-tech-partnerbranded-ftv-firetv-devices?cmpid=DA_INAD200785B")</f>
        <v/>
      </c>
      <c r="G73" t="inlineStr">
        <is>
          <t>Seattle, WA, US</t>
        </is>
      </c>
      <c r="H73" s="3" t="n">
        <v>46008</v>
      </c>
      <c r="I73" t="inlineStr">
        <is>
          <t>**DESCRIPTION**
---------------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in-557aada1787a9974</t>
        </is>
      </c>
      <c r="B74" t="inlineStr">
        <is>
          <t>Data Center Delivery - Technical Infrastructure Program Manager, One-Intake Program Team</t>
        </is>
      </c>
      <c r="C74" t="inlineStr">
        <is>
          <t>Amazon.com</t>
        </is>
      </c>
      <c r="D74" t="inlineStr">
        <is>
          <t>indeed</t>
        </is>
      </c>
      <c r="E74">
        <f>HYPERLINK("https://www.indeed.com/viewjob?jk=557aada1787a9974", "https://www.indeed.com/viewjob?jk=557aada1787a9974")</f>
        <v/>
      </c>
      <c r="F74">
        <f>HYPERLINK("https://www.amazon.jobs/jobs/3144827/data-center-delivery--technical-infrastructure-program-manager-oneintake-program-team?cmpid=DA_INAD200785B", "https://www.amazon.jobs/jobs/3144827/data-center-delivery--technical-infrastructure-program-manager-oneintake-program-team?cmpid=DA_INAD200785B")</f>
        <v/>
      </c>
      <c r="G74" t="inlineStr">
        <is>
          <t>Herndon, VA, US</t>
        </is>
      </c>
      <c r="H74" s="3" t="n">
        <v>46007</v>
      </c>
      <c r="I7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in-375f4419e77ee8a6</t>
        </is>
      </c>
      <c r="B75" t="inlineStr">
        <is>
          <t>Data Center Delivery - Technical Infrastructure Program Manager, One-Intake Program Team</t>
        </is>
      </c>
      <c r="C75" t="inlineStr">
        <is>
          <t>Amazon.com</t>
        </is>
      </c>
      <c r="D75" t="inlineStr">
        <is>
          <t>indeed</t>
        </is>
      </c>
      <c r="E75">
        <f>HYPERLINK("https://www.indeed.com/viewjob?jk=375f4419e77ee8a6", "https://www.indeed.com/viewjob?jk=375f4419e77ee8a6")</f>
        <v/>
      </c>
      <c r="F75">
        <f>HYPERLINK("https://www.amazon.jobs/jobs/3144827/data-center-delivery--technical-infrastructure-program-manager-oneintake-program-team?cmpid=DA_INAD200785B", "https://www.amazon.jobs/jobs/3144827/data-center-delivery--technical-infrastructure-program-manager-oneintake-program-team?cmpid=DA_INAD200785B")</f>
        <v/>
      </c>
      <c r="G75" t="inlineStr">
        <is>
          <t>Seattle, WA, US</t>
        </is>
      </c>
      <c r="H75" s="3" t="n">
        <v>46007</v>
      </c>
      <c r="I7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In this position, you will play a key role in operational and process improvement within Amazon Web Services, where we have a history and tradition of innovative technologies and services. Reporting to the Data Center Community (DCC) organization, you will have the opportunity to partner across the global AWS Infrastructure Services organization to shape the future of the AWS profile and tempo to which we deliver.  
Data Center Community is growing the One\-Intake Program team function in scale and complexity in order to deliver NPI Readiness Milestones On Time for New Products to meet customer business requirements. The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new product launch preparation, you will work with cross\-organizational teams from Services, Hardware Engineering, Network Engineering, Software development, Capacity Planning and Data Center Operation teams to prepare for new product end to end launch readiness.  
The primary responsibilities from the Technical Program Manager include, but are not limited to, the following:
* Lead planning, execution, and delivery tasks of multiple project/programs simultaneously
* Determine process health metrics and key performance indicators and develop data visualization reports illustrating process health.
* Identify process improvement opportunities and gather user requirements with key internal customers.
* Develop and implement scalable, data\-driven process improvement/automated solutions
* Develop standard operating procedures, change/communication plans, and project/program\-level status updates
* Drive adoption with internal customers through effective change management
* Anticipate potential issues and risks, and escalate appropriately and in a timely manner
* Remain flexible to changing priorities and open to new ideas
* Keep the customer experience as the primary focus
Key job responsibilities  
Data Center Planning and Delivery is growing the One\-Intake Program function in scale and complexity in order to deliver NPI Readiness Milestones On Time for New Products to meet customer business requirements. This role will work with cross\-functional teams from Services, Engineering and Capacity Planning teams to prepare for new product launch readiness with automation and operational process in place.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The mission of the One\-Intake Program is to prepare for new product launches to the Infra ecosystem that will enable us to meet on\-time delivery to customers and not negatively impact established business and operational metrics. Through this program, we will enable Infra to close existing intake gaps, improve the ownership of new products, and enhance support from engineering, planning, and operational teams when new instances, racks, and tools are being introduced to Infra.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Experience with new product introduction (NPI) and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in-d72808b595f5babe</t>
        </is>
      </c>
      <c r="B76" t="inlineStr">
        <is>
          <t>Senior Product Manager Tech, EFS</t>
        </is>
      </c>
      <c r="C76" t="inlineStr">
        <is>
          <t>Amazon Web Services</t>
        </is>
      </c>
      <c r="D76" t="inlineStr">
        <is>
          <t>indeed</t>
        </is>
      </c>
      <c r="E76">
        <f>HYPERLINK("https://www.indeed.com/viewjob?jk=d72808b595f5babe", "https://www.indeed.com/viewjob?jk=d72808b595f5babe")</f>
        <v/>
      </c>
      <c r="F76">
        <f>HYPERLINK("https://www.amazon.jobs/jobs/3146067/senior-product-manager-tech-efs?cmpid=DA_INAD200785B", "https://www.amazon.jobs/jobs/3146067/senior-product-manager-tech-efs?cmpid=DA_INAD200785B")</f>
        <v/>
      </c>
      <c r="G76" t="inlineStr">
        <is>
          <t>Boston, MA, US</t>
        </is>
      </c>
      <c r="H76" s="3" t="n">
        <v>46001</v>
      </c>
      <c r="I76"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in-2d3d5b8725d106c1</t>
        </is>
      </c>
      <c r="B77" t="inlineStr">
        <is>
          <t>Senior Product Manager Tech, EFS</t>
        </is>
      </c>
      <c r="C77" t="inlineStr">
        <is>
          <t>Amazon Web Services</t>
        </is>
      </c>
      <c r="D77" t="inlineStr">
        <is>
          <t>indeed</t>
        </is>
      </c>
      <c r="E77">
        <f>HYPERLINK("https://www.indeed.com/viewjob?jk=2d3d5b8725d106c1", "https://www.indeed.com/viewjob?jk=2d3d5b8725d106c1")</f>
        <v/>
      </c>
      <c r="F77">
        <f>HYPERLINK("https://www.amazon.jobs/jobs/3146067/senior-product-manager-tech-efs?cmpid=DA_INAD200785B", "https://www.amazon.jobs/jobs/3146067/senior-product-manager-tech-efs?cmpid=DA_INAD200785B")</f>
        <v/>
      </c>
      <c r="G77" t="inlineStr">
        <is>
          <t>New York, NY, US</t>
        </is>
      </c>
      <c r="H77" s="3" t="n">
        <v>46001</v>
      </c>
      <c r="I77"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in-5e2648d9ce96512c</t>
        </is>
      </c>
      <c r="B78" t="inlineStr">
        <is>
          <t>Global Signage &amp; Wayfinding Designer Program Manager, Workplace Design &amp; Construction (WD&amp;C)</t>
        </is>
      </c>
      <c r="C78" t="inlineStr">
        <is>
          <t>Amazon.com</t>
        </is>
      </c>
      <c r="D78" t="inlineStr">
        <is>
          <t>indeed</t>
        </is>
      </c>
      <c r="E78">
        <f>HYPERLINK("https://www.indeed.com/viewjob?jk=5e2648d9ce96512c", "https://www.indeed.com/viewjob?jk=5e2648d9ce96512c")</f>
        <v/>
      </c>
      <c r="F78">
        <f>HYPERLINK("https://www.amazon.jobs/jobs/3139013/global-signage--wayfinding-designer-program-manager-workplace-design--construction-wdc?cmpid=DA_INAD200785B", "https://www.amazon.jobs/jobs/3139013/global-signage--wayfinding-designer-program-manager-workplace-design--construction-wdc?cmpid=DA_INAD200785B")</f>
        <v/>
      </c>
      <c r="G78" t="inlineStr">
        <is>
          <t>Arlington, VA, US</t>
        </is>
      </c>
      <c r="H78" s="3" t="n">
        <v>45998</v>
      </c>
      <c r="I7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in-76edf29e553f1afb</t>
        </is>
      </c>
      <c r="B79" t="inlineStr">
        <is>
          <t>Global Signage &amp; Wayfinding Designer Program Manager, Workplace Design &amp; Construction (WD&amp;C)</t>
        </is>
      </c>
      <c r="C79" t="inlineStr">
        <is>
          <t>Amazon.com</t>
        </is>
      </c>
      <c r="D79" t="inlineStr">
        <is>
          <t>indeed</t>
        </is>
      </c>
      <c r="E79">
        <f>HYPERLINK("https://www.indeed.com/viewjob?jk=76edf29e553f1afb", "https://www.indeed.com/viewjob?jk=76edf29e553f1afb")</f>
        <v/>
      </c>
      <c r="F79">
        <f>HYPERLINK("https://www.amazon.jobs/jobs/3139013/global-signage--wayfinding-designer-program-manager-workplace-design--construction-wdc?cmpid=DA_INAD200785B", "https://www.amazon.jobs/jobs/3139013/global-signage--wayfinding-designer-program-manager-workplace-design--construction-wdc?cmpid=DA_INAD200785B")</f>
        <v/>
      </c>
      <c r="G79" t="inlineStr">
        <is>
          <t>Seattle, WA, US</t>
        </is>
      </c>
      <c r="H79" s="3" t="n">
        <v>45998</v>
      </c>
      <c r="I79"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in-d9fe60a1b320f5ca</t>
        </is>
      </c>
      <c r="B80" t="inlineStr">
        <is>
          <t>Senior Product Manager, Ads</t>
        </is>
      </c>
      <c r="C80" t="inlineStr">
        <is>
          <t>Amazon.com</t>
        </is>
      </c>
      <c r="D80" t="inlineStr">
        <is>
          <t>indeed</t>
        </is>
      </c>
      <c r="E80">
        <f>HYPERLINK("https://www.indeed.com/viewjob?jk=d9fe60a1b320f5ca", "https://www.indeed.com/viewjob?jk=d9fe60a1b320f5ca")</f>
        <v/>
      </c>
      <c r="F80">
        <f>HYPERLINK("https://www.amazon.jobs/jobs/3137569/senior-product-manager-ads?cmpid=DA_INAD200785B", "https://www.amazon.jobs/jobs/3137569/senior-product-manager-ads?cmpid=DA_INAD200785B")</f>
        <v/>
      </c>
      <c r="G80" t="inlineStr">
        <is>
          <t>Los Angeles, CA, US</t>
        </is>
      </c>
      <c r="H80" s="3" t="n">
        <v>45994</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in-c0bf7abb90aff79e</t>
        </is>
      </c>
      <c r="B81" t="inlineStr">
        <is>
          <t>Senior Product Manager, Ads</t>
        </is>
      </c>
      <c r="C81" t="inlineStr">
        <is>
          <t>Amazon.com</t>
        </is>
      </c>
      <c r="D81" t="inlineStr">
        <is>
          <t>indeed</t>
        </is>
      </c>
      <c r="E81">
        <f>HYPERLINK("https://www.indeed.com/viewjob?jk=c0bf7abb90aff79e", "https://www.indeed.com/viewjob?jk=c0bf7abb90aff79e")</f>
        <v/>
      </c>
      <c r="F81">
        <f>HYPERLINK("https://www.amazon.jobs/jobs/3137569/senior-product-manager-ads?cmpid=DA_INAD200785B", "https://www.amazon.jobs/jobs/3137569/senior-product-manager-ads?cmpid=DA_INAD200785B")</f>
        <v/>
      </c>
      <c r="G81" t="inlineStr">
        <is>
          <t>San Francisco, CA, US</t>
        </is>
      </c>
      <c r="H81" s="3" t="n">
        <v>45994</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in-f06e9db7e4857c63</t>
        </is>
      </c>
      <c r="B82" t="inlineStr">
        <is>
          <t>Senior Product Manager, Ads</t>
        </is>
      </c>
      <c r="C82" t="inlineStr">
        <is>
          <t>Amazon.com</t>
        </is>
      </c>
      <c r="D82" t="inlineStr">
        <is>
          <t>indeed</t>
        </is>
      </c>
      <c r="E82">
        <f>HYPERLINK("https://www.indeed.com/viewjob?jk=f06e9db7e4857c63", "https://www.indeed.com/viewjob?jk=f06e9db7e4857c63")</f>
        <v/>
      </c>
      <c r="F82">
        <f>HYPERLINK("https://www.amazon.jobs/jobs/3137569/senior-product-manager-ads?cmpid=DA_INAD200785B", "https://www.amazon.jobs/jobs/3137569/senior-product-manager-ads?cmpid=DA_INAD200785B")</f>
        <v/>
      </c>
      <c r="G82" t="inlineStr">
        <is>
          <t>Irvine, CA, US</t>
        </is>
      </c>
      <c r="H82" s="3" t="n">
        <v>45994</v>
      </c>
      <c r="I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in-0fa8fec06568beb1</t>
        </is>
      </c>
      <c r="B83" t="inlineStr">
        <is>
          <t>Senior Product Manager, Ads</t>
        </is>
      </c>
      <c r="C83" t="inlineStr">
        <is>
          <t>Amazon.com</t>
        </is>
      </c>
      <c r="D83" t="inlineStr">
        <is>
          <t>indeed</t>
        </is>
      </c>
      <c r="E83">
        <f>HYPERLINK("https://www.indeed.com/viewjob?jk=0fa8fec06568beb1", "https://www.indeed.com/viewjob?jk=0fa8fec06568beb1")</f>
        <v/>
      </c>
      <c r="F83">
        <f>HYPERLINK("https://www.amazon.jobs/jobs/3137568/senior-product-manager-ads?cmpid=DA_INAD200785B", "https://www.amazon.jobs/jobs/3137568/senior-product-manager-ads?cmpid=DA_INAD200785B")</f>
        <v/>
      </c>
      <c r="G83" t="inlineStr">
        <is>
          <t>Irvine, CA, US</t>
        </is>
      </c>
      <c r="H83" s="3" t="n">
        <v>45994</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in-ee92413b96b94814</t>
        </is>
      </c>
      <c r="B84" t="inlineStr">
        <is>
          <t>Senior Product Manager, Ads</t>
        </is>
      </c>
      <c r="C84" t="inlineStr">
        <is>
          <t>Amazon.com</t>
        </is>
      </c>
      <c r="D84" t="inlineStr">
        <is>
          <t>indeed</t>
        </is>
      </c>
      <c r="E84">
        <f>HYPERLINK("https://www.indeed.com/viewjob?jk=ee92413b96b94814", "https://www.indeed.com/viewjob?jk=ee92413b96b94814")</f>
        <v/>
      </c>
      <c r="F84">
        <f>HYPERLINK("https://www.amazon.jobs/jobs/3137568/senior-product-manager-ads?cmpid=DA_INAD200785B", "https://www.amazon.jobs/jobs/3137568/senior-product-manager-ads?cmpid=DA_INAD200785B")</f>
        <v/>
      </c>
      <c r="G84" t="inlineStr">
        <is>
          <t>Seattle, WA, US</t>
        </is>
      </c>
      <c r="H84" s="3" t="n">
        <v>45994</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in-a919d2981a94b659</t>
        </is>
      </c>
      <c r="B85" t="inlineStr">
        <is>
          <t>Senior Product Manager, Ads</t>
        </is>
      </c>
      <c r="C85" t="inlineStr">
        <is>
          <t>Amazon.com</t>
        </is>
      </c>
      <c r="D85" t="inlineStr">
        <is>
          <t>indeed</t>
        </is>
      </c>
      <c r="E85">
        <f>HYPERLINK("https://www.indeed.com/viewjob?jk=a919d2981a94b659", "https://www.indeed.com/viewjob?jk=a919d2981a94b659")</f>
        <v/>
      </c>
      <c r="F85">
        <f>HYPERLINK("https://www.amazon.jobs/jobs/3137569/senior-product-manager-ads?cmpid=DA_INAD200785B", "https://www.amazon.jobs/jobs/3137569/senior-product-manager-ads?cmpid=DA_INAD200785B")</f>
        <v/>
      </c>
      <c r="G85" t="inlineStr">
        <is>
          <t>New York, NY, US</t>
        </is>
      </c>
      <c r="H85" s="3" t="n">
        <v>45994</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in-a91ac38868f9c71d</t>
        </is>
      </c>
      <c r="B86" t="inlineStr">
        <is>
          <t>Senior Product Manager, Ads</t>
        </is>
      </c>
      <c r="C86" t="inlineStr">
        <is>
          <t>Amazon.com</t>
        </is>
      </c>
      <c r="D86" t="inlineStr">
        <is>
          <t>indeed</t>
        </is>
      </c>
      <c r="E86">
        <f>HYPERLINK("https://www.indeed.com/viewjob?jk=a91ac38868f9c71d", "https://www.indeed.com/viewjob?jk=a91ac38868f9c71d")</f>
        <v/>
      </c>
      <c r="F86">
        <f>HYPERLINK("https://www.amazon.jobs/jobs/3137568/senior-product-manager-ads?cmpid=DA_INAD200785B", "https://www.amazon.jobs/jobs/3137568/senior-product-manager-ads?cmpid=DA_INAD200785B")</f>
        <v/>
      </c>
      <c r="G86" t="inlineStr">
        <is>
          <t>Los Angeles, CA, US</t>
        </is>
      </c>
      <c r="H86" s="3" t="n">
        <v>45994</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in-291ed8f54fa7d371</t>
        </is>
      </c>
      <c r="B87" t="inlineStr">
        <is>
          <t>Senior Product Manager, Ads</t>
        </is>
      </c>
      <c r="C87" t="inlineStr">
        <is>
          <t>Amazon.com</t>
        </is>
      </c>
      <c r="D87" t="inlineStr">
        <is>
          <t>indeed</t>
        </is>
      </c>
      <c r="E87">
        <f>HYPERLINK("https://www.indeed.com/viewjob?jk=291ed8f54fa7d371", "https://www.indeed.com/viewjob?jk=291ed8f54fa7d371")</f>
        <v/>
      </c>
      <c r="F87">
        <f>HYPERLINK("https://www.amazon.jobs/jobs/3137568/senior-product-manager-ads?cmpid=DA_INAD200785B", "https://www.amazon.jobs/jobs/3137568/senior-product-manager-ads?cmpid=DA_INAD200785B")</f>
        <v/>
      </c>
      <c r="G87" t="inlineStr">
        <is>
          <t>San Francisco, CA, US</t>
        </is>
      </c>
      <c r="H87" s="3" t="n">
        <v>45994</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in-817b01a2d7ec0176</t>
        </is>
      </c>
      <c r="B88" t="inlineStr">
        <is>
          <t>Senior Product Manager, Ads</t>
        </is>
      </c>
      <c r="C88" t="inlineStr">
        <is>
          <t>Amazon.com</t>
        </is>
      </c>
      <c r="D88" t="inlineStr">
        <is>
          <t>indeed</t>
        </is>
      </c>
      <c r="E88">
        <f>HYPERLINK("https://www.indeed.com/viewjob?jk=817b01a2d7ec0176", "https://www.indeed.com/viewjob?jk=817b01a2d7ec0176")</f>
        <v/>
      </c>
      <c r="F88">
        <f>HYPERLINK("https://www.amazon.jobs/jobs/3137568/senior-product-manager-ads?cmpid=DA_INAD200785B", "https://www.amazon.jobs/jobs/3137568/senior-product-manager-ads?cmpid=DA_INAD200785B")</f>
        <v/>
      </c>
      <c r="G88" t="inlineStr">
        <is>
          <t>New York, NY, US</t>
        </is>
      </c>
      <c r="H88" s="3" t="n">
        <v>45994</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in-cf0d7e02cc597fdf</t>
        </is>
      </c>
      <c r="B89" t="inlineStr">
        <is>
          <t>Senior Product Manager, Ads</t>
        </is>
      </c>
      <c r="C89" t="inlineStr">
        <is>
          <t>Amazon.com</t>
        </is>
      </c>
      <c r="D89" t="inlineStr">
        <is>
          <t>indeed</t>
        </is>
      </c>
      <c r="E89">
        <f>HYPERLINK("https://www.indeed.com/viewjob?jk=cf0d7e02cc597fdf", "https://www.indeed.com/viewjob?jk=cf0d7e02cc597fdf")</f>
        <v/>
      </c>
      <c r="F89">
        <f>HYPERLINK("https://www.amazon.jobs/jobs/3137569/senior-product-manager-ads?cmpid=DA_INAD200785B", "https://www.amazon.jobs/jobs/3137569/senior-product-manager-ads?cmpid=DA_INAD200785B")</f>
        <v/>
      </c>
      <c r="G89" t="inlineStr">
        <is>
          <t>Seattle, WA, US</t>
        </is>
      </c>
      <c r="H89" s="3" t="n">
        <v>45994</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in-63cfe646a94d46a2</t>
        </is>
      </c>
      <c r="B90" t="inlineStr">
        <is>
          <t>Sr. Product Manager</t>
        </is>
      </c>
      <c r="C90" t="inlineStr">
        <is>
          <t>Amazon.com</t>
        </is>
      </c>
      <c r="D90" t="inlineStr">
        <is>
          <t>indeed</t>
        </is>
      </c>
      <c r="E90">
        <f>HYPERLINK("https://www.indeed.com/viewjob?jk=63cfe646a94d46a2", "https://www.indeed.com/viewjob?jk=63cfe646a94d46a2")</f>
        <v/>
      </c>
      <c r="F90">
        <f>HYPERLINK("https://www.amazon.jobs/jobs/3129468/sr-product-manager?cmpid=DA_INAD200785B", "https://www.amazon.jobs/jobs/3129468/sr-product-manager?cmpid=DA_INAD200785B")</f>
        <v/>
      </c>
      <c r="G90" t="inlineStr">
        <is>
          <t>Irvine, CA, US</t>
        </is>
      </c>
      <c r="H90" s="3" t="n">
        <v>45979</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in-669a9ab49acb6fb0</t>
        </is>
      </c>
      <c r="B91" t="inlineStr">
        <is>
          <t>Sr. Product Manager</t>
        </is>
      </c>
      <c r="C91" t="inlineStr">
        <is>
          <t>Amazon.com</t>
        </is>
      </c>
      <c r="D91" t="inlineStr">
        <is>
          <t>indeed</t>
        </is>
      </c>
      <c r="E91">
        <f>HYPERLINK("https://www.indeed.com/viewjob?jk=669a9ab49acb6fb0", "https://www.indeed.com/viewjob?jk=669a9ab49acb6fb0")</f>
        <v/>
      </c>
      <c r="F91">
        <f>HYPERLINK("https://www.amazon.jobs/jobs/3129468/sr-product-manager?cmpid=DA_INAD200785B", "https://www.amazon.jobs/jobs/3129468/sr-product-manager?cmpid=DA_INAD200785B")</f>
        <v/>
      </c>
      <c r="G91" t="inlineStr">
        <is>
          <t>San Francisco, CA, US</t>
        </is>
      </c>
      <c r="H91" s="3" t="n">
        <v>45979</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in-80f6e649defe2020</t>
        </is>
      </c>
      <c r="B92" t="inlineStr">
        <is>
          <t>Sr. Product Manager</t>
        </is>
      </c>
      <c r="C92" t="inlineStr">
        <is>
          <t>Amazon.com</t>
        </is>
      </c>
      <c r="D92" t="inlineStr">
        <is>
          <t>indeed</t>
        </is>
      </c>
      <c r="E92">
        <f>HYPERLINK("https://www.indeed.com/viewjob?jk=80f6e649defe2020", "https://www.indeed.com/viewjob?jk=80f6e649defe2020")</f>
        <v/>
      </c>
      <c r="F92">
        <f>HYPERLINK("https://www.amazon.jobs/jobs/3129468/sr-product-manager?cmpid=DA_INAD200785B", "https://www.amazon.jobs/jobs/3129468/sr-product-manager?cmpid=DA_INAD200785B")</f>
        <v/>
      </c>
      <c r="G92" t="inlineStr">
        <is>
          <t>New York, NY, US</t>
        </is>
      </c>
      <c r="H92" s="3" t="n">
        <v>45979</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in-94067fd383f20868</t>
        </is>
      </c>
      <c r="B93" t="inlineStr">
        <is>
          <t>Sr. Product Manager</t>
        </is>
      </c>
      <c r="C93" t="inlineStr">
        <is>
          <t>Amazon.com</t>
        </is>
      </c>
      <c r="D93" t="inlineStr">
        <is>
          <t>indeed</t>
        </is>
      </c>
      <c r="E93">
        <f>HYPERLINK("https://www.indeed.com/viewjob?jk=94067fd383f20868", "https://www.indeed.com/viewjob?jk=94067fd383f20868")</f>
        <v/>
      </c>
      <c r="F93">
        <f>HYPERLINK("https://www.amazon.jobs/jobs/3129468/sr-product-manager?cmpid=DA_INAD200785B", "https://www.amazon.jobs/jobs/3129468/sr-product-manager?cmpid=DA_INAD200785B")</f>
        <v/>
      </c>
      <c r="G93" t="inlineStr">
        <is>
          <t>Seattle, WA, US</t>
        </is>
      </c>
      <c r="H93" s="3" t="n">
        <v>45979</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in-d04535913587055c</t>
        </is>
      </c>
      <c r="B94" t="inlineStr">
        <is>
          <t>Sr. Product Manager</t>
        </is>
      </c>
      <c r="C94" t="inlineStr">
        <is>
          <t>Amazon.com</t>
        </is>
      </c>
      <c r="D94" t="inlineStr">
        <is>
          <t>indeed</t>
        </is>
      </c>
      <c r="E94">
        <f>HYPERLINK("https://www.indeed.com/viewjob?jk=d04535913587055c", "https://www.indeed.com/viewjob?jk=d04535913587055c")</f>
        <v/>
      </c>
      <c r="F94">
        <f>HYPERLINK("https://www.amazon.jobs/jobs/3129468/sr-product-manager?cmpid=DA_INAD200785B", "https://www.amazon.jobs/jobs/3129468/sr-product-manager?cmpid=DA_INAD200785B")</f>
        <v/>
      </c>
      <c r="G94" t="inlineStr">
        <is>
          <t>Los Angeles, CA, US</t>
        </is>
      </c>
      <c r="H94" s="3" t="n">
        <v>45979</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in-6ff475b11f5a7b17</t>
        </is>
      </c>
      <c r="B95" t="inlineStr">
        <is>
          <t>Program Manager, Executive Content and Programs, Global Executive Marketing</t>
        </is>
      </c>
      <c r="C95" t="inlineStr">
        <is>
          <t>Amazon Web Services</t>
        </is>
      </c>
      <c r="D95" t="inlineStr">
        <is>
          <t>indeed</t>
        </is>
      </c>
      <c r="E95">
        <f>HYPERLINK("https://www.indeed.com/viewjob?jk=6ff475b11f5a7b17", "https://www.indeed.com/viewjob?jk=6ff475b11f5a7b17")</f>
        <v/>
      </c>
      <c r="F95">
        <f>HYPERLINK("https://www.amazon.jobs/jobs/3125520/program-manager-executive-content-and-programs-global-executive-marketing?cmpid=DA_INAD200785B", "https://www.amazon.jobs/jobs/3125520/program-manager-executive-content-and-programs-global-executive-marketing?cmpid=DA_INAD200785B")</f>
        <v/>
      </c>
      <c r="G95" t="inlineStr">
        <is>
          <t>Seattle, WA, US</t>
        </is>
      </c>
      <c r="H95" s="3" t="n">
        <v>45970</v>
      </c>
      <c r="I9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in-73953829e2e98801</t>
        </is>
      </c>
      <c r="B96" t="inlineStr">
        <is>
          <t>Program Manager, Executive Content and Programs, Global Executive Marketing</t>
        </is>
      </c>
      <c r="C96" t="inlineStr">
        <is>
          <t>Amazon Web Services</t>
        </is>
      </c>
      <c r="D96" t="inlineStr">
        <is>
          <t>indeed</t>
        </is>
      </c>
      <c r="E96">
        <f>HYPERLINK("https://www.indeed.com/viewjob?jk=73953829e2e98801", "https://www.indeed.com/viewjob?jk=73953829e2e98801")</f>
        <v/>
      </c>
      <c r="F96">
        <f>HYPERLINK("https://www.amazon.jobs/jobs/3125520/program-manager-executive-content-and-programs-global-executive-marketing?cmpid=DA_INAD200785B", "https://www.amazon.jobs/jobs/3125520/program-manager-executive-content-and-programs-global-executive-marketing?cmpid=DA_INAD200785B")</f>
        <v/>
      </c>
      <c r="G96" t="inlineStr">
        <is>
          <t>Arlington, VA, US</t>
        </is>
      </c>
      <c r="H96" s="3" t="n">
        <v>45970</v>
      </c>
      <c r="I9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in-6aa18d4b1ec4f2e7</t>
        </is>
      </c>
      <c r="B97" t="inlineStr">
        <is>
          <t>Sr. EHS Program Manager, Safety Learning and Development</t>
        </is>
      </c>
      <c r="C97" t="inlineStr">
        <is>
          <t>Amazon.com</t>
        </is>
      </c>
      <c r="D97" t="inlineStr">
        <is>
          <t>indeed</t>
        </is>
      </c>
      <c r="E97">
        <f>HYPERLINK("https://www.indeed.com/viewjob?jk=6aa18d4b1ec4f2e7", "https://www.indeed.com/viewjob?jk=6aa18d4b1ec4f2e7")</f>
        <v/>
      </c>
      <c r="F97">
        <f>HYPERLINK("https://www.amazon.jobs/jobs/3124450/sr-ehs-program-manager-safety-learning-and-development?cmpid=DA_INAD200785B", "https://www.amazon.jobs/jobs/3124450/sr-ehs-program-manager-safety-learning-and-development?cmpid=DA_INAD200785B")</f>
        <v/>
      </c>
      <c r="G97" t="inlineStr">
        <is>
          <t>Nashville, TN, US</t>
        </is>
      </c>
      <c r="H97" s="3" t="n">
        <v>45910</v>
      </c>
      <c r="I97"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in-30114b3001e0727c</t>
        </is>
      </c>
      <c r="B98" t="inlineStr">
        <is>
          <t>Sr. EHS Program Manager, Safety Learning and Development</t>
        </is>
      </c>
      <c r="C98" t="inlineStr">
        <is>
          <t>Amazon.com</t>
        </is>
      </c>
      <c r="D98" t="inlineStr">
        <is>
          <t>indeed</t>
        </is>
      </c>
      <c r="E98">
        <f>HYPERLINK("https://www.indeed.com/viewjob?jk=30114b3001e0727c", "https://www.indeed.com/viewjob?jk=30114b3001e0727c")</f>
        <v/>
      </c>
      <c r="F98">
        <f>HYPERLINK("https://www.amazon.jobs/jobs/3124450/sr-ehs-program-manager-safety-learning-and-development?cmpid=DA_INAD200785B", "https://www.amazon.jobs/jobs/3124450/sr-ehs-program-manager-safety-learning-and-development?cmpid=DA_INAD200785B")</f>
        <v/>
      </c>
      <c r="G98" t="inlineStr">
        <is>
          <t>Bellevue, WA, US</t>
        </is>
      </c>
      <c r="H98" s="3" t="n">
        <v>45910</v>
      </c>
      <c r="I9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in-ba2f133c2d799a33</t>
        </is>
      </c>
      <c r="B99" t="inlineStr">
        <is>
          <t>Sr. Product Manager Technical, Deal Tooling &amp; Insights, Strategic Customer Engagements</t>
        </is>
      </c>
      <c r="C99" t="inlineStr">
        <is>
          <t>Amazon Web Services</t>
        </is>
      </c>
      <c r="D99" t="inlineStr">
        <is>
          <t>indeed</t>
        </is>
      </c>
      <c r="E99">
        <f>HYPERLINK("https://www.indeed.com/viewjob?jk=ba2f133c2d799a33", "https://www.indeed.com/viewjob?jk=ba2f133c2d799a33")</f>
        <v/>
      </c>
      <c r="F99">
        <f>HYPERLINK("https://www.amazon.jobs/jobs/3138889/sr-product-manager-technical-deal-tooling--insights-strategic-customer-engagements?cmpid=DA_INAD200785B", "https://www.amazon.jobs/jobs/3138889/sr-product-manager-technical-deal-tooling--insights-strategic-customer-engagements?cmpid=DA_INAD200785B")</f>
        <v/>
      </c>
      <c r="G99" t="inlineStr">
        <is>
          <t>Arlington, VA, US</t>
        </is>
      </c>
      <c r="H99" s="3" t="n">
        <v>45994</v>
      </c>
      <c r="I9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0">
      <c r="A100" t="inlineStr">
        <is>
          <t>in-840ec518eb52b7c9</t>
        </is>
      </c>
      <c r="B100" t="inlineStr">
        <is>
          <t>Sr. Product Manager Technical, Deal Tooling &amp; Insights, Strategic Customer Engagements</t>
        </is>
      </c>
      <c r="C100" t="inlineStr">
        <is>
          <t>Amazon Web Services</t>
        </is>
      </c>
      <c r="D100" t="inlineStr">
        <is>
          <t>indeed</t>
        </is>
      </c>
      <c r="E100">
        <f>HYPERLINK("https://www.indeed.com/viewjob?jk=840ec518eb52b7c9", "https://www.indeed.com/viewjob?jk=840ec518eb52b7c9")</f>
        <v/>
      </c>
      <c r="F100">
        <f>HYPERLINK("https://www.amazon.jobs/jobs/3138889/sr-product-manager-technical-deal-tooling--insights-strategic-customer-engagements?cmpid=DA_INAD200785B", "https://www.amazon.jobs/jobs/3138889/sr-product-manager-technical-deal-tooling--insights-strategic-customer-engagements?cmpid=DA_INAD200785B")</f>
        <v/>
      </c>
      <c r="G100" t="inlineStr">
        <is>
          <t>Seattle, WA, US</t>
        </is>
      </c>
      <c r="H100" s="3" t="n">
        <v>45994</v>
      </c>
      <c r="I10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1">
      <c r="A101" t="inlineStr">
        <is>
          <t>in-e3453f0d36e00df1</t>
        </is>
      </c>
      <c r="B101" t="inlineStr">
        <is>
          <t>Sr. Product Manager Technical, Deal Tooling &amp; Insights, Strategic Customer Engagements</t>
        </is>
      </c>
      <c r="C101" t="inlineStr">
        <is>
          <t>Amazon Web Services</t>
        </is>
      </c>
      <c r="D101" t="inlineStr">
        <is>
          <t>indeed</t>
        </is>
      </c>
      <c r="E101">
        <f>HYPERLINK("https://www.indeed.com/viewjob?jk=e3453f0d36e00df1", "https://www.indeed.com/viewjob?jk=e3453f0d36e00df1")</f>
        <v/>
      </c>
      <c r="F101">
        <f>HYPERLINK("https://www.amazon.jobs/jobs/3138889/sr-product-manager-technical-deal-tooling--insights-strategic-customer-engagements?cmpid=DA_INAD200785B", "https://www.amazon.jobs/jobs/3138889/sr-product-manager-technical-deal-tooling--insights-strategic-customer-engagements?cmpid=DA_INAD200785B")</f>
        <v/>
      </c>
      <c r="G101" t="inlineStr">
        <is>
          <t>Herndon, VA, US</t>
        </is>
      </c>
      <c r="H101" s="3" t="n">
        <v>45994</v>
      </c>
      <c r="I10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2">
      <c r="A102" t="inlineStr">
        <is>
          <t>in-d0aba33a2b1ae9cb</t>
        </is>
      </c>
      <c r="B102" t="inlineStr">
        <is>
          <t>Sr. Product Manager Technical, Deal Tooling &amp; Insights, Strategic Customer Engagements</t>
        </is>
      </c>
      <c r="C102" t="inlineStr">
        <is>
          <t>Amazon Web Services</t>
        </is>
      </c>
      <c r="D102" t="inlineStr">
        <is>
          <t>indeed</t>
        </is>
      </c>
      <c r="E102">
        <f>HYPERLINK("https://www.indeed.com/viewjob?jk=d0aba33a2b1ae9cb", "https://www.indeed.com/viewjob?jk=d0aba33a2b1ae9cb")</f>
        <v/>
      </c>
      <c r="F102">
        <f>HYPERLINK("https://www.amazon.jobs/jobs/3138889/sr-product-manager-technical-deal-tooling--insights-strategic-customer-engagements?cmpid=DA_INAD200785B", "https://www.amazon.jobs/jobs/3138889/sr-product-manager-technical-deal-tooling--insights-strategic-customer-engagements?cmpid=DA_INAD200785B")</f>
        <v/>
      </c>
      <c r="G102" t="inlineStr">
        <is>
          <t>Austin, TX, US</t>
        </is>
      </c>
      <c r="H102" s="3" t="n">
        <v>45994</v>
      </c>
      <c r="I10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3">
      <c r="A103" t="inlineStr">
        <is>
          <t>in-e742fea0b27dcb26</t>
        </is>
      </c>
      <c r="B103" t="inlineStr">
        <is>
          <t>Sr. Product Manager Technical, Deal Tooling &amp; Insights, Strategic Customer Engagements</t>
        </is>
      </c>
      <c r="C103" t="inlineStr">
        <is>
          <t>Amazon Web Services</t>
        </is>
      </c>
      <c r="D103" t="inlineStr">
        <is>
          <t>indeed</t>
        </is>
      </c>
      <c r="E103">
        <f>HYPERLINK("https://www.indeed.com/viewjob?jk=e742fea0b27dcb26", "https://www.indeed.com/viewjob?jk=e742fea0b27dcb26")</f>
        <v/>
      </c>
      <c r="F103">
        <f>HYPERLINK("https://www.amazon.jobs/jobs/3138889/sr-product-manager-technical-deal-tooling--insights-strategic-customer-engagements?cmpid=DA_INAD200785B", "https://www.amazon.jobs/jobs/3138889/sr-product-manager-technical-deal-tooling--insights-strategic-customer-engagements?cmpid=DA_INAD200785B")</f>
        <v/>
      </c>
      <c r="G103" t="inlineStr">
        <is>
          <t>New York, NY, US</t>
        </is>
      </c>
      <c r="H103" s="3" t="n">
        <v>45994</v>
      </c>
      <c r="I10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4">
      <c r="A104" t="inlineStr">
        <is>
          <t>in-68ef995beded603a</t>
        </is>
      </c>
      <c r="B104" t="inlineStr">
        <is>
          <t>Sr. Product Manager Technical, Deal Tooling &amp; Insights, Strategic Customer Engagements</t>
        </is>
      </c>
      <c r="C104" t="inlineStr">
        <is>
          <t>Amazon Web Services</t>
        </is>
      </c>
      <c r="D104" t="inlineStr">
        <is>
          <t>indeed</t>
        </is>
      </c>
      <c r="E104">
        <f>HYPERLINK("https://www.indeed.com/viewjob?jk=68ef995beded603a", "https://www.indeed.com/viewjob?jk=68ef995beded603a")</f>
        <v/>
      </c>
      <c r="F104">
        <f>HYPERLINK("https://www.amazon.jobs/jobs/3138889/sr-product-manager-technical-deal-tooling--insights-strategic-customer-engagements?cmpid=DA_INAD200785B", "https://www.amazon.jobs/jobs/3138889/sr-product-manager-technical-deal-tooling--insights-strategic-customer-engagements?cmpid=DA_INAD200785B")</f>
        <v/>
      </c>
      <c r="G104" t="inlineStr">
        <is>
          <t>Dallas, TX, US</t>
        </is>
      </c>
      <c r="H104" s="3" t="n">
        <v>45994</v>
      </c>
      <c r="I10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05">
      <c r="A105" t="inlineStr">
        <is>
          <t>in-2d26ff07e79d633d</t>
        </is>
      </c>
      <c r="B105" t="inlineStr">
        <is>
          <t>Sr. Product Manager - Tech, WHS Data-Tech</t>
        </is>
      </c>
      <c r="C105" t="inlineStr">
        <is>
          <t>Amazon.com</t>
        </is>
      </c>
      <c r="D105" t="inlineStr">
        <is>
          <t>indeed</t>
        </is>
      </c>
      <c r="E105">
        <f>HYPERLINK("https://www.indeed.com/viewjob?jk=2d26ff07e79d633d", "https://www.indeed.com/viewjob?jk=2d26ff07e79d633d")</f>
        <v/>
      </c>
      <c r="F105">
        <f>HYPERLINK("https://www.amazon.jobs/jobs/3156736/sr-product-manager--tech-whs-datatech?cmpid=DA_INAD200785B", "https://www.amazon.jobs/jobs/3156736/sr-product-manager--tech-whs-datatech?cmpid=DA_INAD200785B")</f>
        <v/>
      </c>
      <c r="G105" t="inlineStr">
        <is>
          <t>Arlington, VA, US</t>
        </is>
      </c>
      <c r="H105" s="3" t="n">
        <v>45836</v>
      </c>
      <c r="I105"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06">
      <c r="A106" t="inlineStr">
        <is>
          <t>in-e235576b622d6d33</t>
        </is>
      </c>
      <c r="B106" t="inlineStr">
        <is>
          <t>Sr. Product Manager - Tech, WHS Data-Tech</t>
        </is>
      </c>
      <c r="C106" t="inlineStr">
        <is>
          <t>Amazon.com</t>
        </is>
      </c>
      <c r="D106" t="inlineStr">
        <is>
          <t>indeed</t>
        </is>
      </c>
      <c r="E106">
        <f>HYPERLINK("https://www.indeed.com/viewjob?jk=e235576b622d6d33", "https://www.indeed.com/viewjob?jk=e235576b622d6d33")</f>
        <v/>
      </c>
      <c r="F106">
        <f>HYPERLINK("https://www.amazon.jobs/jobs/3156736/sr-product-manager--tech-whs-datatech?cmpid=DA_INAD200785B", "https://www.amazon.jobs/jobs/3156736/sr-product-manager--tech-whs-datatech?cmpid=DA_INAD200785B")</f>
        <v/>
      </c>
      <c r="G106" t="inlineStr">
        <is>
          <t>Bellevue, WA, US</t>
        </is>
      </c>
      <c r="H106" s="3" t="n">
        <v>45836</v>
      </c>
      <c r="I106"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07">
      <c r="A107" t="inlineStr">
        <is>
          <t>in-89f06edb5c9e400d</t>
        </is>
      </c>
      <c r="B107" t="inlineStr">
        <is>
          <t>Sr. Product Manager - Tech, WHS Data-Tech</t>
        </is>
      </c>
      <c r="C107" t="inlineStr">
        <is>
          <t>Amazon.com</t>
        </is>
      </c>
      <c r="D107" t="inlineStr">
        <is>
          <t>indeed</t>
        </is>
      </c>
      <c r="E107">
        <f>HYPERLINK("https://www.indeed.com/viewjob?jk=89f06edb5c9e400d", "https://www.indeed.com/viewjob?jk=89f06edb5c9e400d")</f>
        <v/>
      </c>
      <c r="F107">
        <f>HYPERLINK("https://www.amazon.jobs/jobs/3156736/sr-product-manager--tech-whs-datatech?cmpid=DA_INAD200785B", "https://www.amazon.jobs/jobs/3156736/sr-product-manager--tech-whs-datatech?cmpid=DA_INAD200785B")</f>
        <v/>
      </c>
      <c r="G107" t="inlineStr">
        <is>
          <t>Nashville, TN, US</t>
        </is>
      </c>
      <c r="H107" s="3" t="n">
        <v>45836</v>
      </c>
      <c r="I107" t="inlineStr">
        <is>
          <t>**DESCRIPTION**
---------------
WHS (Workplace Health \&amp; Safety) is seeking a Senior Product Manager \- Technical (Sr. PMT) to lead an important set of products for our global safety operations.  
As a Sr. PMT for Amazon's WHS Data\-Tech organization, you will play a vital role in inventing, simplifying, and scaling Amazon's technology products that have a tangible impact on the safety of our global workforce. We seek a product leader who can manage large, cross\-functional technology programs and projects. In this role, you will be responsible for driving multiple technical product initiatives that deliver critical health and safety capabilities requiring coordination with technology and operations teams worldwide. You will collaborate with a group of technical product managers, developers, data engineers, and data scientists to provide products and services that deliver insights and improve the safety processes of WHS worldwide.  
The right candidate will possess a strong product and technology background. You must be able to thrive and succeed in a challenging entrepreneurial environment, and not be hindered by ambiguity or competing priorities. This means you are not only able to develop and drive high\-level strategic initiatives but can also roll up your sleeves, dig in and get the job done. As a Sr. PMT, you will anticipate bottlenecks, provide escalation management, make trade\-offs, and balance business needs versus technical constraints. An ability to take large, complex products and break them down into manageable pieces, develop functional specifications, then deliver them in a successful and timely manner is expected.  
Key job responsibilities  
* Product Management: Leverage your strong foundation in product management concepts and methodologies to deliver on product strategy, roadmaps, and prioritization of features for safety products and solutions.
* Unified User Experience: Identify user needs through user research, onsite visits, and Voice of Associate (VoA) mechanisms. Work closely with program and engineering teams to build unified user interfaces to streamline user experience.
* Communication and Collaboration: Communicate product visions, goals, and requirements to diverse stakeholders, including Program, Operations, Technology, and Finance teams. Facilitate collaboration among cross\-functional teams to ensure smooth product development.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Data\-Tech's charter is to deliver technology solutions and data insights that help reduce workplace risks and injuries at Amazon. Our customers are Worldwide (WW) Operations and the WHS organization. The technology solutions landscape for WHS Data\-Tech includes web applications built using native Amazon Web Services (AWS) technologies and device\-software hybrid solutions that leverage generative artificial intelligence (AI), computer vision, sensors and Internet of Things (IoT) technologies. Additionally, the team conducts scientific research and modeling to generate safety insights and provides analytical solutions, ranging from senior leadership deliverables to individual business unit specific reports.**BASIC QUALIFICATIONS**
------------------------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5\+ years of end to end product delivery experience
* Bachelor's degree in Engineering, Science, Analytics, or Business Administration
**PREFERRED QUALIFICATIONS**
----------------------------
* Experience in using analytical tools, such as Tableau, Qlikview, QuickSight
* Experience in building and driving adoption of new tools
* Master's degree in Engineering, Science, Analytics, or Business Administration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\- 151,200\.00 \- 204,600\.00 USD annually</t>
        </is>
      </c>
    </row>
    <row r="108">
      <c r="A108" t="inlineStr">
        <is>
          <t>in-ef8febc3e431fbed</t>
        </is>
      </c>
      <c r="B108" t="inlineStr">
        <is>
          <t>Sr. Product Manager-Technical, World Wide Operations Security Tech (WWOS Tech)</t>
        </is>
      </c>
      <c r="C108" t="inlineStr">
        <is>
          <t>Amazon.com</t>
        </is>
      </c>
      <c r="D108" t="inlineStr">
        <is>
          <t>indeed</t>
        </is>
      </c>
      <c r="E108">
        <f>HYPERLINK("https://www.indeed.com/viewjob?jk=ef8febc3e431fbed", "https://www.indeed.com/viewjob?jk=ef8febc3e431fbed")</f>
        <v/>
      </c>
      <c r="F108">
        <f>HYPERLINK("https://www.amazon.jobs/jobs/3152463/sr-product-managertechnical-world-wide-operations-security-tech-wwos-tech?cmpid=DA_INAD200785B", "https://www.amazon.jobs/jobs/3152463/sr-product-managertechnical-world-wide-operations-security-tech-wwos-tech?cmpid=DA_INAD200785B")</f>
        <v/>
      </c>
      <c r="G108" t="inlineStr">
        <is>
          <t>Austin, TX, US</t>
        </is>
      </c>
      <c r="H108" s="3" t="n">
        <v>46008</v>
      </c>
      <c r="I108"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09">
      <c r="A109" t="inlineStr">
        <is>
          <t>in-87a15a568c50aa6e</t>
        </is>
      </c>
      <c r="B109" t="inlineStr">
        <is>
          <t>Sr. Product Manager-Technical, World Wide Operations Security Tech (WWOS Tech)</t>
        </is>
      </c>
      <c r="C109" t="inlineStr">
        <is>
          <t>Amazon.com</t>
        </is>
      </c>
      <c r="D109" t="inlineStr">
        <is>
          <t>indeed</t>
        </is>
      </c>
      <c r="E109">
        <f>HYPERLINK("https://www.indeed.com/viewjob?jk=87a15a568c50aa6e", "https://www.indeed.com/viewjob?jk=87a15a568c50aa6e")</f>
        <v/>
      </c>
      <c r="F109">
        <f>HYPERLINK("https://www.amazon.jobs/jobs/3152463/sr-product-managertechnical-world-wide-operations-security-tech-wwos-tech?cmpid=DA_INAD200785B", "https://www.amazon.jobs/jobs/3152463/sr-product-managertechnical-world-wide-operations-security-tech-wwos-tech?cmpid=DA_INAD200785B")</f>
        <v/>
      </c>
      <c r="G109" t="inlineStr">
        <is>
          <t>Seattle, WA, US</t>
        </is>
      </c>
      <c r="H109" s="3" t="n">
        <v>46008</v>
      </c>
      <c r="I109" t="inlineStr">
        <is>
          <t>**DESCRIPTION**
---------------
Are you interested in being part of a team that is tasked with building and maintaining next generation software products that intersect cloud computing, AI/machine learning, and IOT? Do you enjoy the challenge of building and managing innovative services? Do you want to make an impact at a global scale? Then you should join our team!  
As part of WWOS Tech, we build exciting software technology products that help with security and loss prevention for Amazon operations. We are specifically looking for a passionate, results\-oriented, and inventive Sr Product Manager \- Technical to drive products that focus on minimizing operational disruption and reducing Shrink losses (e.g. Theft and Fraud) in our network as well as due to external actors.  
The mission of Worldwide Operations Security (WWOS) is to support Amazon’s Worldwide Operations, as well as affiliate and retail businesses, by creating and maintaining a work environment that is both prepared and secure through global security centers of excellence staffed by subject matter experts in people and asset protection. WWOS Tech supports WWOS team by building innovative, highly scalable services \&amp; technologies that eliminate subjectivity, complexity, and variation: identifying, preparing for, and mitigating risk; and auditing our practices to ensure compliance.  
The right candidate possesses a strong background in product management, combined with solid understanding of current cloud\-based software and AI technologies. You must be able to thrive and succeed in an entrepreneurial environment. The candidate should have a track record of timely delivery of projects, be willing to dig in and get the job done, providing input to speed up key decisions.  
Our customers are innovators, and you will have the chance to work with them to understand their challenges and design new offerings. Together, we’ll shape not just our own products, but the direction of the industry  
Key job responsibilities  
Develop and execute the product roadmap for the Security \&amp; Loss Prevention technology products, including identifying customer pain points and new opportunities  
Define, prioritize, and communicate product requirements to cross\-functional teams  
Analyze emerging industry trends in Security \&amp; Loss prevention that can contribute to the long\-term product strategy  
Work with engineering teams to design and deliver high\-quality software products that meet customer needs and business objectives  
Collaborate with Data scientists, user experience teams, data engineering, and solution architects to create intuitive and user\-friendly interfaces for complex workflows  
Analyze user feedback and data to continuously improve product performance and user experience  
Monitor the execution of the project, providing project progress to stakeholders, and pushing for appropriate levels of quality to maintain the overall integrity of the project.  
Work closely with various teams to ensure scalability and maintainability of the products you will develop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t>
        </is>
      </c>
    </row>
    <row r="110">
      <c r="A110" t="inlineStr">
        <is>
          <t>in-89d3d9049f0bc036</t>
        </is>
      </c>
      <c r="B110" t="inlineStr">
        <is>
          <t>Senior Product Manager - Technical, GenAI Evaluation Media (GEM)</t>
        </is>
      </c>
      <c r="C110" t="inlineStr">
        <is>
          <t>Amazon.com</t>
        </is>
      </c>
      <c r="D110" t="inlineStr">
        <is>
          <t>indeed</t>
        </is>
      </c>
      <c r="E110">
        <f>HYPERLINK("https://www.indeed.com/viewjob?jk=89d3d9049f0bc036", "https://www.indeed.com/viewjob?jk=89d3d9049f0bc036")</f>
        <v/>
      </c>
      <c r="F110">
        <f>HYPERLINK("https://www.amazon.jobs/jobs/3159612/senior-product-manager--technical-genai-evaluation-media-gem?cmpid=DA_INAD200785B", "https://www.amazon.jobs/jobs/3159612/senior-product-manager--technical-genai-evaluation-media-gem?cmpid=DA_INAD200785B")</f>
        <v/>
      </c>
      <c r="G110" t="inlineStr">
        <is>
          <t>Seattle, WA, US</t>
        </is>
      </c>
      <c r="H110" s="3" t="n">
        <v>46007</v>
      </c>
      <c r="I110"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in-5c2b2fca3df078a4</t>
        </is>
      </c>
      <c r="B111" t="inlineStr">
        <is>
          <t>Senior Product Manager - Technical, GenAI Evaluation Media (GEM)</t>
        </is>
      </c>
      <c r="C111" t="inlineStr">
        <is>
          <t>Amazon.com</t>
        </is>
      </c>
      <c r="D111" t="inlineStr">
        <is>
          <t>indeed</t>
        </is>
      </c>
      <c r="E111">
        <f>HYPERLINK("https://www.indeed.com/viewjob?jk=5c2b2fca3df078a4", "https://www.indeed.com/viewjob?jk=5c2b2fca3df078a4")</f>
        <v/>
      </c>
      <c r="F111">
        <f>HYPERLINK("https://www.amazon.jobs/jobs/3159612/senior-product-manager--technical-genai-evaluation-media-gem?cmpid=DA_INAD200785B", "https://www.amazon.jobs/jobs/3159612/senior-product-manager--technical-genai-evaluation-media-gem?cmpid=DA_INAD200785B")</f>
        <v/>
      </c>
      <c r="G111" t="inlineStr">
        <is>
          <t>New York, NY, US</t>
        </is>
      </c>
      <c r="H111" s="3" t="n">
        <v>46007</v>
      </c>
      <c r="I111" t="inlineStr">
        <is>
          <t>**DESCRIPTION**
---------------
Passionate about creating visual customer experiences that push the boundaries at the forefront of GenAI?
The North America Stores GenAI Evaluation Media (GEM) team is seeking an experienced Senior Product Manager \- Technical to help shape the future of visual shopping experiences. We're building CXs and foundational capabilities to understand, enhance, and generate high\-quality GenAI imagery, videos, and CXs that inspire customers and drive purchase confidence, towards our vision to be the leader in visual media and tools. We are looking for builders and disruptors who are not afraid to innovate for customers, business and technical acumen, exemplary interpersonal and communication skills, and a passion for GenAI technologies.
To succeed in this role, you need to be a self\-starter who enjoys bringing clarity, simplicity, and direction to highly ambiguous challenges. You enjoy building partnerships and alignment with peers and senior leaders. You dive deeply into data and openly welcome debate to form high\-judgement views. You know when to go slow because you need to learn more and build trust, and when to move fast to bring decisions to a close. Once a direction has been set, you guide and influence on executing with speed and rigor in designing experiments, building with applied scientists and engineers, analyzing results, and flexibly iterating towards success to better serve the overall vision.  
You will be successful in this role if:  
* You exhibit strong business and technical acumen
* You are able to take a complex customer need and transform it into the right product strategy, roadmap, and requirements
* You love diving deep into data and can roll up your sleeves to get the job done
* You have good interpersonal skills and you can influence cross\-functional teams and dependencies to achieve goals
* You are comfortable making smart CX vs. time\-to\-market trade\-offs, and ruthlessly prioritize roadmaps to deliver results
Key job responsibilities  
We work backwards from the needs of customers to bring structure to ambiguous problems. As a Senior Product Manager Technical on this team, you will:  
* Define the vision for your product space and outline a roadmap that has the potential to significantly impact Amazon’s business and customer experience.
* Gain support for your strategy and roadmap from stakeholders by writing narratives and influencing senior leadership, peers and partner teams.
* Partner with scientists, engineers and UX designers to translate business and functional requirements into concrete deliverables, including the design, development, testing, and deployment of customer\-facing experiences at scale.
* Drive data\-informed decisions through customer research, behavior analysis, and performance metrics
* Manage prioritization and trade\-offs for speed to market, performance, and features.
* Stay abreast with industry trends and GenAI offerings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in-90c7f0c7bfd3a29a</t>
        </is>
      </c>
      <c r="B112" t="inlineStr">
        <is>
          <t>Principal Product Manager - Tech, Recommender Systems, Prime Video Personalization &amp; Discovery</t>
        </is>
      </c>
      <c r="C112" t="inlineStr">
        <is>
          <t>Amazon.com</t>
        </is>
      </c>
      <c r="D112" t="inlineStr">
        <is>
          <t>indeed</t>
        </is>
      </c>
      <c r="E112">
        <f>HYPERLINK("https://www.indeed.com/viewjob?jk=90c7f0c7bfd3a29a", "https://www.indeed.com/viewjob?jk=90c7f0c7bfd3a29a")</f>
        <v/>
      </c>
      <c r="F112">
        <f>HYPERLINK("https://www.amazon.jobs/jobs/2956622/principal-product-manager--tech-recommender-systems-prime-video-personalization--discovery-?cmpid=DA_INAD200785B", "https://www.amazon.jobs/jobs/2956622/principal-product-manager--tech-recommender-systems-prime-video-personalization--discovery-?cmpid=DA_INAD200785B")</f>
        <v/>
      </c>
      <c r="G112" t="inlineStr">
        <is>
          <t>Washington, DC, US</t>
        </is>
      </c>
      <c r="H112" s="3" t="n">
        <v>45753</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in-8febf86b83a3b390</t>
        </is>
      </c>
      <c r="B113" t="inlineStr">
        <is>
          <t>Principal Product Manager - Tech, Recommender Systems, Prime Video Personalization &amp; Discovery</t>
        </is>
      </c>
      <c r="C113" t="inlineStr">
        <is>
          <t>Amazon.com</t>
        </is>
      </c>
      <c r="D113" t="inlineStr">
        <is>
          <t>indeed</t>
        </is>
      </c>
      <c r="E113">
        <f>HYPERLINK("https://www.indeed.com/viewjob?jk=8febf86b83a3b390", "https://www.indeed.com/viewjob?jk=8febf86b83a3b390")</f>
        <v/>
      </c>
      <c r="F113">
        <f>HYPERLINK("https://www.amazon.jobs/jobs/2956622/principal-product-manager--tech-recommender-systems-prime-video-personalization--discovery-?cmpid=DA_INAD200785B", "https://www.amazon.jobs/jobs/2956622/principal-product-manager--tech-recommender-systems-prime-video-personalization--discovery-?cmpid=DA_INAD200785B")</f>
        <v/>
      </c>
      <c r="G113" t="inlineStr">
        <is>
          <t>Seattle, WA, US</t>
        </is>
      </c>
      <c r="H113" s="3" t="n">
        <v>45753</v>
      </c>
      <c r="I1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in-191feec061e228d4</t>
        </is>
      </c>
      <c r="B114" t="inlineStr">
        <is>
          <t>Program Manager II, Relo Ops Integration</t>
        </is>
      </c>
      <c r="C114" t="inlineStr">
        <is>
          <t>Amazon.com</t>
        </is>
      </c>
      <c r="D114" t="inlineStr">
        <is>
          <t>indeed</t>
        </is>
      </c>
      <c r="E114">
        <f>HYPERLINK("https://www.indeed.com/viewjob?jk=191feec061e228d4", "https://www.indeed.com/viewjob?jk=191feec061e228d4")</f>
        <v/>
      </c>
      <c r="F114">
        <f>HYPERLINK("https://www.amazon.jobs/jobs/3167596/program-manager-ii-relo-ops-integration?cmpid=DA_INAD200785B", "https://www.amazon.jobs/jobs/3167596/program-manager-ii-relo-ops-integration?cmpid=DA_INAD200785B")</f>
        <v/>
      </c>
      <c r="G114" t="inlineStr">
        <is>
          <t>Bellevue, WA, US</t>
        </is>
      </c>
      <c r="H114" s="3" t="n">
        <v>46035</v>
      </c>
      <c r="I11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15">
      <c r="A115" t="inlineStr">
        <is>
          <t>in-8d01d0f1cd48f96b</t>
        </is>
      </c>
      <c r="B115" t="inlineStr">
        <is>
          <t>Program Manager II, Relo Ops Integration</t>
        </is>
      </c>
      <c r="C115" t="inlineStr">
        <is>
          <t>Amazon.com</t>
        </is>
      </c>
      <c r="D115" t="inlineStr">
        <is>
          <t>indeed</t>
        </is>
      </c>
      <c r="E115">
        <f>HYPERLINK("https://www.indeed.com/viewjob?jk=8d01d0f1cd48f96b", "https://www.indeed.com/viewjob?jk=8d01d0f1cd48f96b")</f>
        <v/>
      </c>
      <c r="F115">
        <f>HYPERLINK("https://www.amazon.jobs/jobs/3167596/program-manager-ii-relo-ops-integration?cmpid=DA_INAD200785B", "https://www.amazon.jobs/jobs/3167596/program-manager-ii-relo-ops-integration?cmpid=DA_INAD200785B")</f>
        <v/>
      </c>
      <c r="G115" t="inlineStr">
        <is>
          <t>Dallas, TX, US</t>
        </is>
      </c>
      <c r="H115" s="3" t="n">
        <v>46035</v>
      </c>
      <c r="I11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16">
      <c r="A116" t="inlineStr">
        <is>
          <t>in-82e72476e424a542</t>
        </is>
      </c>
      <c r="B116" t="inlineStr">
        <is>
          <t>Program Manager II, Relo Ops Integration</t>
        </is>
      </c>
      <c r="C116" t="inlineStr">
        <is>
          <t>Amazon.com</t>
        </is>
      </c>
      <c r="D116" t="inlineStr">
        <is>
          <t>indeed</t>
        </is>
      </c>
      <c r="E116">
        <f>HYPERLINK("https://www.indeed.com/viewjob?jk=82e72476e424a542", "https://www.indeed.com/viewjob?jk=82e72476e424a542")</f>
        <v/>
      </c>
      <c r="F116">
        <f>HYPERLINK("https://www.amazon.jobs/jobs/3167596/program-manager-ii-relo-ops-integration?cmpid=DA_INAD200785B", "https://www.amazon.jobs/jobs/3167596/program-manager-ii-relo-ops-integration?cmpid=DA_INAD200785B")</f>
        <v/>
      </c>
      <c r="G116" t="inlineStr">
        <is>
          <t>Louisville, KY, US</t>
        </is>
      </c>
      <c r="H116" s="3" t="n">
        <v>46035</v>
      </c>
      <c r="I11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17">
      <c r="A117" t="inlineStr">
        <is>
          <t>in-05bc98155c02a12c</t>
        </is>
      </c>
      <c r="B117" t="inlineStr">
        <is>
          <t>Program Manager II, Relo Ops Integration</t>
        </is>
      </c>
      <c r="C117" t="inlineStr">
        <is>
          <t>Amazon.com</t>
        </is>
      </c>
      <c r="D117" t="inlineStr">
        <is>
          <t>indeed</t>
        </is>
      </c>
      <c r="E117">
        <f>HYPERLINK("https://www.indeed.com/viewjob?jk=05bc98155c02a12c", "https://www.indeed.com/viewjob?jk=05bc98155c02a12c")</f>
        <v/>
      </c>
      <c r="F117">
        <f>HYPERLINK("https://www.amazon.jobs/jobs/3167596/program-manager-ii-relo-ops-integration?cmpid=DA_INAD200785B", "https://www.amazon.jobs/jobs/3167596/program-manager-ii-relo-ops-integration?cmpid=DA_INAD200785B")</f>
        <v/>
      </c>
      <c r="G117" t="inlineStr">
        <is>
          <t>Nashville, TN, US</t>
        </is>
      </c>
      <c r="H117" s="3" t="n">
        <v>46035</v>
      </c>
      <c r="I11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18">
      <c r="A118" t="inlineStr">
        <is>
          <t>in-cf4242024f888a3d</t>
        </is>
      </c>
      <c r="B118" t="inlineStr">
        <is>
          <t>Program Manager II, Relo Ops Integration</t>
        </is>
      </c>
      <c r="C118" t="inlineStr">
        <is>
          <t>Amazon.com</t>
        </is>
      </c>
      <c r="D118" t="inlineStr">
        <is>
          <t>indeed</t>
        </is>
      </c>
      <c r="E118">
        <f>HYPERLINK("https://www.indeed.com/viewjob?jk=cf4242024f888a3d", "https://www.indeed.com/viewjob?jk=cf4242024f888a3d")</f>
        <v/>
      </c>
      <c r="F118">
        <f>HYPERLINK("https://www.amazon.jobs/jobs/3167596/program-manager-ii-relo-ops-integration?cmpid=DA_INAD200785B", "https://www.amazon.jobs/jobs/3167596/program-manager-ii-relo-ops-integration?cmpid=DA_INAD200785B")</f>
        <v/>
      </c>
      <c r="G118" t="inlineStr">
        <is>
          <t>Phoenix, AZ, US</t>
        </is>
      </c>
      <c r="H118" s="3" t="n">
        <v>46035</v>
      </c>
      <c r="I11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deliver on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KY, LOUISVILLE \- 74,200\.00 \- 129,800\.00 USD annually  
USA, KY, Louisville \- 66,800\.00 \- 116,800\.00 USD annually  
USA, KY, Louisville \- 74,200\.00 \- 129,800\.00 USD annually  
USA, TN, NASHVILLE \- 66,800\.00 \- 116,800\.00 USD annually  
USA, TN, Nashville \- 66,800\.00 \- 116,800\.00 USD annually  
USA, TN, Nashville \- 74,200\.00 \- 129,800\.00 USD annually  
USA, TX, DALLAS \- 74,200\.00 \- 129,800\.00 USD annually  
USA, TX, Dallas \- 74,200\.00 \- 129,800\.00 USD annually  
USA, WA, BELLEVUE \- 82,700\.00 \- 129,800\.00 USD annually  
USA, WA, Bellevue \- 82,700\.00 \- 129,800\.00 USD annually</t>
        </is>
      </c>
    </row>
    <row r="119">
      <c r="A119" t="inlineStr">
        <is>
          <t>in-dcbdeb404270d48c</t>
        </is>
      </c>
      <c r="B119" t="inlineStr">
        <is>
          <t>Program Manager, ReLo Ops Excellence, Relo Ops Integration</t>
        </is>
      </c>
      <c r="C119" t="inlineStr">
        <is>
          <t>Amazon.com</t>
        </is>
      </c>
      <c r="D119" t="inlineStr">
        <is>
          <t>indeed</t>
        </is>
      </c>
      <c r="E119">
        <f>HYPERLINK("https://www.indeed.com/viewjob?jk=dcbdeb404270d48c", "https://www.indeed.com/viewjob?jk=dcbdeb404270d48c")</f>
        <v/>
      </c>
      <c r="F119">
        <f>HYPERLINK("https://www.amazon.jobs/jobs/3167103/program-manager-relo-ops-excellence-relo-ops-integration?cmpid=DA_INAD200785B", "https://www.amazon.jobs/jobs/3167103/program-manager-relo-ops-excellence-relo-ops-integration?cmpid=DA_INAD200785B")</f>
        <v/>
      </c>
      <c r="G119" t="inlineStr">
        <is>
          <t>Nashville, TN, US</t>
        </is>
      </c>
      <c r="H119" s="3" t="n">
        <v>46020</v>
      </c>
      <c r="I11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20">
      <c r="A120" t="inlineStr">
        <is>
          <t>in-755c3afae9b6ab80</t>
        </is>
      </c>
      <c r="B120" t="inlineStr">
        <is>
          <t>Program Manager, ReLo Ops Excellence, Relo Ops Integration</t>
        </is>
      </c>
      <c r="C120" t="inlineStr">
        <is>
          <t>Amazon.com</t>
        </is>
      </c>
      <c r="D120" t="inlineStr">
        <is>
          <t>indeed</t>
        </is>
      </c>
      <c r="E120">
        <f>HYPERLINK("https://www.indeed.com/viewjob?jk=755c3afae9b6ab80", "https://www.indeed.com/viewjob?jk=755c3afae9b6ab80")</f>
        <v/>
      </c>
      <c r="F120">
        <f>HYPERLINK("https://www.amazon.jobs/jobs/3167103/program-manager-relo-ops-excellence-relo-ops-integration?cmpid=DA_INAD200785B", "https://www.amazon.jobs/jobs/3167103/program-manager-relo-ops-excellence-relo-ops-integration?cmpid=DA_INAD200785B")</f>
        <v/>
      </c>
      <c r="G120" t="inlineStr">
        <is>
          <t>Bellevue, WA, US</t>
        </is>
      </c>
      <c r="H120" s="3" t="n">
        <v>46020</v>
      </c>
      <c r="I12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21">
      <c r="A121" t="inlineStr">
        <is>
          <t>in-a25a5605dca787ef</t>
        </is>
      </c>
      <c r="B121" t="inlineStr">
        <is>
          <t>Program Manager, ReLo Ops Excellence, Relo Ops Integration</t>
        </is>
      </c>
      <c r="C121" t="inlineStr">
        <is>
          <t>Amazon.com</t>
        </is>
      </c>
      <c r="D121" t="inlineStr">
        <is>
          <t>indeed</t>
        </is>
      </c>
      <c r="E121">
        <f>HYPERLINK("https://www.indeed.com/viewjob?jk=a25a5605dca787ef", "https://www.indeed.com/viewjob?jk=a25a5605dca787ef")</f>
        <v/>
      </c>
      <c r="F121">
        <f>HYPERLINK("https://www.amazon.jobs/jobs/3167103/program-manager-relo-ops-excellence-relo-ops-integration?cmpid=DA_INAD200785B", "https://www.amazon.jobs/jobs/3167103/program-manager-relo-ops-excellence-relo-ops-integration?cmpid=DA_INAD200785B")</f>
        <v/>
      </c>
      <c r="G121" t="inlineStr">
        <is>
          <t>Dallas, TX, US</t>
        </is>
      </c>
      <c r="H121" s="3" t="n">
        <v>46020</v>
      </c>
      <c r="I12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22">
      <c r="A122" t="inlineStr">
        <is>
          <t>in-7db117f33e3ee337</t>
        </is>
      </c>
      <c r="B122" t="inlineStr">
        <is>
          <t>Program Manager, ReLo Ops Excellence, Relo Ops Integration</t>
        </is>
      </c>
      <c r="C122" t="inlineStr">
        <is>
          <t>Amazon.com</t>
        </is>
      </c>
      <c r="D122" t="inlineStr">
        <is>
          <t>indeed</t>
        </is>
      </c>
      <c r="E122">
        <f>HYPERLINK("https://www.indeed.com/viewjob?jk=7db117f33e3ee337", "https://www.indeed.com/viewjob?jk=7db117f33e3ee337")</f>
        <v/>
      </c>
      <c r="F122">
        <f>HYPERLINK("https://www.amazon.jobs/jobs/3167103/program-manager-relo-ops-excellence-relo-ops-integration?cmpid=DA_INAD200785B", "https://www.amazon.jobs/jobs/3167103/program-manager-relo-ops-excellence-relo-ops-integration?cmpid=DA_INAD200785B")</f>
        <v/>
      </c>
      <c r="G122" t="inlineStr">
        <is>
          <t>Phoenix, AZ, US</t>
        </is>
      </c>
      <c r="H122" s="3" t="n">
        <v>46020</v>
      </c>
      <c r="I12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123">
      <c r="A123" t="inlineStr">
        <is>
          <t>in-e827fea0f8a3ff94</t>
        </is>
      </c>
      <c r="B123" t="inlineStr">
        <is>
          <t>Principal Product Manager Technical, Creative X - RAPID</t>
        </is>
      </c>
      <c r="C123" t="inlineStr">
        <is>
          <t>Amazon.com</t>
        </is>
      </c>
      <c r="D123" t="inlineStr">
        <is>
          <t>indeed</t>
        </is>
      </c>
      <c r="E123">
        <f>HYPERLINK("https://www.indeed.com/viewjob?jk=e827fea0f8a3ff94", "https://www.indeed.com/viewjob?jk=e827fea0f8a3ff94")</f>
        <v/>
      </c>
      <c r="F123">
        <f>HYPERLINK("https://www.amazon.jobs/jobs/3112224/principal-product-manager-technical-creative-x--rapid?cmpid=DA_INAD200785B", "https://www.amazon.jobs/jobs/3112224/principal-product-manager-technical-creative-x--rapid?cmpid=DA_INAD200785B")</f>
        <v/>
      </c>
      <c r="G123" t="inlineStr">
        <is>
          <t>New York, NY, US</t>
        </is>
      </c>
      <c r="H123" s="3" t="n">
        <v>45939</v>
      </c>
      <c r="I12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124">
      <c r="A124" t="inlineStr">
        <is>
          <t>in-680060dc5e38c9ca</t>
        </is>
      </c>
      <c r="B124" t="inlineStr">
        <is>
          <t>Principal Product Manager Technical, Creative X - RAPID</t>
        </is>
      </c>
      <c r="C124" t="inlineStr">
        <is>
          <t>Amazon.com</t>
        </is>
      </c>
      <c r="D124" t="inlineStr">
        <is>
          <t>indeed</t>
        </is>
      </c>
      <c r="E124">
        <f>HYPERLINK("https://www.indeed.com/viewjob?jk=680060dc5e38c9ca", "https://www.indeed.com/viewjob?jk=680060dc5e38c9ca")</f>
        <v/>
      </c>
      <c r="F124">
        <f>HYPERLINK("https://www.amazon.jobs/jobs/3112224/principal-product-manager-technical-creative-x--rapid?cmpid=DA_INAD200785B", "https://www.amazon.jobs/jobs/3112224/principal-product-manager-technical-creative-x--rapid?cmpid=DA_INAD200785B")</f>
        <v/>
      </c>
      <c r="G124" t="inlineStr">
        <is>
          <t>Seattle, WA, US</t>
        </is>
      </c>
      <c r="H124" s="3" t="n">
        <v>45939</v>
      </c>
      <c r="I12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li-4311643458</t>
        </is>
      </c>
      <c r="B2" t="inlineStr">
        <is>
          <t>Associate Product Manager</t>
        </is>
      </c>
      <c r="C2" t="inlineStr">
        <is>
          <t>MillerKnoll</t>
        </is>
      </c>
      <c r="D2" t="inlineStr">
        <is>
          <t>linkedin</t>
        </is>
      </c>
      <c r="E2" t="inlineStr"/>
      <c r="F2" t="inlineStr"/>
      <c r="G2" t="inlineStr">
        <is>
          <t>Holland, MI</t>
        </is>
      </c>
      <c r="H2" t="inlineStr"/>
      <c r="I2" t="inlineStr">
        <is>
          <t>**Why join us?**
 Our purpose is to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GENERAL PURPOSE
 Assists with a specified product line(s) by developing, implementing, and managing product management activities to provide optimum sales and profits. Compiles and evaluates research on assigned product line(s) to establish management strategies. Assists with product direction, pricing, profit plans and product development, to manage the product line(s) life cycle.
**Essential Functions**
* Define market opportunities, determined by an analytical assessment. Translate the market need into a product\- specific criteria and supports the product development and commercialization process with various product management tactics.
* Provide market driven input to individual product plans and strategy.
* Regularly monitor and analyze data pertaining to product or category metrics, programs, and competitive markets to provide insights, observations, and recommendations to obtain goals.
* 
* Develop necessary analysis globally and implements pricing, including regional pricing and currency calculations; completes required workflows.
* Assist and provide backup to Product Managers with the preparation of product training presentations and other various internal presentation opportunities.
* Field general questions including competitive inquiries and make decisions or recommendations to resolve.
* Participate in and support new product launch deliverables and contribute to CP, BP, MLP, etc NPC milestones.
* Provide direction and recommendations in support of data management system functionality and usage.
* Create necessary product sales support and training information including product feature summaries, competitive evaluations and pricing comparisons.
* Involved in resolving quality issues and driving changes that affect P\&amp;L.
* Participate in user / customer observation and take an active role in leading some efforts.
* Performs additional responsibilities as requested to achieve business objectives.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
* Bachelor's Degree required. Bachelor's degree in Business, Merchandising or Interior Design preferred.
* Strong fundamental understanding of product management best practices and processes, typically gained through 3\-5 years of experience in product management/product marketing or related experience.
* Contract furniture of capital goods marketing experience preferred.
**Skills And Abilities**
* Strong sense of the customer and sales process with demonstrated customer and field interaction.
* Sound understanding of operations, production, supply management, full value stream.
* Understanding of Herman Miller’s channels, including dealer and/or retail, and understanding their main functions (sales, design, and operations)
* Experience working in cross\-functional team environments.
* Outstanding interpersonal and communication skills.
* Ability to investigate and analyze information to make recommendations.
* Must be flexible and adaptable to changes in business, corporate, or project strategy.
* Demonstrated leadership potential and market research experience preferred.
* Strong analytical and project management skills. Ability to develop project plans and manage activities for a medium or large cross functional project.
* Solid understanding of business and financial acumen to foresee marketing levels that affect Herman Miller’s financial performance. Understands how Product Management impacts the financial positioning of the product line.
* Demonstrated ability to effectively use office automation and communication software and tools currently being used in the Herman Miller office environment.
* Willingness to travel to customer sites.
* Must be able to perform all essential functions of the position with or without accommodations.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Must be able to perform all essential functions of the position with or without accommodations.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This organization participates in E\-Verify Employment Eligibility Verification. In general, MillerKnoll positions are closed within 45 days and are open for applications for a minimum of 5 days. We encourage our prospective candidates to submit their application(s) expediently so as not to miss out on our opportunities. We frequently post new opportunities and encourage prospective candidates to check back often for new postings.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is>
      </c>
    </row>
    <row r="3">
      <c r="A3" t="inlineStr">
        <is>
          <t>li-4332943260</t>
        </is>
      </c>
      <c r="B3" t="inlineStr">
        <is>
          <t>Senior Product Manager - Catalog</t>
        </is>
      </c>
      <c r="C3" t="inlineStr">
        <is>
          <t>StubHub</t>
        </is>
      </c>
      <c r="D3" t="inlineStr">
        <is>
          <t>linkedin</t>
        </is>
      </c>
      <c r="E3" t="inlineStr"/>
      <c r="F3" t="inlineStr"/>
      <c r="G3" t="inlineStr">
        <is>
          <t>Los Angeles, CA</t>
        </is>
      </c>
      <c r="H3" t="inlineStr"/>
      <c r="I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looking for a
 **Senior Product Manager** 
 with a passion for solving complicated data problems for the Catalog team. Catalog forms the backbone of the StubHub consumer experience allowing other downstream teams to leverage and build upon structured data sets. As a Senior Product Manager, you will own the ingestion, enrichment, and serving of the primary data structure that drives our global business. Tangible product work you will solve will be data integration options to enhance our global catalog and solving for how to best model data based on various frontend \&amp; data layer use cases. Think of the type of structured data that powers the most feature rich recommendation engines and imagine how you can deliver a roadmap for StubHub to achieve that goal.
**Location:** 
 Hybrid (3 days in office / 2 days remote) – New York, NY or Century City, CA
**About the Team:** 
 Catalog forms the foundation of the StubHub consumer experience and is at the heart of our mission: to connect people with unforgettable experiences. The team is responsible for sourcing and categorizing data as part of the ingestion process, efficiently and meaningfully storing ever\-growing stream of data and finally exposing the data to the end\-user through comprehensive set of scalable and intuitive interfaces. At a foundational level, Catalog team aspires to act as an innovation engine for downstream teams – powering the enrichment of experiences on the frontend within Consumer Experience, enabling innovative strategies for Customer Service and facilitating more relevant ads for Performance Marketing. Finally, as the source for all visual assets (images, maps, view from seat, etc.), Catalog has a pivotal role in changing the look and feel of StubHub’s website, serving millions of users a month with engaging visual assets.
**What You’ll Do**
* As the source of product\-related data, you will be responsible for ensuring a high bar for data quality and building scalable solutions to provide high quality data and unlock value.
* Help form a view of what a "superb" catalog through working with product and operations teams across the company.
* Drive vision and strategy for the event catalog that powers high\-impact consumer experiences like search and discovery, analytics, and recommendations.
**What You’ve Done**
* 5\+ years working in product management delivering high quality data products.
* History of data driven decision making.
* Bachelors' degree in STEM, finance, economics, or another relevant field.
* Knowledge of SQL and/or data modeling.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$175,000—$270,000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
      <c r="A4" t="inlineStr">
        <is>
          <t>li-4302597455</t>
        </is>
      </c>
      <c r="B4" t="inlineStr">
        <is>
          <t>AI Product Manager</t>
        </is>
      </c>
      <c r="C4" t="inlineStr">
        <is>
          <t>Scale AI</t>
        </is>
      </c>
      <c r="D4" t="inlineStr">
        <is>
          <t>linkedin</t>
        </is>
      </c>
      <c r="E4" t="inlineStr"/>
      <c r="F4" t="inlineStr"/>
      <c r="G4" t="inlineStr"/>
      <c r="H4" t="inlineStr"/>
      <c r="I4" t="inlineStr">
        <is>
          <t>Scale has been the leading AI data foundry, helping fuel the most exciting advancements in AI, including frontier model training, enterprise adoption, defense applications, and autonomous vehicles. Our mission is to develop reliable AI systems for the world’s most important decisions
 We’re looking for an
 **AI Product Manager** 
 to own one of the
 **Agent \&amp; Reinforcement Learning Environments** 
 data verticals, with a focus on
 **Computer Using Agent (CUA) data** 
 . In this role, you’ll oversee the product roadmap for your data vertical, owning “data as a product”, pipelines for data generation and quality, and researcher\-facing tools that help labs train and evaluate intelligent agents in complex environments. You’ll work directly with Scale’s most important customers and their leading researchers, representing Scale as the technical expert for your products and influencing both internal and external roadmaps.
 The ideal candidate brings together a strong entrepreneurial \&amp; go\-to\-market mindset, technical depth, and a sense for AI research, enabling them to get in front of technical stakeholders to drive mission\-critical outcomes.
**You will:**
* Own the roadmap for the Agent \&amp; RL Environment Data vertical, setting product direction and driving execution across engineering, operations, and go\-to\-market teams.
* Build technical partnerships with research teams at leading AI labs, identifying insights that shape new product lines and competitive strategies for your vertical.
* Design, experiment with, and deliver high\-quality data pipelines, tooling, and evaluation frameworks that advance RL and agentic model capabilities.
* Scope out and scale the creation of RL environments that simulate real\-world use cases.
* Collaborate cross\-functionally, influencing business priorities and diving in the weeds of research, operations, and customer interactions.
 Ideally, You’d Have
* Entrepreneurial mindset: A builder excited by ambiguity and motivated to create new products from the ground up.
* 6\+ years of experience in product management or a customer\-facing role.
* Technical fluency: Software engineering background (a degree in computer science or equivalent experience).
* Understanding of reinforcement learnings, simulation environments, or data pipelines for model training and evaluation
* Strong customer intuition and the ability to translate technical requirements into impactful product decisions.
* Bias for action and comfort wearing multiple hats and operating in fast\-moving environments.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$206,800—$258,500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5">
      <c r="A5" t="inlineStr">
        <is>
          <t>li-4373280062</t>
        </is>
      </c>
      <c r="B5" t="inlineStr">
        <is>
          <t>Product Manager</t>
        </is>
      </c>
      <c r="C5" t="inlineStr">
        <is>
          <t>BALIN TECHNOLOGIES LLC</t>
        </is>
      </c>
      <c r="D5" t="inlineStr">
        <is>
          <t>linkedin</t>
        </is>
      </c>
      <c r="E5" t="inlineStr"/>
      <c r="F5" t="inlineStr"/>
      <c r="G5" t="inlineStr">
        <is>
          <t>New York, NY</t>
        </is>
      </c>
      <c r="H5" t="inlineStr"/>
      <c r="I5" t="inlineStr">
        <is>
          <t>As a Product Manager in Merchant Services for eCommerce Payments Products and Solutions, you will play a pivotal role in driving innovation and leading the complete product lifecyclefrom strategy and discovery to launch and continuous optimization. Acting as the voice of the customer, you will design and deliver profitable products that provide exceptional value and superior client experiences.
 Your responsibilities include defining product vision and strategy, conducting market research to uncover customer needs, and translating insights into actionable roadmaps.
 You will own and manage the product backlog, ensuring alignment with strategic objectives while tracking key success metrics such as cost, functionality, risk posture, and reliability.
 This role demands strong expertise in product management and payments, including payment networks, merchant services, digital wallets, PSPs (Payment Service Providers), and fintech solutions.
 Ideal candidates bring 8\+ years of product management experience and at least 6 years in the payments domain, with advanced knowledge of product development, design, and data analytics.
 You should have a proven ability to lead discovery, ideation, and strategic development, navigate governance processes, and manage diverse stakeholder groups in a highly matrixed environment.
 Familiarity with merchant acquiring, payment processing, software development lifecycles, and emerging payment technologies is essential, while experience in strategy consulting and an MBA are preferred.
 Your work will ensure platforms are scalable, resilient, and secure, delivering measurable business outcomes and exceeding customer expectations.
**Develop Product Strategy And Vision**
 Create a product strategy and vision that delivers value to customers.
**Product Backlog Management**
 Own, maintain, and develop a product backlog that supports the overall strategic roadmap and value proposition.
**Track Success Metrics**
 Build the framework and track key success metrics such as cost, feature and functionality, risk posture, and reliability.
**Enhancement Prioritization**
 Collaborate with the Product team to prioritize enhancements for web optimization Opportunity Identification:
 Identify areas of opportunity including process improvements, training opportunities, team building, and success sharing.</t>
        </is>
      </c>
    </row>
    <row r="6">
      <c r="A6" t="inlineStr">
        <is>
          <t>li-4372326167</t>
        </is>
      </c>
      <c r="B6" t="inlineStr">
        <is>
          <t>Senior Product Manager</t>
        </is>
      </c>
      <c r="C6" t="inlineStr">
        <is>
          <t>RBC Wealth Management</t>
        </is>
      </c>
      <c r="D6" t="inlineStr">
        <is>
          <t>linkedin</t>
        </is>
      </c>
      <c r="E6" t="inlineStr"/>
      <c r="F6" t="inlineStr"/>
      <c r="G6" t="inlineStr">
        <is>
          <t>Charlotte, NC</t>
        </is>
      </c>
      <c r="H6" t="inlineStr"/>
      <c r="I6" t="inlineStr">
        <is>
          <t>**Company Description** 
 RBC Wealth Management is part of the Royal Bank of Canada (RBC), Canada’s largest bank and a leading global financial institution. For over a century, we have provided trusted advice and wealth management solutions to individuals, families, and institutions across the globe. We offer a wide range of services, including private banking, asset management, estate and trust services, and investment strategies. With a focus on delivering tailored solutions, we leverage our global reach, expertise, and an integrated team of specialists. Our mission is to help clients grow and manage their wealth while aligning with their unique values and aspirations.
**Role Description** 
 We are looking for a Senior Product Manager to join our team full time at our Charlotte, NC office. This is an on\-site role where you will play a key part in defining and managing the product roadmap, prioritizing product capabilities, and collaborating with cross\-functional teams to deliver innovative financial solutions. Daily responsibilities include conducting market research, gathering customer feedback, leading product lifecycle initiatives, tracking performance metrics, and working closely with stakeholders to align offerings with business goals and market needs. You will drive the successful launch and optimization of high\-impact products for our clients in the wealth management sector.
**Qualifications** 
* Proven experience in product management, lifecycle management, and strategic product development
* Strong expertise in market research, customer needs analysis, and data\-driven decision\-making
* Effective communication, stakeholder management, and cross\-functional collaboration skills
* Proficiency in agile methodologies, project management tools, and product road mapping
* Deep understanding of financial services, wealth management solutions, or related industries
* Ability to manage competing priorities while delivering quality results in fast\-paced environments
* Bachelor's degree in Business, Marketing, Finance, or related field (MBA or advanced degree preferred)
* Experience leading multidisciplinary teams and launching successful products</t>
        </is>
      </c>
    </row>
    <row r="7">
      <c r="A7" t="inlineStr">
        <is>
          <t>li-4352092196</t>
        </is>
      </c>
      <c r="B7" t="inlineStr">
        <is>
          <t>Product Manager</t>
        </is>
      </c>
      <c r="C7" t="inlineStr">
        <is>
          <t>UL Solutions</t>
        </is>
      </c>
      <c r="D7" t="inlineStr">
        <is>
          <t>linkedin</t>
        </is>
      </c>
      <c r="E7" t="inlineStr"/>
      <c r="F7" t="inlineStr"/>
      <c r="G7" t="inlineStr"/>
      <c r="H7" t="inlineStr"/>
      <c r="I7"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**Qualifications**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t>
        </is>
      </c>
    </row>
    <row r="8">
      <c r="A8" t="inlineStr">
        <is>
          <t>li-4343414659</t>
        </is>
      </c>
      <c r="B8" t="inlineStr">
        <is>
          <t>Principal Product Manager - Monetization Platform</t>
        </is>
      </c>
      <c r="C8" t="inlineStr">
        <is>
          <t>Intuit</t>
        </is>
      </c>
      <c r="D8" t="inlineStr">
        <is>
          <t>linkedin</t>
        </is>
      </c>
      <c r="E8" t="inlineStr"/>
      <c r="F8" t="inlineStr"/>
      <c r="G8" t="inlineStr">
        <is>
          <t>Mountain View, CA</t>
        </is>
      </c>
      <c r="H8" t="inlineStr"/>
      <c r="I8" t="inlineStr">
        <is>
          <t>**Overview**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Intuit has a vision to be the leading provider of integrated business tools and expert services for the mid\-market segment, with solutions that can be customized for unique business needs at every stage of the business lifecycle. We deliver a completely connected solution that consists of QuickBooks Online Accounting products, QuickBooks Workforce Solutions including Online Payroll and Time, QuickBooks Online Payments and Bill Pay, Mailchimp, and deep integrations with 3P apps \- at a disruptive price and packaged and serviced as a flexible unified solution.
 As we expand our product offerings to win with mid\-market customers, we are building out a
 complementary Lead\-to\-Cash process that streamlines our sales motions and scales operations to disrupt the segment and turbocharge adoption. You will be at the epicenter of driving this transformation \- defining a roadmap and building innovative Lead\-to\-Cash capabilities to power Intuit’s entire customer life\-cycle from new sales to execution to amendments and renewals with speed, scale, flexibility and control.
 We are seeking a Principal Product Manager with hands\-on expertise and a proven record of designing \&amp; shipping enterprise capabilities such as lead and opportunity management, configure price quote (CPQ), contract lifecycle management (CLM), contract\-based order and billing, and credit and collections. You will be responsible for leading the Lead\-to\-cash platform build out in support of our mid\-market go\-to\-market motion \- conducting industry and user research, roadmapping, and shipping awesome experiences and services that unlock exponential growth. Hand\-on experience in optimizing deal win rate, partner channels conversion, and revenue across renewal and amendments is a plus.
**Responsibilities**
* Define vision, strategy and roadmap to build a world class Lead\-to\-Cash platform that turbocharges Intuit’s mid\-market go\-to\-market motion
* Benchmark and apply best practices from across the industry and vendors to inform our roadmap, target state capabilities and build vs. buy decisions
* Conduct follow\-me\-homes across customers, sales teams and operations teams to understand their needs and bottlenecks and inspire innovative solutions
* Rally leadership, sales, marketing, product, finance, legal, care, engineers, designers and data analysts to identify and solve customer problems and win together
* Drive short and long decisions and solutions to enable scale and test out hypothesis/leap of faith assumptions
* Document, comprehensive use cases, in\-depth requirements and thought provoking wireframes based on customer insights, user feedbacks, key metrics and data insights
* Leverage and incorporate Gen AI solutions into the business workflows to drive productivity
**Qualifications**
* 10\+ years of product management experience, with a focus in delivering Monetization and/or Sales solutions for mid\-market / enterprise customers
* Domain expertise in building mid\-market monetization capabilities that serve SaaS and/or Fintech industries with sophisticated product and pricing models
* Deep customer empathy and curiosity on what’s right for our customers and operational teams
* Passion for identifying the most important problems and solving them to provide immediate value
* Ability to prioritize across multiple workstreams and work in parallel across projects at different stages
* Track record of influencing other teams and stakeholders
* Strong analytical chops paired with a data\-informed mindset
* Good understanding of AI landscape and technologies impacting SaaS industry
* Undergraduate degree required. Preference for focus in computer science, electrical engineering, or a related technical discipline. Equivalent work experience will be considered. MBA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$236,000\-319,000</t>
        </is>
      </c>
    </row>
    <row r="9">
      <c r="A9" t="inlineStr">
        <is>
          <t>li-4372316971</t>
        </is>
      </c>
      <c r="B9" t="inlineStr">
        <is>
          <t>AI Product Manager - Remote</t>
        </is>
      </c>
      <c r="C9" t="inlineStr">
        <is>
          <t>RemoteHunter</t>
        </is>
      </c>
      <c r="D9" t="inlineStr">
        <is>
          <t>linkedin</t>
        </is>
      </c>
      <c r="E9" t="inlineStr"/>
      <c r="F9" t="inlineStr"/>
      <c r="G9" t="inlineStr"/>
      <c r="H9" t="inlineStr"/>
      <c r="I9"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
      <c r="A10" t="inlineStr">
        <is>
          <t>li-4292077039</t>
        </is>
      </c>
      <c r="B10" t="inlineStr">
        <is>
          <t>Product Manager | Generalist (All Levels)</t>
        </is>
      </c>
      <c r="C10" t="inlineStr">
        <is>
          <t>Ramp</t>
        </is>
      </c>
      <c r="D10" t="inlineStr">
        <is>
          <t>linkedin</t>
        </is>
      </c>
      <c r="E10" t="inlineStr"/>
      <c r="F10" t="inlineStr"/>
      <c r="G10" t="inlineStr">
        <is>
          <t>San Francisco, CA</t>
        </is>
      </c>
      <c r="H10" t="inlineStr"/>
      <c r="I1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**We’re hiring PMs across multiple product areas and are always on the lookout for strong builders. If you’re interested in product opportunities at Ramp, please feel free to apply through this general posting.**
**About The Role**
 As a Product Manager at Ramp, you will shape the vision, strategy, and roadmap for our AI\-native products. You will be responsible for leading a core team of engineers and designers to build amazing products that serve thousands of businesses, owning a set of key customer and \&amp; business problems. You will drive the end\-to\-end product vision, strategy, and execution for your domain in order to meet ambitious company goals.
 We’re looking for someone who is energized by ambiguity, deeply curious about the frontier of AI, and passionate about building products that elegantly balance technical depth with intuitive user experiences. You’ll need to be both hands\-on with prototyping and comfortable translating complex systems into clear, human\-centered solutions.
***Please note that this Product Management role will require you to be comfortable with working in\-person at one of our NYC or SF offices at least 2 days/week***
**What You’ll Do**
* Own the vision, strategy, and roadmap for a Ramp product
* Drive high\-velocity execution with a world\-class team of engineers and designers, balancing principled intuition with data\-driven decision making.
* Marry customer insights with technical possibilities, crafting intuitive user experiences that abstract away complexity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 Contribute to the evolution of Ramp’s product management practices as we scale AI across our platform.
**What You Need**
* BA/BS in a technical or analytical field (e.g. Computer Science, Engineering, Information Systems, Analytics, Mathematics, Physics, Applied Sciences, or related)
* Minimum 4 years of product management or adjacent product\-building experience.
* Strong customer empathy and design thinking
* Passion for AI, shown through hands\-on building, prototyping, or side projects, and staying current on research and tools.
* Fluency with core LLM concepts and systems, such as prompting, fine\-tuning, embeddings, retrieval, and evaluation, and the judgment to translate these into reliable, user\-facing products.
* Fluency with modern prototyping tools (e.g. Cursor, Bolt, Claude Code) and comfort with design/collaboration environments like Figma and Git.
* Fluency in data and experimentation, and understanding when the answer cannot be found in the data
* Proven ability to lead small, cross\-functional teams toward ambitious goals with urgency and agency.
* Ability to translate between technical and non\-technical audiences, synthesizing complex systems into compelling narratives.
* Excellent communication and storytelling skills
**Nice\-to\-Haves**
* Experience building AI products
* Experience in high\-growth startups
* Experience building in financial, enterprise, or other domains requiring complex systems thinking.
**About Our Teams**
* Spend Management owns our core spend product, including card issuance, reimbursements, and travel \&amp; entertainment to control spend
* Procurement owns Ramp's procurement platform, helping companies streamline vendor management and spend controls.
* Treasury owns cash management products that help finance teams optimize liquidity and maximize returns on corporate cash.
* Bill Payments owns our invoice management, accounts payable, and B2B payment capabilities
* Risk owns our underwriting and financial products that determine which businesses to approve and how to manage risk
* Growth owns onboarding, activation and retention products to help our customers be successful on the Ramp platform
* Accounting owns creating intelligence in our accounting platform, saving finance teams time and money
* Travel owns new capabilities for bookings and expense automation throughout a trip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Unlimited AI token usage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1">
      <c r="A11" t="inlineStr">
        <is>
          <t>li-4313252258</t>
        </is>
      </c>
      <c r="B11" t="inlineStr">
        <is>
          <t>Technical Product Manager</t>
        </is>
      </c>
      <c r="C11" t="inlineStr">
        <is>
          <t>Qventus, Inc</t>
        </is>
      </c>
      <c r="D11" t="inlineStr">
        <is>
          <t>linkedin</t>
        </is>
      </c>
      <c r="E11" t="inlineStr"/>
      <c r="F11" t="inlineStr"/>
      <c r="G11" t="inlineStr"/>
      <c r="H11" t="inlineStr"/>
      <c r="I11"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**About The Role**
 We are constantly innovating, using our powerful and flexible platform to create new products, workflows, and solutions. We are looking for a “Master Builder” — someone who combines business savvy, technical and analytical chops, and a rapid experimentation mindset to bring new innovations to life.
 In this role, you’ll serve as both technical product architect and product manager: leading end\-to\-end product development for highly technical areas of our solution. You’ll scope opportunities, validate them through hands\-on data analysis, and partner closely with engineering to design and build scalable solutions that leverage advanced data and AI capabilities.
**Key Responsibilities**
* Work with cross\-functional solution and platform teams composed of product managers, data scientists, designers, clinicians, customer success managers, and more to assess, design, and develop new solutions for our customers.
* Lead product management for technical product areas, from opportunity assessment through delivery, including writing requirements and PRDs.
* Drive data analysis (SQL/Snowflake, Sigma, etc.) to size opportunities, evaluate product experiments, and measure customer impact.
* Scope data requirements and integration options (FHIR, HL7, CCL, etc) for new solutions, and work with the team to ingest, validate, and experiment with new data
* Build new solutions via an iterative, rapid\-prototyping\-based approach to find the optimal solution to drive customer outcomes.
* Once you’ve figured out the solution and proven it works for multiple customers, you’ll package it up for scalable ongoing deployment to all our customers via our Delivery team.
**Business Requirements**
* Excellent written and verbal communication skills; strong, professional presence in working with customers/partners
* A systematic, analytical, and detail\-oriented approach to problem\-solving, grounded in business use cases and end\-user workflows
* A startup mindset, with a willingness to “roll up your sleeves” and pitch in / fill in gaps wherever the team needs help
* Proven track record of collaboration across functions spanning Product, Engineering, Customer Success, and Marketing / Sales
* Experience with project/program management tools and techniques, with the ability to maintain a lightweight project management structure despite rapid solution iteration
* 4\+ years of experience in Solutions Architecture, Data Integration, Technical Product Management, Platform Product Management, or related roles
**Technical Requirements**
* Experience working with healthcare data, and the ability to scope data requirements for new solutions (experience setting up data streams on a healthcare interface engine like Rhapsody/mirth, or integrating with a health system using FHIR endpoints is highly valued but not a requirement)
* Familiarity with, and the ability to quickly learn more about, key generative AI and machine learning concepts, especially related to agentic generative AI frameworks and prompt engineering
* High\-level understanding of backend software infrastructure
* Nice to have: experience as a software developer
* Strong proficiency in a database/data warehouse querying language, like SQL or Snowflake (experience in analytics software such as Sigma, Tableau, etc. is preferred but not required)
* Comfortable reading code and familiar with standard coding concepts across languages (loops, arrays, etc)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$135,000 USD \- $180,000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12">
      <c r="A12" t="inlineStr">
        <is>
          <t>li-4352282356</t>
        </is>
      </c>
      <c r="B12" t="inlineStr">
        <is>
          <t>Product Manager</t>
        </is>
      </c>
      <c r="C12" t="inlineStr">
        <is>
          <t>UL Solutions</t>
        </is>
      </c>
      <c r="D12" t="inlineStr">
        <is>
          <t>linkedin</t>
        </is>
      </c>
      <c r="E12" t="inlineStr"/>
      <c r="F12" t="inlineStr"/>
      <c r="G12" t="inlineStr">
        <is>
          <t>Northbrook, IL</t>
        </is>
      </c>
      <c r="H12" t="inlineStr"/>
      <c r="I12" t="inlineStr">
        <is>
          <t>**Job Description**
 We are seeking a Project Manager to play a critical role in our Service Delivery Transformation initiative, specifically within the Digitalization Workstream. This position will lead the documentation of business requirements for the implementation of a Product Lifecycle Management (PLM) system, ensuring that solutions align with operational needs and transformation objectives.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**Responsibilities**
* Collaborate with process owners and functional subject matter experts to elicit and document comprehensive business requirements for the implementation of the Product Lifecycle Management (PLM) system.
* Translate operational workflows into clear, actionable requirements for technical teams.
* Leverage in\-depth PLM knowledge to propose optimal solution configurations that address business needs, ensuring alignment between system capabilities and operational requirements.
* Maintain requirements traceability and manage scope changes.
* Ensure that requirements gathering and solution design reflect the needs and priorities of all impacted functions.
* Facilitate communication between business units and IT/technical teams.
* Support user acceptance testing and validate delivered functionality.
* Support training and change management for business users.
* Provide feedback on system usability and process improvements.
* Understand core PLM processes (BOM management, change control, configuration management).
* Ensure requirements reflect best practices and business priorities.
**Qualifications**
* Facilitation skills – ability to lead small to medium groups of internal and external stakeholders towards desired outcomes in order to meet business objectives
* Interview skills – ability to conduct discovery sessions with clients. prospects and stakeholders in order to diagnose business opportunities, elicit requirements and conduct other types of research
* Strong communication and presentation (PowerPoint) skills
* Product management tools – product design (e.g. Invision, Zeplin), development task management (e.g. Jira, Azure DevOps), documentation and knowledge (e.g. Confluence, SharePoint), collaboration (e.g. Microsoft Teams, Slack), roadmap and portfolio management (e.g. Aha!, Daptiv)
* Formal training and/or certification in Product Management is a plus
* University Degree (Equivalent to Bachelor's degree) in Computer Science, Business, or a related discipline
* 5 years or more of related discipline experience or demonstrated competency
* Working with remote teams is highly preferred
* Project management certification is a plus
**Total Rewards:** 
 We understand compensation is an important factor as you consider the next step in your career . The estimated salary range for this position is $113,100 to $150,700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**About Us**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
**About The Team**
 When you combine the gravitas of a 130\-year\-old safety science leader with a culture of innovation that pushes the boundaries in new services and technology, you get UL Solutions. As a global team of business and engineering experts, we develop software for a huge range of industries, including medical, sustainability, renewable energy and healthy buildings. Together, we’re dedicated to making a real\-world difference, to using our knowledge for good and to pioneering positive change. Join our team and use your expertise to transform global safety, security and sustainability.</t>
        </is>
      </c>
    </row>
    <row r="13">
      <c r="A13" t="inlineStr">
        <is>
          <t>li-4333213379</t>
        </is>
      </c>
      <c r="B13" t="inlineStr">
        <is>
          <t>Product Manager, Contributor (CB) Pay &amp; Incentives</t>
        </is>
      </c>
      <c r="C13" t="inlineStr">
        <is>
          <t>Scale AI</t>
        </is>
      </c>
      <c r="D13" t="inlineStr">
        <is>
          <t>linkedin</t>
        </is>
      </c>
      <c r="E13" t="inlineStr"/>
      <c r="F13" t="inlineStr"/>
      <c r="G13" t="inlineStr"/>
      <c r="H13" t="inlineStr"/>
      <c r="I13" t="inlineStr">
        <is>
          <t>**About the Role:**
* Scale operates a global marketplace for talent, working with Contributors in over 100 countries.
* Understand the cost efficiency and quality for different payment structures \- pay by hour, pay by task, etc. to ensure pay transparency, fairness and predictability
* This is a highly cross functional role that will involve working with:
+ Dedicated Eng, design and data science staffing \+ PMs across the org
+ Growth, Payment operations and delivery operations for each new project launched
+ Support for issues that come up
**You will:**
* Understand our business, customer experience and ecosystem position
* Set the product strategy for the Pay team
* Develop and execute a data\-driven, contributor\-focused product roadmap through close collaboration with senior leadership, Operations, Data Science, Analytics, Design, and Engineering while balancing business needs.
* Translate customer and internal\-user needs into clear, well\-defined functional and technical requirements backed by data analysis and deep understanding of our users
* Guide and interface closely with data analysts and engineering teams to define scope, review and refine technical capabilities, prioritize projects for release, and define new opportunities.
* Build long\-term instrumentation, monitoring, and evaluation capabilities for product performance, tracking, and to create product insights.
* Establish business cases and projected return on investment to identify and prioritize opportunities
* Partner with Finance and Business Leaders to manage the impact on the profitability of the overall business.
**Ideally, you’d have:**
* 5\-8 years of experience in Product Management in the tech industry
* Excellent communication and stakeholder management skills, capable of influencing across technical and non\-technical audiences to drive strategic outcomes.
* Strong business acumen and analytical experience, with demonstrated success in defining emerging or ambiguous user behaviors and driving continuous iteration in high\-uncertainty environments.
* Nice\-to\-have:
+ Strong understanding of the AI market and willingness to stay at the cutting edge. Deep understanding of modelling workflows, including data labeling, model training, inference, and deployment, with the ability to translate technical concepts into actionable product strategies.
+ Experience building products from the ground up, seeing them through the scaling journey
+ Experienced in building scalable decision systems, partnering cross\-functionally with policy,
* Bachelor’s or advanced degree in a quantitative, engineering, or related discipline, with strong comfort in engaging deeply with technical and data\-driven problem spaces.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$164,800—$197,760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4">
      <c r="A14" t="inlineStr">
        <is>
          <t>li-4319499917</t>
        </is>
      </c>
      <c r="B14" t="inlineStr">
        <is>
          <t>Staff Product Manager</t>
        </is>
      </c>
      <c r="C14" t="inlineStr">
        <is>
          <t>Nooks</t>
        </is>
      </c>
      <c r="D14" t="inlineStr">
        <is>
          <t>linkedin</t>
        </is>
      </c>
      <c r="E14" t="inlineStr"/>
      <c r="F14" t="inlineStr"/>
      <c r="G14" t="inlineStr">
        <is>
          <t>San Francisco, CA</t>
        </is>
      </c>
      <c r="H14" t="inlineStr"/>
      <c r="I14" t="inlineStr">
        <is>
          <t>**About Nooks.ai**
 Nooks is the AI Sales Assistant Platform (ASAP) that automates the busywork so reps can focus on the human part of selling and generate more sales pipeline. Nooks has helped thousands of sales reps hit quota, saved customers hundreds of thousands of hours, and powered hundreds of millions of dollars in pipeline. Nooks is loved by sales teams at companies like Hubspot, Rippling, and hundreds more.
 We’re a team of high performers raising over $70M from top VCs, including Kleiner Perkins, which made its first sales\-tech investment in over 10 years by investing in Nooks. Over the past two years, we’ve grown ARR by 4x and then 3x, and we plan to 3x it again this year.
 For more information, visit Nooks.ai.
**Responsibilities**
* Lead the strategy, roadmap, and execution for a major product area critical to Nooks’ AI sales platform.
* Drive high\-impact initiatives that combine cutting\-edge AI capabilities with deep understanding of sales workflows.
* Mentor and guide other product managers, helping elevate product thinking, prioritization, and execution quality.
* Partner closely with engineering and design leadership to define ambitious but achievable technical and UX goals.
* Engage deeply with customers and data to identify new opportunities for automation, efficiency, and revenue growth.
* Communicate product vision and outcomes clearly to executives and the broader organization.
**Requirements**
* 7\+ years of product management experience, including time as a senior or staff\-level PM leading complex initiatives.
* Demonstrated success driving strategy and execution for large\-scale SaaS or AI\-powered products.
* Strong technical acumen — able to work closely with engineering teams and make informed tradeoffs.
* Exceptional communication and leadership skills with the ability to influence across functions and levels.
* Deep empathy for users and a passion for designing systems that make work faster, simpler, and more human.
* Experience building or leading products in the sales tech, AI, or productivity domains is a strong plus.
 Compensation at Nooks for eligible roles includes base salary, equity, and benefits. Base salary is a single component of the total compensation package, which may also include equity in the form of options, comprehensive health, dental, and vision insurance, life and disability insurance, hybrid work, and unlimited paid time off. Note that benefits are subject to change and may vary based on the jurisdiction of employment.
 We offer competitive compensation to attract the best people and reward them for their contributions to our mission. Please reference the job posting’s subtitle for where this position will be located. For pay transparency purposes, the base salary range for this full\-time position in the location listed is: $220K \- $280K annually. On top of base salary, we also offer equity, generous perks and comprehensive benefits.
**Equal Employment Opportunity Statement**
 Nooks is an equal opportunity employer committed to fostering a diverse and inclusive workforce. We believe in providing equal employment opportunities to all individuals regardless of race, color, religion, gender, gender identity, sexual orientation, national origin, age, disability, veteran status, or any other characteristic protected by law.
 Nooks does not discriminate in hiring, promotion, compensation, or any other employment practices, and we are committed to ensuring a workplace that is free from discrimination, harassment, and retaliation. We encourage individuals from all backgrounds to apply and join our team.</t>
        </is>
      </c>
    </row>
    <row r="15">
      <c r="A15" t="inlineStr">
        <is>
          <t>li-4373296308</t>
        </is>
      </c>
      <c r="B15" t="inlineStr">
        <is>
          <t>Associate Product Manager</t>
        </is>
      </c>
      <c r="C15" t="inlineStr">
        <is>
          <t>LevelTen Energy</t>
        </is>
      </c>
      <c r="D15" t="inlineStr">
        <is>
          <t>linkedin</t>
        </is>
      </c>
      <c r="E15" t="inlineStr"/>
      <c r="F15" t="inlineStr"/>
      <c r="G15" t="inlineStr">
        <is>
          <t>Seattle, WA</t>
        </is>
      </c>
      <c r="H15" t="inlineStr"/>
      <c r="I15" t="inlineStr">
        <is>
          <t>**Position Title:** 
 Associate Product Manager
 Role Purpose
 LevelTen Energy’s mission is to accelerate the energy transition by facilitating frictionless transactions. As the leading provider of renewable transaction infrastructure, we deliver the cloud\-based software, centralized supply, automated analytics, and transaction expertise required to power the renewable energy economy. The LevelTen Platform is the world’s largest online hub for renewable energy buyers, sellers, advisors, asset owners and financiers, and delivers the online tools and expertise they need to buy, sell and finance assets quickly.
 Join us on a mission that matters.
 We’re looking for an Associate Product Manager (APM) to support the definition, validation, and scaling of LevelTen’s transactable products. This role is ideal for someone with 1–2 years of experience—especially candidates coming from data analyst or analytics\-adjacent backgrounds—who wants to grow into product management by working deeply on data, requirements, and buyer\-facing insights. 
 You’ll partner closely with our Commercial and Analytics teams to define product and data requirements, ensure high\-quality inputs, and support the analytics and visualizations that enable buyers to confidently transact on our platform. 
 Duties and Responsibilities
* Support the definition and evolution of LevelTen’s transactable products (e.g., Power Purchase Agreements, capacity contracts, and related offerings)
* Partner with Commercial and Analytics teams to understand buyer and seller decision\-making and translate those needs into clear product and data requirements
* Define, document, and validate the data required to support analytics, pricing insights, and buyer decision\-making
* Work closely with Analytics to ensure models, pipelines, and analytical outputs can run effectively on defined data inputs
* Help define and iterate on buyer\-facing and internal data visualizations, dashboards, and summary views
* Write clear product requirements, data definitions, and documentation that support downstream analytics and engineering work
* Assist with testing, validation, and iteration of product features before and after release, with a strong focus on data correctness
* Communicate product updates and progress effectively to internal and external stakeholders.
 Qualifications
* 1–2 years of experience in product management, data analysis, analytics, consulting, or a related role
* Strong analytical skills and comfort working with structured datasets, with keen attention to detail
* Experience as a data analyst or in a data\-heavy role is a strong plus
* Working knowledge of SQL or similar query languages, with experience using queries to explore, validate, and troubleshoot structured dataset
* Ability to translate customer and business needs into clear, actionable product and data documentation
* Demonstrated ability to work collaboratively with cross\-functional teams, including Product, Commercial, and Analytics partners
* Strong problem\-solving skills and comfort operating in ambiguous problem spaces
* Excellent verbal and written communication skills
* Familiarity with agile development methodologies and tools such as Jira, Confluence, or similar is a plus
* Interest in renewable energy, energy markets, or sustainability (prior experience is a plus but not required)
 Benefits / Perks
* Full Medical, Vision and Dental coverage
* Wellness Credit
* Flexible vacation policy
* 11 paid company holidays
* 401k
 In the Seattle office
* Casual dress code
* Commuter benefits
* Standing desk options
* Regular company\-sponsored happy hours
* Hybrid in\-office/work from home schedule
 Additional Information
* This position is based out of our office in the Belltown neighborhood of Seattle, WA (hybrid work schedule).
* The estimated compensation for this position is $86,000 \- $105,000 per year, based on experience and qualifications. In addition, this position is eligible for an annual bonus and an equity grant.
* Must be legally authorized to work in the U.S. without a current or future need for visa sponsorship.
 About LevelTen Energy
 LevelTen Energy is the leading provider of transaction infrastructure for the clean energy transition, connecting buyers, sellers, and financiers through dynamic marketplaces, data\-driven insights, and automated analytics. The LevelTen Platform supports power purchase agreements, clean energy asset M\&amp;A transactions, and tax credit transfers—soon expanding to granular certificate trading—enabling organizations to execute and manage transactions with confidence. With a network of over 1,000 project developers in 35 countries, LevelTen is advancing carbon\-free energy markets by increasing transparency, liquidity, and accessibility. Learn more at LevelTenEnergy.com. 
 Equal Opportunity Employer
 LevelTen Energy is an Equal Opportunity Employer committed to a diverse and inclusive workforce. All qualified applicants will receive consideration for employment without regard to race, color, religion, sex, national origin, disability, protected veteran status, marital status, age, sexual orientation, gender identity or expression, or any other legally protected status.
 Accessibility
 If you are an individual with a disability and need assistance completing the online application or during the interview process, please call 1\-800\-995\-2152\. Please leave a message and a member of our People team will return your call within three business days. Alternatively, an email may be sent to hr@leveltenenergy.com. “Applicant Accommodation” should be included in the subject line of the email. Please note that this phone number and email are only for those individuals who would like to request an accommodation to apply for a job.</t>
        </is>
      </c>
    </row>
    <row r="16">
      <c r="A16" t="inlineStr">
        <is>
          <t>li-4351994802</t>
        </is>
      </c>
      <c r="B16" t="inlineStr">
        <is>
          <t>Product Manager</t>
        </is>
      </c>
      <c r="C16" t="inlineStr">
        <is>
          <t>UL Solutions</t>
        </is>
      </c>
      <c r="D16" t="inlineStr">
        <is>
          <t>linkedin</t>
        </is>
      </c>
      <c r="E16" t="inlineStr"/>
      <c r="F16" t="inlineStr"/>
      <c r="G16" t="inlineStr">
        <is>
          <t>Northbrook, IL</t>
        </is>
      </c>
      <c r="H16" t="inlineStr"/>
      <c r="I16"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**Qualifications**
* University Degree (Equivalent to Bachelor's degree) in Computer Science, Business, or a related discipline
* 5 years or more of related discipline experience or demonstrated competency
* Knowledge of how Conformity Assessment schemes influence and affect product go\-to\-market
* Significant knowledge of Conformity Assessment testing practices and processes
* Understanding of Global Market Access processes and practices
* Experience working with remote and globally distributed teams is highly preferred
* Project and/or Product management certification is a plus
* Ability to lead small to medium groups of internal and external stakeholders towards desired outcomes in order to meet business objectives
* Ability to conduct discovery sessions with clients. prospects and stakeholders in order to diagnose business opportunities, elicit requirements and conduct other types of research
* Strong and demonstrable communication and presentation skills
* Product management tools – product design (e.g. Invision, Zeplin), development task management (e.g. Jira, Azure DevOps), documentation and knowledge (e.g. Confluence, SharePoint), collaboration (e.g. Microsoft Teams, Slack), roadmap and portfolio management (e.g. Aha!, Daptiv), AI tools
* Formal training and/or certification in Product Management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$120,000\. \- $150,000\.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6/2/2026\.
* 3</t>
        </is>
      </c>
    </row>
    <row r="17">
      <c r="A17" t="inlineStr">
        <is>
          <t>li-4372318552</t>
        </is>
      </c>
      <c r="B17" t="inlineStr">
        <is>
          <t>Product Manager, Platforms</t>
        </is>
      </c>
      <c r="C17" t="inlineStr">
        <is>
          <t>RemoteHunter</t>
        </is>
      </c>
      <c r="D17" t="inlineStr">
        <is>
          <t>linkedin</t>
        </is>
      </c>
      <c r="E17" t="inlineStr"/>
      <c r="F17" t="inlineStr"/>
      <c r="G17" t="inlineStr"/>
      <c r="H17" t="inlineStr"/>
      <c r="I17" t="inlineStr">
        <is>
          <t>About the Opportunity:
 An experienced Product Manager is sought to join the Platform organization focused on building foundational components and cloud services that enable internal teams to launch, operate, and improve Intelligent Machines without redundant development of core capabilities. The role involves owning one or more Platform offerings or cross\-cutting capabilities, working at the intersection of robotics software, machine learning systems, fleet operations, and developer experience to turn ambiguous needs into clear product outcomes and widely adopted capabilities.
 Responsibilities:
 • Own strategy, roadmap, and outcomes for one or more Platform offerings or cross\-cutting capabilities.
 • Establish feedback loops with program teams and engineers to understand real\-world constraints such as messy data and variable environments.
 • Translate problems into clear requirements, success metrics, and prioritized backlogs; balance tradeoffs across speed, reuse, reliability, and customization.
 • Collaborate with engineering and design to iteratively ship APIs, tooling, workflows, and user experiences that teams adopt.
 • Lead onboarding, documentation, enablement, and rollout plans; measure adoption and resolve integration blockers.
 • Define and enforce production readiness standards, including reliability, observability, supportability, and backward compatibility.
 • Coordinate dependencies across Platform and program teams; reduce duplication and align on shared building blocks.
 • Define and track product metrics to guide priorities and investments.
 • Communicate clearly with stakeholders regarding narratives, status updates, decisions, and risks, especially when managing conflicting priorities or shifting timelines.
 Requirements:
 • 5\+ years of experience as a Product Manager with proven success launching and managing complex technical products.
 • Strong knowledge of robotics, autonomous systems, and machine learning technologies.
 • Familiarity with perception, environmental understanding, machine learning, path planning, and actuation.
 • Experience leading product efforts involving embedded technologies and software solutions for edge devices or autonomous systems.
 • Bachelor’s or advanced degree in computer science, engineering, or related field.
 • Strong analytical and problem\-solving skills.
 • Familiarity with Agile, Scrum, or similar software development methodologies.
 • Ability to collaborate effectively in fast\-paced, cross\-functional environments.
 • Excellent communication skills with the ability to convey technical concepts to both technical and non\-technical audiences.
 Preferred Experience and Skills:
 • Prior work on autonomous systems, machine learning, computer vision, or artificial intelligence projects.
 • Experience building platform products for engineering teams including APIs, SDKs, documentation, and onboarding, with a focus on driving adoption without mandates.
 • Knowledge of fleet operations, telemetry, incident workflows, OTA updates, and remote diagnostics.
 • Experience with cloud platforms and data\-intensive systems such as pipelines, storage, observability, and analytics.
 • Familiarity with cloud computing for edge computing and remote device management.
 • Experience leading cross\-functional product development efforts.
 • Record of innovation or research contributions in autonomous robotics.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
      <c r="A18" t="inlineStr">
        <is>
          <t>li-4372340144</t>
        </is>
      </c>
      <c r="B18" t="inlineStr">
        <is>
          <t>Technical Product Manager</t>
        </is>
      </c>
      <c r="C18" t="inlineStr">
        <is>
          <t>Haystack</t>
        </is>
      </c>
      <c r="D18" t="inlineStr">
        <is>
          <t>linkedin</t>
        </is>
      </c>
      <c r="E18" t="inlineStr"/>
      <c r="F18" t="inlineStr"/>
      <c r="G18" t="inlineStr"/>
      <c r="H18" t="inlineStr"/>
      <c r="I18" t="inlineStr">
        <is>
          <t>**Digital Platforms Product Manager \- Alpharetta, GA \| Alpharetta Office \- United States \| Hybrid \| $107,681 \- $179,432** 
 We're working with Avanos Medical on this exciting opportunity.
 Are you a visionary Digital Platforms Product Manager ready to shape the future of medical technology? Avanos Medical is seeking a dynamic leader to drive our digital ecosystem, blending strategic architectural oversight with hands\-on technical guidance across web and mobile platforms using cutting\-edge technologies like React, Node.js, and Azure.
**The Role** 
 • Own the end\-to\-end digital architecture for public websites, mobile applications, and internal platforms.
 • Establish and enforce governance models for digital content, security, compliance (GDPR, CCPA), and performance.
 • Architect and guide the delivery of enterprise\-scale content management ecosystems (e.g., WordPress) and lead cross\-platform mobile app development with React Native.
 • Implement immersive front\-end solutions using React, JavaScript, HTML/CSS, and manage secure backend services in Node.js, PHP, and MySQL/SQL environments.
 • Drive CI/CD strategy using GitHub Actions and maintain scalable, secure, and high\-performing cloud infrastructure (Azure preferred).
**What You'll Need** 
 • Bachelor’s degree in Computer Science, IT, or a related field.
 • 7\+ years in digital ecosystems (web and backend), with 3\-5 years in strategic or technical leadership roles.
 • Hands\-on experience with React, Node.js, MySQL/SQL, and cloud platforms (Azure preferred).
 • Proven experience in website security management, domain governance, accessibility compliance, and implementing cookie policy libraries (e.g., OneTrust, Cookiebot).
**What's On Offer** 
 • Competitive salary range of $107,681 \- $179,432, plus an attractive incentive compensation program.
 • Comprehensive benefits package, including a generous 401(k) employer match with immediate vesting.
 • Benefits on day 1, free onsite gym, and onsite cafeteria at our Alpharetta office.
 • Be part of a company that strives to be independent and different, supporting and inspiring you to excel in changing medical devices.
**Apply via Haystack today!**</t>
        </is>
      </c>
    </row>
    <row r="19">
      <c r="A19" t="inlineStr">
        <is>
          <t>li-4361845827</t>
        </is>
      </c>
      <c r="B19" t="inlineStr">
        <is>
          <t>Product Manager - Product Stewardship</t>
        </is>
      </c>
      <c r="C19" t="inlineStr">
        <is>
          <t>UL Solutions</t>
        </is>
      </c>
      <c r="D19" t="inlineStr">
        <is>
          <t>linkedin</t>
        </is>
      </c>
      <c r="E19" t="inlineStr"/>
      <c r="F19" t="inlineStr"/>
      <c r="G19" t="inlineStr">
        <is>
          <t>Austin, TX</t>
        </is>
      </c>
      <c r="H19" t="inlineStr"/>
      <c r="I19" t="inlineStr">
        <is>
          <t>**Job Description**
* Use the previously established product vision in concert with deep market understanding to inform the product strategy
* Evaluate market needs against UL’s and competitors’ unique abilities to address them
* Support and contribute to a go\-to\-market strategy, describing how value will be delivered to the customer/user, how the product is differentiated from the competition, and what the business model should be
* Prioritize product functions and features into a product roadmap
* Monitor a set of product goals, outcomes and corresponding metrics to continually evaluate against
* Evangelize and communicate the product vision, strategy and goals internally across the organization, as well as externally with client users
* Actively model and promote a set of desired behaviors aligned with UL’s WoW
* Take ownership of own career and professional development by documenting and communicating career aspirations and any associated development needs to their manager
* Support career development needs of direct reports, by clearly defining expectations for their current role, actively soliciting their career aspirations and helping close any gaps
* Support an efficient cross\-functional matrix structure to enable effective product development lifecycle
* Execute a robust set of processes to power all parts of the product development lifecycle from research/discovery to release management and product support
* Leverage a standard set of product management tools to be used across the product organization at each of the stages of the lifecycle
**Responsibilities**
* Understand product vision for the organization and Product Stewardship and evangelize to teams
* Build product roadmaps that contribute to Product Stewardship's vision
* Prioritize features and functionality for releases based on market and launch approach
* Write epics and users stories for roadmap projects
* Collaborate with internal teams \- development, design, marketing, sales to build and launch products and functionality
* Talk with customers regularly to understand their problems
**Qualifications**
* Knowledge of Product Stewardship space and market, chemical data and SDSs. Any experience in SDS authoring or regulatory analysis is a plus.
* Facilitation skills – ability to lead small to medium groups of internal and external stakeholders towards desired outcomes in order to meet business objectives
* Interview skills – ability to conduct discovery sessions with clients. prospects and stakeholders in order to diagnose business opportunities, elicit requirements and conduct other types of research
* Strong communication and presentation (PowerPoint) skills
* Product management tools – development task management (e.g. Jira, Azure DevOps), documentation and knowledge (e.g. Confluence, SharePoint), collaboration (e.g. Microsoft Teams), roadmap and portfolio management (e.g. Aha!, Miro)
* Formal training and/or certification in Product Management is a plus
* University Degree (Equivalent to Bachelor's degree) in Computer Science, Business, or a related discipline
* 2\+ years or more of related discipline experience or demonstrated competency
* Working with remote teams is highly preferred
* Project management certification is a plus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Total Rewards: We understand compensation is an important factor as you consider the next step in your career . The estimated salary range for this position is $124,000 to $140,000 and is based on multiple factors, including job\-related knowledge/skills, experience, geographical location, as well as other factors. This position is eligible for annual bonus compensation with a target payout of X%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t>
        </is>
      </c>
    </row>
    <row r="20">
      <c r="A20" t="inlineStr">
        <is>
          <t>li-4333231069</t>
        </is>
      </c>
      <c r="B20" t="inlineStr">
        <is>
          <t>Product Manager, Developer Platform - Application Development Platforms</t>
        </is>
      </c>
      <c r="C20" t="inlineStr">
        <is>
          <t>Netflix</t>
        </is>
      </c>
      <c r="D20" t="inlineStr">
        <is>
          <t>linkedin</t>
        </is>
      </c>
      <c r="E20" t="inlineStr"/>
      <c r="F20" t="inlineStr"/>
      <c r="G20" t="inlineStr"/>
      <c r="H20" t="inlineStr"/>
      <c r="I2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Developer Platform sits within the Infrastructure Engineering organization to amplify the productivity and business impact of Netflix engineers by providing a cohesive developer platform that optimizes developer experience, automates workflows, manages complexity, and accelerates the development, delivery, operations, and maintenance of high\-quality software. Our mission is to enable Netflix to scale effectively and evolve rapidly by providing highly reliable, performant, secure, and flexible developer tools, services, and infrastructure. Ultimately, we aim for Netflix engineers to spend less time on repetitive engineering tasks, unnecessary complexity, and undifferentiated heavy lifting so they can focus on helping Netflix entertain the world.**
**The Opportunity**
**We are looking for a highly technical product manager to drive the vision and strategy for our
 **Application Development Platforms** 
 within our centrally supported language ecosystems: Java, JavaScript/TypeScript and Python. The initial focus will be on the Java ecosystem with expansion over time to other languages and ecosystems.**
**Your primary mission is to
 **keep developers in the flow** 
 during application development for the thousands of existing services, data processing jobs and user interfaces as well as the dozens that are created each day. You will deliver well defined and supported golden paths for developers that reduce cognitive load, increase software delivery velocity, improve reliability and alleviate the toil of software maintenance.**
**You will be responsible for the core components that enable this development, including:**
* Application frameworks (i.e. Spring Boot, React, FastAPI)
* Build \&amp; test systems (i.e. Gradle, Vite, Junit, uv, TestContainers, pytest, Jest)
* Libraries SDLC and dependency management
* Stability, Performance, and Adoption of the latest supported runtime, frameworks and tools
**What You Will Do**
**As the Product Manager for
 **Application Development Platforms** 
 , you will have the following responsibilities:**
* Drive Product Vision and Strategy: Deeply understand and triangulate across customer needs, developer productivity metrics, operational data, and external industry innovation to shape the vision and strategy for Netflix’s JVM ecosystem and Java application development offerings, ensuring they maximize business and developer impact.
* Roadmap \&amp; Alignment: Partner closely with senior engineering leaders and stakeholders to define a forward\-looking roadmap. Align on priorities and trade\-offs that support Netflix’s technology strategy.
* Execution \&amp; Delivery: Develop product roadmaps in partnership with engineering teams that execute on your vision. Clearly articulate problems to be solved, and see features through from idea to launch.
* Metrics\-Driven Improvement: Define key success measures (e.g., build times, time to deploy, framework migration progress, performance metrics) and drive experiments or initiatives to continuously improve those metrics, fostering a metrics\-driven mindset for developer productivity.
* User Engagement: Create strong partnerships with Netflix engineers through regular outreach and feedback loops. Gather input via interviews, surveys, and usage data to deeply understand their workflow challenges. Champion the voice of the developer.
* Technical Excellence \&amp; Reliability: Drive technical excellence in our Java application framework and runtime systems. Ensure these systems are highly reliable, secure, and performant.
* Industry Awareness \&amp; Build vs. Buy: Stay informed about advancements in languages ecosystems, application frameworks, and build tooling. Evaluate opportunities to incorporate cutting\-edge tools or practices and conduct thoughtful buy\-vs\-build analyses.
* Prioritization \&amp; Focus: Prioritize effectively to maximize impact, balancing quick wins with foundational investments, and user experience improvements with technical scalability. Maintain clarity on short\-term vs. long\-term goals.
**What We’re Looking For**
****Experience \&amp; Skills:****
* 8\+ years of Product Management experience (or equivalent technical role), with a proven track record of managing and evolving a broad product portfolio and driving product vision and strategy in a complex, technical domain.
* Strong technical knowledge and depth of application development fundamentals, the JVM ecosystem, modern application frameworks, build systems, and dependency management methodologies.
* A healthy blend of deep technical knowledge with a customer\-focused mindset and empathy for engineers. You must be comfortable discussing topics like design trade\-offs and system quality attributes (scalability, reliability, performance, security) with engineering teams.
* Demonstrated passion for developer platforms, tools, workflows, and infrastructure, staying up\-to\-date on industry best practices in DevOps/DevEx.
* Strategic thinking that can connect customer use cases and pain points to innovative technology solutions, thinking holistically about the end\-to\-end experience.
* Outstanding written and verbal communication skills, with the ability to influence stakeholders at all levels and navigate complex organizational boundaries.
* Comfortable applying a combination of qualitative and quantitative methods to define success, prioritize problems, and measure impact.
**We are an equal opportunity employer and celebrate diversity, recognizing that diversity of thought and background builds stronger teams. We approach diversity and inclusion seriously and thoughtfully. We do not discriminate on the basis of race, religion, color, national origin, gender, sexual orientation, age, marital status, veteran status, or disability status.**
**Our culture is unique, and we live by our values, so it’s worth learning more about Netflix culture.**
**More About Developer Platform @ Netflix**
* Unifying the Netflix engineering experience with a federated platform console (video)
* Backstage in the wild (podcast)
* Telltale: Netflix Application Monitoring Simplified (techblog)
* Machine Learning for a Better Developer Experience (techblog)
* Managed Delivery: Bringing Infrastructure as Code to Spinnaker (video)
**Some Other Links For Our Org**
* How We Build Code at Netflix
* Towards True Continuous Integration
* Evolving Continuous Integration at Netflix
* How Netflix Autoscales CI
* Devtools at Netflix: Culture, Speed and Innovation
* Baking Bitbucket in the AWS Cloud at Netflix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1">
      <c r="A21" t="inlineStr">
        <is>
          <t>li-4373288515</t>
        </is>
      </c>
      <c r="B21" t="inlineStr">
        <is>
          <t>Product Manager - Brunswick Billiards</t>
        </is>
      </c>
      <c r="C21" t="inlineStr">
        <is>
          <t>A Hiring Company</t>
        </is>
      </c>
      <c r="D21" t="inlineStr">
        <is>
          <t>linkedin</t>
        </is>
      </c>
      <c r="E21" t="inlineStr"/>
      <c r="F21" t="inlineStr"/>
      <c r="G21" t="inlineStr">
        <is>
          <t>Bristol, WI</t>
        </is>
      </c>
      <c r="H21" t="inlineStr"/>
      <c r="I21" t="inlineStr">
        <is>
          <t>**Product Manager \- Brunswick Billiards** 
**Position Title:** 
 Product Manager – Brunswick Billiards
**Reporting To:** 
 President – Brunswick Billiards Group
**Location:** 
 Bristol, WI (on\-site)
**Status:** 
 Exempt
**ESCALADE**
 Escalade is a publicly traded leader in sports and recreation, with over 100 years of innovation across iconic brands like Goalrilla, STIGA, Bear Archery, ONIX, Brunswick Billiards, and more. Headquartered in Evansville, Indiana, we design, manufacture, and distribute sporting goods that bring families and communities together through active play.
 Explore more at Escalade, Inc., Escalade Sports, follow us on Facebook, Instagram, YouTube, and LinkedIn.
**Position Overview**
 As the Product Manager – Brunswick Billiards, you'll own the strategy, growth, and success of these categories. From concept to launch, you'll guide product development, drive marketing and pricing strategies, and deliver best\-in\-class customer experiences. This is a highly cross\-functional role where you'll collaborate with engineers, marketing, sales, sourcing, and key customers to shape products that inspire active lifestyles.
**Key Responsibilities** 
* Lead product strategy, innovation pipeline, and new product development.
* Analyze competitors and identify opportunities to strengthen category growth.
* Partner with Sales \&amp; Marketing on omni\-channel storytelling, promotions, and merchandising.
* Develop pricing strategies and manage sourcing costs.
* Own product launches, business plans, timelines, and training.
* Manage P\&amp;L for assigned categories, reporting monthly, quarterly, and annually.
**Required Experience** 
* Bachelor's degree in Business, Marketing, or related field (required).
* 3\+ years of consumer product management experience, sporting goods preferred.
* Strong business acumen with P\&amp;L ownership experience.
* Collaborative communicator who thrives in cross\-functional environments.
* Willingness to travel domestically and internationally on occasion.
**Why Escalade?**
 At Escalade, you'll join a team of passionate professionals in a culture rooted in innovation, teamwork, and fun. You'll have the opportunity to grow your career while making an impact on the lives of people who love to play.
**Apply Today**
 Ready to make your mark? Apply today and help us shape the future of recreational sports.
 Apply now or learn more at Escalade Careers
*This job description is not designed to cover or contain a comprehensive listing of activities, duties or responsibilities that are required of the employee; other duties may be assigned.*</t>
        </is>
      </c>
    </row>
    <row r="22">
      <c r="A22" t="inlineStr">
        <is>
          <t>li-4321325740</t>
        </is>
      </c>
      <c r="B22" t="inlineStr">
        <is>
          <t>Business Consultant / Product Owner – Content &amp; Commerce</t>
        </is>
      </c>
      <c r="C22" t="inlineStr">
        <is>
          <t>Adobe</t>
        </is>
      </c>
      <c r="D22" t="inlineStr">
        <is>
          <t>linkedin</t>
        </is>
      </c>
      <c r="E22" t="inlineStr"/>
      <c r="F22" t="inlineStr"/>
      <c r="G22" t="inlineStr">
        <is>
          <t>New York, NY</t>
        </is>
      </c>
      <c r="H22" t="inlineStr"/>
      <c r="I2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Job Title: Business Consultant / Product Owner – Content \&amp; Commerce \[P40]
 Location: San Jose or New York City
 Reports To: Manager, Professional Services – Content \&amp; Commerce
 Opportunity Overview
 The Business Consultant leads clients through digital experience and commerce transformation with Adobe’s Content and Commerce solutions. This role delivers consulting services, drives requirements gathering, prioritizes business needs, and supports solution design to maximize Adobe capabilities for scalable and efficient customer experiences.
 Specializing in Content \&amp; Commerce, the team leverages expertise in Adobe Experience Manager (AEM) and Adobe Commerce to build robust content management and commerce platforms that enable clients’ strategic goals.
 Success requires a background in enterprise\-level digital projects, independent initiatives, and effective communication across technical and non\-technical teams. The consultant leads cross\-functional projects, aligning strategy and outcomes with stakeholders.
 What You'll Do
* Lead strategy and roadmap activities, facilitating workshops to define goals and requirements.
* Advise clients on content management, digital delivery, and commerce solutions and best practices.
* Promote Adobe methodologies and frameworks during engagements.
* Serve as a Product Owner or Proxy, translate user requirements into actionable backlogs following Agile/Scrum best practices. Collaborate with team in prioritization, sprint planning, and execution.
* Drive acceptance of deliverables through validation, demo, and triage/resolve discrepancies.
* Maintain documentation, user stories, and use cases aligned with Adobe standards.
* Maintain alignment among key stakeholders. Coordinate business and technical teams to ensure effective communication and timely clarification of
* Guide user journey optimization and omnichannel strategies.
 What You'll Need to Succeed
* 10\+ years in digital commerce, content management, or consulting.
* 3\+ years with Adobe Commerce and AEM.
* Strong analytical, communication, and problem\-solving skills.
* Experience leading distributed teams.
* Track record of success as Consultant, Product Owner/Manager, or Solutions Architect.
* Working knowledge of Agile/Scrum, Jira, Confluence, APIs, SaaS, Cloud Services.
* Proficient in HTML/CSS and JavaScript.
* Skilled in business and technical requirement analysis.
* Collaborative experience with marketing, technology, and operations.
* AEM or Adobe Commerce certifications are a plus.
* Bachelor’s degree or equivalent experience.
 Our compensation reflects the cost of labor across several  U.S. geographic markets, and we pay differently based on those defined markets. The U.S. pay range for this position is $134,400 \-\- $245,300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$169,400 \- $245,300 In New York, the pay range for this position is $169,400 \- $245,300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3">
      <c r="A23" t="inlineStr">
        <is>
          <t>li-4338350135</t>
        </is>
      </c>
      <c r="B23" t="inlineStr">
        <is>
          <t>Product Manager</t>
        </is>
      </c>
      <c r="C23" t="inlineStr">
        <is>
          <t>Origami Risk</t>
        </is>
      </c>
      <c r="D23" t="inlineStr">
        <is>
          <t>linkedin</t>
        </is>
      </c>
      <c r="E23" t="inlineStr"/>
      <c r="F23" t="inlineStr"/>
      <c r="G23" t="inlineStr"/>
      <c r="H23" t="inlineStr"/>
      <c r="I23" t="inlineStr">
        <is>
          <t>The Product Manager is responsible for identifying customer and market needs, developing a 12\-month strategic plan/roadmap that aligns to business goals, and planning and executing to that vision. The Product Manager closely partners with Engineering to solve complex business and client problems that drive solutions that delight our users and clients. The Product Manager manages product development deliverables, such as requirements documentation, analytics, design reviews, implementation, and delivery. This person will lead the gathering and prioritization of product and client requirements.
 Starting base pay for this role is between $120,000 and $145,000\. The actual base pay is dependent upon many factors, such as transferable skills, work experience, business needs, training, location, and market demands. The base pay range is subject to change and may be modified in the future. This role will be eligible for a bonus as well as competitive medical, dental, and vision benefits, wellness reimbursement, life insurance, and a 401(k) with company match. We offer vacation and sick leave benefits (under a flexible time off policy in most states).
**Responsibilities**
 Roadmaps and Product Strategy:
* Owns the 12\-month product roadmap and align the scrum team around delivery of high value business outcomes.
* Researches and identifies emerging market and technology needs to influence the market roadmap and promote innovation and differentiation.
* Uses data to validate roadmap prioritization and proposed solution builds. Ensures that we are solving the right problems and that these problems are worth solving.
* Builds deep business domain and user and client expertise to identify product and market opportunities.
* Acts as the subject matter expert for their assigned product and market.
 Requirement Creation:
* Translates business requirements into technical requirements.
* Documents requirements in the form of user stories to create a shared understanding with Engineering teams.
* Develops, refines, and documents other product artifacts (Ex: Visual collaboration documents, Lucid Chart workflows, etc.)
* In partnership with Engineering, Design and Architecture teams, builds system designs.
* Validates all product \&amp; engineering artifacts (User Stories/Acceptance Criteria, Visual Collaboration documents, design documents, etc.) to ensure risks to value, viability, feasibility, and usability are addressed upfront.
 Backlog Maintenance, Prioritization, and Scrum Team Support:
* Participates in quarterly release planning activities, driving direction and prioritization for each quarter.
* Serves as the product owner of the scrum team to plan the work of the team and resolve in\-sprint issues.
* Acts as a ruthless “prioritizer” while balancing the needs of clients and stakeholders.
* Performs necessary backlog maintenance, such as identifying escalated feature or bug requests and preparing them for upcoming sprints.
* In partnership with Engineering, Design and Architecture teams, builds system designs; Validates all system designs that impact your product.
* In conjunction with the Product Analyst, oversees that the totality of delivered user stories meet the epic’s definition of done.
* Serves as the day\-to\-day contact for the team on clarification of requirements and drives the teams’ refinement ceremony.
* Acts as the product point of contact for all sprint ceremonies: sprint planning, refinement, sprint demo, retrospective, etc.
* Ensures backlog health meets the demands of the team as set/determined by Product Leadership.
* Performs functional testing and confirm sprint demos to ensure delivery of quality software.
 Business Partnership:
* Partners with business stakeholders to align to strategic long\-term roadmaps and ensure delivery of the aligned product outcomes.
* Aligns stakeholders across the organization to ensure transparency of prioritization and roadmap status.
* Acts as a liaison between stakeholder and development teams.
* Drives the agenda and facilitate meetings with Analysts to obtain roadmap feedback.
* Partners with marketing and operations to provide market and product responses to RFIs.
* Champions and models Origami Risk’s values (Prioritize Clients’ Trust and Success, Innovate with an Entrepreneurial Spirit, Collaborate and Win as a Team)
* Other duties as assigned.
**Qualifications**
* Bachelor’s Degree in technology, business, liberal arts, science, or engineering.
* 5\-7 years’ experience in Product Management, including owning a product roadmap and driving Agile processes.
* Excellent analytical and conceptual thinking skills and a high attention to detail
* Business acumen to identify opportunities, facilitate strategic planning, and use data and storytelling to influence.
* Ability to balance short term needs with long\-term strategy.
* Strong relationship building skills, including an ability to influence stakeholders and scrum team members.
* Exceptional communication skills (verbal and written) across all levels of the organization.
* Experience overseeing all or some phases of the product development lifecycle.
* Experience working in agile methodologies and working on an agile team.
* Prior experience as a product manager for a P\&amp;C policy admin system required
**Benefits**
* Medical and Dental coverage available for employees, dependents, domestic partners, and spouses
* Paid Time Off – Flexible options plus 10 paid company holidays where available\*\*
* All full\-time positions are hybrid, with many eligible to be completely remote
* Fully Paid by Origami Risk – Vision insurance, Short \&amp; Long\-Term Disability Insurance, and Basic Life Insurance
* Generous family leave options—including adoption and foster care placements
* Pre\-Tax Savings Accounts – Flexible Spending Account, Health Savings Account, Commuter Benefits, Dependent Care Savings Account
* Retirement Savings – 401(k) with company match up to 4%
* Employee Assistance Program (EAP) – Confidential \&amp; Free support offered to colleagues facing personal or work\-related complications
* Education Assistance Program – to help colleagues pursue industry/role\-specific certifications
* Wellness Benefits – reimbursement program to invest in healthy habits as well as support better colleague productivity and stress management
* Additional coverages available – Pet Insurance, Critical Illness Insurance, and Voluntary Life \&amp; AD\&amp;D coverage
* Flexible PTO not available in California or the UK
**Who We Are**
 Origami Risk delivers single\-platform SaaS solutions that help organizations best navigate the complexities of risk, insurance, compliance, and safety management.
 Founded by industry veterans who recognized the need for risk management technology that was more configurable, intuitive, and scalable, Origami continues to add to its innovative product offerings for managing both insurable and uninsurable risk; facilitating compliance; improving safety; and helping insurers, MGAs, TPAs, and brokers provide enhanced services that drive results.
 A singular focus on client success underlies Origami’s approach to developing, implementing, and supporting our award\-winning software solutions.
 Origami Risk is proud to be an equal opportunity employer. We thrive and benefit from diversity and are committed to creating an inclusive and equitable environment for all employees. We do not discriminate against any individual based upon race, religion, gender (including pregnancy, childbirth, or related medical conditions), sexual orientation, gender identity, gender expression, color, sex, national origin, age, marital status, military or veteran status, disability, or any other characteristic protected by applicable law.
**Caution** 
 : Be alert to recruiting scams. We have received reports of individuals impersonating Origami Risk recruiters to deceive candidates into disclosing personal information. These impostors use fake Origami Risk domain names and email addresses. Please double\-check that any email address from an Origami Risk recruiter ends with origamirisk.com or talent.icims.com . And to confirm the legitimacy of any recruiting communication, feel free to email transparencycheck@origamirisk.com .</t>
        </is>
      </c>
    </row>
    <row r="24">
      <c r="A24" t="inlineStr">
        <is>
          <t>li-4372331047</t>
        </is>
      </c>
      <c r="B24" t="inlineStr">
        <is>
          <t>Product Manager - AI &amp; Data Analytics</t>
        </is>
      </c>
      <c r="C24" t="inlineStr">
        <is>
          <t>RemoteHunter</t>
        </is>
      </c>
      <c r="D24" t="inlineStr">
        <is>
          <t>linkedin</t>
        </is>
      </c>
      <c r="E24" t="inlineStr"/>
      <c r="F24" t="inlineStr"/>
      <c r="G24" t="inlineStr"/>
      <c r="H24" t="inlineStr"/>
      <c r="I24" t="inlineStr">
        <is>
          <t>About the Opportunity:
 This organization is seeking a Product Manager focused on AI and Data Analytics. The role supports product management efforts to develop and enhance AI\-driven data analytics solutions in a fully remote capacity within the US.
 Responsibilities:
 • Manage product lifecycle for AI and data analytics offerings
 • Collaborate with cross\-functional teams to define product requirements
 • Analyze market trends and customer needs to guide product strategy
 • Oversee roadmap planning and prioritization
 • Drive product launches and ensure alignment with business goals
 • Monitor product performance and iterate based on feedback
 Requirements:
 • Experience in product management with AI and data analytics focus
 • Strong understanding of data\-driven product development
 • Ability to work effectively in remote, cross\-functional teams
 • Excellent communication and stakeholder management skills
 • Authorization to work lawfully in the United States
 • Does not require employment visa sponsorship now or in the future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li-4333111348</t>
        </is>
      </c>
      <c r="B25" t="inlineStr">
        <is>
          <t>Senior Program Manager, Viewer Platform</t>
        </is>
      </c>
      <c r="C25" t="inlineStr">
        <is>
          <t>Roku</t>
        </is>
      </c>
      <c r="D25" t="inlineStr">
        <is>
          <t>linkedin</t>
        </is>
      </c>
      <c r="E25" t="inlineStr"/>
      <c r="F25" t="inlineStr"/>
      <c r="G25" t="inlineStr">
        <is>
          <t>San Jose, CA</t>
        </is>
      </c>
      <c r="H25" t="inlineStr"/>
      <c r="I2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Roku’s Viewer Platform builds the consumer AI/ML intelligence behind Discovery, Search, and other UIs, and partners with cross\-functional teams to ship consumer features that move the needle on Engagement and Monetization KPIs. Our systems shape how 100M\+ viewers find and enjoy entertainment. As Roku accelerates investment in generative AI, personalization, and deep user understanding, Viewer Platform sits at the center—connecting data, intelligence, and UX into a cohesive ecosystem we call the Viewer Brain.
**About the Role** 
 We’re looking for a Senior Program Manager to lead two strategic pillars within the Viewer Platform Organization:
 Viewer Brain Program Leadership – You will orchestrate the company\-wide initiative to unify Roku’s AI/ML\-powered products and technology stacks. This includes aligning multiple product, design, and engineering teams, establishing shared milestones, and ensuring technical and strategic coherence across personalization, Search, Voice, and content understanding systems.
 Process Excellence \&amp; Product Operations Enablement – You’ll drive operational rigor across Viewer Platform product areas — developing more innovative tools, templates, and rhythms for planning, roadmapping, and delivery. You’ll help Product Leaders scale efficiently, measure success consistently, and improve cross\-functional velocity for significant, high\-impact feature launches.
 This role is ideal for a strategic, execution\-driven leader who thrives in complex, high\-growth environments and enjoys shaping systems that connect product, technology, and operations at scale. This is also a highly in\-demand role as AI/ML are core pillars of the future of software development, not just at Roku but across the world.
 For California Only \- The estimated annual salary for this position is between $187,000 \- $291,000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Lead the Viewer Brain program — Align Search, Recommendations, Voice, Experimentation, Knowledge Graph, Tooling, and Content Understanding to a single platform vision with shared milestones and guardrails
* Operationalize Strategic Initiatives — Stand up cross\-functional (XFN) workstreams; own OKRs, dependency maps, and exec\-ready status
* Run Continuous \&amp; Quarterly Planning — Drive quarterly/release planning and ongoing replans across the Viewer Platform and Roku\-wide dependencies
* Forecast Capacity Early — Track expected resource utilization ahead of each quarter and flag gaps across Eng, XFN PMs, Business areas, UX, Analytics, and International
* Manage Dependencies — Track and unblock cross\-team dependencies for high\-value initiatives; escalate decisively when needed
* Manage High\-Impact Analytics Backlog — Help analytics prioritize work that is deeply insightful and highlights trends beyond general AB testing (e.g., long\-term holdouts, industry benchmarks)
* Steward the Continuous Planning Process — Partner with PMs to ensure rigor from intake → definition → execution → launch along with a traceable framework
* Publish Roadmaps — Share in\-progress, upcoming, and 1–2 year views; link to big bets, deprecations, and supporting insights (Analytics/UXR)
* Drive Alignment \&amp; Ownership — Enforce RACI style clarity; ensure healthy scope/ownership boundaries between product areas
* Report Progress Crisply — Host Quarterly Product Area reviews with key leaders and XFN partners, share roadmaps, and provide data\-informed updates on impact, risks, and mitigations
* Surface Data\-Backed Trade\-Offs — Present clear options, impacts, and recommendations to leadership
**We’re Excited If You Have:** 
* 6\+ years of experience in Program Management, Product Operations, or Technical Program Management in consumer tech, AI/ML, or platform organizations
* Proven success managing cross\-functional initiatives that span product, data, and engineering teams
* Experience driving AI/ML or platform\-scale transformations or programs
* Deep understanding of product and business operations, including goal setting, KPI design, and roadmap governance
* Strong communication and influencing skills — you can simplify complexity, align diverse stakeholders, and present to executives with clarity and confidence
* Comfort with ambiguity, iteration, and scaling systems in fast\-paced environments
* Expertise with Jira, Confluence, and analytics dashboards is a plus
* Bachelor’s degree required; advanced degree preferred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26">
      <c r="A26" t="inlineStr">
        <is>
          <t>li-4329869893</t>
        </is>
      </c>
      <c r="B26" t="inlineStr">
        <is>
          <t>Staff Product Manager, Ads Monetization - Searcher Monetization</t>
        </is>
      </c>
      <c r="C26" t="inlineStr">
        <is>
          <t>Reddit, Inc.</t>
        </is>
      </c>
      <c r="D26" t="inlineStr">
        <is>
          <t>linkedin</t>
        </is>
      </c>
      <c r="E26" t="inlineStr"/>
      <c r="F26" t="inlineStr"/>
      <c r="G26" t="inlineStr"/>
      <c r="H26" t="inlineStr"/>
      <c r="I2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116 million daily active unique visitors, Reddit is one of the internet’s largest sources of information. For more information, visit www.redditinc.com.
**The Team \&amp; Organization**
 Reddit Ads provides a robust, high\-scale advertising solution designed to connect brands with an engaged, authentic community. We aim to deliver advertising that feels native to the platform while driving real business results. As part of the Reddit Ads team, you’ll be at the forefront of reshaping how brands engage with our communities.
 The Reddit Ads Marketplace team is responsible for Ads quality, delivery and serving. This is a unique opportunity to join a high\-performing team that will shape how we monetize the Reddit platform and to help connect redditors with brands they love. We are seeking a product manager who can drive the product vision, development, and execution of our Search related ad products at Reddit.
**The Opportunity**
 Reddit is at a pivotal moment in its evolution, and we’re growing our Ads team to take the platform’s monetization to new heights. As a Staff Product Manager on our Ads Marketplace team, you will play a pivotal role in how we design the experience for users who come to reddit to find something specific. This is an opportunity to work on one of the most exciting areas in online advertising, where the scale, complexity, and user\-first mindset of Reddit’s platform present unique challenges and rewards.
 If you're looking for a role where you can make a real impact by driving both innovation and measurable business outcomes, then this is the role for you!
**Role Overview**
 Every day millions of users come to Reddit to find something specific that is useful and trustworthy. Search related visits are some of the most critical and valuable user journeys at Reddit. As a Staff Product Manager, you will be the leader driving monetization vision and a key contributor to defining all search related activities at Reddit. This is a key area of investment for the company, and this role will be at the forefront of shaping our approach in this space.
**What You'll Do**
* Own The Product Strategy: You will define the monetization vision for highly intentful search related experiences at Reddit, optimizing for long term success.
* Provide Leadership: You will be the overall E2E owner of the area \- leading strategy, development, and launch of advertising products for all search related advertising within Reddit including Reddit Answers (our generative AI search experience), as well as users who visit us via referrals from Search Engines and LLMs.
* Collaborate With Teams Across the Org: You will work closely with Consumer, Formats, Marketplace, and UX teams to build surfaces that incorporate ads natively and sensibly with the goal of retaining searchers and maximizing their engagement on the platform.
* Turn Product Vision Into Reality: You will translate business goals and user needs into clear product requirements, guide technical trade\-offs, and ensure alignment across teams.
* Drive Monetization: Lead the monetization efforts for search related activities on Reddit
* Make Data\-Driven Decisions: Use a deep understanding of metrics, analytics, and competitive research to define product strategy, identify opportunities for improvement, and shape the evolution of our ads offerings
* Impact the Bottom Line: Define and own KPIs that track advertiser outcomes, user engagement, and marketplace efficiency \- with a strong focus on revenue growth, user experience, and long\-term sustainability.
**Required Experience**
* Experience: 7\+ years of Product Management experience.
* Advertising Expertise: Strong background in online advertising, including experience with search ads, ad quality, ad formats, or display advertising.
* Cross Functional Leadership: experience managing complex initiatives working with multiple teams.
* Data\-Driven Approach: Expertise in using data to drive decisions and business outcomes. You should be comfortable diving into analytics, building experiments, and iterating based on insights.
* Product Leadership: You have experience managing the full product lifecycle—from concept to execution collaborating with multiple teams—and can make tough prioritization decisions while balancing competing stakeholder needs.
* Technical Chops: Familiarity with standard ad serving and ML modeling concepts.
* Strong Communication: You excel at collaborating across teams and can communicate complex ideas effectively to both technical and non\-technical stakeholders, including executives.
* ML Experience: Experience building and launching ML driven products
**Why Reddit?**
* Impact: You’ll be working on a product that is used by hundreds of millions of people every month, and your contributions will directly shape the way Reddit engages with its users and advertisers.
* Ownership: As a senior PM, you’ll have significant ownership of key initiatives, giving you the chance to have a lasting impact on Reddit’s business and product.
* Innovation: Reddit is a fast\-paced, innovation\-driven environment where you’ll have the opportunity to work on cutting\-edge ad tech and ML\-driven products.
* Growth: Reddit’s ads team is scaling rapidly, and this is an opportunity to join at a critical time. You’ll have the chance to grow your career, take on new challenges, and shape the future of digital advertising.
* Work\-Life Balance: We’re committed to your well\-being, with flexible vacation policies, global wellness days, and paid volunteer time off. We care about your personal and professional growth, too, with generous development funds.
**Perks And Benefits**
* 100% remote opportunity (we have 4 office locations for hybrid/onsite work preference in NY, SF, LA and Chicago)
* Competitive salary and equity options
* Comprehensive health benefits (medical, dental, vision) \&amp; workplace perks (home office set up stipend etc)
* Generous 401k matching
* Flexible vacation policy
* Paid parental leave (4\+ months)
* Family planning support
* Paid volunteer time off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row>
    <row r="27">
      <c r="A27" t="inlineStr">
        <is>
          <t>li-4291370981</t>
        </is>
      </c>
      <c r="B27" t="inlineStr">
        <is>
          <t>Senior / Staff Product Manager, Growth</t>
        </is>
      </c>
      <c r="C27" t="inlineStr">
        <is>
          <t>BioRender</t>
        </is>
      </c>
      <c r="D27" t="inlineStr">
        <is>
          <t>linkedin</t>
        </is>
      </c>
      <c r="E27" t="inlineStr"/>
      <c r="F27" t="inlineStr"/>
      <c r="G27" t="inlineStr"/>
      <c r="H27" t="inlineStr"/>
      <c r="I27" t="inlineStr">
        <is>
          <t>At BioRender, we’re on a mission to accelerate the world’s ability to learn, discover, and communicate science — transforming how knowledge is shared and making science open, collaborative, and easily understandable by all.
 We’re shaping the future of science communication and are looking for talented individuals to help bring this vision to life! 🚀
 As our Senior Product Manager, Growth, you will lead exciting initiatives in an opportunity space that is still very much zero\-to\-one. BioRender’s product\-led freemium business model is an ideal fit for a Growth concentration (low friction, high user volume, word\-of\-mouth\-friendly) and you’ll get to spearhead some of our highest ROI initiatives in this role.
**What You'll Be Doing**
* Within your first 90 days, become an expert on our users, their behaviors, and the self\-service funnel — from acquisition to activation to adoption.
* Lead initiatives to optimize the user journey, driving activation, habit formation, and long\-term retention.
* Assess and improve freemium growth loops, experimenting with new channels and opportunities for user\-driven expansion.
* Own and execute a growth roadmap focused on the highest ROI opportunities for activation and monetization.
* Partner cross\-functionally with Growth EPD and go\-to\-market teams to deliver impactful experiments and product improvements.
* Contribute to building BioRender’s growth practice, establishing best\-in\-class processes and a culture of experimentation.
**What We Value**
* 3\+ years of product management experience, ideally at a fast\-growing SaaS startup
* Proven track record of delivering web/product changes that have significant business impact (have a direct impact on product usage, revenue and/or top of the funnel user acquisition)
* Successful track record of owning a significant part of a user\-facing product and delivering features that customers need, preferably on a web\-based product
* Prior experience working as a growth PM is preferred
* Science background is a plus but not required!
*Note: We recognize that career paths vary, and your unique journey may have equipped you with the necessary skills even if you don’t meet all of the criteria above. If you believe you have what it takes to excel in this role, we encourage you to apply!*
**Why join us?**
* We are mission\-driven: we work collaboratively towards our shared vision of improving scientific communication and accelerating scientific discovery. BioRender figures have appeared in more than 54,000 publications!
* BioRender is loved by millions! We have a world\-class NPS and a community of loyal fans and users in 200\+ countries!
* Our company is backed by top investors and accelerators like Y Combinator, and we are on a growth trajectory comparable to many top\-performing SaaS companies
* We’re remote\-first with team members across Canada and the U.S., offering you the flexibility to work from anywhere.
 BioRender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row>
    <row r="28">
      <c r="A28" t="inlineStr">
        <is>
          <t>li-4331731823</t>
        </is>
      </c>
      <c r="B28" t="inlineStr">
        <is>
          <t>Sr. Product Manager, Databricks Free Edition</t>
        </is>
      </c>
      <c r="C28" t="inlineStr">
        <is>
          <t>Databricks</t>
        </is>
      </c>
      <c r="D28" t="inlineStr">
        <is>
          <t>linkedin</t>
        </is>
      </c>
      <c r="E28" t="inlineStr"/>
      <c r="F28" t="inlineStr"/>
      <c r="G28" t="inlineStr">
        <is>
          <t>Seattle, WA</t>
        </is>
      </c>
      <c r="H28" t="inlineStr"/>
      <c r="I28" t="inlineStr">
        <is>
          <t>RDQ126R51
 Mission
 At Databricks, we’re on a mission to help data teams solve the world’s toughest problems. The Databricks Free Edition makes it easy for students, enthusiasts, and aspiring professionals to explore data and AI hands\-on, gaining the skills and confidence to build the future.
 We’re looking for a Senior Product Manager to join the team driving Databricks Free Edition. You’ll collaborate closely with a cross\-functional team of product managers, engineers, and designers to create experiences that make learning data and AI engaging, accessible, and impactful.
 The Impact You Will Have
* Help shape and advance the vision, strategy, and roadmap for Databricks Free Edition, contributing to experiences that make learning data and AI engaging and accessible.
* Collaborate with design, engineering, and education teams to deliver intuitive, hands\-on learning journeys within Databricks.
* Work with academic and learning program partners to support data and AI education through Databricks.
* Coordinate with other product teams to ensure new features are thoughtfully introduced into Free Edition with the right user experience and guardrails.
* Engage directly with learners and users to understand their goals, identify friction points, and translate insights into impactful product improvements.
* Define and track success metrics that measure learning engagement and user outcomes.
 What We Look For
* 5\+ years of product management experience, preferably in data, AI, or developer\-focused platforms.
* Strong customer empathy and passion for creating learning and onboarding experiences that empower users.
* Proven ability to drive cross\-functional collaboration across engineering, design, and go\-to\-market teams.
* Excellent communication and storytelling skills, able to articulate vision, motivate teams, and simplify complex concepts.
* Technical proficiency to collaborate effectively with engineering on data and platform capabilities.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$145,400—$199,850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9">
      <c r="A29" t="inlineStr">
        <is>
          <t>li-4361067300</t>
        </is>
      </c>
      <c r="B29" t="inlineStr">
        <is>
          <t>Product Manager - Industrial Cybersecurity</t>
        </is>
      </c>
      <c r="C29" t="inlineStr">
        <is>
          <t>UL Solutions</t>
        </is>
      </c>
      <c r="D29" t="inlineStr">
        <is>
          <t>linkedin</t>
        </is>
      </c>
      <c r="E29" t="inlineStr"/>
      <c r="F29" t="inlineStr"/>
      <c r="G29" t="inlineStr">
        <is>
          <t>Fremont, CA</t>
        </is>
      </c>
      <c r="H29" t="inlineStr"/>
      <c r="I29" t="inlineStr">
        <is>
          <t>**Job Description**
* Participate in the establishment of and support the vision for the Industrial Cybersecurity segment, in concert with deep market understanding, to inform the core and new product strategy.
* Develop services that align with growth strategies and support and contribute to the go\-to\-market strategy for Cybersecurity Services used in the Industrial domain, especially as it relates to grid\-tied products used in power generation, distribution, and storage; factory applications; and digital and physical detection and security systems.
* Evangelize and communicate the product vision, strategy and goals internally and externally
* Define product requirements, develop specifications, and manage the product lifecycle; describe how value will be delivered to the customer/user, how UL’s products are differentiated from the competition, and what the business model should be in a given market.
* Prioritize product functions and features to create a product roadmap
* Monitor a set of product goals, outcomes and corresponding metrics to continually evaluate against and drive future activities and strategies.
* Support an efficient cross\-functional matrix structure to enable effective product development lifecycle management.
* Execute a robust set of processes to power all parts of the product development lifecycle from research/discovery to release/launch management and product support
**Qualifications**
* Bachelor's Degree in Engineering, Business, or a related discipline.
* 5\+ years of technical or business experience the Industrial Cybersecurity industry.
* 5\+ years of demonstrated competency in Product Management.
* Aility to lead small to medium groups of internal and external stakeholders towards desired outcomes in order to meet business objectives.
* IAbility to conduct discovery sessions with clients, prospects and stakeholders in order to diagnose business opportunities, elicit requirements, and conduct other types of research and analysis.
* Strong communication and presentation (PowerPoint) skills, with the ability to work effectively in a team
* Product/service design, analysis (Power BI), product/service development task management and project management, documentation and knowledge (SharePoint), collaboration (e.g. Microsoft Teams, Slack), roadmap and portfolio management (and related software tools).
* Working with remote teams is highly valued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$130,000\. to $140,000\.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8/5/2026\.</t>
        </is>
      </c>
    </row>
    <row r="30">
      <c r="A30" t="inlineStr">
        <is>
          <t>li-4361405030</t>
        </is>
      </c>
      <c r="B30" t="inlineStr">
        <is>
          <t>Product Manager - Industrial Cybersecurity</t>
        </is>
      </c>
      <c r="C30" t="inlineStr">
        <is>
          <t>UL Solutions</t>
        </is>
      </c>
      <c r="D30" t="inlineStr">
        <is>
          <t>linkedin</t>
        </is>
      </c>
      <c r="E30" t="inlineStr"/>
      <c r="F30" t="inlineStr"/>
      <c r="G30" t="inlineStr">
        <is>
          <t>Jacksonville, FL</t>
        </is>
      </c>
      <c r="H30" t="inlineStr"/>
      <c r="I30" t="inlineStr">
        <is>
          <t>**Job Description**
* Participate in the establishment of and support the vision for the Industrial Cybersecurity segment, in concert with deep market understanding, to inform the core and new product strategy.
* Develop services that align with growth strategies and support and contribute to the go\-to\-market strategy for Cybersecurity Services used in the Industrial domain, especially as it relates to grid\-tied products used in power generation, distribution, and storage; factory applications; and digital and physical detection and security systems.
* Evangelize and communicate the product vision, strategy and goals internally and externally
* Define product requirements, develop specifications, and manage the product lifecycle; describe how value will be delivered to the customer/user, how UL’s products are differentiated from the competition, and what the business model should be in a given market.
* Prioritize product functions and features to create a product roadmap
* Monitor a set of product goals, outcomes and corresponding metrics to continually evaluate against and drive future activities and strategies.
* Support an efficient cross\-functional matrix structure to enable effective product development lifecycle management.
* Execute a robust set of processes to power all parts of the product development lifecycle from research/discovery to release/launch management and product support
**Qualifications**
* Bachelor's Degree in Engineering, Business, or a related discipline.
* 5\+ years of technical or business experience the Industrial Cybersecurity industry.
* 5\+ years of demonstrated competency in Product Management.
* Aility to lead small to medium groups of internal and external stakeholders towards desired outcomes in order to meet business objectives.
* IAbility to conduct discovery sessions with clients, prospects and stakeholders in order to diagnose business opportunities, elicit requirements, and conduct other types of research and analysis.
* Strong communication and presentation (PowerPoint) skills, with the ability to work effectively in a team
* Product/service design, analysis (Power BI), product/service development task management and project management, documentation and knowledge (SharePoint), collaboration (e.g. Microsoft Teams, Slack), roadmap and portfolio management (and related software tools).
* Working with remote teams is highly valued
**What You’ll Experience Working For ULS**
 UL Solutions has been pioneering change since 1894 and we’re still leading the way. From day one, we’ve blazed a trail protecting the planet and everyone on it. Our teams have influenced billions of products, plus services, software offerings and more. We break things, burn things and blow things up. All in the name of safety science.
 That’s where you come in — because none of it could happen without you. It takes passion to protect people, problem\-solving to safeguard personal data and conviction to make the world a more sustainable place. It takes bold ideas and brilliant minds to build a better world for future generations across the globe.
 This is more than a job. It’s a calling. A passion to use our expertise and play our part in creating a more secure, sustainable world today — and tomorrow. As a member of our safety science community, you’ll use your ideas, your energy and your ambition to innovate, challenge and ultimately, help create a safer world.
 Everyone here is unique. But we’re also a global community, working together to help create a safer world. Join UL Solutions and you can connect with the brightest minds in the business, all bringing their distinct perspectives and diverse backgrounds together to deliver real change.
 Empowering our customers to keep the world safe means thinking ahead. It means investing in training and empowering our people to learn and innovate. At UL Solutions, we help build a better future — one where everyone benefits.
 Join UL Solutions to be at the center of safety. To learn more about us and the work we do, visit  UL.com
**What we offe** 
 r:
 We understand compensation is an important factor as you consider the next step in your career. The estimated salary range for this position is $130,000\. to $140,000\.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The application deadline for this position is 8/5/2026\.</t>
        </is>
      </c>
    </row>
    <row r="31">
      <c r="A31" t="inlineStr">
        <is>
          <t>li-4332757341</t>
        </is>
      </c>
      <c r="B31" t="inlineStr">
        <is>
          <t>Product Manager - Product Engineering</t>
        </is>
      </c>
      <c r="C31" t="inlineStr">
        <is>
          <t>Deloitte</t>
        </is>
      </c>
      <c r="D31" t="inlineStr">
        <is>
          <t>linkedin</t>
        </is>
      </c>
      <c r="E31" t="inlineStr"/>
      <c r="F31" t="inlineStr"/>
      <c r="G31" t="inlineStr">
        <is>
          <t>Dallas, TX</t>
        </is>
      </c>
      <c r="H31" t="inlineStr"/>
      <c r="I3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32">
      <c r="A32" t="inlineStr">
        <is>
          <t>li-4267394261</t>
        </is>
      </c>
      <c r="B32" t="inlineStr">
        <is>
          <t>Product Manager - Vault CRM Suite</t>
        </is>
      </c>
      <c r="C32" t="inlineStr">
        <is>
          <t>Veeva Systems</t>
        </is>
      </c>
      <c r="D32" t="inlineStr">
        <is>
          <t>linkedin</t>
        </is>
      </c>
      <c r="E32" t="inlineStr"/>
      <c r="F32" t="inlineStr"/>
      <c r="G32" t="inlineStr">
        <is>
          <t>New York, NY</t>
        </is>
      </c>
      <c r="H32" t="inlineStr"/>
      <c r="I3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Vault CRM is an industry\-leading product purpose\-built for life sciences, with more than 80% market share, transforming how pharmaceutical, biotech, and medtech companies engage with healthcare professionals worldwide. This is an opportunity to build on a foundation of market leadership while driving the next wave of innovation in AI\-powered customer engagement.
 Vault CRM delivers:
* A unified suite that integrates CRM with campaign management, contact centers, sales planning, events management, and more which enables customers to break down silos and enables smarter, more connected workflows.
* Next\-generation AI agents that deliver intelligent, context\-driven engagement across commercial and medical teams.
* Global compliance, with region\-specific functionality and hundreds of built\-in compliance features to support highly regulated markets.
* Always\-on productivity, with full offline support across Windows, Mac, and iOS, ensuring seamless use anywhere.
* Deep functionality purpose\-built for life sciences and strengthened by data lakehouse technology and modern cloud architecture \- all built on the Veeva Vault Platform.
* Integrations with other leading technology providers such as Microsoft 365, Concur, Workday, Zoom, and more.
 Product Managers at Veeva:
* Influence product direction and strategy in one of the world’s most widely used enterprise CRM applications.
* Collaborate with life sciences and technology experts to shape the next generation of AI\-powered, data\-driven CRM solutions.
* Drive Veeva’s AI and data initiative by designing functionality that combines intelligent orchestration and natural language interfaces.
* See their work adopted at scale, with features rolled out across some of the world’s largest and most innovative life sciences companies.
* Work for a product\-focused company with a clear product vision set from the top, and where product knowledge and instinct are valued at all levels.
* Contribute to a mission that matters by accelerating how new therapies reach patients and improving global healthcare outcomes.
 This role offers the best of both worlds: the chance to work on a product with global scale and proven adoption, while still innovating at the cutting edge of AI, data, and platform extensibility. You’ll have visibility with senior leaders, influence roadmap decisions, and shape how an entire industry engages with its customers.
**What You'll Do**
* Participate in the full product lifecycle, from ideation and pitching through design, development, and delivery to bring new features to market
* Work with Product Management leaders to translate market trends, customer insights, and emerging technologies into clear product requirements that anticipate future needs
* Drive the ideation and development of new AI features within our core commercial software, guiding end users and empowering them to be more effective in their roles
* Collaborate with UX, architecture, development, and QA teams to create detailed product specifications which deliver real business value and intuitive user experiences
* Lead cross\-functional teams in daily standups, to ensure smooth execution and timely releases
* Present the roadmap and demo cutting edge features to customers and internal stakeholders to showcase upcoming product innovations and gather feedback on product direction
* Serve as a product evangelist and subject matter expert across solutions consulting, services, and support
* Guide features from concept through release, ensuring they are built with quality, adopted at scale, and truly delight users
**Requirements**
* 2\+ years of product management experience for a software company
* Experience in obtaining and synthesizing customer feedback, assessing needs, and integrating into a cohesive design
* Strong analytical and problem\-solving skills with a curiosity to go deep and uncover the “why”
* Self\-motivated, resourceful, and independent, willing to go the extra mile to make our product and customers successful
* Demonstrated ability to write requirements specifications, manage backlogs, and lead engineering and QA to deliver in an agile environment
* Excellent communication skills (written, verbal, and presentation)
* High degree of professional ethics and integrity
****Nice to Have****
* Experience in the life sciences industry, particularly commercial, medical, or field teams
* Experience with conversational AI, recommendation engines, or large language models (LLMs)
* Experience with configurable enterprise SaaS solutions
* Prior exposure to the Veeva Vault Platform
* Background in software development or computer science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33">
      <c r="A33" t="inlineStr">
        <is>
          <t>li-4323613667</t>
        </is>
      </c>
      <c r="B33" t="inlineStr">
        <is>
          <t>AI Product Manager Graduate (Creative and Brand Innovation) - 2026 Start (BS/MS)</t>
        </is>
      </c>
      <c r="C33" t="inlineStr">
        <is>
          <t>TikTok</t>
        </is>
      </c>
      <c r="D33" t="inlineStr">
        <is>
          <t>linkedin</t>
        </is>
      </c>
      <c r="E33" t="inlineStr"/>
      <c r="F33" t="inlineStr"/>
      <c r="G33" t="inlineStr">
        <is>
          <t>San Jose, CA</t>
        </is>
      </c>
      <c r="H33" t="inlineStr"/>
      <c r="I33" t="inlineStr">
        <is>
          <t>**Responsibilities**
 About the Team:
 Our Creative and Brand Innovation Product Team is dedicated to building full\-funnel marketing solutions that combine creative content—such as the TikTok One platform, content packages, and ACA creative tools—with advanced AI technologies. We empower brands to drive measurable business outcomes, from awareness and engagement to conversion and purchase.
 By seamlessly integrating creativity, community, and commerce—with AI capabilities embedded throughout—we help brands efficiently reach their target audiences and achieve sustainable growth.
 Our mission: Inspire creativity, ignite growth.
 Our vision: TikTok is the creativity\-powered, Al\-fueled growth engine that turns discovery into measurable impact
**About Global Spark Talent Program:**
 To foster the next generation of global talent with both an international perspective and strong digital business acumen, Creative and Brand Innovation Product is proud to launch the "Global Spark Program", tailored for Class of 2026 graduates:
* Gain cross\-functional exposure through structured job rotations aligned with global business priorities within 2 years;
* Dedicated growth support from leader and mentor;
* High\-Impact Opportunities.
 Believe in the power of youth. Shape the future together.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Responsible for applying text, image, or video generation models in advertising scenarios, owning both model performance metrics and related business KPIs.
* Lead the design and implementation of AIGC\-related products and industry solutions, including but not limited to derivation strategies, delivery strategy adaptation, and frontend interaction design. Develop general and customized products, and deliver them via ad platforms, APIs, and other channels.
* Participate in the design and development of innovative AIGC commercialization products, manage requirement tracking and launch readiness, and coordinate with cross\-functional teams to ensure high\-quality execution.
* Analyze and validate data related to ad performance using AIGC products to improve product development efficiency and advertiser experience.
* Stay updated on industry trends and emerging technologies, drive innovation, and ensure model capabilities remain industry\-leading.
**Qualifications**
 Minimum Qualifications:
* Bachelor’s degree or above, preferably in STEM or related fields.
* Prior internship experience in advertising or AIGC\-related roles is a plus; strong analytical and logical thinking skills, with the ability to handle data effectively.
* Experience with overseas projects is preferred; Strong communication skills and comfortable communicating externally in a professional setting.
* Strong self\-motivation, with the ability to manage multiple tasks in a fast\-paced environment.
* Strong logical thinking, data analysis, and self\-driven mindset; excellent communication and teamwork skills; highly curious and eager to learn.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$122360 \- $185600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4">
      <c r="A34" t="inlineStr">
        <is>
          <t>li-4365664888</t>
        </is>
      </c>
      <c r="B34" t="inlineStr">
        <is>
          <t>Payments-ACH Product Manager-Vice President</t>
        </is>
      </c>
      <c r="C34" t="inlineStr">
        <is>
          <t>JPMorganChase</t>
        </is>
      </c>
      <c r="D34" t="inlineStr">
        <is>
          <t>linkedin</t>
        </is>
      </c>
      <c r="E34" t="inlineStr"/>
      <c r="F34" t="inlineStr"/>
      <c r="G34" t="inlineStr">
        <is>
          <t>Jersey City, NJ</t>
        </is>
      </c>
      <c r="H34" t="inlineStr"/>
      <c r="I34"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US Automated Clearing House,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Analyzes, tracks, and evaluates product metrics including work to time, cost, and quality targets across the product development life cycle
* Writes the requirements, epics, and user stories to support product development
* Work closely with Finance \&amp; Business Management in digesting, analyzing, and reporting business metrics
* Execute the ACH program delivery strategy partnering with tech, sales, product solutions teams, operations and others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Developing knowledge of data analytics and data literacy
* Experience with Excel, Access, Vizio, and Tableau
* Presentation skills – making and delivering presentations to a varied audience
* Team player willing to jump in an assist when and where possible
**Preferred Qualifications, Capabilities, And Skills**
* Demonstrated prior experience working in a highly matrixed, complex organization
* Creative problem solver, capable of developing innovative and differentiated solutions in a complex tech environment
* Agile mindset \- both in how you deliver solutions with technology partners, but also in managing competing priorities and client demand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5">
      <c r="A35" t="inlineStr">
        <is>
          <t>li-4285032564</t>
        </is>
      </c>
      <c r="B35" t="inlineStr">
        <is>
          <t>Product Manager</t>
        </is>
      </c>
      <c r="C35" t="inlineStr">
        <is>
          <t>Globus Medical</t>
        </is>
      </c>
      <c r="D35" t="inlineStr">
        <is>
          <t>linkedin</t>
        </is>
      </c>
      <c r="E35" t="inlineStr"/>
      <c r="F35" t="inlineStr"/>
      <c r="G35" t="inlineStr">
        <is>
          <t>King of Prussia, PA</t>
        </is>
      </c>
      <c r="H35" t="inlineStr"/>
      <c r="I35"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**Position Summary**
 The Product Manager is responsible for designing, developing, and managing activities for a specific product or group of products from product definition and planning through production, release and end of life. This position is the central resource with design, process, manufacturing, test, quality and marketing as the product(s) move from production through distribution.
**Essential Functions**
* Collaborates with management to establish strategic plans and objectives
* Implements functional strategy and contributes to the development of organizational policies
* Develops sound mechanical, pre\-clinical, and clinical data of scientific merit on all technologies developed
* Performs and maintains a market analysis for each assigned product segment to identify new offerings and line extensions
* Creates and manages a project plan for each project in conjunction with the engineer
* Leads coordination and documentation of project team activities including: kick\-off meetings, design review meetings, verification/validation and cadaver lab utilization
* Develops marketing plans for each product introduction
* Forecasts and oversees inventory management for all projects
* Ensures timely and high\-quality documentation of DHFs, DMRs, and DHRs for each project according to the company’s quality policy and regulatory bodies
* Develops technique guides, product literature, brochures, sales binders, and other sales support collateral
* Partners with operations and purchasing to source products through company supply chain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 the highest standards of ethical business practices and socially responsible conduct in all interactions with other employees, customers, suppliers, and other third parties
*Reasonable accommodations may be made to enable individuals with disabilities to perform these* 
 essential
 *functions.*
**Qualifications**
* Bachelor’s Degree with 5 years of related experience; or Master’s Degree and 3 years of experience
* Excellent verbal and written communication skills
* Advanced project management skills
* Experience with new product introduction and lifecycle management
* Advanced critical thinking and problem\-solving skills
* Proficiency in using Microsoft Office products
* Ability to travel up to 20% of the time
**Physical Demands**
 The physical demands listed here are representative of those that must be met by and employee to successfully perform the essential functions of this job.
* Required to sit; climb or balance; and stoop, kneel, crouch or crawl
* Required to regularly lift and/or move up to 10 pounds, and occasionally lift and/or move up to 25 pounds
* Required to possess specific visons abilities, including: close vision, distance vision, color vision, peripheral vision, depth perception and capacity to adjust focus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36">
      <c r="A36" t="inlineStr">
        <is>
          <t>li-4371055687</t>
        </is>
      </c>
      <c r="B36" t="inlineStr">
        <is>
          <t>Senior Advisory Product Manager, US Wealth - New York, NY</t>
        </is>
      </c>
      <c r="C36" t="inlineStr">
        <is>
          <t>TD</t>
        </is>
      </c>
      <c r="D36" t="inlineStr">
        <is>
          <t>linkedin</t>
        </is>
      </c>
      <c r="E36" t="inlineStr"/>
      <c r="F36" t="inlineStr"/>
      <c r="G36" t="inlineStr">
        <is>
          <t>New York, NY</t>
        </is>
      </c>
      <c r="H36" t="inlineStr"/>
      <c r="I36" t="inlineStr">
        <is>
          <t>**Work Location:**
 New York, New York, États\-Unis d'Amérique
**Hours**
 40
**Pay Details**
 $124,280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Gestion de patrimoine TD
**Job Description**
 The Senior Product Manager, US Wealth oversees the end\-to\-end management of assigned products, services and programs including features, benefits and characteristics that meet customer needs and are priced to meet the firms profit and loss objectives. The Product Manager manages a particular product or function supporting in the achievement of a business strategy. This role acts as a source for innovation led through customer insights and creating a better customer experience with a particular product. The role is accountable for business results and product sales, working with distribution teams to ensure revenue and volume targets are met.
 The
 **Senior Advisory Product Manager** 
 is accountable for the development and execution for both strategic and tactical initiatives related to the ongoing development and support of the Advisory Investment platform and solutions. The Senior Advisory Product Manager will oversee and be responsible for the risk and quality management of all TD's managed programs as well as the investments available in each program.
**Depth \&amp; Scope**
* Subject Matter Expert with substantial knowledge/expertise in Wealth Management product offerings and platform design
* Responsible for day\-to\-day product management and product development with mass or niche product/segment suite and moderate/high level of complexity with range of complex attributes
* Responsible for platform risk management, creating and updating policies, procedures, and product documentation as needed due to internal changes or regulatory updates and ensuring compliance with all policies and procedures.
* Supports management with business analysis for all projects or enhancements
* Liaises with vendors to coordinate platform change management and solution enhancement
* Collaborates with cross\-functional teams across disciplines such as operations, technology, design, marketing, legal, compliance, risk, and relevant departments
* Provides subject matter expertise for internal and external audits and regulatory exams
* Manages 3rd Party platform vendors and partners to ensure risk and quality management of platforms and offering
* Handles daily product management and product development responsibilities to make assigned products and programs robust and easier for the Advisors to utilize
* Provides holistic solutions that brings together the firm's product shelf to meet the needs of clients
* Translates data into actionable insights and recommendations that can improve the products features, functionality, usability, pricing, and value proposition
* Performs financial analysis and revenue management
* Gathers, analyzes, and interprets trends with data to answer critical business and product questions
* Recommends and drives action to improve revenue and/or expense management
* Champions the development of the annual business plan and monthly/quarterly forecast process
* Supports and resolves sales team day to day questions and issues
* Supports training efforts on new system/solution rollout
* Works closely with marketing teams to develop and/or refine value propositions and competitive positioning for key solutions
* Delivers financial results for the product/product suite via operation of all available levers: pricing, margin, volume etc., creates and delivers business cases to achieve strategic business results (acquisition, retention, customer experience, engagement and market share)
**Education \&amp; Experience**
* Undergraduate degree or product management certificate, and/or
* 7\+ years relevant experience
* Previous Product experience typically required
* Advanced knowledge of and ability to conduct product research, product analysis and development, forecasting, pricing, competitive intelligence
* Knowledge of current and emerging competitor and market trends
* Ability to lead, plan, implement and evaluate program/project activities to ensure completion of product initiatives
* Ability to forecast and contribute to strategic direction of the product management function and provide advice to senior leadership
* Ability to communicate effectively in both oral and written form
* Ability to work collaboratively and build relationships across teams and functions
* Ability to work successfully as a member of a team and independently
* Ability to exercise sound judgement in making decisions
* Ability to analyze, organize and prioritize work while meeting multiple deadlines
* Skill in preparing and managing budgets and P\&amp;L
* Knowledge of and/or skill in using analytical software tools, data analysis methods and reporting techniques
* Skill in using computer applications including MS Office
* Ability to handle confidential information with discretion
* Licensing (Role Dependent): Series 7, 63 and 65 (or 66\), Life \&amp; Health or willingness to get licensed to support various product lines
**Preferred Qualifications**
* Understanding Advisory platforms and Advisory products \&amp; programs in a competitive landscape to position TD in the most competitive way within TDs risk appetite.
* Subject matter expertise in Advisory offering with depth in developing and maintaining managed programs including but not limited to UMA, SMA, and Rep as PM.
* Responsible for day\-to\-day product management and product development responsibilities, making Advisory Programs robust and easy for Advisory to utilize.
**OCC Language**
* This position is with a FINRA member, broker and/or dealer and is subject to the requirements of FINRA and Securities Laws. May (or may not) be a registered position under FINRA.
* Must be eligible for employment under standards established by FINRA. Subject to the investigation and verification requirements of FINRA Rule 3110(e), including: the Firm's obligation to investigate the good character, business reputation, qualifications and experience of an applicant for registration before applying to register the applicant with FINRA and filing the applicant's Form U4 with the CRD, and before representing on the applicant's Form U4 that it has conducted this investigation and verified the accuracy and completeness of the information contained in the applicant's Form U4; and the Firm's obligation to verify the accuracy and completeness of the information contained on the applicant’s Form U4, no later than 30 calendar days after the Form U4 is filed with FINRA.
* Satisfactory results on a criminal background check, credit report check, civil litigation search, and regulatory agency or self\-regulatory organization enforcement action search, and statements/certification from job applicant regarding administrative, civil, and/or criminal findings by any government agency/authority or self\-regulatory organization, are required by federal law for this position.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37">
      <c r="A37" t="inlineStr">
        <is>
          <t>li-4373274765</t>
        </is>
      </c>
      <c r="B37" t="inlineStr">
        <is>
          <t>Principle Product Manager - Enterprise Cloud Platform - Remote</t>
        </is>
      </c>
      <c r="C37" t="inlineStr">
        <is>
          <t>Optum</t>
        </is>
      </c>
      <c r="D37" t="inlineStr">
        <is>
          <t>linkedin</t>
        </is>
      </c>
      <c r="E37" t="inlineStr"/>
      <c r="F37" t="inlineStr"/>
      <c r="G37" t="inlineStr">
        <is>
          <t>Eden Prairie, MN</t>
        </is>
      </c>
      <c r="H37" t="inlineStr"/>
      <c r="I37"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Sr. Principal Product Manager \- Enterprise Cloud Platform, serves as the business champion for Enterprise Cloud Platform solutions across Enterprise Imaging product lines. Optum Enterprise Imaging provides cloud and on\-premises solutions for multi\-specialty care areas such as diagnostic radiology, cardiology, and other care area solutions. Cloud Platform provides infrastructure and services for clinical workflow, vendor neutral archive and enterprise viewing solutions for healthcare providers and administrators.
 In this role, you'll maintain an innovative and compelling Platform strategy for IT applications in Health IT domain, including infrastructure such as edge devices. You will be responsible for working closely with cloud providers to adopt and maintain a strategy for cloud transformation and optimization. The Sr. Principal Product Manager will translate customer and business needs around IT infrastructure and services into a viable strategy for cloud platform and own the executable roadmap for the platform. The Principal Product Manager will own the cloud platform strategy that provides cost\-effective, reliable and secure platform for business application.
 The ideal candidate brings strong familiarity with cloud‑native SaaS delivery models, including concepts such as multi‑tenancy, workload isolation, and usage‑based cost drivers. This individual partners closely with Engineering and Cloud Ops to shape platform direction.
 You'll enjoy the flexibility to work remotely \* from anywhere within the U.S. as you take on some tough challenges. For all hires in the Minneapolis or Washington, D.C. area, you will be required to work in the office a minimum of four days per week.
**Primary Responsibilities**
* Develop platform strategy: Collaborate with cross\-functions to define the overall product strategy, aligning it with the business goals and objectives
* Product plan and roadmap: Create and maintain a platform roadmap that outlines the platform vision, key features, and timeline for development
* Define platform\-level functional and non‑functional requirements (availability, performance expectations, cost drivers) in collaboration with engineering and cloud architecture teams
* Prioritize initiatives based on business impact, internal and external customer needs, and development capacity
* Lead a team of Platform product owners and product managers, provide coaching and development of individuals to lead a cohesive platform mission
* Cross\-functional collaboration: Work closely with engineering, Cloud\-Ops, Peer Product management for applications, Services and GTM/Sales teams to ensure successful development, release and GTM plan for platform services
* Understand and communicate cloud cost impacts of platform decisions, supporting FinOps practices at a product level (e.g., cost\-to\-serve insights, right\-sizing considerations) while partnering with Cloud Ops and Finance
* Partner with Engineering to evaluate major cloud platform decisions (e.g., service selection, scaling approaches) from a business, customer, and product perspective, without taking on architectural design
* Ensure platform roadmap decisions align with SaaS operational needs, including observability, reliability, maintainability, and upgrade paths
* In partnership with Cloud providers and Cloud Ops teams, drive cloud resource optimization, cost efficiency of cloud storage, compute and related resources to support P\&amp;L view of cloud consumption overall across all Enterprise Imaging applications and services
* Leverage internal synergies with broader Optum organization on cloud environment, consumption, and efficiencies
* Engage and support customer conversations as the cloud platform SME for new sales opportunities or support during implementation
* Develop and maintain cloud vendor relations, working closely with the Business development team on contracts, pricing, resourcing and support needs
* Serve as subject matter expert for cloud platform working closely with engineering and Cloud\-Ops teams and support sales and services to provide strategic direction, functional and operational capabilities
* Serve as subject matter expert for our public cloud provider to support the Enterprise Imaging portfolio of cloud products, including sizing of cloud resources, cost\-effective utilization of cloud compute, storage and communication.
* Drive consistency and innovation in the use of cloud technology across Enterprise Imaging cloud solutions
* Serve as a point of contact to bring vendor partners into activities with key customers as necessary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a relevant field
* 8\+ years as a Product Manager and 3\+ years as a Product Owner
* 5\+ years with cloud platform and applications
* Solid understanding of core cloud concepts such as object storage, compute elasticity, networking basics, and managed service offerings
* Demonstrated ability to collaborate with cloud architects and engineering teams to make informed tradeoffs regarding scalability, performance, and cost
* Demonstrated ability to translate customer requirements into platform capabilities for a modern SaaS environment
**Preferred Qualifications**
* Master's degree in computer science, or information technology or equivalent graduate degree
* Cloud Certification from Google Cloud or competitive Cloud Provider(s)
* 10\+ years of experience in product management
* 5\+ years of experience managing direct reports such as Product Owners and Product Managers
* 5\+ years in cloud platform and SaaS transformation
* Preferred experience includes
+ Experience in healthcare and Clinical IT domain
+ Experience supporting or productizing a multi tenant SaaS platform, including conceptual understanding of tenancy models and operational impacts
+ Experience working with cloud architects and engineering teams to assess public cloud services for use in production SaaS offerings
+ Effectively managing products through key stages of the lifecycle in a regulated industry
+ Delivering IT infrastructure solutions to the healthcare provider market
+ Evaluating public cloud infrastructure capabilities for use in cloud\-native SaaS products Specific experience with Google Cloud Platform is highly preferred
+ Expertise in cloud resource (compute, storage, network) optimization, capacity planning, cost effective solutions to manage multi\-tenant systems in the public cloud
+ Knowledge of dynamic scaling, multitenancy, and solutions delivering performance at scale in the public cloud environment
+ Familiarity with observability concepts (monitoring, logging, basic SLI/SLO frameworks) in collaboration with platform engineering teams
* Knowledge of Health IT interoperability standards such as DICOM and HL7/FHIR
* Successful track record of developing cloud services and cloud solutions
* Outstanding verbal and written communication skills
**Working Conditions/Physical Requirements**
* General office demands
* Ability to work remotely
**Travel**
* Up to 25% travel may be required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8">
      <c r="A38" t="inlineStr">
        <is>
          <t>li-4286409268</t>
        </is>
      </c>
      <c r="B38" t="inlineStr">
        <is>
          <t>Creative Product Manager Graduate (Creative and Brand Innovation) - 2026 Start (BS/MS)</t>
        </is>
      </c>
      <c r="C38" t="inlineStr">
        <is>
          <t>TikTok</t>
        </is>
      </c>
      <c r="D38" t="inlineStr">
        <is>
          <t>linkedin</t>
        </is>
      </c>
      <c r="E38" t="inlineStr"/>
      <c r="F38" t="inlineStr"/>
      <c r="G38" t="inlineStr">
        <is>
          <t>San Jose, CA</t>
        </is>
      </c>
      <c r="H38" t="inlineStr"/>
      <c r="I38" t="inlineStr">
        <is>
          <t>**Responsibilities**
 About the Team:
 Our Creative and Brand Innovation Product Team is dedicated to building full\-funnel marketing solutions that combine creative content—such as the TikTok One platform, content packages, and ACA creative tools—with advanced AI technologies. We empower brands to drive measurable business outcomes, from awareness and engagement to conversion and purchase.
 By seamlessly integrating creativity, community, and commerce—with AI capabilities embedded throughout—we help brands efficiently reach their target audiences and achieve sustainable growth.
 Our mission: Inspire creativity, ignite growth.
 Our vision: TikTok is the creativity\-powered, Al\-fueled growth engine that turns discovery into measurable impact
**About Global Spark Talent Program:**
 To foster the next generation of global talent with both an international perspective and strong digital business acumen, Creative and Brand Innovation Product is proud to launch the "Global Spark Program", tailored for Class of 2026 graduates:
* Gain cross\-functional exposure through structured job rotations aligned with global business priorities within 2 years;
* Dedicated growth support from leader and mentor;
* High\-Impact Opportunities.
 Believe in the power of youth. Shape the future together.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Responsible for building international monetization advertising and creator\-related products. Design product features and strategies to help advertisers efficiently produce creative assets and match with suitable creators, while enabling creators to better monetize their content.
* Optimize the customer journey related to creators and creatives, enhancing collaboration efficiency and user experience for advertisers, creators, and their service partners.
* Collaborate with regional operations teams to identify and clarify localized needs, and design scalable and unified product solutions.
* Understand the core business logic around creatives and creators, abstract key challenges in the process, and drive product design through research and analysis.
* Leverage data analysis to identify pain points and growth blockers, and work closely with operations teams to define effective growth strategies.
**Qualifications**
 Minimum Qualifications:
* Bachelor’s degree or above. Internship experience in internet platforms, monetization, B2B, or ecosystem product roles is a big plus.
* Strong communication skills. Comfortable working in a multilingual environment.
* Proactive and eager to deeply understand the business; sensitive to user needs and strong in communication. Empathetic, responsible, and self\-driven, with excellent project management and execution skills.
* Strong logical thinking and data sensitivity; skilled at identifying and solving problems through data analysis.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$122360 \- $185600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9">
      <c r="A39" t="inlineStr">
        <is>
          <t>li-4310450647</t>
        </is>
      </c>
      <c r="B39" t="inlineStr">
        <is>
          <t>Technical Product Manager</t>
        </is>
      </c>
      <c r="C39" t="inlineStr">
        <is>
          <t>Supermicro</t>
        </is>
      </c>
      <c r="D39" t="inlineStr">
        <is>
          <t>linkedin</t>
        </is>
      </c>
      <c r="E39" t="inlineStr"/>
      <c r="F39" t="inlineStr"/>
      <c r="G39" t="inlineStr">
        <is>
          <t>San Jose, CA</t>
        </is>
      </c>
      <c r="H39" t="inlineStr"/>
      <c r="I39" t="inlineStr">
        <is>
          <t>****Job Req ID: 27164****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looking for an innovative and strategic GPU System Product Manager to drive the development and lifecycle management of cutting\-edge GPU server platforms and AI infrastructure solutions. This role is perfect for a technology leader with a passion for AI, machine learning, high\-performance computing (HPC), and GPU\-accelerated workloads—someone who excels at bridging technology, business strategy, and customer success. As a Product Manager at Supermicro, you will leverage your technical expertise and communication skills to define product strategies, explore customer\-centric solutions across key verticals, and deliver bold go\-to\-market plans for Supermicro’s core product portfolio.
**Essential Duties And Responsibilities**
**What You’ll Do** 
* Key Responsibilities
+ Product Strategy \&amp; Vision
- Define and evolve the product vision and roadmap for GPU server platforms and AI infrastructure, aligned with company goals and market trends.
- Identify and prioritize high\-impact opportunities in AI, ML, HPC, and cloud\-native workloads.
+ Cross\-Functional Leadership
- Collaborate closely with engineering, hardware design, software, and operations teams to deliver innovative and scalable solutions.
- Partner with sales, marketing, and customer success to ensure successful product launches and customer adoption.
+ Customer \&amp; Market Insights
- Engage with customers, partners, and industry experts to gather feedback and understand emerging needs in AI and GPU computing.
- Conduct competitive analysis and market research to inform product positioning and differentiation.
+ Product Development \&amp; Execution
- Translate customer and business requirements into detailed product specifications and user stories.
- Drive product development cycles, from concept through launch, ensuring timely delivery and quality.
- Manage product lifecycle, including feature enhancements, performance tuning, and end\-of\-life planning.
+ Go\-to\-Market \&amp; Enablement
- Develop go\-to\-market strategies, including pricing, packaging, and messaging.
- Support sales enablement with product training, collateral, and technical documentation.
+ Performance Monitoring \&amp; Optimization
- Track product performance using KPIs and customer feedback to guide continuous improvement.
- Analyze usage data and operational metrics to identify areas for optimization and innovation.
+ Innovation \&amp; Thought Leadership
- Stay current with advancements in GPU architectures, AI frameworks, and data center technologies.
- Represent the company at industry events, conferences, and customer briefings as a subject matter expert.
**Qualifications**
**What You’ll Bring**
* Bachelor or Master’s degree in computer science, Electrical Engineering, or Computer Engineering, with a minimum of 5 years of product management expertise.
* Familiar with server architecture and system level architecture (including GPU, CPU, memory, motherboards, PCIe, NVMe, NIC, OS, BIOS, BMC). Knowledge in cluster architectures like AI and HPC is a plus.
* Project management skills, including the ability to plan, organize, and manage resources effectively.
* Demonstrated ability in technical presales or product marketing.
* Hands\-on experience (Linux), configuring servers, scripting languages (Python, PowerShell, Linux Shell, C/C\+\+) is strongly desirable.
* Experience in developing server products (Hardware, Firmware or Software) is a plus.
* Exceptional communication and presentation skills with storytelling abilities that drive customer engagement, adoption, and market growth.
* Ability to build and demonstrate proof\-of\-concept that meets or exceeds customer business needs.
****Salary Range****
 $93,000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40">
      <c r="A40" t="inlineStr">
        <is>
          <t>li-4332906564</t>
        </is>
      </c>
      <c r="B40" t="inlineStr">
        <is>
          <t>Product Manager - Product Engineering</t>
        </is>
      </c>
      <c r="C40" t="inlineStr">
        <is>
          <t>Deloitte</t>
        </is>
      </c>
      <c r="D40" t="inlineStr">
        <is>
          <t>linkedin</t>
        </is>
      </c>
      <c r="E40" t="inlineStr"/>
      <c r="F40" t="inlineStr"/>
      <c r="G40" t="inlineStr">
        <is>
          <t>Raleigh, NC</t>
        </is>
      </c>
      <c r="H40" t="inlineStr"/>
      <c r="I40"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2/16/2026\.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1">
      <c r="A41" t="inlineStr">
        <is>
          <t>li-4347071563</t>
        </is>
      </c>
      <c r="B41" t="inlineStr">
        <is>
          <t>Principal Product Manager - Kubernetes &amp; Compute Abstractions</t>
        </is>
      </c>
      <c r="C41" t="inlineStr">
        <is>
          <t>CoreWeave</t>
        </is>
      </c>
      <c r="D41" t="inlineStr">
        <is>
          <t>linkedin</t>
        </is>
      </c>
      <c r="E41" t="inlineStr"/>
      <c r="F41" t="inlineStr"/>
      <c r="G41" t="inlineStr">
        <is>
          <t>San Francisco, CA</t>
        </is>
      </c>
      <c r="H41" t="inlineStr"/>
      <c r="I4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2">
      <c r="A42" t="inlineStr">
        <is>
          <t>li-4355790500</t>
        </is>
      </c>
      <c r="B42" t="inlineStr">
        <is>
          <t>Senior Product Owner - Project Accounting</t>
        </is>
      </c>
      <c r="C42" t="inlineStr">
        <is>
          <t>Eaton</t>
        </is>
      </c>
      <c r="D42" t="inlineStr">
        <is>
          <t>linkedin</t>
        </is>
      </c>
      <c r="E42" t="inlineStr"/>
      <c r="F42" t="inlineStr"/>
      <c r="G42" t="inlineStr">
        <is>
          <t>Raleigh, NC</t>
        </is>
      </c>
      <c r="H42" t="inlineStr"/>
      <c r="I42"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3">
      <c r="A43" t="inlineStr">
        <is>
          <t>li-4347271210</t>
        </is>
      </c>
      <c r="B43" t="inlineStr">
        <is>
          <t>Principal Product Manager - Kubernetes &amp; Compute Abstractions</t>
        </is>
      </c>
      <c r="C43" t="inlineStr">
        <is>
          <t>CoreWeave</t>
        </is>
      </c>
      <c r="D43" t="inlineStr">
        <is>
          <t>linkedin</t>
        </is>
      </c>
      <c r="E43" t="inlineStr"/>
      <c r="F43" t="inlineStr"/>
      <c r="G43" t="inlineStr">
        <is>
          <t>Livingston, NJ</t>
        </is>
      </c>
      <c r="H43" t="inlineStr"/>
      <c r="I4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4">
      <c r="A44" t="inlineStr">
        <is>
          <t>li-4355700509</t>
        </is>
      </c>
      <c r="B44" t="inlineStr">
        <is>
          <t>Senior Product Owner - Project Accounting</t>
        </is>
      </c>
      <c r="C44" t="inlineStr">
        <is>
          <t>Eaton</t>
        </is>
      </c>
      <c r="D44" t="inlineStr">
        <is>
          <t>linkedin</t>
        </is>
      </c>
      <c r="E44" t="inlineStr"/>
      <c r="F44" t="inlineStr"/>
      <c r="G44" t="inlineStr">
        <is>
          <t>Menomonee Falls, WI</t>
        </is>
      </c>
      <c r="H44" t="inlineStr"/>
      <c r="I44"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5">
      <c r="A45" t="inlineStr">
        <is>
          <t>li-4355680549</t>
        </is>
      </c>
      <c r="B45" t="inlineStr">
        <is>
          <t>Senior Product Owner - Project Accounting</t>
        </is>
      </c>
      <c r="C45" t="inlineStr">
        <is>
          <t>Eaton</t>
        </is>
      </c>
      <c r="D45" t="inlineStr">
        <is>
          <t>linkedin</t>
        </is>
      </c>
      <c r="E45" t="inlineStr"/>
      <c r="F45" t="inlineStr"/>
      <c r="G45" t="inlineStr">
        <is>
          <t>Galesburg, MI</t>
        </is>
      </c>
      <c r="H45" t="inlineStr"/>
      <c r="I45"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6">
      <c r="A46" t="inlineStr">
        <is>
          <t>li-4355880534</t>
        </is>
      </c>
      <c r="B46" t="inlineStr">
        <is>
          <t>Senior Product Owner - Project Accounting</t>
        </is>
      </c>
      <c r="C46" t="inlineStr">
        <is>
          <t>Eaton</t>
        </is>
      </c>
      <c r="D46" t="inlineStr">
        <is>
          <t>linkedin</t>
        </is>
      </c>
      <c r="E46" t="inlineStr"/>
      <c r="F46" t="inlineStr"/>
      <c r="G46" t="inlineStr">
        <is>
          <t>Coraopolis, PA</t>
        </is>
      </c>
      <c r="H46" t="inlineStr"/>
      <c r="I46"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7">
      <c r="A47" t="inlineStr">
        <is>
          <t>li-4333401618</t>
        </is>
      </c>
      <c r="B47" t="inlineStr">
        <is>
          <t>Product Manager, Optical</t>
        </is>
      </c>
      <c r="C47" t="inlineStr">
        <is>
          <t>Trimble Inc.</t>
        </is>
      </c>
      <c r="D47" t="inlineStr">
        <is>
          <t>linkedin</t>
        </is>
      </c>
      <c r="E47" t="inlineStr"/>
      <c r="F47" t="inlineStr"/>
      <c r="G47" t="inlineStr">
        <is>
          <t>Westminster, CO</t>
        </is>
      </c>
      <c r="H47" t="inlineStr"/>
      <c r="I47" t="inlineStr">
        <is>
          <t>**Your Title:** 
 Product Manager, Optical
**Job Location:** 
 Westminster, CO
**Our Department:** 
 Geospatial
 Ever wondered how the instruments used to establish precise boundaries, features, and topography achieve such incredible accuracy and complexity, yet remain simple to operate? Are you ready to take the helm of an internationally recognized, flagship product portfolio and bridge the gap between complex engineering and real\-world customer needs?
****What You Will Do****
 As our Product Manager, Optical, you are the visionary and the "glue" for our Core Hardware team. You won't just be managing a product; you’ll be bringing it to life. You will act as the vital link between our global users and our engineering teams, ensuring our Optical portfolio remains the gold standard in the Geospatial industry.
 You’ll have the freedom to identify market opportunities, define user requirements, and develop the go\-to\-market strategies that keep Trimble at the forefront of innovation. Whether you are defining the next high\-value roadmap or representing our solutions on a global stage, your impact will be visible and central to our business strategy.
* Lead the Lifecycle: Take products from initial concept through release, managing everything from feature prioritization to market launch deliverables.
* Collaborate Globally: Work alongside R\&amp;D, Sales, and Operations across multiple time zones to deliver a compelling portfolio of Optical, GNSS, and Radio hardware.
* Voice of the Customer: Liaise with go\-to\-market teams to translate customer needs into technical requirements, justifying project proposals with data\-backed insights.
* Drive Strategy: Monitor financial performance and develop growth plans to ensure our hardware continues to solve the world’s most complex geospatial challenges.
**What Skills \&amp; Experience You Should Bring**
* Demonstrated Experience: You have a proven track record in product management (hardware preferred), showing the ability to lead projects from concept to sunset.
* Geospatial Passion: A strong background in geospatial or construction surveying with a genuine curiosity for how our customers operate globally.
* Communication Excellence: The ability to translate complex technical concepts into compelling narratives for both executive leadership and non\-technical audiences.
* Strategic Mindset: A fundamental understanding of financial metrics and the ability to use tools like JIRA and Google Suite to drive disciplined project leadership.
* Problem\-Solving DNA: You are a self\-starter who thrives in dynamic environments and can pivot effectively when priorities change.
**What Skills \&amp; Experience You Could Bring**
* Educational Foundation: A Bachelor’s degree in Geomatics, GIS, Civil or Mechanical Engineering is highly preferred.
* Multifaceted Exposure: Experience in technical support, sales, or proficiency in additional languages.
****About Your Location****
 We truly believe that connecting in person makes a big difference for our team. By being together in the office it helps us connect easily for quick chats, informal conversations, and all\-around better teamwork. This role is a key part of that as you’ll be joining us in the office at least four days a week. In this capacity, you’ll work with your manager to figure out a flexible schedule that helps you make the most of your in\-office time.
 Our Westminster, Colorado office is nestled in the heart of the Rocky Mountain region, with a campus that is a hub of innovation with over 800 employees. We've created a space that inspires creativity, with bright open workspaces, modern labs, and excellent wellness facilities. Our commitment to sustainability is evident in everything we do, including the impressive 1\.7\-megawatt solar array that supports 49 EV charging stations. When you're not collaborating with our dynamic teams, you can enjoy the blue sky and beautiful surroundings, including a scenic golf course that wraps around the campus. At Trimble, we believe in a strong work\-life balance, giving you the freedom to advance your career while living the best of the Colorado lifestyle.
****Note:** 
 Expected international and domestic travel up to 20%.**
**About Our Geospatial Division**
 Trimble’s Geospatial division provides high\-precision solutions that bridge the gap between the physical and digital worlds. By integrating advanced sensors, field software, and office data processing, the division enables professionals to capture and transform complex data into actionable intelligence. Their flagship portfolio—including robotic total stations, 3D laser scanners, and GNSS receivers—serves industries such as surveying, construction, and engineering globally. This technology streamlines workflows and ensures accuracy for critical infrastructure and mapping projects. Ultimately, the Geospatial division empowers customers to build, manage, and protect the world’s most important assets with confidence.
****Compensation:****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****Hiring Range****
 $105,682\.00–$142,676\.00
****Pay Rate Type****
 Salary
****Bonus Eligible?****
 Yes
****Commission Eligible?****
 No
****Benefits:****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If this position is identified above as commission\- or bonus\-eligible, the terms of the commission plan or discretionary bonus plan for which you are eligible will be provided following the employee start date.
****How to Apply:****
 Please submit an online application for this position by clicking on the ‘Apply Now’ button located in this posting.
****Application Deadline:****
 Applications could be accepted until at least 30 days from the posting date.
 At Trimble, we are committed to fostering a diverse, inclusive, and equitable workplace where everyone can thrive. Guided by our core values—Belong, Innovate, and Grow—we embrace and celebrate differences, knowing they make us stronger and more innovative. We are proud to be an equal opportunity employer, welcoming individuals of all backgrounds and advancing opportunities while embracing race, color, gender identity, sexual orientation, religion, disability, veteran status, or any other protected and diverse characteristic. We are committed to offering our candidates and employees with disabilities or sincerely held religious beliefs the ability to seek reasonable accommodations in accordance with applicable law and/or where it would not constitute undue hardship for Trimble. For more, please see Trimble's Code of Business Conduct and Ethics at https://investor.trimble.com, under “Corporate Governance.”
 Our mission to transform the way the world works starts with transforming how we work together. By actively listening, asking questions, and taking intentional actions, we cultivate a culture that provides equitable opportunities for everyone to contribute and grow.
 Trimble’s Privacy Policy
 If you need assistance or would like to request an accommodation in connection with the application process, please contact AskPX@px.trimble.com.</t>
        </is>
      </c>
    </row>
    <row r="48">
      <c r="A48" t="inlineStr">
        <is>
          <t>li-4302103050</t>
        </is>
      </c>
      <c r="B48" t="inlineStr">
        <is>
          <t>Staff Product Manager, Marketing Technology &amp; Customer Data Systems</t>
        </is>
      </c>
      <c r="C48" t="inlineStr">
        <is>
          <t>Xometry</t>
        </is>
      </c>
      <c r="D48" t="inlineStr">
        <is>
          <t>linkedin</t>
        </is>
      </c>
      <c r="E48" t="inlineStr"/>
      <c r="F48" t="inlineStr"/>
      <c r="G48" t="inlineStr">
        <is>
          <t>Waltham, MA</t>
        </is>
      </c>
      <c r="H48" t="inlineStr"/>
      <c r="I48"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Product Manager** 
 to define and drive the strategy for our customer data and marketing technology platforms. You will own the roadmap for how we capture, organize, and activate customer data — spanning our customer data platform (CDP), event collection pipelines across front\-end, back\-end, go\-to\-market systems, and attribution services. You will be a key individual contributor reporting to the Senior Director of Product Management for MarTech, directly influencing at least 2 engineering teams and collaborating with 4\-5 partner teams. At the Staff level, you will be expected to mentor other PMs and help shape our product culture, providing a natural pathway to broader leadership opportunities. Your work will directly impact how Xometry acquires, engages, converts, and retains customers, which is a strategic priority for us. By ensuring our marketing and customer data systems deliver reliable, actionable insights, you will help optimize growth initiatives, improve ROI on marketing spend, and strengthen the overall customer experience.
**Responsibilities:**
* Develop Product Vision and Roadmap: Define and prioritize the roadmap for customer data, event collection, and attribution systems, ensuring alignment with business goals around acquisition, conversion, and retention.
* Lead Cross\-Functional Execution: Collaborate with engineering, analytics, marketing, sales, and customer success to deliver scalable data and attribution capabilities that drive measurable outcomes.
* Champion Data\-Driven Decision Making: Establish clear success metrics tied to business impact. Use data, experimentation, and customer insights to guide product strategy and measure progress.
* Enhance Data Quality and Trust: Build and scale mechanisms that ensure reliable event collection and accurate attribution, enabling confidence in reporting and decision\-making across the organization.
* Advocate for the End User: Serve as the voice of marketers, sellers, and customer success teams, ensuring product decisions meet real\-world needs and deliver tangible value.
* Strengthen the Product Management Function: Share best practices with other PMs and squads, helping elevate product management standards across Xometry.
**Outcomes You Will Influence:**
* Improve attribution accuracy, enabling better allocation of marketing spend and clearer ROI measurement.
* Increase customer acquisition and engagement through higher\-quality data and insights.
* Enhance conversion and retention by delivering systems that provide actionable signals across the customer lifecycle.
* Strengthen trust in customer data across marketing, sales, and customer success.
* Ensure applicable customer privacy and consent regulations are met in all markets we serve.
**Qualifications:**
* 8\+ years of product management experience, with a track record of delivering high\-impact marketing technology products.
* 2\+ years of product management experience in large enterprise organizations ($1B\+ annual revenue).
* Direct experience with customer data platforms, event collection, attribution, or related MarTech systems.
* Demonstrated success leading cross\-functional initiatives and delivering measurable business outcomes.
* Ability to engage in technical discussions with engineering teams and communicate trade\-offs to partner teams.
* Strong business acumen — able to connect platform work to growth, efficiency, and customer experience improvements.
* Excellent communication and storytelling skills; able to influence stakeholders at multiple levels.
* Proven success managing products through all lifecycle stages, from ideation to scaling and ongoing iteration.
* Bachelor’s or Master’s degree in Business, Engineering, or related field.
 The estimated base salary range for new hires into this role is $180,000\- $234,000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9">
      <c r="A49" t="inlineStr">
        <is>
          <t>li-4337605820</t>
        </is>
      </c>
      <c r="B49" t="inlineStr">
        <is>
          <t>Content Acquisiton Program Manager, Prime Video, Content Acquisition Program Management</t>
        </is>
      </c>
      <c r="C49" t="inlineStr">
        <is>
          <t>Prime Video &amp; Amazon MGM Studios</t>
        </is>
      </c>
      <c r="D49" t="inlineStr">
        <is>
          <t>linkedin</t>
        </is>
      </c>
      <c r="E49" t="inlineStr"/>
      <c r="F49" t="inlineStr"/>
      <c r="G49" t="inlineStr">
        <is>
          <t>Culver City, CA</t>
        </is>
      </c>
      <c r="H49" t="inlineStr"/>
      <c r="I49" t="inlineStr">
        <is>
          <t>**Description**
 Prime Video team is looking for an analytical and creative candidate to join our content licensing team as a Program Manager supporting Prime Video Content Acquisitions. In this role, you will be responsible for, among other tasks, translating complex agreements with content providers into standardized metadata, managing vendors, and building trustworthy processes to streamline the delivery of data to internal Amazon teams and systems downstream.
 The ideal candidate will enjoy defining new processes, successfully and dependably delivering results, and collaborating cross\-functionally to support automation and scale. At the same time, they are not afraid to roll up their sleeves to simply get the job done. The program manager should be highly proficient in Excel, have strong attention to detail with polished communication skills, and ideally be from a project/program management, finance, accounting, or digital media operations background.
 Key job responsibilities
* Interpret terms from third\-party SVOD content licensing agreements into standardized metadata for internal consumption
* Set up new third\-party partners for payments
* Manage title schedules and communicate key dates to stakeholders
* Respond to third\-party partner payment inquiries while working with accounts payable to resolve
* Collaborate with multiple internal teams to drive process improvements
* Educate peers and management on processes and expectations to meet department goals and objectives
* Excellent organizational and prioritization skills with the ability to handle multiple tasks simultaneously
* Develop and implement AI\-powered strategies to enhance operational efficiency and eliminate manual processes
* Leverage AI and machine learning to streamline and improve the efficiency of CAM PM processes and day\-to\-day activities
* Design and optimize AI prompts specifically for extracting terms and information from contractual SVOD license agreements
 A day in the life
* Update and maintain a territory specific third\-party SVOD licensing pipeline database by tracking deal status, monitoring publishing deadlines, and updating payment schedules
* Manage content partnerships through monthly check\-ins for title launch management and accurate payments
* Troubleshoot digital content issues reported by customers through our support platform
* Collaborate with accounting and finance teams to validate contract data entries for accurate revenue recognition and billing
* Partner with engineering and product teams to implement system optimizations to decrease user error rates
**About The Team**
 The Prime Video (PV) global SVOD service continues to grow in scope and complexity each year. Content Acquisition Management (CAM) meets this challenge through innovative deal creation and dynamic partnerships with internal business partners. Meanwhile the impacts of a changing industry and global business require more dedicated support than ever. CAM Program Management (CAM PM) is the dedicated team that bridges the relationships within Amazon, as well as with our video Content Providers. CAM PM handles the daily operations needed to execute contract terms and spearheads improvement programs to steer the organization toward automated, end\-to\-end deal lifecycle management.
**Basic Qualifications**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A3130437</t>
        </is>
      </c>
    </row>
    <row r="50">
      <c r="A50" t="inlineStr">
        <is>
          <t>li-4312653583</t>
        </is>
      </c>
      <c r="B50" t="inlineStr">
        <is>
          <t>Technical Program Manager, Hyperscalers</t>
        </is>
      </c>
      <c r="C50" t="inlineStr">
        <is>
          <t>Pure Storage</t>
        </is>
      </c>
      <c r="D50" t="inlineStr">
        <is>
          <t>linkedin</t>
        </is>
      </c>
      <c r="E50" t="inlineStr"/>
      <c r="F50" t="inlineStr"/>
      <c r="G50" t="inlineStr">
        <is>
          <t>Santa Clara, CA</t>
        </is>
      </c>
      <c r="H50" t="inlineStr"/>
      <c r="I50"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You'll join our
 **Hyperscale Operations team** 
 as a
 **Technical Program Manager** 
 to drive the successful qualification and production ramp of our cutting\-edge hyperscale products. This is a critical leadership role where you will manage complex technical and operational programs, collaborating closely with hardware design, manufacturing partners, and internal engineering teams. Your mission will be to onboard new JDM/CM vendors, streamline execution, and ensure seamless delivery in an environment defined by innovation and massive scale.
**What You'll Do**
* Lead and manage the entire program lifecycle for new hardware and operational initiatives, defining milestones, schedules, and budgets to ensure on\-time product readiness and launch.
* Partner with hardware design teams and external manufacturing partners (JDM/CMs) to orchestrate and accelerate the technical qualification, testing, and volume production ramp of hyperscale solutions.
* Own the onboarding and integration of new vendors and contract manufacturers, including conducting site audits, defining success metrics, and developing robust, scalable execution plans.
* Identify, analyze, and mitigate project risks and engineering blockers proactively, providing clear, actionable recommendations and communicating strategy and dependencies to all stakeholders, including senior leadership.
* Drive continuous improvement by developing and implementing new operational processes and recommending tools that enhance efficiency and execution quality across the supply chain and product lifecycle.
**What You Bring**
* Demonstrated expertise in managing complex technical and operational programs within a hardware or high\-volume manufacturing environment.
* Exceptional cross\-functional program leadership skills, with the ability to effectively drive consensus, bridge communication gaps, and secure commitments from diverse engineering, operations, and external vendor teams.
* Proven capability in vendor management and operational due diligence, including successful experience with new vendor onboarding, site assessments, and risk mitigation in a fast\-paced setting.
* Strong foundation in program management methodologies (e.g., Agile, Waterfall) applied to hardware and software product releases, with a consistent track record of delivering against aggressive schedules.
* Highly developed communication and organizational skills to articulate complex technical issues, operational challenges, and strategic direction clearly and concisely to both technical teams and executive audiences.
* Familiarity with manufacturing test engineering for high volume HW products, with a strong point of view on the trade\-offs between cost and quality.
 We are primarily an in\-office environment and therefore, you will be expected to work from the
 **Santa Clara**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$149,000—$224,000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51">
      <c r="A51" t="inlineStr">
        <is>
          <t>li-4373280343</t>
        </is>
      </c>
      <c r="B51" t="inlineStr">
        <is>
          <t>Senior Program Manager, Government / Public Sector</t>
        </is>
      </c>
      <c r="C51" t="inlineStr">
        <is>
          <t>Hubble Network</t>
        </is>
      </c>
      <c r="D51" t="inlineStr">
        <is>
          <t>linkedin</t>
        </is>
      </c>
      <c r="E51" t="inlineStr"/>
      <c r="F51" t="inlineStr"/>
      <c r="G51" t="inlineStr">
        <is>
          <t>Seattle, WA</t>
        </is>
      </c>
      <c r="H51" t="inlineStr"/>
      <c r="I51" t="inlineStr">
        <is>
          <t>Hubble Network was founded with the intention of delivering on the promise of what Internet\-of\-Things (IoT) was supposed to be. We're building a global Bluetooth® network dedicated to machine\-to\-machine connectivity. We differentiate ourselves as the first modem\-less and gateway\-less, direct\-to\-satellite network from off\-the\-shelf Bluetooth® Low Energy chips. Hubble is ideal for applications in logistics, AgTech, and maritime where economies of scale for volume consumer and enterprise asset tracking is a priority. Our goal is to be the first billion\-endpoint\-connected network in the world.
 Hubble is an early\-stage, venture\-backed startup supported by some of the best investors in the world. In their previous lives, the founding team has been successful in raising $100s of millions in venture funding, developing the Amazon Sidewalk network, launching billions of dollars of space assets, and leading their teams to successful exits, both through acquisition and IPO. We are now looking to bring on talented team members who are the best at what they do to help us make Hubble a reality for the world.
 We're looking for a
 **Government / Public Sector Senior Program Manager** 
 to lead high\-visibility public sector programs that deploy and enhance Hubble's firmware, SDK, backend, and satellite\-enabled capabilities., while also supporting broader space and embedded system initiatives as business needs require.
 This role requires disciplined execution under formal government oversight while operating inside a fast\-moving, venture\-backed company. You will translate contractual and mission\-driven objectives into executable workstreams across engineering, product, operations, finance, and supply chain. Depending on portfolio demand and individual background, this role may also provide programmatic oversight across satellite development efforts, embedded firmware initiatives, and external spacecraft or technical vendor engagements.
 Success in this role means predictable delivery, structured reporting, controlled scope, and strong stakeholder confidence — without introducing unnecessary bureaucracy that slows technical progress.
 This is a ON\-SITE \&amp; HYBRID, FULL\-TIME POSITION
**AN IDEAL CANDIDATE MEETS OUR VALUES:**
***A Sense of Urgency***
 : Lead projects from concept to reality, rapidly and effectively
***First Principles Engineering***
 : Have a strong understanding of the whys behind the whats; have the ability to extrapolate from first principles to complex system design
***High Learning Agility***
 : Love to learn; have a grounded approach to recognizing your weaknesses and take the initiative to brush up on and sharpen your engineering foundations to better collaborate with your teammates with different backgrounds
***System\-Level Design and Analysis***
 : Understand the requirements flow down process and be able to quickly iterate on evolving requirements
***Excellent Communication Skills***
 : Effectively convey ideas and communicate technical topics with engineering, build staff, and operations; run self\-directed design reviews and participate in reviews of parallel systems
***Anticipation of Needs***
 : Identify problems, think creatively, and rapidly produce reliable and cost\-effective solutions to meet the ever growing and changing needs of an early\-stage company
**BASIC QUALIFICATIONS**
* 5–7\+ years of experience managing U.S. Government or complex technical programs, preferably within aerospace, embedded systems, or space\-enabled architectures.
* Experience delivering firmware, embedded systems, IoT platforms, aerospace systems, or related technical capabilities.
* Demonstrated experience leading structured technical reviews and milestone\-driven delivery.
* Strong project planning, risk management, and stakeholder communication skills.
* Familiarity with export controls (ITAR/EAR) and compliance considerations.
* U.S. citizen or lawful permanent resident (ITAR compliant).
**STRONGLY DESIRED**
* Experience with BLE\-based systems or low\-power IoT architectures.
* Direct experience supporting or managing satellite, spacecraft, or aerospace system development programs, including coordination with external spacecraft vendors or mission operations partners.
* Background in defense, intelligence, or aerospace programs.
* Experience operating within venture\-backed or high\-growth technical environments.
* PMP or equivalent certification.
**COMPENSATION \&amp; BENEFITS**
 💰
 **Salary:** 
 $150,000\.00 \- $210,000\.00 (commensurate with experience)
 🩺
 **Comprehensive Benefits** 
 – Health, Dental, Vision, \&amp; HSA options
 🌍
 **Unlimited PTO**
 🚇
 **Commuter Benefits** 
 (if working from HQ)
 🎓
 **Learning \&amp; Development Allowance**
 💪
 **Health \&amp; Wellness Stipend**
 🌎
 **Sabbatical Program** 
 – Recharge and explore new ideas
 🛠
 **Cutting\-Edge Space Tech** 
 – Work on state\-of\-the\-art satellite system
**ITAR REQUIREMENTS**
 Hubble is required by the U.S. Government to comply with various space technology export regulations including the International Traffic in Arms Regulations (ITAR). All applicants must be a U.S. citizen, lawful permanent resident ("green card holder") as defined by ITAR (22 CFR
* 120\.15\).
*Hubble is committed to creating a diverse environment and is proud to be an equal opportunity employer. Each individual has the right to work in a professional environment that promotes equal employment opportunity and prohibits discriminatory practices, including harassment. All qualified applicants will receive consideration for employment without regard to race, color, religion, gender, gender identity or expression, sexual orientation, national origin, genetics, disability, age, or veteran status.*
 Seattle Washington
 Washington Pay
 $150,000—$210,000 USD</t>
        </is>
      </c>
    </row>
    <row r="52">
      <c r="A52" t="inlineStr">
        <is>
          <t>li-4333311986</t>
        </is>
      </c>
      <c r="B52" t="inlineStr">
        <is>
          <t>Sr. Product Manager (27890)</t>
        </is>
      </c>
      <c r="C52" t="inlineStr">
        <is>
          <t>Supermicro</t>
        </is>
      </c>
      <c r="D52" t="inlineStr">
        <is>
          <t>linkedin</t>
        </is>
      </c>
      <c r="E52" t="inlineStr"/>
      <c r="F52" t="inlineStr"/>
      <c r="G52" t="inlineStr">
        <is>
          <t>San Jose, CA</t>
        </is>
      </c>
      <c r="H52" t="inlineStr"/>
      <c r="I52" t="inlineStr">
        <is>
          <t>****Job Req ID: 27890****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High\-performance server product team in Supermicro is seeking talented Sr. Product Manager who can engage the technical collateral development of in\-house multi\-node server system products. This individual will have the opportunity to define and implement latest data center and storage technologies, and to create proof of concepts and technical feature paper presentations to differentiate Supermicro product through online and at various industry events. This individual will also be the go\-to person for product managers and system engineers to be the subject of matter expert in design/quality/production/on\-site issue management.
**Essential Duties And Responsibilities**
**Includes the following essential duties and responsibilities (other duties may also be assigned):**
* Work with product managers, system engineers and production to manage the product life cycle (from design to EOL phase), and help production to solve any system level issues
* Work with rack PM, production line, sales to facilitate project based order delivery and issue management
* Apply various component knowledge such as CPU, DRAM, flash\-based storage, and motherboard to develop and integrate embedded system products and solutions
* Proactively engage in learning and researching new technologies and products to propose new Proof of Concepts
* Work with rack/sales/FAE department and customers to provide optimal solution and technical support
**Qualifications**
* Bachelor or Master's degree in EE, CE, CS or ME with minimum of 8 years working experiences
* Strong knowledge in OCP V3 rack architecture. Previous experience in server product development is a plus
* Strong knowledge in enterprise server architecture. Previous experience in server product development is a plus
* Strong knowledge in server architecture (including PCIe, SATA, and SAS protocols) and OS applications, and knowledge in vSAN is a plus
* Knowledge in in\-band and OOB (IPMI/BIOS) management, Networking is a plus
* Experiences in benchmarks(FIO/IOMeter/vdbench), Windows and Linux OS and scripting languages (python, JavaScript, Visual Basic) are a plus
****Salary Range****
 $162,000 \- $182,000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53">
      <c r="A53" t="inlineStr">
        <is>
          <t>li-4365677372</t>
        </is>
      </c>
      <c r="B53" t="inlineStr">
        <is>
          <t>Lead Digital Product Manager- Content Assembly Agent</t>
        </is>
      </c>
      <c r="C53" t="inlineStr">
        <is>
          <t>Wells Fargo</t>
        </is>
      </c>
      <c r="D53" t="inlineStr">
        <is>
          <t>linkedin</t>
        </is>
      </c>
      <c r="E53" t="inlineStr"/>
      <c r="F53" t="inlineStr"/>
      <c r="G53" t="inlineStr">
        <is>
          <t>Chandler, AZ</t>
        </is>
      </c>
      <c r="H53" t="inlineStr"/>
      <c r="I53" t="inlineStr">
        <is>
          <t>**About This Role**
 Wells Fargo is seeking a Lead Digital Product Owner to lead our Content Assembly Agent, a core Generative AI capability within the broader Future Autonomous Marketing ecosystem. The Content Assembly Agent is responsible for dynamically and rapidly assembling modular marketing content\-including offers, disclosures, creative fragments, personalization tokens, and channel constraints\-into compliant, on\-brand, and deployable marketing outputs across channels such as digital, email, and direct mail.
 This role requires marketing content domain expertise alongside strong product and AI delivery skills. The Product Owner will bring hands\-on understanding of how marketing content is authored, governed, reviewed, and launched in real\-world campaign workflows. This includes practical knowledge of disclosure requirements, brand and creative standards, personalization logic, and channel\-specific constraints. That expertise is essential to ensuring the Content Assembly Agent produces outputs that are not only technically correct, but usable, reviewable, and effective for marketers operating in a highly regulated enterprise environment.
 The Content Assembly Agent operates as part of a multi\-agent orchestration layer, working in concert with upstream and downstream agents for audience targeting, creative generation, compliance review, and activation. As Product Owner, you will define and deliver the capabilities that ensure content assembly is accurate, explainable, governable, and optimized for speed to market, while faithfully reflecting how marketing teams actually build and deploy campaigns.
**In This Role, You Will**
* Foster a strong agile discipline that inspires teams to continuously improve delivery evidenced through key agility metrics
* Own and evolve the product vision and roadmap for the Content Assembly Agent, ensuring it supports end\-to\-end campaign content assembly needs across channels.
* Act as a marketing content subject\-matter expert, applying deep knowledge of disclosures, creative assets, brand standards, personalization, and channel constraints to guide product decisions and prioritization.
* Define and prioritize the agent backlog, translating marketing strategy, campaign intent, compliance requirements, and operational needs into epics, user stories, and clear, testable acceptance criteria for content assembly logic, rules, and outputs.
* Partner closely with engineering, AI/ML, analytics, and design teams to deliver capabilities such as modular content composition, variation handling, template resolution, and channel\-specific rendering.
* Lead the development of assembly logic and orchestration contracts that enable the agent to consume inputs from upstream systems and produce structured, activation\-ready outputs aligned to campaign workflows.
* Ensure enterprise\-grade reliability, observability, and quality through SLAs, telemetry, logging, testing, and evaluation focused on content accuracy and policy adherence.
* Embed Responsible AI and governance controls, including human\-in\-the\-loop review workflows and explainability of assembly decisions.
* Collaborate with Marketing, Legal/Compliance, Risk, and InfoSec partners to ensure assembled content meets brand and regulatory requirements.
* Drive continuous discovery and feedback loops with campaign managers and marketing operations teams.
* Define and track product success metrics, including content reuse, time\-to\-launch, compliance pass rates, and campaign performance.
* Build frameworks for complex decision making that enable effective debate and accelerate getting to the right answer
****Required Qualifications:****
* 5\+ years of digital product management experience, or equivalent demonstrated through one or a combination of the following: work experience, training, military experience, education
* Demonstrated experience translating marketing content and operational needs into detailed requirements and acceptance criteria.
* Hands\-on familiarity with marketing content and campaign workflows, including offers, disclosures, creative assets, and personalization.
* Working knowledge of Generative AI concepts, including LLMs and agent\-based architectures.
* Proven ability to work cross\-functionally in an agile delivery model.
**Desired Qualifications:**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 Experience delivering platform\-scale capabilities that support reuse and configurability.
* Deep familiarity with modular marketing content models, dynamic templating, and channel\-specific constraints.
* Experience operating in a regulated enterprise environment.
* Knowledge of Responsible AI and human\-in\-the\-loop workflows.
* Experience partnering with brand, creative, or marketing operations teams.
 Candidate will be required to work onsite from one of the stated locations listed in the job posting on a hybrid schedule.
 Relocation will not be supported by this role.
 VISA Sponsorship will not be supported by this role.
**Posting End Date**
 19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R\-517380\-2</t>
        </is>
      </c>
    </row>
    <row r="54">
      <c r="A54" t="inlineStr">
        <is>
          <t>li-4299525354</t>
        </is>
      </c>
      <c r="B54" t="inlineStr">
        <is>
          <t>Principal Technical Program Manager</t>
        </is>
      </c>
      <c r="C54" t="inlineStr">
        <is>
          <t>Oracle</t>
        </is>
      </c>
      <c r="D54" t="inlineStr">
        <is>
          <t>linkedin</t>
        </is>
      </c>
      <c r="E54" t="inlineStr"/>
      <c r="F54" t="inlineStr"/>
      <c r="G54" t="inlineStr">
        <is>
          <t>Seattle, WA</t>
        </is>
      </c>
      <c r="H54" t="inlineStr"/>
      <c r="I54" t="inlineStr">
        <is>
          <t>**Job Description**
 Manage the development and implementation process of a specific company product.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The Strategic Customers Engineering (SCE) team manages relationships for Oracle Cloud Infrastructure's top revenue generating customers who run their businesses on our cloud. OCI's mission is to provide customers with best\-in\-class computing, storage, networking, database, security, and an ever\-expanding set of foundational cloud\-based services. As part of the SCE team, the Senior Principal Technical Program Manager plays a critical role in aligning priorities with our customers and service teams, collaborating with cross\-functional stakeholders, and driving end\-to\-end execution of complex projects. This TPM will design, coordinate, and execute technical solutions that have high visibility and huge impact to our customer experience and scalability. Understanding various cloud technologies and technical trade\-offs, the ideal candidate will be an exceptionally strong communicator, both written and verbal, have a well\-rounded technical background, and come with a history of leading large\-scale projects end\-to\-end.
 If you are ready to drive consistently great customer outcomes and accelerate the growth of our business, come join the Oracle Cloud Infrastructure (OCI) organization.
 Career Level – IC4
**Responsibilities**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**Responsibilities**
* Take large, complex projects and break them down into manageable pieces.
* Identify process gaps and build mechanisms to scale.
* Develop functional specifications, then drive the delivery in a successful and timely manner.
* Oversee daily operations through collaboration with senior management and department leaders, performing an array of business operations functions from managing work\-back schedules, generating communications and presentations, and planning and coordinating meetings.
* Assist and communicate with executives in decision\-making, program management, and initiative implementation
* Improve current processes and coordinate organizational procedures for optimized efficiency and productivity
* Drive program schedules from design to launch, communicate to stakeholders and senior leaders.
* Gain a deep technical understanding of OCI servers and be able to drive the technical direction of the team, working with cross\-functional, cross\-service teams
* Thrive and succeed in an innovative and fast\-paced environment, and not be hindered by ambiguity or conflicting priorities.
* Anticipate bottlenecks, provide escalation management, anticipate and make tradeoffs, and balance the business needs versus technical constraints.
* Lead interactions with cross functional teams consisting of UX designers, Engineers, Product Managers and executive leadership.
* (Preferred) Experience working directly with large customers
**Basic Qualifications**
* Bachelors degree or equivalent experience in Computer Science (or related field)
* Seven or more years of project management, product design or related experience
* Previous experience or understanding of cloud technologies, engineering, software, and systems development lifecycles
* Data\-driven approach to solving problems and ability to deep dive to understand the nature of a problem
* Experience developing or managing engineering or product portfolio planning and tracking processes and cadences
* Strong customer service and business operational skills
* A strong background in Technical Program Management
* The ability to clearly articulate the value\-add of TPM to engineering and product organizations
* A natural problem\-solver and strategic thinker who takes ownership
* Efficiently and effectively communicating findings/progress to cross\-functional teams, senior leadership, and the broader organizations
**Preferred Qualifications**
* Masters degree or equivalent experience in Computer Science (or related field)
* Ten or more years of project management, product design or related experience
* Experience in scalable distributed backend services design with Cloud Native
 Experience working directly with large enterprise customers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5">
      <c r="A55" t="inlineStr">
        <is>
          <t>li-4372301893</t>
        </is>
      </c>
      <c r="B55" t="inlineStr">
        <is>
          <t>IT Program Manager</t>
        </is>
      </c>
      <c r="C55" t="inlineStr">
        <is>
          <t>Jobs via Dice</t>
        </is>
      </c>
      <c r="D55" t="inlineStr">
        <is>
          <t>linkedin</t>
        </is>
      </c>
      <c r="E55" t="inlineStr"/>
      <c r="F55" t="inlineStr"/>
      <c r="G55" t="inlineStr">
        <is>
          <t>Kihei, HI</t>
        </is>
      </c>
      <c r="H55" t="inlineStr"/>
      <c r="I55" t="inlineStr">
        <is>
          <t>**Overview**
**Job Summary**
 Galapagos Federal Systems LLC is looking for an enthusiastic, well\-qualified individual to fill the Program Manager position. This role offers the opportunity to work with a diverse and talented group of individuals committed to driving success.
 The Program Manager provides strategic and operational oversight of IT financial management, procurement coordination, and program execution support for Maui SPAM. This role serves as the primary liaison between the Program Control Office and the Information Technology (IT) team, ensuring accurate funding documentation, disciplined budget execution, and successful delivery of critical IT initiatives.
 The Program Manager is responsible for ensuring fiscal compliance, life cycle asset management, and timely execution of projects in accordance with federal financial regulations, DoD procurement standards, and Unit guidelines. The position requires strong coordination across stakeholders to maintain transparency, accountability, and mission readiness.
**Key Responsibilities**
 The IT Program Manager will:
* Prepare, review, and submit all required funding documentation, including 7600B forms and MIPRs, ensuring 100% accuracy and on\-time submission in accordance with Unit guidelines
* Coordinate funding package submissions to the IT procurement intermediary office, ensuring no rejections due to errors or omissions
* Support development and delivery of the annual IT budget, including quarterly updates in coordination with Program Control and IT leadership
* Prepare and submit Unfunded Requirements (UFRs) and Quad Charts to ensure transparency and accountability in IT financial management
* Serve as the primary liaison between the Program Control Office and the IT team, ensuring seamless communication and fulfillment of all data requests within five (5\) business days
* Provide program management support for critical IT initiatives as directed by the CIO, including project planning, schedule management, budget oversight, risk management, stakeholder coordination, and execution monitoring
* Ensure all assigned projects are delivered on time and within approved budget parameters
* Support lifecycle management of IT hardware and software assets, including maintaining a comprehensive inventory and identifying procurement needs
* Obtain vendor quotes within five (5\) business days of identifying procurement requirements
* Conduct ongoing tracking and weekly coordination with procurement vendors to monitor quote status, orders, and delivery timelines
* Maintain audit\-ready documentation and ensure financial and procurement traceability
**Responsibilities**
**Skills and Experience**
 The IT Program Manager must have:
* Active Top Secret security clearance
* 5\+ years of experience in program management, IT financial management, or federal/DoD budget execution
* Experience preparing and processing funding documentation such as MIPRs, 7600B forms, and interagency agreements
* Knowledge of federal financial management regulations and DoD procurement processes
* Demonstrated experience managing multiple IT projects within defined cost and schedule constraints
* Experience supporting senior leadership (e.g., CIO, Program Office, or equivalent)
* Strong understanding of budget formulation, execution tracking, and financial reporting
* Experience in project planning, schedule development, cost control, and risk management
* Experience with IT hardware and software lifecycle management and vendor coordination
* Strong analytical skills with exceptional attention to detail and quality control
* Ability to communicate effectively with cross\-functional stakeholders and produce executive\-level reports and briefings
**Education and Certifications**
 The IT Program Manager must meet the following:
**Required**
* Bachelor's degree in Business Administration, Public Administration, Information Technology, Finance, Project Management, Or related discipline
 Preferred:
* Master's degree in Business Administration (MBA), Public Administration (MPA), IT Management, or related field.
* PMP (Project Management Professional)
* CAPM (Certified Associate in Project Management)
* PgMP (Program Management Professional)
* DAWIA Certification (Program Management or Financial Management)
* Certified Government Financial Manager (CGFM)
* ITIL Foundation or higher
* CompTIA Project\+
* Certified Information Systems Security Professional (CISSP) (if supporting classified IT programs)
**Benefits**
* Medical, dental, vision, disability, and life insurance
* Flexible Spending Accounts
* 401(k)
* PTO
* Paid Parental Leave
* Tuition reimbursement
* Paid federal holidays
**Security Clearance**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up to thirty pounds, as necessary.
**Company Summary**
 Headquartered in Hawaii, Galapagos Federal Systems, LLC, is an SBA\-Certified NHO\-owned 8(a) Small Business specializing in global information technology solutions. We deliver professional services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**Posted Salary Range**
 USD $150,000\.00 \- USD $165,000\.00 /Yr.</t>
        </is>
      </c>
    </row>
    <row r="56">
      <c r="A56" t="inlineStr">
        <is>
          <t>li-4290918385</t>
        </is>
      </c>
      <c r="B56" t="inlineStr">
        <is>
          <t>Program Manager, Survey/Geospatial</t>
        </is>
      </c>
      <c r="C56" t="inlineStr">
        <is>
          <t>Kleinfelder</t>
        </is>
      </c>
      <c r="D56" t="inlineStr">
        <is>
          <t>linkedin</t>
        </is>
      </c>
      <c r="E56" t="inlineStr"/>
      <c r="F56" t="inlineStr"/>
      <c r="G56" t="inlineStr">
        <is>
          <t>San Antonio, TX</t>
        </is>
      </c>
      <c r="H56" t="inlineStr"/>
      <c r="I56" t="inlineStr">
        <is>
          <t>**Take Your Career to the Next Level**
 Are you ready to be challenged, make a difference, and experience professional growth in your career? Kleinfelder is looking for you! From environmental planning, permitting, remediation, and site characterization to chemical data management and hydrogeology, Kleinfelder offers a variety of services designed to provide technically appropriate and cost\-effective solutions.
 Doucet, a Kleinfelder Company. is seeking a growth\-oriented individual to lead one of our Survey / Geospatial teams in Dallas, or San, Antonio, Texas. As a Program Manager, you will provide overall leadership for our survey projects and staff to deliver successful multi\-discipline projects. As an RPLS, you will provide professional\-level supervision and serve as the responsible authority in charge of assigned staff, as well as perform QA/QC throughout each of your team’s project. As a Program Manager, you will work closely with all levels of management and technical staff in the Survey / Geospatial Department, and coordinate with clients, sub\-consultants, and other Kleinfelder staff. You will help facilitate a collaborative environment and share project experiences in staff production approach. You will also explore business development opportunities and secure work for the firm.
**Responsibilities:**
* The Program Manager will have responsible charge of all aspects of a surveying and geomatics group (field and office) consisting of several field crews and supporting technical staff involved with public and private sector land improvement and infrastructure projects.
* Initiate and maintain contact with key personnel and officials of government agencies and partner companies.
* Plan, organize and supervise survey crews, project managers, technicians and other staff members.
* Administer contracts and manage projects, interpret, organize, execute and coordinate assignments.
* Schedule and assign work to meet completion date.
* Plan and develop surveying projects with unique or controversial problems, explore subject area, investigate and develop novel concepts and approaches.
* Responsible for invoicing, staff utilization, collections, and revenue/profit goals for division.
* Collaborate with other leaders to market and develop business for the firm.
* Understand and follow the company employee handbook, communication guidelines, and safety policies.
* Perform responsibilities in a conscientious, legal, and ethical manner with strong attention to detail.
* Keep current in job specialty through continuing education.
**Qualifications:**
* Bachelor’s degree in surveying or equivalent
* Registered Professional Land Surveyor (RPLS) actively practicing in the State of Texas Required
* 10\+ years of progressive experience in surveying project management in residential/commercial land development, transportation, and public works including final deliverable production of survey documents in a CAD environment.
* Experienced with client management, proposal preparation, proactive staff utilization and progress reporting.
* Experienced with boundary determinations, legal descriptions, geodetic and plane survey calculations, and quality review of geospatial deliverables.
* Experience with staff development and training.
* Experience with survey computations and platting using AutoCAD Civil 3D, OpenRoads, and ArcGIS as well as field experience with GPS, Terrestrial LiDAR, UAS and conventional field equipment.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110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an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57">
      <c r="A57" t="inlineStr">
        <is>
          <t>li-4333172502</t>
        </is>
      </c>
      <c r="B57" t="inlineStr">
        <is>
          <t>Program Manager, Cleft Lip/Palate and Cataract Teams</t>
        </is>
      </c>
      <c r="C57" t="inlineStr">
        <is>
          <t>Samaritan's Purse</t>
        </is>
      </c>
      <c r="D57" t="inlineStr">
        <is>
          <t>linkedin</t>
        </is>
      </c>
      <c r="E57" t="inlineStr"/>
      <c r="F57" t="inlineStr"/>
      <c r="G57" t="inlineStr">
        <is>
          <t>North Wilkesboro, NC</t>
        </is>
      </c>
      <c r="H57" t="inlineStr"/>
      <c r="I57" t="inlineStr">
        <is>
          <t>**Job Description**
**Get Involved!**
 Samaritan's Purse is seeking a
 **Program Manager** 
 for our
 **Cleft Lip/Palate and Cataract (CLP/CAT)** 
 initiatives. This role is responsible for leading international surgical teams, overseeing all aspects of program execution, and providing strategic coordination, recruitment, logistics, and operational management.
****A day in the life of a CLP/CAT Program Manager:****
 At Samaritan's Purse, the Gospel really is the center of all we do! We start each day with a time of devotions and spend time praying for each other, our staff and volunteers who serve around the globe.
 In the role of
 **CLP/CAT Program Manager** 
 , you will have the opportunity to:
* Maintain your personal relationship with Jesus Christ and be an effective witness for Him.
* Manage and oversee CLP/CAT programming in designated countries, including supervision and development of national program staff.
* Develop annual country budgets for programs and provide oversight to ensure fiscal accountability, compliance, and alignment with organizational and programmatic goals.
* Obtain necessary permissions and agreements from local Ministries of Health and partnering hospital facilities, and assist with licensing in host countries.
* Serve as team leader on multiple CLP/CAT missions, providing leadership to volunteer teams in preparation for and during surgical missions.
* Recruit, select, train, and build relationships with qualified CLP/CAT team medical volunteers. Provide clear volunteer roles and determine placement.
* Identify, recruit, and select national partners and manage national program staff in designated countries.
* Oversee the development and implementation of evangelism and spiritual care strategies, as well as spiritual follow\-up plans for CLP/CAT beneficiaries, ensuring engagement of qualified, local pastors.
* Ensure all medical supplies, pharmaceuticals, and equipment are available for CLP/CAT missions, work with Projects Logistics and oversee relationships with government officials to procure supplies and obtain customs clearance, and conduct post\-mission inventories.
* Oversee in\-country patient screening and recruitment efforts, maintain beneficiary lists/contact information, and oversee patient coordination during surgical week.
* Work with national CLP/CAT staff to arrange patient transportation, food, and lodging.
* All other duties as assigned.
 Learn more about serving with Samaritans Purse.
**Qualifications \&amp; Experience**
* Nursing degree and five (5\) to seven (7\) years related experience and/or training; or equivalent combination of education and experience.
* Must have an active RN or advanced practice nursing license.
* Operating room experience and certifications strongly preferred.
* International experience required.
* Prior experience leading cross cultural teams strongly preferred.
* 12 credit hours of college\-level Biblical Studies (required); if not already completed, opportunity to meet and complete requirement is available upon hire.
****Job Location:****
 North Wilkesboro, NC
****Type:****
 Full\-Time
****Language Requirement:****
 Fluency in English (required)
****Travel Expectations:****
 Travel Expectation: 75\-100 days/annually; required travel documents and vaccinations for entry into foreign countries will be necessary.
**Benefits**
* On\-site Medical Clinic (staff and dependents)
* Medical, prescription, dental \&amp; vision insurance
* Flexible Spending Account (FSA)
* Long\-term and Short\-term disability insurance
* Paid Family Medical Leave
* Term Life Insurance
* 401(k) retirement savings plan
* 10 paid holidays
* 12 vacation/personal days
* 10 sick days
**Samaritan's Purse Mission Statement**
 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 The organization serves the Church worldwide to promote the Gospel of the Lord Jesus Christ.
**Samaritan's Purse Statement Of Faith**
* We believe the Bible to be the inspired, the only infallible, authoritative Word of God. 1 Thessalonians 2:13; 2 Timothy 3:15\-17\.
* We believe that there is one God, eternally existent in three persons: Father, Son, and Holy Spirit. Matthew 28:19; John 10:30; Ephesians 4:4\-6\.
* We believe in the deity of the Lord Jesus Christ, in His virgin birth, in His sinless life, in His miracles, in His vicarious and atoning death through His shed blood on the cross, in His bodily resurrection, in His ascension to the right hand of the Father, and in His personal return in power and glory. Matthew 1:23; John 1:1\-4 and 1:29; Acts 1:11 and 2:22\-24; Romans 8:34; 1 Corinthians 15:3\-4; 2 Corinthians 5:21; Philippians 2:5\-11; Hebrews 1:1\-4 and 4:15\.
* We believe that all men everywhere are lost and face the judgment of God, that Jesus Christ is the only way of salvation, and that for the salvation of lost and sinful man, repentance of sin and faith in Jesus Christ results in regeneration by the Holy Spirit. Luke 24:46\-47; John 14:6; Acts 4:12; Romans 3:23; 2 Corinthians 5:10\-11; Ephesians 1:7 and 2:8\-9; Titus 3:4\-7\.
* We believe in the present ministry of the Holy Spirit, whose indwelling enables the Christian to live a godly life. John 3:5\-8; Acts 1:8 and 4:31; Romans 8:9; 1 Corinthians 2:14; Galatians 5:16,17,18; Ephesians 6:12; Colossians 2:6\-10\.
* We believe in the resurrection of both the saved and the lost; the saved unto the resurrection of eternal life and the lost unto the resurrection of damnation and eternal punishment. 1 Corinthians 15:51\-57; Revelation 20:11\-15\.
* We believe in the spiritual unity of believers in the Lord Jesus Christ and that all true believers are members of His body, the church. 1 Corinthians 12:12, 27; Ephesians 1:22\-23\.
* We believe that the ministry of evangelism and discipleship a responsibility of all followers of Jesus Christ. Matthew 28:18\-20; Acts 1:8; Romans 10:9\-15; 1 Peter 3:15\.
* We believe Gods plan for human sexuality is to be expressed only within the context of marriage, that God created man and woman as unique biological persons made to complete each other. God instituted monogamous marriage between male and female as the foundation of the family and the basic structure of human society. For this reason, we believe that marriage is exclusively the union of one genetic male and one genetic female. Genesis 2:24; Matthew 19:5\-6; Mark 10:6\-9; Romans 1:26\-27; 1 Corinthians 6:9\.
* We believe that we must dedicate ourselves to prayer, to the service of our Lord, to His authority over our lives, and to the ministry of evangelism. Matthew 9:35\-38; 22:37\-39, 28:18\-20; Acts 1:8; Romans 10:9\-15 and 12:20\-21; Galatians 6:10; Colossians 2:6\-10; 1 Peter 3:15\.
* We believe that human life is sacred from conception to its natural end; and that we must have concern for the physical and spiritual needs of our fellowmen. Psalm 139:13; Isaiah 49:1; Jeremiah 1:5; Matthew 22:37\-39; Romans 12:20\-21; Galatians 6:10\.
* We believe that God wonderfully and immutably creates each person biological male or female. These two distinct but complementary sexes together reflect the image and likeness of God. Rejection of ones biological sex is a rejection of Gods merciful design and creative order. Genesis 1:26\-27;1 Corinthians 6:9; Deuteronomy 22:5</t>
        </is>
      </c>
    </row>
    <row r="58">
      <c r="A58" t="inlineStr">
        <is>
          <t>li-4222894412</t>
        </is>
      </c>
      <c r="B58" t="inlineStr">
        <is>
          <t>Deputy Program Manager</t>
        </is>
      </c>
      <c r="C58" t="inlineStr">
        <is>
          <t>UICGS / Bowhead Family of Companies</t>
        </is>
      </c>
      <c r="D58" t="inlineStr">
        <is>
          <t>linkedin</t>
        </is>
      </c>
      <c r="E58" t="inlineStr"/>
      <c r="F58" t="inlineStr"/>
      <c r="G58" t="inlineStr">
        <is>
          <t>Aberdeen, MD</t>
        </is>
      </c>
      <c r="H58" t="inlineStr"/>
      <c r="I58" t="inlineStr">
        <is>
          <t>DEPUTY PROGRAM MANAGER (ATCDT)
 Bowhead seeks a Deputy Program Manager to support the ATC Data Collection upcoming proposal effort at the Aberdeen Proving Ground, MD. The ATC Data Collection contract plans, conducts, analyzes, and reports the results of developmental tests, production tests, and other tests to include providing test support services within the Department of Defense (DoD). The Deputy Program Manager has overall responsibility for contract performance and has independent authority to make decisions concerning the performance of the contract to include personnel staffing, unusual hours of operation and contract negotiations.
**Responsibilities**
 Essential Functions include but are not limited to:
* Coordinating the preparation of project plans, milestones, and operating budgets; develops project approaches / concepts; obtains proper resources within and across organizational boundaries.
* Reviewing and evaluating work of staff, provides task oversight and prepares periodic performance reports.
* Acting as primary customer contact for task activities, leading task review sessions with customer to discuss cost, schedule, and technical performance. Evaluates requirements, establishes task approach, organizes personnel resources, and directs day to day work activities.
* Establishes milestones and monitors adherence to master plans and schedules.
* Identifying program problems and obtains solutions.
* Directing the work of technical and support personnel assigned to the task and is responsible for overall task performance, product quality, and timeliness of efforts.
* Ensure the training of all contractor personnel
* Serve as the main Point of Contract (POC) for all contractor personnel
* Data collection, coordination, compilation, review, and reporting on a wide variety of automotive, combat, electronic, general equipment, and ordnance materiel undergoing extensive testing
* Data transcription/ processing, and typing and editing of Government correspondence and technical reports
* Providing continuity in the knowledge of and applications of safety, security, and operational regulations and procedures
* Providing continuity in training; and accountability of Government\-furnished property (GFP)
**Qualifications**
* Bachelor’s Degree in a scientific, engineering, or technology discipline and eight to ten (8\-10\) years’ of relevant experience
* Competency in communication, leadership, logistics automated systems, team management, and risk management.
* Must be able to multi\-task, manage priorities and work independently with little direction.
* Ability to communicate effectively with all levels of employees and outside contacts.
* Strong interpersonal skills and good judgment with the ability to work alone or as part of a team.
* Shall possess seven (7\) years’ data collection experience in a test and evaluation environment
* Shall also possess five (5\) years’ experience supervising 50 or more people in a technical environment.
 Target salary is $140K\-$170K, commensurate with experience.
 Physical Demands
* Must be able to lift 10\-15 pounds on occasion.
* Must be able to stand and walk for prolonged period amounts of time.
* Must be able to twist, bend, and squat periodically.
 SECURITY CLEARANCE REQUIREMENTS: Must be able to maintain a security clearance at the Secret level. US Citizenship is a requirement for this contract.</t>
        </is>
      </c>
    </row>
    <row r="59">
      <c r="A59" t="inlineStr">
        <is>
          <t>li-4310261013</t>
        </is>
      </c>
      <c r="B59" t="inlineStr">
        <is>
          <t>Field Program Manager</t>
        </is>
      </c>
      <c r="C59" t="inlineStr">
        <is>
          <t>Westinghouse Electric Company</t>
        </is>
      </c>
      <c r="D59" t="inlineStr">
        <is>
          <t>linkedin</t>
        </is>
      </c>
      <c r="E59" t="inlineStr"/>
      <c r="F59" t="inlineStr"/>
      <c r="G59" t="inlineStr">
        <is>
          <t>Lawrenceville, GA</t>
        </is>
      </c>
      <c r="H59" t="inlineStr"/>
      <c r="I59"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a
 **Senior Field Project Manager** 
 within our Specialty Welding \&amp; Machining department, you will manage projects at Nuclear Power Plants, with a focus on Feedwater Heater/Heat Exchanger replacements and nuclear system piping repairs, including welding, machining, NDE and related activities.
 You will report to the Manager of Field Services Operations and be located at our Diablo Canyon, CA plant. You will have onsite visibility during projects and will be remote in between projects.
**Key Responsibilities**
* Manage projects at Nuclear Power Plants, with a focus on Feedwater Heater/Heat Exchanger and large component replacements and nuclear system piping repairs, including welding, machining, NDE and related activities at nuclear power plants.
* Responsible for all project management processes on high\-complexity projects, or a portfolio of high\-complexity projects at client sites. Lead and establish a healthy collaborative working environment with large multi\-discipline teams including Project Controls, Quality, Engineering and other Project Managers.
* Play an important role in the Bid\-to\-Book processes. Oversee and provide input to development of cost estimates and offers for field service projects, in the nuclear power sector. Support customer negotiations and be an advocate for Westinghouse value\-added opportunities at customer sites.
* You will complete the project planning processes, including authoring project management plans, procedures, schedules, challenge meetings, cost baselines/projections and financials reporting, invoicing billing milestones, risk and partner registers per the Westinghouse Enterprise Project Management Office programs and Specialty Welding \&amp; Machining Project Playbook.
* Be the driving factor during project execution at customer sites that lead our teams to safe and event\-free, first\-time quality project deliveries including schedule performance vs. baseline, tracking and projecting financials, invoicing, logging project performance details and lessons learned, and active partner management with internal and external communications. Develop and implement recovery plans when projects are off\-track.
* Ensure project closure by archiving work in financial, scheduling, document management, and resource management systems/tools. Perform final project quality assessments and reports. Communicate best practices, opportunities for improvement, lessons learned, and risk avoidance for future work.
****Qualifications:****
* Bachelor's degree required in the fields of: Project Management, Engineering, Science, or Construction Management.
* 15\+ years of Project Management experience with large high\-complexity projects at Nuclear Power Plants.
* Specific experience preferred in Nuclear Power Plant Construction Management, Feedwater Heater/Heat Exchanger replacements, Moisture Separator Reheaters, Steam Generator Replacements, and other large component replacements.
* Experience leading large high\-value field\-based projects at nuclear plants, during outages, and following Safety and Non\-Safety Related Quality Programs, ASME codes and multiple types of NDE.
 We are committed to transparency and equity in all of our people practices. The base salary range for this position, which is dependent upon experience, is estimated to be ($144,000 to $180,000\) per year.
**\- Onsite**
**Why Westinghouse?**
**Benefits**
**Westinghouse offers competitive benefits to all our employees around the globe to keep them healthy and enhance their well\-being. In the U.S. the following are representative of what we offer:**
* Competitive Salary
* Comprehensive Health, Wellness and Income Protection Benefits
* 401(k) Savings Plan with Company Match
* Paid Vacations and Holidays
* Opportunities for Flexible Work Arrangements
* Educational Reimbursement Program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9,000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60">
      <c r="A60" t="inlineStr">
        <is>
          <t>li-4347120030</t>
        </is>
      </c>
      <c r="B60" t="inlineStr">
        <is>
          <t>Program Manager, Mission Critical - Michels Preconstruction Services, Inc.</t>
        </is>
      </c>
      <c r="C60" t="inlineStr">
        <is>
          <t>Michels Corporation</t>
        </is>
      </c>
      <c r="D60" t="inlineStr">
        <is>
          <t>linkedin</t>
        </is>
      </c>
      <c r="E60" t="inlineStr"/>
      <c r="F60" t="inlineStr"/>
      <c r="G60" t="inlineStr">
        <is>
          <t>Houston, TX</t>
        </is>
      </c>
      <c r="H60" t="inlineStr"/>
      <c r="I60" t="inlineStr">
        <is>
          <t>The Michels Preconstruction Services, Inc. team plays a critical role in the development of large, complex energy, infrastructure, marine and transportation projects. The Preconstruction Services team consists of construction and technical professionals working with one another and with customers to develop creative solutions for turning construction ideas into reliable outcomes. Like our field construction teams, our Preconstruction Services team takes into consideration the safety, social and environmental responsibility, and the health and wellbeing of our people and the communities in which we work. We strive to make a difference in positive, respectful, and responsible ways. Our work improves lives. Find out how a career as an Alternative Delivery Manager can change yours.
 As an Alternative Delivery Manager, responsibilities include providing direction and management for all phases of alternative/collaborative delivery projects. This position requires involvement in all phases of an alternative/collaborative delivery project lifecycle from business development, teaming, pursuits \&amp; proposals, and active contract and design management. It is essential to be goal oriented, organized, and professional in order to exceed client expectations. Critical for success in this position is excellent verbal and written communication skills, the ability to multitask while managing work both with internal Michels teams and external partner and client teams, as well as the ability to quickly make well informed decisions.
**Why Michels Preconstruction Services, Inc.?**
* We are consistently ranked among the top 10% of Engineering News\-Record’s Top 400 Contractors
* Our steady, strategic growth revolves around a commitment to quality
* We are family owned and operated
* We invest an average of $5,000 per employee on training each year
* We offer a comprehensive benefits package, including health, dental and vision, competitive paid time off plans and much more!
* We reward hard work and dedication with limitless opportunities
* We believe it is everyone’s responsibility to promote safety, regardless of job titles.
* Michels offers a comprehensive benefits program, including Health, Dental, Life, Flexible Spending Accounts, Health Savings Account, Short Term and Long Term Disability Insurance, 401(k) plan, Legal Plan, and Identity Theft and Monitoring Plan. Depending on your position and location you may participate in a different benefit plan.
**Why you?** 
- You thrive in fast\-paced environments and under tight deadlines
- You will own all aspects of data center preconstruction including:
- Identify new opportunities through relationship development and the creation of brand awareness. The individual must serve as an ambassador and promote The Michels Family of Companies as the contractor of choice while providing support in the development and preservation of client relationships. Critical for success are the abilities to maintain the highest level of confidentiality and discretion, demonstrate strong verbal and written communication skills and personify Michels Core Values in all interactions.
- Understanding and existing relationships in the mission critical industry
- Work with Business Development to facilitate early engagement with clients, owners, developers, contractors, and engineers
- Drive decision making
- Communicate and drive progress with internal stakeholders
- Proposal Delivery
* Receive RFPs
* Review estimates
* Develop commercial material
* Ensure proposal quality and compliance with RFP requirements prior to submission
* You relish new challenges and evolving technology
* You proactively build and sustain relationships
* You communicate proactively with the client, and with your team
* You provide leadership and guidance on project pursuits and on delivery
* You have an internal drive to produce results
**What It Takes**
* Bachelor’s Degree in Construction Management or Civil Engineering, 5\+ years of project management, construction management experience, or an equivalent combination
* Construction experience in transportation engineering or transportation construction projects, including, but not limited to, Highway DOT, bridges, or federal projects
* PE \&amp; DBIA Certification (Desired)
* Experience with Business Development and project pursuits
* Experience and understanding of alternative delivery projects, including, but not limited to, design build, CMGC, or progressive design build
* Experience in key project leadership roles
* Considerable experience in client management on project pursuits, as well as in project delivery
* Understanding and experience with win strategies, pricing and project scheduling
* Experience in technical writing
* Understanding of Scheduling, Estimating and Project Controls Software
* A valid driver license for the type(s) of vehicles you may be driving and an acceptable driving record
* Travel requirements will vary but could exceed 50% depending on assignment and project requirements
 AA/EOE/M/W/Vet/Disability
 https://www.michels.us/website\-user\-privacy\-policy/</t>
        </is>
      </c>
    </row>
    <row r="61">
      <c r="A61" t="inlineStr">
        <is>
          <t>li-4347100045</t>
        </is>
      </c>
      <c r="B61" t="inlineStr">
        <is>
          <t>Program Manager, Mission Critical - Michels Preconstruction Services, Inc.</t>
        </is>
      </c>
      <c r="C61" t="inlineStr">
        <is>
          <t>Michels Corporation</t>
        </is>
      </c>
      <c r="D61" t="inlineStr">
        <is>
          <t>linkedin</t>
        </is>
      </c>
      <c r="E61" t="inlineStr"/>
      <c r="F61" t="inlineStr"/>
      <c r="G61" t="inlineStr">
        <is>
          <t>Phoenix, AZ</t>
        </is>
      </c>
      <c r="H61" t="inlineStr"/>
      <c r="I61" t="inlineStr">
        <is>
          <t>The Michels Preconstruction Services, Inc. team plays a critical role in the development of large, complex energy, infrastructure, marine and transportation projects. The Preconstruction Services team consists of construction and technical professionals working with one another and with customers to develop creative solutions for turning construction ideas into reliable outcomes. Like our field construction teams, our Preconstruction Services team takes into consideration the safety, social and environmental responsibility, and the health and wellbeing of our people and the communities in which we work. We strive to make a difference in positive, respectful, and responsible ways. Our work improves lives. Find out how a career as an Alternative Delivery Manager can change yours.
 As an Alternative Delivery Manager, responsibilities include providing direction and management for all phases of alternative/collaborative delivery projects. This position requires involvement in all phases of an alternative/collaborative delivery project lifecycle from business development, teaming, pursuits \&amp; proposals, and active contract and design management. It is essential to be goal oriented, organized, and professional in order to exceed client expectations. Critical for success in this position is excellent verbal and written communication skills, the ability to multitask while managing work both with internal Michels teams and external partner and client teams, as well as the ability to quickly make well informed decisions.
**Why Michels Preconstruction Services, Inc.?**
* We are consistently ranked among the top 10% of Engineering News\-Record’s Top 400 Contractors
* Our steady, strategic growth revolves around a commitment to quality
* We are family owned and operated
* We invest an average of $5,000 per employee on training each year
* We offer a comprehensive benefits package, including health, dental and vision, competitive paid time off plans and much more!
* We reward hard work and dedication with limitless opportunities
* We believe it is everyone’s responsibility to promote safety, regardless of job titles.
* Michels offers a comprehensive benefits program, including Health, Dental, Life, Flexible Spending Accounts, Health Savings Account, Short Term and Long Term Disability Insurance, 401(k) plan, Legal Plan, and Identity Theft and Monitoring Plan. Depending on your position and location you may participate in a different benefit plan.
**Why you?** 
- You thrive in fast\-paced environments and under tight deadlines
- You will own all aspects of data center preconstruction including:
- Identify new opportunities through relationship development and the creation of brand awareness. The individual must serve as an ambassador and promote The Michels Family of Companies as the contractor of choice while providing support in the development and preservation of client relationships. Critical for success are the abilities to maintain the highest level of confidentiality and discretion, demonstrate strong verbal and written communication skills and personify Michels Core Values in all interactions.
- Understanding and existing relationships in the mission critical industry
- Work with Business Development to facilitate early engagement with clients, owners, developers, contractors, and engineers
- Drive decision making
- Communicate and drive progress with internal stakeholders
- Proposal Delivery
* Receive RFPs
* Review estimates
* Develop commercial material
* Ensure proposal quality and compliance with RFP requirements prior to submission
* You relish new challenges and evolving technology
* You proactively build and sustain relationships
* You communicate proactively with the client, and with your team
* You provide leadership and guidance on project pursuits and on delivery
* You have an internal drive to produce results
**What It Takes**
* Bachelor’s Degree in Construction Management or Civil Engineering, 5\+ years of project management, construction management experience, or an equivalent combination
* Construction experience in transportation engineering or transportation construction projects, including, but not limited to, Highway DOT, bridges, or federal projects
* PE \&amp; DBIA Certification (Desired)
* Experience with Business Development and project pursuits
* Experience and understanding of alternative delivery projects, including, but not limited to, design build, CMGC, or progressive design build
* Experience in key project leadership roles
* Considerable experience in client management on project pursuits, as well as in project delivery
* Understanding and experience with win strategies, pricing and project scheduling
* Experience in technical writing
* Understanding of Scheduling, Estimating and Project Controls Software
* A valid driver license for the type(s) of vehicles you may be driving and an acceptable driving record
* Travel requirements will vary but could exceed 50% depending on assignment and project requirements
 AA/EOE/M/W/Vet/Disability
 https://www.michels.us/website\-user\-privacy\-policy/</t>
        </is>
      </c>
    </row>
    <row r="62">
      <c r="A62" t="inlineStr">
        <is>
          <t>li-4364566989</t>
        </is>
      </c>
      <c r="B62" t="inlineStr">
        <is>
          <t>Digital Product Manager</t>
        </is>
      </c>
      <c r="C62" t="inlineStr">
        <is>
          <t>SquareTrade</t>
        </is>
      </c>
      <c r="D62" t="inlineStr">
        <is>
          <t>linkedin</t>
        </is>
      </c>
      <c r="E62" t="inlineStr"/>
      <c r="F62" t="inlineStr"/>
      <c r="G62" t="inlineStr">
        <is>
          <t>San Francisco, CA</t>
        </is>
      </c>
      <c r="H62" t="inlineStr"/>
      <c r="I62" t="inlineStr">
        <is>
          <t>**Company Description**
 SquareTrade/Allstate Protection Plans (“APP”) is the fastest growing company of its kind. We’re revolutionizing a $30b industry with service innovation and attention to customer satisfaction. We partner with some of the largest, most sophisticated retailers and carriers in the world (Home Depot, Walmart, Target, Amazon, Costco, and T\-Mobile to name a few), consistently win industry awards, have received tens of thousands of 5\-star reviews… and we’re just getting started. A member of the Allstate family, APP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Digital Product Manager to support strategic initiatives that accelerate our roadmap for troubleshooting and claim filing. As a Digital Product Manager, you will support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support and contribute to the strategic product vision, roadmap, and backlog to maximize enterprise and customer value.
 Beyond discovery, you will partner with engineering and global product teams to drive solutioning and reimagine the end\-to\-end experience. In this high\-impact role, you’ll define desired key results,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Contribute to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a curious, empathetic and customer obsessed mindset
* Communicate clearly and build trust by fostering strong relationships with stakeholders and ensuring alignment through transparent updates and collaboration.
* Use data to guide decisions, leveraging KPIs, customer feedback, and insights to support prioritization and influence product direction within the team.
* Engage in discovery and test\-and\-learn activities to validate assumptions and guide product direction
* Can decompose problems into manageable stories to then create and prioritize a clear backlog for the product team
* Can support roadmap execution, aligning work with the product vision and providing timely input during development cycles to keep progress on track.
* Can identify risks and concerns early along with identifying opportunities to deliver value
* Are flexible and adaptable, able to navigate ambiguity within your product and across the organization while maintaining focus on outcomes
**Qualifications**
* 2\+ years of experience as a product manager within a technology development environment
* Experience driving measurable business or product outcomes and breaking down work into iterative and incremental delivery to achieve those outcomes
* BA/BS Degree
**Nice to Have:**
* Knowledge of AI technologies (LLMs, GenAI, and Agentic AI)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$145K \- 170K
 SquareTrade estimates the possible base compensation for this role, if hired in the Denver, Colorado, to be in the range : $105K \- 130K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63">
      <c r="A63" t="inlineStr">
        <is>
          <t>li-4364724006</t>
        </is>
      </c>
      <c r="B63" t="inlineStr">
        <is>
          <t>Senior Digital Product Manager</t>
        </is>
      </c>
      <c r="C63" t="inlineStr">
        <is>
          <t>SquareTrade</t>
        </is>
      </c>
      <c r="D63" t="inlineStr">
        <is>
          <t>linkedin</t>
        </is>
      </c>
      <c r="E63" t="inlineStr"/>
      <c r="F63" t="inlineStr"/>
      <c r="G63" t="inlineStr">
        <is>
          <t>San Francisco, CA</t>
        </is>
      </c>
      <c r="H63" t="inlineStr"/>
      <c r="I63" t="inlineStr">
        <is>
          <t>**Company Description**
 SquareTrade is the fastest growing company of its kind. We’re revolutionizing a $30b industry with service innovation and attention to customer satisfaction. We partner with some of the largest, most sophisticated retailers and carriers in the world (Amazon, Walmart, The Home Depot to name a few), consistently win industry awards, have received tens of thousands of 5\-star reviews… and we’re just getting started. A member of the Allstate family, SquareTrade has headquarters in San Francisco and London. We are currently expanding in Europe and Asia Pacific, including Japan and Australia.
**Job Description**
 At Squaretrade, we help our customers when they need us most. As the market leader of protection plans, we touch the lives of millions of people across the world. Our success is due to our focus on delivering great service to our customers through a modern, digital platform.
 We are looking for an experienced Senior Digital Product Manager to drive strategic initiatives that accelerate our roadmap for troubleshooting and claim filing. As a Senior Digital Product Manager, you will own the definition, delivery, and lifecycle management of your product, ensuring every effort is tied to measurable business outcomes.
 This role serves as a critical bridge between operations, customer experience, and technology. You will work closely with subject matter experts across the business to deeply understand challenges, validate assumptions through product discovery, and translate insights into actionable priorities. You will manage the strategic product vision, roadmap, and backlog to maximize enterprise and customer value.
 Beyond discovery, you will partner with engineering and global product teams to drive solutioning and reimagine the end\-to\-end experience. In this high\-impact role, you’ll define desired outcomes, enable teams to deliver best\-in\-class customer and customer service agent experiences, and directly influence overall business success through innovative, outcome\-based delivery.
**What’s Great About This Role?**
* Shape the future of troubleshooting and claim filing experiences by delivering measurable business and customer outcomes
* Lead high\-impact initiatives with visibility across the organization and influencing strategic priorities
* Collaborate with senior stakeholders to align product vision with enterprise goals and customer needs
* Play a pivotal role in transforming complex workflows into seamless, intuitive experiences for customers
**You're A Great Candidate If You:**
* Have deeply curious, empathetic and customer obsessed mindset
* Excel at influencing stakeholders and driving consensus through transparent communication and strong relationship management
* Are metrics\-driven, using KPIs, customer feedback, and data insights to inform backlog prioritization and product strategy
* Engage in discovery and test\-and\-learn activities to validate assumptions and guide product direction
* Can decompose complex problems into manageable stories to then create and prioritize a clear backlog for the product team
* Manage the product vision and roadmap effectively and providing timely feedback on development iterations
* Are proactive in anticipating challenges and identifying opportunities to deliver value
* Are flexible and adaptable, able to navigate ambiguity within your product and across the organization while maintaining focus on outcomes
**Minimum Qualifications:**
* 4\+ years of experience as a product manager within a technology development environment
* Experience driving measurable business or product outcomes and breaking down work into iterative and incremental delivery to achieve those outcomes
* BA/BS Degree
**Nice to Have:**
* Expertise in AI technologies (LLMs, GenAI, and Agentic AI) including productionizing AI\-solutioned products
* Previous Scrum Master or Project Management experience
**Qualifications**
* 4\+ years of experience as a product manager within a technology development environment\[HP1]
* Experience driving measurable business or product outcomes and breaking down work into iterative and incremental delivery to achieve those outcomes
* BA/BS Degree
**Nice to Have:**
* Expertise in AI technologies (LLMs, GenAI, and Agentic AI) including productionizing AI\-solutioned products
* Previous Scrum Master or Project Management experience
**Additional Information**
 At SquareTrade you'll have access to:
* Medical, dental and vision coverage with network optionality to support our dispersed workforce
* HSAs and FSAs
* Open access to mental health benefits including 1:1 therapy, coaching sessions and digital resources
* $75 monthly allowance to support self\-care and well\-being
* Up to 4% company match into 401(k)
* Supportive leave policies including paid parental, grieving and loss, and domestic violence protected leaves
* Paid Time Off
* Work flexibility
* Talent shares
* Tuition reimbursement
* Learning opportunities
* Hybrid work arrangements
* $80 monthly internet connectivity stipend
* Various corporate perks and discounts
 This role is a hybrid role associated with our Bay Area Office or Denver, CO office.
 SquareTrade estimates the possible base compensation for this role, if hired in the San Francisco Bay Area, California, to be in the range : $175K \- $200K
 SquareTrade estimates the possible base compensation for this role, if hired in the Denver, Colorado, to be in the range : $135K \- 170K
 SquareTrade is proud to be an Equal Employment Opportunity employer. We are committed to creating an inclusive work environment for all employees. We celebrate diversity and encourage applications from all qualified individuals regardless of race, religion, color, national origin, sex, gender identity, gender expression, sexual orientation, age, marital status, veteran status, or ability status.
 The Team: http://www.squaretrade.com/leadership
 Thank you for your interest in a career at SquareTrade. Throughout your job search, please be mindful of recruitment fraud.</t>
        </is>
      </c>
    </row>
    <row r="64">
      <c r="A64" t="inlineStr">
        <is>
          <t>li-4373284726</t>
        </is>
      </c>
      <c r="B64" t="inlineStr">
        <is>
          <t>Principal Product Manager</t>
        </is>
      </c>
      <c r="C64" t="inlineStr">
        <is>
          <t>UVeye</t>
        </is>
      </c>
      <c r="D64" t="inlineStr">
        <is>
          <t>linkedin</t>
        </is>
      </c>
      <c r="E64" t="inlineStr"/>
      <c r="F64" t="inlineStr"/>
      <c r="G64" t="inlineStr">
        <is>
          <t>New York, NY</t>
        </is>
      </c>
      <c r="H64" t="inlineStr"/>
      <c r="I64"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65">
      <c r="A65" t="inlineStr">
        <is>
          <t>li-4373500110</t>
        </is>
      </c>
      <c r="B65" t="inlineStr">
        <is>
          <t>Principal Product Manager</t>
        </is>
      </c>
      <c r="C65" t="inlineStr">
        <is>
          <t>UVeye</t>
        </is>
      </c>
      <c r="D65" t="inlineStr">
        <is>
          <t>linkedin</t>
        </is>
      </c>
      <c r="E65" t="inlineStr"/>
      <c r="F65" t="inlineStr"/>
      <c r="G65" t="inlineStr">
        <is>
          <t>Nashville, TN</t>
        </is>
      </c>
      <c r="H65" t="inlineStr"/>
      <c r="I65"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66">
      <c r="A66" t="inlineStr">
        <is>
          <t>li-4373297347</t>
        </is>
      </c>
      <c r="B66" t="inlineStr">
        <is>
          <t>Product Manager (Remote)</t>
        </is>
      </c>
      <c r="C66" t="inlineStr">
        <is>
          <t>Jobgether</t>
        </is>
      </c>
      <c r="D66" t="inlineStr">
        <is>
          <t>linkedin</t>
        </is>
      </c>
      <c r="E66" t="inlineStr"/>
      <c r="F66" t="inlineStr"/>
      <c r="G66" t="inlineStr">
        <is>
          <t>California, United States</t>
        </is>
      </c>
      <c r="H66" t="inlineStr"/>
      <c r="I66"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7">
      <c r="A67" t="inlineStr">
        <is>
          <t>li-4373280943</t>
        </is>
      </c>
      <c r="B67" t="inlineStr">
        <is>
          <t>Principal Product Manager</t>
        </is>
      </c>
      <c r="C67" t="inlineStr">
        <is>
          <t>UVeye</t>
        </is>
      </c>
      <c r="D67" t="inlineStr">
        <is>
          <t>linkedin</t>
        </is>
      </c>
      <c r="E67" t="inlineStr"/>
      <c r="F67" t="inlineStr"/>
      <c r="G67" t="inlineStr">
        <is>
          <t>Boston, MA</t>
        </is>
      </c>
      <c r="H67" t="inlineStr"/>
      <c r="I67"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68">
      <c r="A68" t="inlineStr">
        <is>
          <t>li-4373299147</t>
        </is>
      </c>
      <c r="B68" t="inlineStr">
        <is>
          <t>Principal Product Manager</t>
        </is>
      </c>
      <c r="C68" t="inlineStr">
        <is>
          <t>UVeye</t>
        </is>
      </c>
      <c r="D68" t="inlineStr">
        <is>
          <t>linkedin</t>
        </is>
      </c>
      <c r="E68" t="inlineStr"/>
      <c r="F68" t="inlineStr"/>
      <c r="G68" t="inlineStr">
        <is>
          <t>Atlanta, GA</t>
        </is>
      </c>
      <c r="H68" t="inlineStr"/>
      <c r="I68"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69">
      <c r="A69" t="inlineStr">
        <is>
          <t>li-4373297382</t>
        </is>
      </c>
      <c r="B69" t="inlineStr">
        <is>
          <t>Principal Product Manager</t>
        </is>
      </c>
      <c r="C69" t="inlineStr">
        <is>
          <t>UVeye</t>
        </is>
      </c>
      <c r="D69" t="inlineStr">
        <is>
          <t>linkedin</t>
        </is>
      </c>
      <c r="E69" t="inlineStr"/>
      <c r="F69" t="inlineStr"/>
      <c r="G69" t="inlineStr">
        <is>
          <t>Miami, FL</t>
        </is>
      </c>
      <c r="H69" t="inlineStr"/>
      <c r="I69"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70">
      <c r="A70" t="inlineStr">
        <is>
          <t>li-4303080843</t>
        </is>
      </c>
      <c r="B70" t="inlineStr">
        <is>
          <t>Product Manager, Card Costs and Settlement</t>
        </is>
      </c>
      <c r="C70" t="inlineStr">
        <is>
          <t>Stripe</t>
        </is>
      </c>
      <c r="D70" t="inlineStr">
        <is>
          <t>linkedin</t>
        </is>
      </c>
      <c r="E70" t="inlineStr"/>
      <c r="F70" t="inlineStr"/>
      <c r="G70" t="inlineStr">
        <is>
          <t>San Francisco, CA</t>
        </is>
      </c>
      <c r="H70" t="inlineStr"/>
      <c r="I7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Cards team at Stripe is responsible for the infrastructure, user facing features, and business of accepting credit, debit, and pre\-paid card payments. Delivering the best offering for processing credit, debit, and prepaid cards is critical to Stripe’s mission, given the central role card payments play in internet commerce.
 What you’ll do
 As a Product Manager for Card Costs and Settlement at Stripe, you will devise strategy, develop product requirements and deliver some of the highest impact initiatives that serve both our customers \- helping them understand, reduce and manage their payment costs \- and internal stakeholders \- helping Stripe manage its own.
 At Stripe, Product Managers help build innovative payments products for our customers. Product development is an extremely collaborative effort between engineering, design, analytics, operations and customer\-facing teams. You’d be joining a team of experienced Product Managers who have a track record of successfully building large\-scale business and consumer products that are collectively impacting millions of users around the world.
 This strategically critical role offers significant exposure to Stripe's leadership as you will drive initiatives to optimize card processing costs, streamline operations, and shape the future of our card products. On a day to day basis, you will spend your time between meeting customers (both internal and external), and working with your engineering, operations, analytics, network partnership and GTM counterparts. You will use the voice of the customers, go deep into data, and leverage ML/GenAI as you design products and drive cross\-team decisions that will have millions of dollars of impact to Stripe’s business.
**Responsibilities**
* Lead product development by engaging directly with Stripe’s users and GTM teams, uncovering critical needs in understanding and minimizing card processing costs, and translating these insights into an ambitious product roadmap.
* Set the pace for prioritization and execution for the product team, ensuring alignment with company\-wide goals.
* Collaborate with various stakeholders across the organization, including Engineering, Design, Data Science, GTM teams and Operations to drive flawless execution on product initiatives.
* Measure success quantitatively by tracking metrics and qualitatively by collecting feedback from users. Partner with Operations and Network Partnership teams to relentlessly drive continuous improvements in our cost management strategies amidst the ever\-evolving, dynamic payment landscape.Drive efficiency and accuracy through continuous improvements in accounting, reporting and P\&amp;L generation processes by collaborating closely with Finance and Accounting teams.
* Identify opportunities to platformize the capabilities built for managing card processing costs and build platform\-client relationships with other product teams across Stripe.
* Ultimately, emerge as the expert and primary point of contact across all of Stripe for everything related to card processing costs.
 Who you are
 We’re looking for someone who meets the minimum requirements to be considered for the role. If you meet these requirements, you are encouraged to apply. The preferred qualifications are a bonus, not a requirement.
**Minimum Requirements**
* Brings 5\+ years of experience in a product role
* Brings deep user empathy and a high bar for user experience
* Has been successful in delivering continuous product improvement as well as 0 \-\&gt;1 launches
* Brings ownership mindset and persistence to work on whatever it takes to ensure that your product is successful
* Ability to effectively collaborate with engineering, product, data science, and cross\-functional teams on product initiatives. Experience working with go\-to\-market teams in a B2B sales environment.
* Ability to deeply analyze data, derive insights, and make data\-driven decisions. Proven track record of instrumenting and measuring product initiatives, including those with less obvious metrics.
* Has strong written and verbal communication skills with a talent for simplifying complex concepts
* Has the ability to thrive with a high level of autonomy and responsibility
**Preferred Qualifications**
* Experience in Payments, working with Card Networks or Banking partners.
* Experience working with ML, data science and data analyst teams. SQL proficiency will help.
* Experience managing and growing platform products
* Experience overseeing operational processes or managing operational teams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$146,400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1">
      <c r="A71" t="inlineStr">
        <is>
          <t>li-4373293449</t>
        </is>
      </c>
      <c r="B71" t="inlineStr">
        <is>
          <t>Group Product Manager (Remote)</t>
        </is>
      </c>
      <c r="C71" t="inlineStr">
        <is>
          <t>Jobgether</t>
        </is>
      </c>
      <c r="D71" t="inlineStr">
        <is>
          <t>linkedin</t>
        </is>
      </c>
      <c r="E71" t="inlineStr"/>
      <c r="F71" t="inlineStr"/>
      <c r="G71" t="inlineStr">
        <is>
          <t>North Carolina, United States</t>
        </is>
      </c>
      <c r="H71" t="inlineStr"/>
      <c r="I71"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li-4373295357</t>
        </is>
      </c>
      <c r="B72" t="inlineStr">
        <is>
          <t>Remote Group Product Manager</t>
        </is>
      </c>
      <c r="C72" t="inlineStr">
        <is>
          <t>Jobgether</t>
        </is>
      </c>
      <c r="D72" t="inlineStr">
        <is>
          <t>linkedin</t>
        </is>
      </c>
      <c r="E72" t="inlineStr"/>
      <c r="F72" t="inlineStr"/>
      <c r="G72" t="inlineStr">
        <is>
          <t>Alabama, United States</t>
        </is>
      </c>
      <c r="H72" t="inlineStr"/>
      <c r="I72"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li-4373282809</t>
        </is>
      </c>
      <c r="B73" t="inlineStr">
        <is>
          <t>Lead Product Manager - REMOTE</t>
        </is>
      </c>
      <c r="C73" t="inlineStr">
        <is>
          <t>Jobgether</t>
        </is>
      </c>
      <c r="D73" t="inlineStr">
        <is>
          <t>linkedin</t>
        </is>
      </c>
      <c r="E73" t="inlineStr"/>
      <c r="F73" t="inlineStr"/>
      <c r="G73" t="inlineStr">
        <is>
          <t>Connecticut, United States</t>
        </is>
      </c>
      <c r="H73" t="inlineStr"/>
      <c r="I73"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li-4373295358</t>
        </is>
      </c>
      <c r="B74" t="inlineStr">
        <is>
          <t>Remote Lead Product Manager</t>
        </is>
      </c>
      <c r="C74" t="inlineStr">
        <is>
          <t>Jobgether</t>
        </is>
      </c>
      <c r="D74" t="inlineStr">
        <is>
          <t>linkedin</t>
        </is>
      </c>
      <c r="E74" t="inlineStr"/>
      <c r="F74" t="inlineStr"/>
      <c r="G74" t="inlineStr">
        <is>
          <t>Massachusetts, United States</t>
        </is>
      </c>
      <c r="H74" t="inlineStr"/>
      <c r="I74"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5">
      <c r="A75" t="inlineStr">
        <is>
          <t>li-4373284725</t>
        </is>
      </c>
      <c r="B75" t="inlineStr">
        <is>
          <t>Principal Product Manager</t>
        </is>
      </c>
      <c r="C75" t="inlineStr">
        <is>
          <t>UVeye</t>
        </is>
      </c>
      <c r="D75" t="inlineStr">
        <is>
          <t>linkedin</t>
        </is>
      </c>
      <c r="E75" t="inlineStr"/>
      <c r="F75" t="inlineStr"/>
      <c r="G75" t="inlineStr">
        <is>
          <t>Leland, NC</t>
        </is>
      </c>
      <c r="H75" t="inlineStr"/>
      <c r="I75" t="inlineStr">
        <is>
          <t>At UVeye, we're on a mission to redefine vehicle safety and reliability on a global scale. Founded in 2016, we pioneered the world's first fully automated suite of vehicle inspection systems. At the heart of this innovation lies our advanced AI\-centric technology, representing the pinnacle of computer vision, machine learning, and generative AI within the automotive sector.
 With over $380M in funding and strategic partnerships with industry giants such as Toyota, Amazon, General Motors, Volvo, and Hertz, our technology is utilized in manufacturing plants, dealerships, wholesale auctions, delivery fleets, seaports, and more. Our growing global team of 250\+ employees is committed to creating a workplace that celebrates diversity, encourages teamwork, and strives for excellence.
 We are looking for a
 ***Principal Product Manager***
 to drive the evolution of our AI\-enabled product suite from initial concept to global scale. This is a high\-impact,
 **individual contributor** 
 role designed for a customer\-obsessed leader who balances long\-term strategic vision with a "builder" mindset.
 In this role, you won't just define the roadmap—you will be at the front lines, actively
 **building, prototyping, and validating** 
 product bets. Working at the intersection of customer insights and emerging technology, you will partner closely with engineering, design, and executive leadership to transform complex technical challenges into scalable, real\-world solutions.
 If you thrive in high\-velocity environments and possess the technical fluency to leverage
 **AI\-assisted workflows** 
 and rapid iteration, you will play a defining role in shaping our automotive technology and influencing our product organization’s future.
**A day in the life and how you’ll make an impact:**
* Hands\-On Innovation \&amp; Technical Solutions: This is a high\-autonomy, execution\-focused role where you will build robust MVPs from the ground up, leveraging AI\-assisted development workflows (LLMs, Copilot) and modern tech stacks to rapidly validate complex hypotheses and define the technical roadmap.
* As a senior leader, you will align engineering, design, and GTM teams around a shared vision, driving confident decision\-making through credibility and strong communication rather than formal authority.
* Own Product Direction End\-to\-End: You will drive product strategy from discovery to delivery, identifying high\-impact problems and defining strategic product bets that align long\-term vision with short\-term execution.
* Strategic Executive Partnership: You will collaborate directly with C\-level leadership to shape company strategy, pitch new initiatives, and connect technical depth with business outcomes to influence investment decisions.
* Champion the Customer \&amp; Market: You will serve as the "voice of the customer," leveraging direct feedback, usage data, and industry research to anticipate future needs and translate them into differentiated, technology\-forward solutions.
 Requirements:
* 10\+ years proven experience in Product Management and R\&amp;D, with a track record of driving products from initial MVP to scaled market adoption in high\-growth ecosystems.
* Deep technical fluency with a hands\-on approach to modern development, including: Modern IDEs \&amp; Tools: Proficient with Visual Studio Code and Cursor.
* Expert\-level use of LLM\-based coding agents and AI\-assisted development to accelerate prototyping.
* AI\-Native Workflows: Full\-Stack Fundamentals: Strong grasp of both Backend and Frontend architecture to guide technical decision\-making.
* Advanced experience in product discovery workflows and UX design principles, ensuring a seamless bridge between complex technology and user\-centric value.
* Revenue\-Driven Mindset: Demonstrated ability to translate product features and platform capabilities into measurable business impact and revenue growth.
* Exceptional communication skills with the ability to navigate complex stakeholder landscapes, influencing engineers, executives, and external partners without formal authority.
* A high\-autonomy "owner" mindset, comfortable leading through ambiguity and taking full accountability for end\-to\-end outcomes.
**Ideally, we’re looking for:**
* Experience building and scaling products from the ground up in startup or high\-growth environments.
* Experience working in the automotive industry or adjacent, highly technical domains.
**Benefits we offer:**
* Competitive Medical, Dental, Vision.
* Company 401k Match.
* 20 PTO days, Company paid holidays.
* Career growth as we scale across the US.
**Compensation:**
 UVeye provides salary ranges that comply with the New Jersey State Law on salary transparency in job advertisements. Actual salaries depend on a variety of factors, including experience, qualifications, skills, location, education, and operational needs. The salary range or contractual rate listed does not include bonuses/incentives or other forms of compensation or benefits. The annual base salary range for this position is $200,000– $250,000\.
**Physical Requirements:**
 This role may involve on\-site or field\-based activities. Depending on the position, tasks may include extended periods of sitting, standing, or walking; working in and around vehicle service areas, rental facilities, dealerships, manufacturing sites, or warehouse environments. The role may also require travel, working in varying environmental conditions, and the use of personal protective equipment (PPE) when appropriate.
 *Reasonable accommodations may be made to enable individuals with disabilities to perform the essential functions.*
**Why UVeye:**
* Pioneer Advanced Solutions: Harness cutting\-edge technologies in AI, machine learning, and computer vision to revolutionize vehicle inspections.
* Drive Global Impact: Your innovations will play a crucial role in enhancing automotive safety and reliability, impacting lives and businesses on an international scale.
* Career Growth Opportunities: Participate in a journey of rapid development, surrounded by groundbreaking advancements and strategic industry partnerships.
 Check out our Life at UVeye page to learn more about the employee experience.
 UVeye is an equal opportunity employer. All applicants will be considered for employment without attention to race, color, religion, sex, sexual orientation, gender identity, national origin, veteran, or disability status.</t>
        </is>
      </c>
    </row>
    <row r="76">
      <c r="A76" t="inlineStr">
        <is>
          <t>li-4373293433</t>
        </is>
      </c>
      <c r="B76" t="inlineStr">
        <is>
          <t>Senior Product Manager (Remote)</t>
        </is>
      </c>
      <c r="C76" t="inlineStr">
        <is>
          <t>Jobgether</t>
        </is>
      </c>
      <c r="D76" t="inlineStr">
        <is>
          <t>linkedin</t>
        </is>
      </c>
      <c r="E76" t="inlineStr"/>
      <c r="F76" t="inlineStr"/>
      <c r="G76" t="inlineStr">
        <is>
          <t>Minnesota, United States</t>
        </is>
      </c>
      <c r="H76" t="inlineStr"/>
      <c r="I76"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li-4373292516</t>
        </is>
      </c>
      <c r="B77" t="inlineStr">
        <is>
          <t>Remote Sr. Product Manager</t>
        </is>
      </c>
      <c r="C77" t="inlineStr">
        <is>
          <t>Jobgether</t>
        </is>
      </c>
      <c r="D77" t="inlineStr">
        <is>
          <t>linkedin</t>
        </is>
      </c>
      <c r="E77" t="inlineStr"/>
      <c r="F77" t="inlineStr"/>
      <c r="G77" t="inlineStr">
        <is>
          <t>Idaho, United States</t>
        </is>
      </c>
      <c r="H77" t="inlineStr"/>
      <c r="I77" t="inlineStr">
        <is>
          <t>This position is posted by Jobgether on behalf of a partner company. We are currently looking for a Senior Product Manager \- REMOTE. In this role, you will play a pivotal part in transforming healthcare technology by overseeing the development and delivery of our clinical and platform foundations. You will engage collaboratively with various stakeholders to ensure the alignment of platform capabilities with business objectives. The ideal candidate will be a strategic leader with significant product management experience in the health tech sector, fostering innovation and compliance across diverse settings. Your contributions will directly impact patient care, operational efficiency, and user satisfaction, making healthcare more accessible and effective. This is a unique opportunity to drive meaningful change in a rapidly evolving industry.
**Accountabilities**
* Partner with business vertical leaders to understand their strategic roadmaps and ensure platform capabilities are aligned to support their goals.
* Oversee the development, delivery, and evolution of shared clinical and platform services, including demographics, user management, census, user security, and audit logging.
* Collaborate with technology leadership to ensure platform architecture is modular, scalable, and optimized for performance.
* Manage and optimize tech costs including hosting and licensed third\-party components.
* Align product development with business objectives and regulatory requirements through cross\-functional collaboration.
* Ensure solutions deliver measurable improvements in patient care and operational efficiency.
* Maintain strong user security measures and audit logging frameworks to meet healthcare compliance standards.
* Manage dependencies and trade\-offs across diverse product components.
* Balance and prioritize competing requests from multiple care segments to maximize business impact.
* Oversee product delivery in an agile enterprise environment.
* Manage, coach, and develop a team of product managers.
* Build and sustain a culture of collaboration, transparency, and continuous improvement.
**Requirements**
* 7\+ years of product management experience in health tech or a similarly regulated enterprise software environment.
* Proven success managing large\-scale, multi\-domain product portfolios with significant business impact.
* Understanding of healthcare clinical technology innovation; experience with EMR solutions is preferred.
* Expertise in user security, compliance, and audit logging within regulated industries.
* Strong technical acumen with experience influencing technical architecture decisions.
* Ability to navigate complex regulatory frameworks and balance compliance with innovation.
* Bachelor’s degree in relevant field; advanced degree (MBA, MS, or equivalent) preferred.
**Benefits**
* Be part of a mission\-driven company revolutionizing healthcare technology at scale.
* Work alongside passionate, high\-performing teams in a collaborative environment.
* Drive products that have direct, meaningful impact on healthcare providers and patients.
* Holistic benefits packages including medical, vision, dental, and life insurance.
* Flexible work arrangements and a culture that promotes personal and professional growth.
* Paid Time Off (PTO) and paid holidays.
* Employee Stock Purchase Plan (ESPP) and tuition assistance.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8">
      <c r="A78" t="inlineStr">
        <is>
          <t>li-4372332014</t>
        </is>
      </c>
      <c r="B78" t="inlineStr">
        <is>
          <t>Technical Product Manager - Digital Customer Platforms</t>
        </is>
      </c>
      <c r="C78" t="inlineStr">
        <is>
          <t>RemoteHunter</t>
        </is>
      </c>
      <c r="D78" t="inlineStr">
        <is>
          <t>linkedin</t>
        </is>
      </c>
      <c r="E78" t="inlineStr"/>
      <c r="F78" t="inlineStr"/>
      <c r="G78" t="inlineStr"/>
      <c r="H78" t="inlineStr"/>
      <c r="I78" t="inlineStr">
        <is>
          <t>About the Opportunity:
 The Technical Product Manager, Digital Customer Platforms is responsible for managing the technical product aspects of the organization’s customer\-facing digital platforms, including provider and patient portals and related digital tools. Reporting to the Senior Director of Digital Products and Integrations, this role collaborates with engineering, UX, clinical, and commercial teams to deliver scalable, secure, and intuitive digital experiences. The role translates customer and business needs into technical requirements, manages complex backlogs, and ensures high\-quality delivery of digital capabilities that support test ordering, reporting, communication, and patient engagement.
 Responsibilities:
 • Own and manage the technical product backlog for provider and patient\-facing platforms
 • Translate customer, clinical, and business requirements into clear user stories and acceptance criteria
 • Ensure platforms are scalable, secure, and compliant with healthcare regulations
 • Collaborate closely with engineering teams to guide technical design and implementation
 • Partner with UX and CX teams to deliver user\-centered digital experiences
 • Support release planning, sprint planning, and backlog refinement
 • Drive continuous improvement using usage data, feedback, and performance metrics
 • Identify technical debt and platform risks and prioritize remediation
 • Support roadmap development aligned to digital strategy and customer needs
 Requirements:
 • Bachelor’s degree in computer science, information systems, engineering, health informatics, or related field
 • 5\+ years of experience in technical product management or product ownership
 • Experience working closely with engineering teams in agile environments
 • Preferred experience in healthcare, diagnostics, or health technology
 • Strong technical fluency with APIs, integrations, and complex systems
 • Ability to translate business and user needs into clear technical requirements
 • Skilled in managing complex backlogs and dependencies in agile settings
 • Familiarity with healthcare data standards, security, and compliance
 • Data\-driven prioritization based on product and platform metrics
 • Effective collaboration with engineering, design, and platform teams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9">
      <c r="A79" t="inlineStr">
        <is>
          <t>li-4327098847</t>
        </is>
      </c>
      <c r="B79" t="inlineStr">
        <is>
          <t>Associate Product Manager, Hydro Flask</t>
        </is>
      </c>
      <c r="C79" t="inlineStr">
        <is>
          <t>Helen of Troy</t>
        </is>
      </c>
      <c r="D79" t="inlineStr">
        <is>
          <t>linkedin</t>
        </is>
      </c>
      <c r="E79" t="inlineStr"/>
      <c r="F79" t="inlineStr"/>
      <c r="G79" t="inlineStr"/>
      <c r="H79" t="inlineStr"/>
      <c r="I79" t="inlineStr">
        <is>
          <t>Join our Home and Outdoors team at Helen of Troy and make an immediate impact on our trusted brand:
 **Hydro Flask** 
 . Together, we build innovative and useful products that elevate people's lives everywhere every day.
**Look around your home, and you'll find us everywhere,** 
 in your kitchen, living room, bedroom, and bathroom. We are already making your everyday lives better. We are powered by knowledgeable, enthusiastic, and forward\-thinking people committed to developing a culture of inclusion. Whether you are just starting your career or in need of a challenge, we recognize, develop, and empower talent!
**Position:** 
 Associate Product Manager
**Department:** 
 Hydro Flask
**Work Location:** 
 Bend, OR (work 3 days onsite)
**Hybrid Schedule:** 
 At Helen of Troy, we embrace a flexible hybrid work model designed to support collaboration and productivity. For roles eligible for hybrid work, our standard schedule includes in\-office collaboration from Tuesday through Thursday, with the option to work remotely on Mondays and Fridays. Any updates to this model will be communicated in advance. Please note that hybrid eligibility and schedules may vary based on business needs and manager expectations.
**What You Will Be Doing**
 As an Associate Product Manager, you guide new products from concept through launch by coordinating market research, product planning, pricing, positioning, packaging, promotions, and communication efforts. You also identify and manage external design and manufacturing partners to support development.
 In addition to launching new products, you oversee existing product categories—managing pricing, maintaining quality, and recommending updates to marketing or distribution as needed. You conduct strategic analysis of your categories and develop long‑term plans in partnership with the Category Director. You also play a key role in supporting and mentoring Product Development Assistants.
 Product Strategy \&amp; Research
* Identify new product opportunities through consumer research, competitive analysis, and market trends.
* Build product briefs and validate concepts through surveys, testing, and user insights.
* Analyze category financials, POS data, and product performance to guide strategy and growth.
* Present annual 3‑year product pipeline and strategic vision.
 Product Development \&amp; Project Management
* Manage product development schedules and maintain updates for cross‑functional teams.
* Partner closely with engineering to develop products, assess risks, and maintain ongoing communication.
* Manage relationships with design firms, including timelines, milestones, and feedback.
* Oversee patent strategy and coordinate with Legal and Engineering on filings.
* Maintain daily communication with overseas factories regarding pricing, timelines, and development.
 Pricing, Financials \&amp; Compliance
* Quote and finalize product pricing based on margin requirements.
* Input and analyze pricing data in the New Products Pricing file.
* Submit products for compliance testing and ensure all standards are met pre‑production.
* Update products and packaging to meet evolving compliance, consumer, and competitive requirements.
 Packaging \&amp; Go‑to‑Market
* Lead packaging development from kickoff through final approval, coordinating with APO, marketing, and factories.
* Participate in Go‑to‑Market meetings to align on launch strategy and ensure accurate product content online.
* Oversee product transitions and monitor instore and e‑commerce presentation.
 Cross‑Functional Collaboration
* Maintain strong relationships with Engineering, APO, Compliance, Quality, Operations, Supply Chain, and Sales.
* Support sales teams with product expertise for retailer meetings.
* Collaborate on corporate initiatives such as sustainability, packaging redesign, and vendor consolidation.
* Provide accurate product information to all cross‑functional partners.
 Ongoing Business Management
* Monitor category and product financial performance and identify actions to protect or grow the business.
* Conduct in‑store visits and site audits to evaluate product presentation.
* Attend monthly compliance meetings and contribute to PM team meetings.
 Team Support \&amp; Development
* Build strong communication practices with factories and internal teams.
* Participate in required PM trainings (e.g., dscout, SurveyMonkey, Smartsheet).
* Stay flexible and adapt to new processes and initiatives.
**Skills Needed To Be Successful In This Role**
* Ability to prioritize/juggle projects and multi\-task
* Ability to work with teams
* Strong organizational skills
* Deadline oriented
* Must be detail oriented and have good follow\-through skills
* Must have strong verbal and written communication skills
**Minimum Qualifications**
* Bachelor’s Degree.
* 2\+ years of relevant experience in product development and consumer products.
* Computer software: MS Office Suite.
* Experience with Project Management software (Projects, Smartsheet, Basecamp, etc.,)
* Authorized to work in the United States on a full time basis.
**Preferred Qualifications**
* Oracle
* Smartsheet
**Benefits:** 
 Salary \+ Bonus
 **,** 
 Healthcare, Dental, Vision, Paid Holidays, Paid Parental Leave, 401(k) with company match, Basic Life Insurance, Short Term Disability (STD), Long Term Disability (LTD), Paid Time Off (PTO), Paid Charitable (volunteer) Leave, and Educational Assistance.
 Wondering if you should apply? Helen of Troy welcomes people as diverse as our brands! Have the confidence to come as who you are because your point of view, skills, and experience will make us stronger. If you're eager to share new ideas and try new things, we want to hear from you.
 For more information about Helen of Troy, visit
 **www.helenoftroy.com** 
 . You can also find us on
 **LinkedIn** 
 , and
 **Glassdoor.**
**Helen of Troy is an Equal Opportunity/Affirmative Action Employer.** 
 We are committed to developing a diverse workforce and cultivating an inclusive environment. We value diversity and believe that we are strengthened by the differences in our experiences, thoughts, cultures, and backgrounds.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We will provide individuals with disabilities with reasonable accommodations to participate in the job application process. If you would like to request an accommodation, please contact Human Resources at (915\) 225\-8000\.
 Founded in 1968, Helen of Troy is a prominent player in the global consumer products industry, offering diverse career opportunities across North America, South America, Europe, and Asia. We boast a collection of renowned brands such as OXO, Hydro Flask, Osprey, Honeywell, PUR, Braun, Vicks, Hot Tools, Drybar, Curlsmith, Revlon, and Olive \&amp; June – many of which rank \#1, \#2, or \#3 in their respective categories, making the Helen of Troy name synonymous with excellence and ingenuity.
 At Helen of Troy, our strategy involves acquiring brands that we can integrate and enhance, amplifying their unique attributes to drive growth and profitability. Embracing a culture of collaboration internally and externally, we are committed to providing innovative solutions tailored to consumers, operational excellence, global scalability, and exceptional shared services to support our brand portfolio. This dedication to fostering development and success sets Helen of Troy apart as a pioneer in the industry, propelling our brands to unparalleled heights of success and recognition worldwide.
*The above statements are intended to describe the general nature and level of work performed by people assigned to this classification. They are not intended to be construed as an exhaustive list of all responsibilities and duties required of personnel so classified. Management retains the right to add or to change duties of the position at any time.*</t>
        </is>
      </c>
    </row>
    <row r="80">
      <c r="A80" t="inlineStr">
        <is>
          <t>li-4327066079</t>
        </is>
      </c>
      <c r="B80" t="inlineStr">
        <is>
          <t>AI Product Manager</t>
        </is>
      </c>
      <c r="C80" t="inlineStr">
        <is>
          <t>AHEAD</t>
        </is>
      </c>
      <c r="D80" t="inlineStr">
        <is>
          <t>linkedin</t>
        </is>
      </c>
      <c r="E80" t="inlineStr"/>
      <c r="F80" t="inlineStr"/>
      <c r="G80" t="inlineStr"/>
      <c r="H80" t="inlineStr"/>
      <c r="I80" t="inlineStr">
        <is>
          <t>AHEAD builds platforms for digital business. By weaving together advances in cloud infrastructure, automation and analytics, and software delivery, we help enterprises deliver on the promise of digital transformation.
 At AHEAD, we prioritize creating a culture of belonging, where all perspectives and voices are represented, valued, respected, and heard. We create spaces to empower everyone to speak up, make change, and drive the culture at AHEAD.
 We are an equal opportunity employer, and do not discriminate based on an individual's race, national origin, color, gender, gender identity, gender expression, sexual orientation, religion, age, disability, marital status, or any other protected characteristic under applicable law, whether actual or perceived.
***We embrace all candidates that will contribute to the diversification and enrichment of ideas and perspectives at AHEAD.***
 AHEAD is scaling its unified AI portfolio to deliver measurable business outcomes for clients through repeatable frameworks, accelerators, and productized solutions. The AI Product Manager will be pivotal in operationalizing our “build\-to\-scale” approach—connecting strategy, engineering, and client value across the full enterprise AI outcomes: Strategy, People Enablement, Applications, Platforms, Operations, and Security. This role will drive both internal enablement and client\-facing delivery, with hands\-on demos leveraging AWS, NVIDIA, and other leading stacks. You’ll work closely with the AI Hive—a cross\-functional team at AHEAD that brings together strategy, solution development, enablement, and delivery experts to accelerate enterprise AI adoption and ensure every solution is aligned to client outcomes and best practices.
**Role Scope \&amp; Focus**
* Internal\-facing (first 6 months):
* Develop and enable prioritized AI solutions across platform, agentic, application, and security domains for internal adoption.
* Build demos and prototypes to validate solution approaches and accelerate time\-to\-value.
* Package solutions for scale (documentation, reference architectures, enablement kits).
* Client\-facing (6–12 months):
* Deliver client engagements with measurable impact and repeatable patterns.
* Lead solution intake, prioritization, and stakeholder alignment across AHEAD’s AI Hive, GTM, and delivery teams.
* Facilitate decisions balancing strategic value, technical feasibility, and operational readiness.
**Key Outcomes \&amp; Responsibilities**
* Product Strategy \&amp; Roadmap
* Own and evolve the roadmap for enterprise AI solutions (platforms, agentic AI, applications, security, operations).
* Translate business objectives and demand signals into product bets, milestones, and outcomes.
* Define problem statements, value hypotheses, and success metrics.
* Intake, Prioritization \&amp; Stakeholder Alignment
* Run intake/triage with AI Hive, GTM, and delivery leaders.
* Align priorities, sequencing, and release scope.
* Facilitate decisions balancing strategic value, technical feasibility, and operational readiness.
* Execution \&amp; Delivery
* Convert strategy into executable work (epics, stories, acceptance criteria, release plans).
* Lead agile ceremonies and feedback loops with engineering, design, and solution owners.
* Drive discovery and validation (user interviews, prototypes, dogfooding).
* Develop demos/POCs using AWS/NVIDIA and other enterprise AI hyperscalers.
* Enablement \&amp; Scale
* Package solutions for scale (documentation, reference architectures, enablement kits).
* Build repeatable accelerators and sales engineering content for internal and field use.
* Maintain playbooks for scalable, repeatable Product Ownership.
* Measurement \&amp; Communication
* Define, track, and communicate KPIs (adoption, cycle time, quality, ROI).
* Publish roadmap updates and value stories for executive stakeholders.
**Must\-Have Qualifications**
* 6–10\+ years in Solution/Product Management (platforms, applications, internal tools, or enterprise solutions).
* Track record of shipping high\-impact solutions in agile environments.
* Experience delivering GenAI/AI use cases (prompt\-driven workflows, RAG, agentic orchestration, analytics assistants).
* Strong product discovery and solution design skills (journey mapping, experimentation, data\-informed decisions).
* Excellent stakeholder engagement across engineering, design/UX, security, and GTM.
* Fluency in backlog management, release planning, and telemetry\-driven iteration.
**Nice\-To\-Have Qualifications**
* Familiarity with modern AI stacks (LLMs/APIs, vector databases, orchestration frameworks).
* Experience packaging frameworks/accelerators for sales teams.
* Hands\-on experience with AWS, NVIDIA, and other Data, AI and Cloud technologies.
**Environment \&amp; Success Metrics**
* Portfolio anchored on focused AI solution areas, with clear success criteria and repeatability.
* Cross\-functional teaming via AI Hive (strategy → solution development → enablement/delivery).
* Enterprise AI Outcome spanning strategy, platforms/engineering, security \&amp; trust, and application layers.
**How Success Will Be Measured**
* Internal adoption and enablement of prioritized AI solutions; successful demos/POCs (AWS/NVIDIA).
* Delivery of client engagements with measurable impact and repeatable patterns.
* Documented time\-to\-value, quality, or productivity gains for internal users.
* Predictable release cadence and cycle\-time improvements.
* Solutions shipped with field\-ready artifacts (docs, references, governance patterns).
* Strong stakeholder feedback and confidence in roadmap, risks, and results.
 $200,000 \- $250,000 a year
**Why AHEAD**
 Through our daily work and internal groups like Moving Women AHEAD and RISE AHEAD, we value and benefit from diversity of people, ideas, experience, and everything in between.
 We fuel growth by stacking our office with top\-notch technologies in a multi\-million\-dollar lab, by encouraging cross department training and development, sponsoring certifications and credentials for continued learning.
**USA Employment Benefits Include**
* Medical, Dental, and Vision Insurance
* 401(k)
* Paid company holidays
* Paid time off
* Paid parental and caregiver leave
* Plus more! See benefits https://www.aheadbenefits.com/ for additional details.
 The compensation range indicated in this posting reflects the On\-Target Earnings (“OTE”) for this role, which includes a base salary and any applicable target bonus amount. This OTE range may vary based on the candidate’s relevant experience, qualifications, and geographic location.</t>
        </is>
      </c>
    </row>
    <row r="81">
      <c r="A81" t="inlineStr">
        <is>
          <t>li-4365697618</t>
        </is>
      </c>
      <c r="B81" t="inlineStr">
        <is>
          <t>Technical Product Manager - Bot Detection</t>
        </is>
      </c>
      <c r="C81" t="inlineStr">
        <is>
          <t>Sardine</t>
        </is>
      </c>
      <c r="D81" t="inlineStr">
        <is>
          <t>linkedin</t>
        </is>
      </c>
      <c r="E81" t="inlineStr"/>
      <c r="F81" t="inlineStr"/>
      <c r="G81" t="inlineStr">
        <is>
          <t>North Township, IN</t>
        </is>
      </c>
      <c r="H81" t="inlineStr"/>
      <c r="I81" t="inlineStr">
        <is>
          <t>**Who We Are**
 We are a leader in fraud prevention and AML compliance. Our platform uses device intelligence, behavior biometrics, machine learning, and AI to stop fraud before it happens. Today, over 300 banks, retailers, and fintechs worldwide use Sardine to stop identity fraud, payment fraud, account takeovers, and social engineering scams. We have raised $145M from world\-class investors, including Andreessen Horowitz, Activant, Visa, Experian, FIS, and Google Ventures.
**Our Culture**
* We have hubs in the Bay Area, NYC, Austin, Toronto, and São Paulo. However, we maintain a remote\-first work culture. \#WorkFromAnywhere
* We hire talented, self\-motivated individuals with extreme ownership and high growth orientation.
* We value performance and not hours worked. We believe you shouldn't have to miss your family dinner, your kid's school play, friends get\-together, or doctor's appointments for the sake of adhering to an arbitrary work schedule.
**What You’ll Be Doing**
* Build best\-in\-class bot detection , device intelligence and behavior biometrics products
* Create and steer bot roadmap while working with stakeholders \- Founders, AMs, Sales
* Design new fraud detection methods and tools and monitor the data to build a robust fraud detection and prevention system.
* Work closely with product designers, data analysts, and engineering teams to define detailed product specifications, review technical capabilities, prioritize projects, and create \&amp; steer fraud risk product roadmap.
* Lead Project management – work closely with all our customers and internal stakeholders to prioritize what to build and when
* Lead Delivery – Own the end\-to\-end delivery of our product, starting from scoping projects to execution to final delivery of the product, including proper documentation
**What You’ll Need**
* 7\+ years of product management experience with 3\+ years of experience building Risk products
* Experience in bot detection or device intelligence
* Deep technical expertise \- consider this to be a Technical Product Manager role
* Passion for solving customer problems \- both internal and external
* Good understanding of various fraud typologies like ATO, Card, and Bank Fraud
* Strong analytical skills
* Knowledge of when and how to balance data with intuition
* A commitment to teamwork and transparent, inclusive communication
* Excellent collaboration skills and demonstrated ability to build relationships
**Benefits We Offer**
* Generous compensation in cash and equity
* Early exercise for all options, including pre\-vested
* Work from anywhere: Remote\-first Culture
* Flexible paid time off and Year\-end break
* Health insurance, dental, and vision coverage for employees and dependents \- US and Canada specific
* 4% matching in 401k / RRSP \- US and Canada specific
* MacBook Pro delivered to your door
* One\-time stipend to set up a home office — desk, chair, screen, etc.
* Monthly meal stipend
* Monthly social meet\-up stipend
* Annual health and wellness stipend
* Annual Learning stipend
 Join a fast\-growing company with world\-class professionals from around the world. If you are seeking a meaningful career, you found the right place, and we would love to hear from you.
*To learn more about how we process your personal information and your rights in regards to your personal information as an applicant and Sardine employee, please visit our* 
*Applicant and Worker Privacy Notice* 
*.*</t>
        </is>
      </c>
    </row>
    <row r="82">
      <c r="A82" t="inlineStr">
        <is>
          <t>li-4338389751</t>
        </is>
      </c>
      <c r="B82" t="inlineStr">
        <is>
          <t>Sr. Product Manager, Sub-Same Day (SSD) - DOT</t>
        </is>
      </c>
      <c r="C82" t="inlineStr">
        <is>
          <t>Amazon</t>
        </is>
      </c>
      <c r="D82" t="inlineStr">
        <is>
          <t>linkedin</t>
        </is>
      </c>
      <c r="E82" t="inlineStr"/>
      <c r="F82" t="inlineStr"/>
      <c r="G82" t="inlineStr">
        <is>
          <t>Nashville, TN</t>
        </is>
      </c>
      <c r="H82" t="inlineStr"/>
      <c r="I82" t="inlineStr">
        <is>
          <t>**Description**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\- 152,200\.00 \- 206,000\.00 USD annually
 USA, TN, Nashville \- 124,500\.00 \- 168,500\.00 USD annually
 USA, VA, Arlington \- 136,000\.00 \- 184,100\.00 USD annually
 USA, WA, Bellevue \- 136,000\.00 \- 184,100\.00 USD annually
**Company** 
 \- Amazon.com Services LLC
 Job ID: A3063997</t>
        </is>
      </c>
    </row>
    <row r="83">
      <c r="A83" t="inlineStr">
        <is>
          <t>li-4368762834</t>
        </is>
      </c>
      <c r="B83" t="inlineStr">
        <is>
          <t>Business Product Manager</t>
        </is>
      </c>
      <c r="C83" t="inlineStr">
        <is>
          <t>DHL Supply Chain</t>
        </is>
      </c>
      <c r="D83" t="inlineStr">
        <is>
          <t>linkedin</t>
        </is>
      </c>
      <c r="E83" t="inlineStr"/>
      <c r="F83" t="inlineStr"/>
      <c r="G83" t="inlineStr">
        <is>
          <t>Westerville, OH</t>
        </is>
      </c>
      <c r="H83" t="inlineStr"/>
      <c r="I83" t="inlineStr">
        <is>
          <t>**Business Product Manager (US\-O)**
 Would you like to join the Logistics Company for the World? DHL Supply Chain is just that.
 Become an essential part of everyday life, by contributing to an organization that is Connecting People and Improving Lives. If you have a passion for people, a desire to problem\-solve, and eagerness to pursue continuous improvement opportunities… we look forward to exploring career possibilities with you!
**Job Description**
 The role provides direction, alignment, and thought leadership for building a unified, end\-to\-end resource management ecosystem that drives productivity, cost efficiency, and operational resilience across regions.
 Operating at the intersection of operations, digital product development, and transformation, the Business Product Manager plays a critical role in defining the strategic path for SmartReM (SmartOps, SmartAnalytics, and complementary BI tools), ensuring global scalability and business value.
**Responsibilities**
* Provides direction for SmartReM solutions, shaping business concepts, standards, and operating models to meet global and future operational needs.
* Leads the business\-side design and validation of SmartVolume/Plan and SmartAnalytics, and BI interfaces, ensuring solutions support intelligent decision\-making at all levels.
* Translates complex operational requirements into prioritized business needs, influencing IT roadmap, resource allocation, and long\-term product strategy.
* Steers the creation and evolution of global business process documentation, use cases, capability frameworks, and training materials.
* Establishes robust KPIs, governance indicators, and business case models that guide prioritization in global steering forums.
* Ensures continuous improvement loops are embedded, driving evolutionary and breakthrough enhancements across SmartReM.
* Orchestrates global deployment strategies, ensuring SmartProd adoption aligns with OMS FC expectations and broader transformation initiatives.
* Monitors deployment performance and regional readiness, providing strategic recommendations for scaling, improvements, or interventions.
* Champions bottom\-line impact through SmartProd solutions, ensuring regions understand how to translate tools into real\-site performance gains.
* Acts as the strategic business counterpart for regions, ensuring governance, standards, and the product roadmap align to operational realities and business priorities.
* Leads cross\-functional alignment with IT, OpsEx, HR, Finance, Planning, and other partners to ensure seamless integration and shared accountability for results.
**Required Education And Experience**
* Bachelor’s degree in industrial engineering, Supply Chain Management, Operations Management, Business Administration, or a related field, required.
* Master’s degree preferred (MBA, MSc in Supply Chain/Engineering/Analytics), preferred.
* Certifications such as Lean Six Sigma (Green/Black Belt), PMP, or Agile/Scrum, preferred.
* Minimum six (6\) years of experience in operations, process engineering, operations excellence, workforce productivity, or supply chain transformation, required.
* Experience working with engineered standards, WMS/LMS/Smart Productivity tools, or workforce management systems, preferred.
* Demonstrated capability in data analysis, KPI design, and translating insights into operational improvements, preferred.
* Strong track record in change management, training, coaching, and building capability in multicultural environments, preferred.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t>
        </is>
      </c>
    </row>
    <row r="84">
      <c r="A84" t="inlineStr">
        <is>
          <t>li-4321327149</t>
        </is>
      </c>
      <c r="B84" t="inlineStr">
        <is>
          <t>Staff Product Manager - MetaMask (Sports)</t>
        </is>
      </c>
      <c r="C84" t="inlineStr">
        <is>
          <t>Consensys</t>
        </is>
      </c>
      <c r="D84" t="inlineStr">
        <is>
          <t>linkedin</t>
        </is>
      </c>
      <c r="E84" t="inlineStr"/>
      <c r="F84" t="inlineStr"/>
      <c r="G84" t="inlineStr"/>
      <c r="H84" t="inlineStr"/>
      <c r="I84"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MetaMask**
 MetaMask is the world’s leading self\-custodial wallet, helping tens of millions of people discover and use web3\. The
 **Trade** 
 swimlane is where users go to
 *do things with their assets* 
 – swapping, bridging, trading perps, and soon:
 **betting on sports through on\-chain prediction markets** 
 .
 We’re building a new
 **Sports** 
 vertical under Trade, focused on sports betting as a subset of prediction markets. Our ambition is to create a sports experience that feels
 **instantly familiar** 
 to Web2 sportsbook users—but powered by open, composable, global infrastructure.
 We’re looking for a Senior / Staff Product Manager to lead this Sports vertical end\-to\-end.
 You will own the Sports product within Trade: from strategy to UX to execution. You’ll translate the language of sportsbooks—
 **moneyline, spread, totals, props, parlays, futures** 
 —into a product that sports fans love and that showcases the strengths of web3 prediction markets.
 You’ll work closely with:
* Engineering (client \+ backend \+ infra)
* Design (sports UX, onboarding, market views, slips)
* Data \&amp; research
* External sports consultants and partners
 Your job is to make MetaMask the most compelling on\-chain destination for sports fans who today live on DraftKings, FanDuel, Polymarket, Kalshi, and traditional sportsbooks.
 This is a high\-ownership, high\-leverage role: you’ll shape a net\-new product pillar in one of the most widely used apps in web3\.
**What You’ll Do**
 Own the Sports product vision \&amp; strategy
* Define the north star for sports within MetaMask Trade: target users, core use cases, and product thesis (why on\-chain, why prediction markets, why MetaMask).
* Map the competitive landscape across Web2 sportsbooks and Web3 prediction markets; identify where we should be familiar vs. where we should be different.
* Build a clear multi\-phase roadmap that gets us from v0 → v1 → scaled product, with explicit tradeoffs and milestones.
 Design a sportsbook\-native UX for web3
* Work with design to create intuitive sports flows:
+ League and event discovery (NFL, NBA, MLB, global football/soccer, F1, etc.).
+ Market displays (moneyline, spread, totals, props, parlays) that feel native to bettors.
+ Bet slip, confirmation, live updates, history, and cash\-like UX expectations.
* Make sure the experience is welcoming for Web2 sports fans who may be new to wallets, gas, and on\-chain concepts, without dumbing down the product for degens.
 Drive acquisition, engagement, and retention
* Define the funnel for sports:
+ From existing MetaMask users discovering sports
+ To net\-new sports users being onboarded into MetaMask
* Partner with PMM and Growth to design campaigns, promotions, and retention loops (e.g., seasonal events, big tournaments, ongoing incentives—within regulatory and policy guardrails).
* Instrument the product with clear metrics (active bettors, handle, repeat usage, retention, unit economics) and run experiments to improve them.
 Collaborate deeply with engineering \&amp; sports experts
* Work with engineering to define:
+ How markets are created, updated, and settled
+ Performance and reliability expectations for odds, market states, and settlement flows
* Translate discussions with sports consultants, quants, and traders into product requirements (market types, minimum/maximums, parlay logic, edge\-case handling).
* Ensure the product is designed with compliance, risk, and user protection in mind (in partnership with Legal/Compliance).
 Execute with rigor
* Run end\-to\-end product cycles: discovery → spec → design → implementation → testing → launch → learn.
* Define and enforce a clear Definition of Done for Sports features:
+ Edge cases in odds display, settlement, cancel/void rules, and bet slips
+ Performance and reliability thresholds for live events
+ Telemetry and alerting for critical failures
 Lead post\-mortems when incidents happen; turn them into durable improvements in process, tooling, and UX.
**Would be great if you brought this to the role**
* 6–10\+ years of product management experience, including:
+ Ownership of a core, revenue\-impacting surface (not just side features).
* Direct experience in at least one of:
+ Sportsbook / sports betting products (DraftKings, FanDuel, BetMGM, etc.), or
+ Prediction markets / event\-based markets (Polymarket, Kalshi, etc.).
* Deep, practical understanding of:
+ Sports betting mechanics: bet types, odds formats, settlement rules, edge cases.
+ Sports fan behavior: how and when people bet, what they care about, how they evaluate trust and value.
* Proven track record of:
+ Shipping impactful features end\-to\-end with measurable results.
+ Collaborating tightly with engineering and design on complex UX and system behavior.
* Strong analytical skills:
+ Comfortable defining KPIs, reading dashboards, and running experiments.
* Excellent written and verbal communication; you can explain complex flows simply to engineers, executives, and external partners.
**Nice\-to\-have**
* Web3 / crypto experience:
+ Prior work with wallets, DeFi, on\-chain data, or prediction markets.
+ Familiarity with self\-custody concepts and on\-chain UX constraints.
* Experience working with:
+ Market makers, trading teams, or quants.
+ Regulated or semi\-regulated financial/sports products.
 Previous role at a
 **high\-growth consumer product** 
 where you shipped rapidly while maintaining quality.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$146,000—$220,000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85">
      <c r="A85" t="inlineStr">
        <is>
          <t>li-4333252644</t>
        </is>
      </c>
      <c r="B85" t="inlineStr">
        <is>
          <t>Senior Product Manager, Fixed Case and Tote Storage (m/w/d)</t>
        </is>
      </c>
      <c r="C85" t="inlineStr">
        <is>
          <t>Dematic</t>
        </is>
      </c>
      <c r="D85" t="inlineStr">
        <is>
          <t>linkedin</t>
        </is>
      </c>
      <c r="E85" t="inlineStr"/>
      <c r="F85" t="inlineStr"/>
      <c r="G85" t="inlineStr">
        <is>
          <t>Grand Rapids, MI</t>
        </is>
      </c>
      <c r="H85" t="inlineStr"/>
      <c r="I85" t="inlineStr">
        <is>
          <t>We’re excited to be on the lookout for an expert Product Manager at Dematic for Fixed Case and Tote Storage, focusing on Shuttle and Ultra\-High Density Storage technologies. This role is part of our distributed team and plays a pivotal role in the development and success of our product offerings.
 In this role, you’ll be responsible for defining product strategies, aligning cross\-functional teams, and ensuring the delivery of high\-quality technologies that meet customer needs and drive business growth.
**We Offer**
* Career Development
* Competitive Compensation and Benefits
* Pay Transparency
* Global Opportunities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$111,000\-$162,800 at the time of posting. Final compensation will be determined by various factors such as work location, education, experience, knowledge, and skills.*
***Learn More Here:** 
 https://www.dematic.com/en\-us/about/careers/what\-we\-offer*
**Tasks And Qualifications**
**What will you do in this role?**
* Oversee the financial and technical performance, as well as lifecycle management, of your product line to drive commercial success. Responsible for driving toll gate process and on time delivery TG 00 to TG 90\.
* Commercial Ownership – Lead all aspects of fiscal performance for your line of products. Understand \&amp; report on order intake, revenue, margin (as sold \&amp; as driven), win/loss/drop analysis, etc. Collaborate on market\-based pricing strategies that consider the value of the respective product line. Support regional sales \&amp; solution development teams to drive commercial success for product lines.
* Product Strategy – Develop \&amp; communicate a clear and compelling product vision \&amp; strategy. Define product goals, objectives, and key results to align with Dematic’s overall vision and the customer Value Proposition. Take charge of leading all aspects of developing business strategies, coordinating life cycles, ensuring quality, and positioning products in the marketplace. Develop and manage a clearly defined product roadmap that outlines the delivery schedule and breakthroughs. Adapt the roadmap to changing market conditions and business priorities. Prioritize development activities related to your product lines. Facilitate the assimilation of product lines into more extensive solutions.
* Market Analysis – Leverage market data, competitive insights, and industry analytics to ensure the commercial viability and long\-term success of product lines.
* Product Development – Partner with R\&amp;D / engineering teams to support the development process, ensuring the timely and efficient development of new products, as well as the sustainment of existing products.
* Customer Engagement – Develop and maintain positive relationships with customers and customer\-facing teams to collect feedback to drive product improvement. Act as a customer advocate within the organization.
* Product Launch – Partner with Marketing and Communications to drive successful product launches, including marketing strategies, documentation, and customer training. Coordinate with the sales and marketing teams to ensure a successful market introduction. Partner with solution development for delivery and artifacts.
* Accountable for product cycle time, ensuring the product is delivered within budget in alignment with the original case and product roadmap.
* Accountable for overseeing the cadence of product development and delivery, and facilitating communication including risk analysis and addressing customer concerns.
* Responsible for supporting Trade Shows with your product and participating in the marketing efforts for it.
* Responsible for STRAP and AOP inputs.
**What are we looking for?**
* Proven experience as a Product Manager. Experience with Shuttle and Ultra\-High Density Storage technologies is highly preferred.
* Experience in the Material Handling industry with a proficiency in understanding the supply chain industry is highly preferred.
* Strong abilities in Project Management including validated experience leading sophisticated projects cross\-functionally. Proficiency in project management tools and methodologies.
* Strong strategic business background to drive the commercial performance of product lines.
* Solid technical background and the ability to understand complex technical concepts.
* Excellent communication, collaboration, and leadership skills.
* A strategic issue resolver with a passion for creativity and a focus on customer happiness.
* Ability to prioritize and make decisions in a fast\-paced, dynamic environment.
* Strong problem\-solving skills and attention to detail.
* Understanding the integration of hardware, controls, and software (preferred).
* Educated to degree level (bachelor’s degree or higher) in Science, Engineering, or other technical field. Masters of Business or Doctorate of Science preferred.
* PMP or 5 years of direct project management preferred.
* Willingness to travel up to 25%, customer sites and substantial collaboration.
**Location \&amp; Authorization:** 
 This is a hybrid role requiring proximity to one of our U.S. offices (Grand Rapids, MI; Atlanta, GA). Applicants must be authorized to work in the U.S. without the need for current or future sponsorship.</t>
        </is>
      </c>
    </row>
    <row r="86">
      <c r="A86" t="inlineStr">
        <is>
          <t>li-4365686136</t>
        </is>
      </c>
      <c r="B86" t="inlineStr">
        <is>
          <t>Product Manager USB Solution IP</t>
        </is>
      </c>
      <c r="C86" t="inlineStr">
        <is>
          <t>Synopsys Inc</t>
        </is>
      </c>
      <c r="D86" t="inlineStr">
        <is>
          <t>linkedin</t>
        </is>
      </c>
      <c r="E86" t="inlineStr"/>
      <c r="F86" t="inlineStr"/>
      <c r="G86" t="inlineStr">
        <is>
          <t>Sunnyvale, CA</t>
        </is>
      </c>
      <c r="H86" t="inlineStr"/>
      <c r="I86"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 dynamic and results\-driven individual with a solid background in product management, particularly in the semiconductor industry. With a BS in Electrical Engineering and over 10 years of relevant experience, or an MS in Electrical Engineering with at least 8 years of relevant experience, you bring substantial expertise to the table. An MBA would be a valuable addition to your credentials. Your experience with USB protocol, mixed\-signal, and semiconductor chip design sets you apart. You possess a deep understanding of market segments and applications, and you are adept at analyzing these to identify strategic opportunities. Your track record demonstrates your ability to develop and manage relationships with key customers and partners, and you excel in both oral/public speaking and written communication. You thrive in a matrix environment, showcasing strong organizational and program management skills. You are a strategic thinker with a knack for creative marketing programs and successfully launching new products.
**What You’ll Be Doing:**
* Engaging in business development and customer meetings to identify and drive business opportunities.
* Defining and promoting products to achieve sustainable growth within the USB Solution IP product lines.
* Creating strategic and tactical marketing plans to support product line positioning.
* Generating marketing requirements documents to guide product development.
* Developing product roadmaps and overseeing new product rollouts.
* Conducting TAM/SAM analyses to inform market strategies.
* Communicating with and training sales channels on product offerings.
* Initiating demand creation and promotional activities to boost product visibility.
* Representing the product lines at industry events through panels, articles, and seminars.
* Collaborating closely with sales, product marketing, technical marketing, engineering, and application engineering teams.
**The Impact You Will Have:**
* Driving the financial success of the USB Solution IP product lines through strategic product management.
* Enhancing Synopsys’ market position by effectively promoting and positioning products.
* Contributing to the development of innovative products that meet market demands and customer needs.
* Ensuring successful product launches that align with the company’s strategic goals.
* Building and maintaining strong relationships with key customers and partners.
* Influencing the direction of product development through insightful market analysis and strategic planning.
**What You’ll Need:**
* BS EE with 10\+ years of relevant experience, or MS EE with 8\+ years of relevant experience (MBA preferred).
* Experience in product marketing or technical marketing, preferably in system\-level, ASIC, or system\-on\-chip design.
* Knowledge of USB protocol, mixed signal, and semiconductor chip design.
* Ability to analyze market segments and applications.
* Experience with intellectual property licensing and business models.
**Who You Are:**
* Energetic and results\-driven individual.
* Strong organizational and program management skills.
* Ability to work effectively in a matrix environment.
* Excellent oral/public speaking and written communication skills.
* Proven ability to develop and manage relationships with key customers and partners.
**The Team You’ll Be A Part Of:**
 You will be an integral part of a collaborative team dedicated to the development and marketing of USB Solution IP products. This team works closely with various departments, including sales, product marketing, technical marketing, engineering, and application engineering, to ensure the successful promotion and growth of our product lines. Together, we aim to drive innovation and deliver cutting\-edge solutions to our customers.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t>
        </is>
      </c>
    </row>
    <row r="87">
      <c r="A87" t="inlineStr">
        <is>
          <t>li-4312925721</t>
        </is>
      </c>
      <c r="B87" t="inlineStr">
        <is>
          <t>Senior Product Manager - Tech, AWS Distributed SQL</t>
        </is>
      </c>
      <c r="C87" t="inlineStr">
        <is>
          <t>Amazon Web Services (AWS)</t>
        </is>
      </c>
      <c r="D87" t="inlineStr">
        <is>
          <t>linkedin</t>
        </is>
      </c>
      <c r="E87" t="inlineStr"/>
      <c r="F87" t="inlineStr"/>
      <c r="G87" t="inlineStr">
        <is>
          <t>Seattle, WA</t>
        </is>
      </c>
      <c r="H87" t="inlineStr"/>
      <c r="I87" t="inlineStr">
        <is>
          <t>**Description**
 Are you excited about the opportunity to join a diverse team working together to influence the direction of an innovative new cloud database? Does contributing to product engineering and business strategy for a new distributed database service match your career goals? If so, the role of Senior Product Manager in the AWS Distributed SQL organization may be your dream job.
 Key job responsibilities
 Your primary responsibility as a Senior Product Manager – Technical (PMT) is to help accelerate the product engineering and business growth of Amazon Aurora DSQL. A Senior PMT achieves this growth by shaping and leading product strategy – turning insights and customer feedback into plans that accelerate delivery and delight customers. This includes taking ownership of roadmap prioritization, and contributing to feature development by acting as the voice of the customer throughout the software development lifecycle. You will collaborate directly with software engineering teams, and interact with the senior management team within the AWS databases organization.
 A day in the life
 A successful candidate will demonstrate proven product management skills with experience delivering features for large scale enterprise information systems. The candidate will be comfortable managing competing priorities and be able to bring clarity and order to ambiguous scenarios. The candidate will demonstrate subject matter expertise in database technology and is familiar with related storage and server hardware. Exemplary written and verbal communication skills are important, as the candidate will frequently work with leadership and colleagues that cross organizational boundaries.
**Basic Qualifications**
* 5\+ years of technical product management with internet business experience
* 3\+ years of technical (software development, network development, IT, other related) experience
* Experience in taking a product from conception \&amp; definition phase through engineering design and taking it to market
* Experience delivering large\-scale SaaS, PaaS or LaaS products where you are responsible for the full product lifecycle, from concept through GTM (go to market)
* 3\+ years working with database technology in a product management or practitioner role.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\- 152,200\.00 \- 205,900\.00 USD annually
**Company** 
 \- Amazon Development Center U.S., Inc.
 Job ID: A3105082</t>
        </is>
      </c>
    </row>
    <row r="88">
      <c r="A88" t="inlineStr">
        <is>
          <t>li-4355730507</t>
        </is>
      </c>
      <c r="B88" t="inlineStr">
        <is>
          <t>Senior Product Owner - Project Accounting</t>
        </is>
      </c>
      <c r="C88" t="inlineStr">
        <is>
          <t>Eaton</t>
        </is>
      </c>
      <c r="D88" t="inlineStr">
        <is>
          <t>linkedin</t>
        </is>
      </c>
      <c r="E88" t="inlineStr"/>
      <c r="F88" t="inlineStr"/>
      <c r="G88" t="inlineStr">
        <is>
          <t>Houston, TX</t>
        </is>
      </c>
      <c r="H88" t="inlineStr"/>
      <c r="I88"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89">
      <c r="A89" t="inlineStr">
        <is>
          <t>li-4347161454</t>
        </is>
      </c>
      <c r="B89" t="inlineStr">
        <is>
          <t>Principal Product Manager - Kubernetes &amp; Compute Abstractions</t>
        </is>
      </c>
      <c r="C89" t="inlineStr">
        <is>
          <t>CoreWeave</t>
        </is>
      </c>
      <c r="D89" t="inlineStr">
        <is>
          <t>linkedin</t>
        </is>
      </c>
      <c r="E89" t="inlineStr"/>
      <c r="F89" t="inlineStr"/>
      <c r="G89" t="inlineStr">
        <is>
          <t>New York, NY</t>
        </is>
      </c>
      <c r="H89" t="inlineStr"/>
      <c r="I8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0">
      <c r="A90" t="inlineStr">
        <is>
          <t>li-4338640990</t>
        </is>
      </c>
      <c r="B90" t="inlineStr">
        <is>
          <t>Technical Program Manager</t>
        </is>
      </c>
      <c r="C90" t="inlineStr">
        <is>
          <t>Sift</t>
        </is>
      </c>
      <c r="D90" t="inlineStr">
        <is>
          <t>linkedin</t>
        </is>
      </c>
      <c r="E90" t="inlineStr"/>
      <c r="F90" t="inlineStr"/>
      <c r="G90" t="inlineStr">
        <is>
          <t>El Segundo, CA</t>
        </is>
      </c>
      <c r="H90" t="inlineStr"/>
      <c r="I90"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**About The Role**
 As a Technical Program Manager at Sift, you'll work at the intersection of technical implementation and customer success, ensuring our platform delivers maximum value to sophisticated engineering organizations. You will closely partner with our customers, uncover high\-value problems, and direct the path towards adoption and transformational solutions.
**In This Role, You’ll**
* Own the outcome of complex implementations for enterprise customers.
* Partner with Forward Deployed Engineers to design robust technical solutions that meet our customer needs.
* Build deep trust across engineers, end‑users, and executives to clear roadblocks and accelerate progress.
* Drive adoption across technical teams by demonstrating value and establishing implementation roadmaps
* Work in tight collaboration with the product team to inform the future of the product.
* Design and run pilots that demonstrate massive value and a vision for long\-term success.
**The Skillset You'll Bring**
* Strong technical background with ability to understand complex systems and data architectures
* Experience driving adoption of technical products within engineering organizations
* Excellence in stakeholder management across technical and business teams
* Strong project management skills with ability to handle multiple concurrent implementations
* Clear communication skills, able to explain technical concepts to various audiences
**Bonus Points**
* Background in aerospace, autonomous systems, or other hardware domains is a plus
* Understanding of data pipelines and streaming architectures
* Familiarity with cloud infrastructure (Kubernetes, AWS/GCP)
* Experience with Python or similar programming languages
* Knowledge of telemetry systems and time\-series data
* Understanding of REST APIs and modern web technologies
**Location**
* You must be willing and able to work from the Los Angeles Metropolitan Area and be onsite Monday through Thursday due to the nature and business needs of the role.
* Ability to travel 50%\+ required. Varies by location and customer needs.
**Salary range:** 
 $125,000 \- $175,000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91">
      <c r="A91" t="inlineStr">
        <is>
          <t>li-4320016239</t>
        </is>
      </c>
      <c r="B91" t="inlineStr">
        <is>
          <t>Technical Program Manager, Human Data</t>
        </is>
      </c>
      <c r="C91" t="inlineStr">
        <is>
          <t>OpenAI</t>
        </is>
      </c>
      <c r="D91" t="inlineStr">
        <is>
          <t>linkedin</t>
        </is>
      </c>
      <c r="E91" t="inlineStr"/>
      <c r="F91" t="inlineStr"/>
      <c r="G91" t="inlineStr">
        <is>
          <t>San Francisco, CA</t>
        </is>
      </c>
      <c r="H91" t="inlineStr"/>
      <c r="I91" t="inlineStr">
        <is>
          <t>**About The Team**
 OpenAI's Human Data Team creates custom data solutions driving groundbreaking research. Our work enhances and evaluates our flagship models and products like ChatGPT, GPT\-4, and Sora, and contributes to safety initiatives through collaboration with our Preparedness and Safety Systems teams.
**About The Role**
 As a Technical Program Manager (TPM) in the Human Data team you will partner with research and engineering to design and implement pragmatic solutions for collecting high\-quality data. You will be a key interface between our research roadmap, external vendors, AI trainers, and the Human Data engineering team.
 This role is based in our San Francisco HQ and will report to the Head of Human Data Operations. We offer relocation support to new employees.
**In This Role, You Will**
* Collaborate with Research: Partner with researchers to scope data collection needs, define success metrics, and establish quality measurement frameworks.
* Design \&amp; Execute Data Collection Campaigns: Translate research needs into actionable plans and accelerate execution by leveraging existing tooling and iterating to reach the desired outcome. In many cases, you will need to implement scrappy new solutions while partnering with engineering to design robust/scalable solutions.
* Unblock Yourself: You must be deeply uncomfortable with the idea of sitting around waiting for external dependencies, and have the technical acumen and drive to figure out how to achieve at least partial success in the interim
* Optimize Systems \&amp; Processes: Build and optimize dashboards to track campaign performance, leveraging SQL and Python for data analysis and actionable insights.
* Drive Technical Roadmaps: Collaborate with engineers to enhance data platforms, resolve blockers, and ensure security best practices such as access management
* Scale Your Impact: Advise and empower program managers and vendors to drive day\-to\-day execution so that you can focus on addressing high priority opportunities.
**You’ll Thrive In This Role If You**
* Proficient in SQL and Python for data analysis, including querying databases, processing large datasets, and generating actionable insights
* Proficient in Python for interacting with various tools via APIs, including sending requests, processing responses, and integrating functionalities into workflows
* Proficient in SQL for creating analytics dashboards, including writing complex queries, optimizing data retrieval, and visualizing insights for decision\-making
* A strong understanding of how LLMs work and of prompt engineering
* Are excited to understand the technicalities of cutting edge AI research and work alongside researchers from instantiation to launch
* Enjoy being part of an ambitious and technically\-minded team
* Have experience working at large scale across a portfolio of projects
* Want to get your hands dirty; grit and creative problem solving will be required daily
* Have an action\-oriented and deeply curious mind
* Learn technical concepts exceptionally quickly, seeking out knowledge to become proficient in areas that are new to you
* Operate with high horsepower, are adept at frequent context switching and working on multiple projects at once with expansive ownership, and ruthless prioritization
* Thrive in dynamic environments and can navigate ambiguity with ease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$257K \- $335K</t>
        </is>
      </c>
    </row>
    <row r="92">
      <c r="A92" t="inlineStr">
        <is>
          <t>li-4347061613</t>
        </is>
      </c>
      <c r="B92" t="inlineStr">
        <is>
          <t>Principal Product Manager - Kubernetes &amp; Compute Abstractions</t>
        </is>
      </c>
      <c r="C92" t="inlineStr">
        <is>
          <t>CoreWeave</t>
        </is>
      </c>
      <c r="D92" t="inlineStr">
        <is>
          <t>linkedin</t>
        </is>
      </c>
      <c r="E92" t="inlineStr"/>
      <c r="F92" t="inlineStr"/>
      <c r="G92" t="inlineStr">
        <is>
          <t>Washington, DC</t>
        </is>
      </c>
      <c r="H92" t="inlineStr"/>
      <c r="I92"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3">
      <c r="A93" t="inlineStr">
        <is>
          <t>li-4355900040</t>
        </is>
      </c>
      <c r="B93" t="inlineStr">
        <is>
          <t>Senior Product Owner - Project Accounting</t>
        </is>
      </c>
      <c r="C93" t="inlineStr">
        <is>
          <t>Eaton</t>
        </is>
      </c>
      <c r="D93" t="inlineStr">
        <is>
          <t>linkedin</t>
        </is>
      </c>
      <c r="E93" t="inlineStr"/>
      <c r="F93" t="inlineStr"/>
      <c r="G93" t="inlineStr">
        <is>
          <t>Beachwood, OH</t>
        </is>
      </c>
      <c r="H93" t="inlineStr"/>
      <c r="I93" t="inlineStr">
        <is>
          <t>Eaton’s Corporate Sector division is currently seeking a Senior Product Owner \- Project Accounting.
 The expected annual salary range for this role is $130000 \- $190000 a year.
 Please note the salary information shown above is a general guideline only. Salaries are based upon candidate skills, experience, and qualifications, as well as market and business considerations.
**What You'll Do**
 Job Summary:
 The Accounting Senior Product Owner will set and communicate the product vision, develop and maintain the product roadmap, and define key operational processes like the product release schedule. The individual in this role will work closely with business partners and customers to define epics that align with key business objectives for the Scrum or Kanban team.
 This Senior Product Owner tracks and manages product funding and defines work priorities for individuals dedicated to the product team. They will balance new features against continuous improvement, system health, and support.
 The Senior Product Owner works directly with a team of analysts, engineers and other product team members to execute the product roadmap, guide the product development lifecycle, define user stories, and provide voice of the customer within product processes. This position is responsible for maximizing the value , prioritizing, and managing the product backlog.
 The Product Owner is responsbile for simple products with small levels of impact on Eaton Business Outcomes. Work on these products is foundational to the business.
 The Product Owner will set and communicate the product vision, develop and maintain the product roadmap, and define influence key operational processes like the product release schedule. The individual in this role will work closely with business partners and customers to define epics that align with key business objectives for the Scrum or Kanban team.
 The Product Owner tracks and manages product funding and defines work priorities for individuals dedicated to the product team. They will balance new features against continuous improvement, system health, and support.
 The Product Owner works directly with analysts, engineers and other product team members to execute the product roadmap, guide the product development lifecycle, define user stories, and provide voice of the customer within product processes."
**What You’ll Do**
 Job Responsibilities:
* Define and communicate the product vision, roadmap, and epics to meet customer and business needs
* Own the product backlog, managing and prioritizing user stories, decomposing epics into features, and continuous improvement work
* Plan, manage, and track product funding. Is fully responsible for product budget and profit plan
* Develops and maintains product\-specific persona and customer journeys
* Work closely with business stakeholders and customers, understanding their priorities and defining business outcomes and KPIs for the product in collaboration with those key stakeholders
* Communicate goals for product increments and releases. Define goals for team sprints.
* Support the onboarding of internal and external resources
* Accountable for product support, stability, and governance: including data, policy, cybersecurity, and usage
* Act as a functional expert in areas related to the product
* Define product processes (e.g., release schedule) and support process improvement activities across product processes (Lean, Agile, Scrum, DevSecOps, etc.)
* Understand the different types of projects and full end to end lifecycles to enable robust process definitions with other key capability owners.
* Understand commercial, business and go\-to\-market strategies where applicable.
* Support a Secure Product Development Lifecycle approach that establishes a strong cybersecurity focus and culture across the entire engineering lifecycle.
* Manage contracts with software and service vendors to support the product stratgegy
* Drive development of features that provide rigorous project financial tracking and cost control.
* Champion capabilities like project budgeting, cost forecasting, and profitability analysis to give stakeholders real\-time visibility into project spend vs. budget. Set product outcomes around improved cost transparency
* Embed robust financial controls and compliance checks into the product. Ensure all project accounting processes and data handling meet corporate and regulatory standards (e.g. SOX, revenue recognition policies, capital vs. expense treatment)
* Ensure the product supports complex project structures spanning multiple business units or legal entities"
**Qualifications**
**Basic Qualifications:**
* Bachelor's Degree from an accredited institution.
* Min 5\+ years specifically in highly complex Accounting projects and programs.
* Minimum of 7 years of experience as an analyst, project manager, engineer, business manager or program lead on moderate to highly complex Accounting projects and programs.
* 2\+ years of experience as a Product Owner or equivalent position within large global corporation.
* Eaton will not consider applicants for employment immigration sponsorship or support for this position. This means that Eaton will not support any CPT, OPT, or STEM OPT plans, F\-1 to H\-1B, H\-1B cap registration, O\-1, E\-3, TN status, I\-485 job portability, etc.”
* Must be able to work without sponsorship now or in the future.
* Must currently reside within 50 miles of posted locations(s). Relocation is not available for this role.
**Preferrred Qualifications**
* Preferred MS/ MBA with concentration in Finance or Accounting.
* Significant understanding of Corporate Accounting Principles
* The Product Owner should have expertise in SAP’s Project Systems module and Oracle’s Project Accounting module, including how they handle Work Breakdown Structures (WBS), project lifecycles, and financial postings.
* Understanding of integration points between the project accounting system and other enterprise tools
* Product Owner must also have expertise in financial compliance requirements and internal controls."
* Practical knowledge and experience with product management and modern product delivery processes
* Practical knowledge of and experience working with Agile, Scrum, and/or Kanban software delivery teams
* General understanding of DevSecOps principles
* General familiarity with modern software development principles including code management, test automation, APIs, microservices, and cloud services.
**Skills**
* Excellent communication skills, both written and verbal. This position will often work with other business analysts, project managers and business teams on a regular basis.
* Good team\-oriented interpersonal skills. Assists with facilitation sessions, may require some coaching on how to lead and influence others, and to effectively interface and work with a wide variety of people.
* Good team player, self\-motivated and committed with an ability to work under pressure and to tight deadlines.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94">
      <c r="A94" t="inlineStr">
        <is>
          <t>li-4355821449</t>
        </is>
      </c>
      <c r="B94" t="inlineStr">
        <is>
          <t>Technical Program Manager, MSL Infra</t>
        </is>
      </c>
      <c r="C94" t="inlineStr">
        <is>
          <t>Meta</t>
        </is>
      </c>
      <c r="D94" t="inlineStr">
        <is>
          <t>linkedin</t>
        </is>
      </c>
      <c r="E94" t="inlineStr"/>
      <c r="F94" t="inlineStr"/>
      <c r="G94" t="inlineStr">
        <is>
          <t>New York, NY</t>
        </is>
      </c>
      <c r="H94" t="inlineStr"/>
      <c r="I94"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Technical Program Manager, MSL Infra Responsibilities:
* Work closely with engineering and business stakeholders to define program requirements, prioritize initiatives, and establish scope, including developing the roadmap and long\-term strategy for partnered teams
* Effectively manage cross\-functional dependencies, risks, and changes by optimizing scope, schedule, and resource allocation as needed
* Create and manage communication plans to proactively and effectively convey program status, issues, and risks to stakeholders
* Work closely with cross\-functional teams to lead technical analysis, design, development, testing, implementation, and post\-implementation phases
* Define and track key metrics, quality indicators, and performance benchmarks while driving cross\-functional execution of program deliverables
* Proactively identify and analyze complex, long\-term, and critical infrastructure challenges in collaboration with engineering leaders and stakeholders
* Drive internal and external process improvements across multiple teams and functions, focusing on reducing manual efforts through automation
 Minimum Qualifications:
* B.S. in Computer Science or a related technical discipline, or equivalent experience
* 10\+ years of software engineering, systems engineering, hardware engineering, or technical product/program management experience
* Experience managing the delivery of complex technical programs or products from inception through to successful delivery
* Experience in implementing monitoring systems and instrumentation solutions to track performance and identify issues
* Familiarity with technical program management methodologies, including Agile, Waterfall, or hybrid approaches, to drive project success and ensure efficient execution
* Demonstrates initiative, proactively seeks feedback to ensure alignment, and drives successful outcomes
* Proven track record of leading by influencing others rather than relying on direct authority, fostering collaboration and alignment across teams
* Demonstrated experience in communicating and collaborating with technical management teams to design, develop, and implement systems, solutions, and products
* Proven experience in analytical thinking and problem\-solving, particularly with large\-scale systems
* Experience building and maintaining work relationships across multidisciplinary teams and with partners in different time zones
 Preferred Qualifications:
* Experience in a start\-up\-like environment, emphasizing technical infrastructure management, where agility and rapid execution are essential for scaling systems and tackling growth\-related challenges
* Experience supporting large\-scale infrastructure software programs, especially those focused on AI/ML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5">
      <c r="A95" t="inlineStr">
        <is>
          <t>li-4373292603</t>
        </is>
      </c>
      <c r="B95" t="inlineStr">
        <is>
          <t>Senior Technical Program Manager | Up to $160/hr</t>
        </is>
      </c>
      <c r="C95" t="inlineStr">
        <is>
          <t>Mercor</t>
        </is>
      </c>
      <c r="D95" t="inlineStr">
        <is>
          <t>linkedin</t>
        </is>
      </c>
      <c r="E95" t="inlineStr"/>
      <c r="F95" t="inlineStr"/>
      <c r="G95" t="inlineStr"/>
      <c r="H95" t="inlineStr"/>
      <c r="I95" t="inlineStr">
        <is>
          <t>**About The Job**
**Mercor** 
 connects elite creative and technical talent with leading AI research labs. Headquartered in San Francisco, our investors include
 **Benchmark** 
 ,
 **General Catalyst** 
 ,
 **Peter Thiel** 
 ,
 **Adam D'Angelo** 
 ,
 **Larry Summers** 
 , and
 **Jack Dorsey** 
 .
**Position:** 
 Technical Program Manager
**Type:** 
**Contract**
**Compensation:** 
**$135–$160/hour**
**Location:** 
**Onsite CA\- MPK**
**Duration:** 
**Until 12/31/2026**
**Role Responsibilities**
* Lead and govern complex technical programs and projects across diverse organizational units.
* Develop comprehensive project plans, schedules, and resource allocations to ensure timely project delivery.
* Communicate program status, progress, and impediments to pertinent stakeholders and executive leadership.
* Collaborate with engineering, product management, and cross\-functional teams to deliver superior products and services.
* Manage multiple priorities within a rapidly evolving, dynamic environment.
**Qualifications**
**Must\-Have**
* Bachelor's degree in Computer Science, Engineering, or a related technical discipline, or equivalent practical experience.
* Demonstrated experience in technical program management or project management.
* Robust comprehension of software development processes and methodologies.
* Exceptional communication, leadership, and organizational acumen.
* Experience engaging with cross\-functional teams and managing stakeholder relationships.
**Preferred**
* Master’s degree in a related field.
* Experience within the technology industry.
* Familiarity with a broad portfolio of products and services.
**Compensation \&amp; Legal**
* Pursuant to the California Fair Chance Act, Los Angeles County Fair Chance Ordinance for Employers, Los Angeles Fair Chance Initiative for Hiring Ordinance, and San Francisco Fair Chance Ordinance,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96">
      <c r="A96" t="inlineStr">
        <is>
          <t>li-4373502116</t>
        </is>
      </c>
      <c r="B96" t="inlineStr">
        <is>
          <t>Technical Program Manager – Strategic Planning</t>
        </is>
      </c>
      <c r="C96" t="inlineStr">
        <is>
          <t>Mercor</t>
        </is>
      </c>
      <c r="D96" t="inlineStr">
        <is>
          <t>linkedin</t>
        </is>
      </c>
      <c r="E96" t="inlineStr"/>
      <c r="F96" t="inlineStr"/>
      <c r="G96" t="inlineStr"/>
      <c r="H96" t="inlineStr"/>
      <c r="I96" t="inlineStr">
        <is>
          <t>**About The Job**
**Mercor** 
 connects elite creative and technical talent with leading AI research labs. Headquartered in San Francisco, our investors include
 **Benchmark** 
 ,
 **General Catalyst** 
 ,
 **Peter Thiel** 
 ,
 **Adam D'Angelo** 
 ,
 **Larry Summers** 
 , and
 **Jack Dorsey** 
 .
**Position:** 
 Technical Program Manager
**Type:** 
**Contract**
**Compensation:** 
**$105–$125/hour**
**Location:** 
**Onsite or Hybrid: Bellevue, WA**
**Role Responsibilities**
* Deliver programs within scope, quality, time, and budget constraints, managing moderate\-probability, moderate\-impact risks.
* Conduct program\-level strategic planning and interact with executive management for complex issue resolution.
* Manage internal exempt and matrixed employees and contractors to deliver systems and enhancements meeting specified requirements.
* Oversee project scope definition, requirements gathering, time estimating, schedule development, budget management, and status reporting.
* Track and maintain progress reports across projects, ensuring timely follow\-ups with stakeholders to drive execution and accountability.
* Proactively escalate unresolved issues to appropriate teams or leadership to ensure timely resolution and maintain project momentum.
**Qualifications**
**Must\-Have**
* Bachelor's degree in a technical field such as computer science or computer engineering.
* PMP or PMI certification.
* Experience with project estimating, scheduling, tracking, and customer interaction in large organizations.
* Proven people management and team\-building skills.
* Ability to assess risk and apply management principles to technology applications/products.
* Experience delivering technology and business application solutions in a large\-scale, multi\-platform systems environment.
* Experience with the software development lifecycle.
**Preferred**
* MBA or other related advanced degree.
**Interview Process**
* 2, 45\-minute interviews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97">
      <c r="A97" t="inlineStr">
        <is>
          <t>li-4355711469</t>
        </is>
      </c>
      <c r="B97" t="inlineStr">
        <is>
          <t>Technical Program Manager, MSL Infra</t>
        </is>
      </c>
      <c r="C97" t="inlineStr">
        <is>
          <t>Meta</t>
        </is>
      </c>
      <c r="D97" t="inlineStr">
        <is>
          <t>linkedin</t>
        </is>
      </c>
      <c r="E97" t="inlineStr"/>
      <c r="F97" t="inlineStr"/>
      <c r="G97" t="inlineStr">
        <is>
          <t>Menlo Park, CA</t>
        </is>
      </c>
      <c r="H97" t="inlineStr"/>
      <c r="I97"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Technical Program Manager, MSL Infra Responsibilities:
* Work closely with engineering and business stakeholders to define program requirements, prioritize initiatives, and establish scope, including developing the roadmap and long\-term strategy for partnered teams
* Effectively manage cross\-functional dependencies, risks, and changes by optimizing scope, schedule, and resource allocation as needed
* Create and manage communication plans to proactively and effectively convey program status, issues, and risks to stakeholders
* Work closely with cross\-functional teams to lead technical analysis, design, development, testing, implementation, and post\-implementation phases
* Define and track key metrics, quality indicators, and performance benchmarks while driving cross\-functional execution of program deliverables
* Proactively identify and analyze complex, long\-term, and critical infrastructure challenges in collaboration with engineering leaders and stakeholders
* Drive internal and external process improvements across multiple teams and functions, focusing on reducing manual efforts through automation
 Minimum Qualifications:
* B.S. in Computer Science or a related technical discipline, or equivalent experience
* 10\+ years of software engineering, systems engineering, hardware engineering, or technical product/program management experience
* Experience managing the delivery of complex technical programs or products from inception through to successful delivery
* Experience in implementing monitoring systems and instrumentation solutions to track performance and identify issues
* Familiarity with technical program management methodologies, including Agile, Waterfall, or hybrid approaches, to drive project success and ensure efficient execution
* Demonstrates initiative, proactively seeks feedback to ensure alignment, and drives successful outcomes
* Proven track record of leading by influencing others rather than relying on direct authority, fostering collaboration and alignment across teams
* Demonstrated experience in communicating and collaborating with technical management teams to design, develop, and implement systems, solutions, and products
* Proven experience in analytical thinking and problem\-solving, particularly with large\-scale systems
* Experience building and maintaining work relationships across multidisciplinary teams and with partners in different time zones
 Preferred Qualifications:
* Experience in a start\-up\-like environment, emphasizing technical infrastructure management, where agility and rapid execution are essential for scaling systems and tackling growth\-related challenges
* Experience supporting large\-scale infrastructure software programs, especially those focused on AI/ML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8">
      <c r="A98" t="inlineStr">
        <is>
          <t>li-4372324085</t>
        </is>
      </c>
      <c r="B98" t="inlineStr">
        <is>
          <t>Vendor Services Program Manager</t>
        </is>
      </c>
      <c r="C98" t="inlineStr">
        <is>
          <t>RemoteHunter</t>
        </is>
      </c>
      <c r="D98" t="inlineStr">
        <is>
          <t>linkedin</t>
        </is>
      </c>
      <c r="E98" t="inlineStr"/>
      <c r="F98" t="inlineStr"/>
      <c r="G98" t="inlineStr"/>
      <c r="H98" t="inlineStr"/>
      <c r="I98"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9">
      <c r="A99" t="inlineStr">
        <is>
          <t>li-4355741467</t>
        </is>
      </c>
      <c r="B99" t="inlineStr">
        <is>
          <t>Technical Program Manager, MSL Infra</t>
        </is>
      </c>
      <c r="C99" t="inlineStr">
        <is>
          <t>Meta</t>
        </is>
      </c>
      <c r="D99" t="inlineStr">
        <is>
          <t>linkedin</t>
        </is>
      </c>
      <c r="E99" t="inlineStr"/>
      <c r="F99" t="inlineStr"/>
      <c r="G99" t="inlineStr">
        <is>
          <t>Bellevue, WA</t>
        </is>
      </c>
      <c r="H99" t="inlineStr"/>
      <c r="I99" t="inlineStr">
        <is>
          <t>The Meta Product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technical background, understanding system architecture, and the experience to effectively collaborate across functions and organizations to deliver impact.This posting represents different full\-time roles across Meta Superintelligence Labs (MSL) Infrastructure.
 Technical Program Manager, MSL Infra Responsibilities:
* Work closely with engineering and business stakeholders to define program requirements, prioritize initiatives, and establish scope, including developing the roadmap and long\-term strategy for partnered teams
* Effectively manage cross\-functional dependencies, risks, and changes by optimizing scope, schedule, and resource allocation as needed
* Create and manage communication plans to proactively and effectively convey program status, issues, and risks to stakeholders
* Work closely with cross\-functional teams to lead technical analysis, design, development, testing, implementation, and post\-implementation phases
* Define and track key metrics, quality indicators, and performance benchmarks while driving cross\-functional execution of program deliverables
* Proactively identify and analyze complex, long\-term, and critical infrastructure challenges in collaboration with engineering leaders and stakeholders
* Drive internal and external process improvements across multiple teams and functions, focusing on reducing manual efforts through automation
 Minimum Qualifications:
* B.S. in Computer Science or a related technical discipline, or equivalent experience
* 10\+ years of software engineering, systems engineering, hardware engineering, or technical product/program management experience
* Experience managing the delivery of complex technical programs or products from inception through to successful delivery
* Experience in implementing monitoring systems and instrumentation solutions to track performance and identify issues
* Familiarity with technical program management methodologies, including Agile, Waterfall, or hybrid approaches, to drive project success and ensure efficient execution
* Demonstrates initiative, proactively seeks feedback to ensure alignment, and drives successful outcomes
* Proven track record of leading by influencing others rather than relying on direct authority, fostering collaboration and alignment across teams
* Demonstrated experience in communicating and collaborating with technical management teams to design, develop, and implement systems, solutions, and products
* Proven experience in analytical thinking and problem\-solving, particularly with large\-scale systems
* Experience building and maintaining work relationships across multidisciplinary teams and with partners in different time zones
 Preferred Qualifications:
* Experience in a start\-up\-like environment, emphasizing technical infrastructure management, where agility and rapid execution are essential for scaling systems and tackling growth\-related challenges
* Experience supporting large\-scale infrastructure software programs, especially those focused on AI/ML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0">
      <c r="A100" t="inlineStr">
        <is>
          <t>li-4373281878</t>
        </is>
      </c>
      <c r="B100" t="inlineStr">
        <is>
          <t>Sr. Program Manager | Up to $95/hr</t>
        </is>
      </c>
      <c r="C100" t="inlineStr">
        <is>
          <t>Mercor</t>
        </is>
      </c>
      <c r="D100" t="inlineStr">
        <is>
          <t>linkedin</t>
        </is>
      </c>
      <c r="E100" t="inlineStr"/>
      <c r="F100" t="inlineStr"/>
      <c r="G100" t="inlineStr"/>
      <c r="H100" t="inlineStr"/>
      <c r="I100" t="inlineStr">
        <is>
          <t>**About The Job**
**Mercor** 
 connects elite creative and technical talent with leading AI research labs. Headquartered in San Francisco, our investors include
 **Benchmark** 
 ,
 **General Catalyst** 
 ,
 **Peter Thiel** 
 ,
 **Adam D'Angelo** 
 ,
 **Larry Summers** 
 , and
 **Jack Dorsey** 
 .
**Position:** 
 Engineering Program Specialist
**Type:** 
**Contract**
**Compensation:** 
**$75–$95/hour**
**Role Responsibilities**
* Partner with Technical Program Managers to deliver hardware to cross\-functional teams on time.
* Collect allocation requests and manage distribution logistics efficiently.
* Support budget management and forecasting to ensure financial accuracy.
* Manage procurement and keep track of Purchase Orders diligently.
* Partner with the Logistics team to ensure fast shipping and delivery.
* Manage multiple programs concurrently with precision and attention to detail.
**Qualifications**
**Must\-Have**
* 5\+ years of experience as an Engineering Program Specialist or similar role in consumer electronics.
* Experience in hardware development, worked with vendors domestically and internationally.
* Experience managing complex spreadsheets, accounting tools, coordinating across different teams, vendors, and time zones.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01">
      <c r="A101" t="inlineStr">
        <is>
          <t>li-4373293531</t>
        </is>
      </c>
      <c r="B101" t="inlineStr">
        <is>
          <t>Sr. Engineering Program Manager</t>
        </is>
      </c>
      <c r="C101" t="inlineStr">
        <is>
          <t>Mercor</t>
        </is>
      </c>
      <c r="D101" t="inlineStr">
        <is>
          <t>linkedin</t>
        </is>
      </c>
      <c r="E101" t="inlineStr"/>
      <c r="F101" t="inlineStr"/>
      <c r="G101" t="inlineStr"/>
      <c r="H101" t="inlineStr"/>
      <c r="I101" t="inlineStr">
        <is>
          <t>**About The Job**
**Mercor** 
 connects elite creative and technical talent with leading AI research labs. Headquartered in San Francisco, our investors include
 **Benchmark** 
 ,
 **General Catalyst** 
 ,
 **Peter Thiel** 
 ,
 **Adam D'Angelo** 
 ,
 **Larry Summers** 
 , and
 **Jack Dorsey** 
 .
**Position:** 
 Technical Program Manager
**Type:** 
**Contract**
**Compensation:** 
**$105–$130/hour**
**Location:** 
**Remote**
**Role Responsibilities**
* Deliver programs within constraints of scope, quality, time, and budget. Manage moderate\-probability, moderate\-impact risk factors.
* Engage in program\-level strategic planning and interact with executive management. Resolve complex issues and build effective teams.
* Partner with Product Design Engineering to define and execute next\-gen hardware products.
* Coordinate and drive engineering design deliverables, including specifications, DOEs, and validation plans.
* Work with cross\-functional teams to develop best practices and technology development processes in a fast\-paced environment.
* Manage delivery of hardware components for development builds. Drive qualification to meet mass production timelines.
**Qualifications**
**Must\-Have**
* Experience as a technology development program manager or engineering lead in consumer electronics.
* Experience in ODM, JDM, and CM vendor engagement models.
* Knowledge of phase gate approach to technology development programs.
* Experience with mechanical system development, DFM, tooling, and validation processes.
* Experience communicating and collaborating with technical management teams.
* Demonstrated skills in organization, coordination, and multitasking.
* Demonstrated analytical and problem\-solving skills.
* Experience with program top\-issue tracking.
* Experience operating across multiple projects.
* Experience establishing work relationships across multi\-disciplinary teams and multiple partners in different time zones.
* Maintains composure in times of ambiguity and direction changes.
* Experience delivering technology and business application solutions in a large\-scale, multi\-platform systems environment.
* Bachelor's degree in a technical field such as Mechanical Engineering or related field required.
* PMP or PMI certification.
**Preferred**
* MBA or other related advanced degree.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02">
      <c r="A102" t="inlineStr">
        <is>
          <t>li-4333590153</t>
        </is>
      </c>
      <c r="B102" t="inlineStr">
        <is>
          <t>Staff Technical Program Manager, Vehicle Program Management</t>
        </is>
      </c>
      <c r="C102" t="inlineStr">
        <is>
          <t>Lucid Motors</t>
        </is>
      </c>
      <c r="D102" t="inlineStr">
        <is>
          <t>linkedin</t>
        </is>
      </c>
      <c r="E102" t="inlineStr"/>
      <c r="F102" t="inlineStr"/>
      <c r="G102" t="inlineStr">
        <is>
          <t>Southfield, MI</t>
        </is>
      </c>
      <c r="H102" t="inlineStr"/>
      <c r="I102"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**Overview**
 Changing the world of luxury electrified mobility needs great people who like to have fun and achieve results as a team. As part of this journey, we are currently seeking a Staff Program Manager, Vehicle Programs with end\-to\-end vehicle development experience and demonstrated ability to excel in a fast\-paced environment, drive cross\-functional alignment across Engineering, Manufacturing, Design, and Finance and apply the appropriate level of urgency to advance our vehicle line program deliverables. This role will lead operational delivery across current and future model years, ensuring technical maturity, timing discipline, and financial stewardship. This person will be based at our Southfield, Michigan location.
**Responsibilities**
* Lead the cross\-functional vehicle product development process from conceptual design phase to market introduction for existing or a new vehicle line
* Translate product strategy into executable program plans, ensuring alignment with Manufacturing, Quality, Sales, Marketing, Powertrain, Engineering, Digital, Homologation and Finance to prioritize features, timing, resource allocation and investment decisions.
* Own and proactively manage the technical product description, evaluate design and engineering decisions with the Program Chief Engineer, ensuring feature maturity, integration readiness, and compliance with vehicle\-level performance objectives.
* Be responsible for key vehicle financial and budgetary activities including the costed bill of materials, the program prototype budget, PMO budgets (headcount, expense, etc.) and resource allocation
* Coordinate build configurations and review vehicle test plans with the cross\-functional teams to ensure readiness for vehicle production and build volumes meet product development requirements
* Proactively evaluate design and engineering decisions with the Program Chief Engineer, making sure they don’t cause any gap in correlation with the program schedule, budget and scope
* Track and manage program performance, using metrics on timing, cost, mass, feature readiness, and quality to drive transparent weekly reporting and executive reviews.
* Proactively identify and mitigate key program risks and possible deviations related to e.g. product architecture or any other required technical changes, ensuring proactive resolution of design, supplier, or manufacturing issues that could impact cost, quality, or launch timing
* Design and implement effective program management processes incl. configuration management, issue tracking and change management, embedding lessons learnt and best practices from initiation to completion.
**Qualifications**
* 8\+ years of experience in technical leadership, system engineering and/or technical program management
* 10\+ years of professional experience in the automotive industry
* Experience leading a whole vehicle program from concept to launch
* Strong organizational skills, attention to detail, and a proven ability to take ownership of technical product descriptions and schedules, consistently delivering projects on time
* A proven track record of development and delivery of technical product
* Wide experience in automotive hardware development, including integration and validation
* Familiarity with systems engineering and project management principles
* Experienced with project management tools like Jira, Confluence, and Smartsheets
* Excellent communication skills at all organizational levels
* Proficient in root\-cause analysis and evaluation of engineering decisions
* Ability to travel as needed
**Education**
* Bachelor's degree in an Engineering discipline or equivalent work experience. Master's degree preferred.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03">
      <c r="A103" t="inlineStr">
        <is>
          <t>li-4311702332</t>
        </is>
      </c>
      <c r="B103" t="inlineStr">
        <is>
          <t>System Product Manager - Servers (27611)</t>
        </is>
      </c>
      <c r="C103" t="inlineStr">
        <is>
          <t>Supermicro</t>
        </is>
      </c>
      <c r="D103" t="inlineStr">
        <is>
          <t>linkedin</t>
        </is>
      </c>
      <c r="E103" t="inlineStr"/>
      <c r="F103" t="inlineStr"/>
      <c r="G103" t="inlineStr">
        <is>
          <t>San Jose, CA</t>
        </is>
      </c>
      <c r="H103" t="inlineStr"/>
      <c r="I103" t="inlineStr">
        <is>
          <t>****Job Req ID: 27611****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looking to hire ODM System Product Managers to manage ODM, customized and optimized Server Computer products for strategic major customers.
**Essential Duties And Responsibilities**
**Includes the following essential duties and responsibilities (other duties may also be assigned):**
* Support Sales Team in technical fields of Server / ODM System business practices
* Support to define ODM customer requirements, develop and drive customized server products
* Work with product development teams to realize ODM customer requests on server products
* New Product Introduction (NPI) management of sample/pilot\-run production and support Production lines for smooth product delivery
* Drive the sustaining ODM products from mass delivery to EOL
* Solicit and collect new requirements needed for Supermicro server products
* Lead cross\-function teams for sustaining supports like RMA, Failure Analysis, ECO implementations,…etc.
* Provide documentation and technical know\-how to support ODM system production
**Qualifications**
* Education: BS/MS EE, CE, CS, or other engineering fields preferred
* Must have at least 5 years of computer hardware related experiences. Experienced in configuring server systems are preferred
* Experiences in project management for OEM/ODM electronic appliances are okay
* Strong knowledge with computer hardware or data center network architectures.
* Work Experiences in Electronics Manufacturers will be a plus.
* Ability to work independently with customer but excellent in teamwork with colleagues.
* Excellent communication skills that can motivate project team members from cross\-function departments at multiple\-sites for ultimate customer satisfactions.
 Please note that this position requires regular in\-office attendance. The successful candidate is expected to be present in the office during standard working hours as determined by the company. In\-office collaboration and participation in team meetings, training sessions, and other on\-site activities are essential aspects of this role. Candidates should consider the commuting distance and be prepared to fulfill their responsibilities in the designated office location.
****Salary Range****
 $93,000 \- $150,000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04">
      <c r="A104" t="inlineStr">
        <is>
          <t>li-4373299122</t>
        </is>
      </c>
      <c r="B104" t="inlineStr">
        <is>
          <t>Remote BPO Program Manager Role</t>
        </is>
      </c>
      <c r="C104" t="inlineStr">
        <is>
          <t>Jobgether</t>
        </is>
      </c>
      <c r="D104" t="inlineStr">
        <is>
          <t>linkedin</t>
        </is>
      </c>
      <c r="E104" t="inlineStr"/>
      <c r="F104" t="inlineStr"/>
      <c r="G104" t="inlineStr">
        <is>
          <t>New Jersey, United States</t>
        </is>
      </c>
      <c r="H104" t="inlineStr"/>
      <c r="I104" t="inlineStr">
        <is>
          <t>This position is posted by Jobgether on behalf of a partner company. We are currently looking for a Global BPO Program Manager \- REMOTE. In this role, you will own the BPO Partner Program globally, ensuring performance, governance, and strategic improvements. You will balance the needs of our BPO partners with our business objectives throughout multiple phases of the program. Your collaboration with cross\-functional teams is vital as you will work alongside business development and operations to drive success. This is an excellent opportunity for someone passionate about building programs and solving complex issues for our valued partners.
**Accountabilities**
* Build and launch a BPO Partner Program for our partner community.
* Develop a pricing and billing model suitable for BPOs with cross\-functional support.
* Work with global enablement to ensure effective program use by Zoom Channel Teams and Partners.
* Identify risks, trends, and improvement opportunities for the BPO Program post\-launch.
* Maintain strategic engagement with BPO partners to understand their business needs.
* Manage partner issues and implement corrective action plans related to our programs.
* Collaborate with various internal teams like Operations, IT, Finance, and HR as necessary.
* Translate business requirements into clear service expectations.
* Provide executive\-ready reporting, insights, and recommendations for the partner program.
* Establish and monitor key performance indicators (KPIs).
**Requirements**
* 6–10\+ years of experience working with BPOs globally.
* 5\+ years of experience in building partner programs.
* 3\+ years of experience specifically with BPO Partner Programs.
* Bachelor’s degree in Business, Operations, Management, or a related field.
* Strong interpersonal and team\-building skills.
* Excellent communication skills, both verbal and written.
* Strong financial and operational analysis skills.
**Benefits**
* Comprehensive benefits package to support physical, mental, and emotional health.
* Flexible working hours and a commitment to work\-life balance.
* Opportunities for professional growth and development.
* Engagement in meaningful community contributions.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li-4365664887</t>
        </is>
      </c>
      <c r="B105" t="inlineStr">
        <is>
          <t>Lead Technical Program Manager - Teller Space</t>
        </is>
      </c>
      <c r="C105" t="inlineStr">
        <is>
          <t>JPMorganChase</t>
        </is>
      </c>
      <c r="D105" t="inlineStr">
        <is>
          <t>linkedin</t>
        </is>
      </c>
      <c r="E105" t="inlineStr"/>
      <c r="F105" t="inlineStr"/>
      <c r="G105" t="inlineStr">
        <is>
          <t>Westerville, OH</t>
        </is>
      </c>
      <c r="H105" t="inlineStr"/>
      <c r="I105" t="inlineStr">
        <is>
          <t>**Job Description**
 Leverage your deep technical expertise and leadership to guide cutting\-edge projects, fostering growth and innovation in a dynamic environment.
 As a Lead Technical Program Manager in Consumer \&amp; Community Banking and Branch Operations,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translating business requirements into actionable technical tasks, and managing resource allocation and timelines to ensure on\-time delivery of technology solutions.
* Lead multiple projects within the Teller space, with the potential to expand to product\-level initiatives in the future.
* Identify and mitigate risks, proactively addressing potential roadblocks and implementing contingency plans to maintain project and program momentum; utilize risk management tools such as Clarity.
* Collaborate with cross\-functional teams—including engineering, product, business stakeholders, and external vendors—to define program scope, objectives, and deliverables, ensuring alignment with overall business goals.
* Facilitate and lead status calls, architecture, design, and testing meetings, ensuring all stakeholders are informed and engaged throughout the project lifecycle.
* Champion the adoption of agile methodologies and technical solutions, fostering a culture of continuous learning, innovation, and process improvement within the team.
* Utilize advanced analytical reasoning to assess program performance, identify areas for improvement, and implement data\-driven optimizations to enhance efficiency and effectiveness.
* Manage and coordinate workstreams, ensuring seamless integration and delivery across multiple scrum teams (currently working with three scrum teams of eight members each).
* Raise and escalate issues as needed, ensuring timely resolution and minimal impact to project delivery.
* Oversee the modernization of legacy systems and drive the implementation of new technologies and processes within the Teller domain.
* Develop and maintain comprehensive project documentation, including technical specifications, progress reports, and post\-implementation reviews.
**Required Qualifications, Capabilities, And Skills**
* 5\+ years of experience or equivalent expertise in technical program management, leading complex technology projects and programs in a large organization.
* Proven proficiency with project management tools such as MS Project, PowerPoint, JIRA, Excel, Confluence, and a background in application development.
* Advanced expertise in stakeholder management, with the ability to establish productive working relationships and influence decision\-making across cross\-functional teams and clients.
* Demonstrated experience in attending and contributing to architecture, design, and testing meetings, translating business requirements into technical deliverables.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Experience in leading workstreams, coordinating across multiple teams, and driving modernization initiatives.
* Ability to facilitate and lead status calls, ensuring clear communication and alignment among all project participants.
* Strong organizational skills, with the ability to manage multiple priorities and deliver results under tight deadlines.
* Excellent written and verbal communication skills, with the ability to produce clear and concise project documentation and reports.
**Preferred Qualifications, Capabilities, And Skills**
* Experience leading projects in the Teller or financial services space.
* Familiarity with risk management tools such as Clarity.
* Experience working with multiple scrum teams and coordinating agile delivery across large teams.
* Background in modernizing legacy systems and implementing new technology solutions.
* Strong understanding of business process transformation and change management.
* Experience in product\-level program management and scaling initiatives across multiple domains.
* Relevant certifications in project management (e.g., PMP, Scrum Master, Agile).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6">
      <c r="A106" t="inlineStr">
        <is>
          <t>li-4365666976</t>
        </is>
      </c>
      <c r="B106" t="inlineStr">
        <is>
          <t>Sr. Technical Program Manager, Worldwide Grocery Stores Technology, WWGST</t>
        </is>
      </c>
      <c r="C106" t="inlineStr">
        <is>
          <t>Amazon</t>
        </is>
      </c>
      <c r="D106" t="inlineStr">
        <is>
          <t>linkedin</t>
        </is>
      </c>
      <c r="E106" t="inlineStr"/>
      <c r="F106" t="inlineStr"/>
      <c r="G106" t="inlineStr">
        <is>
          <t>Seattle, WA</t>
        </is>
      </c>
      <c r="H106" t="inlineStr"/>
      <c r="I106" t="inlineStr">
        <is>
          <t>**Description**
 We're seeking an innovative Senior Technical Program Manager to transform how millions experience food technology across our grocery platforms.
 Amazon World Wide Grocery Store tech (WWGST) Org’s vision is to be the most loved grocer on earth, saving customers time and money. As part of Culinary Tech within WWGST org, we focus on building automation for the prepared food production for both Store Kitchens and a new formats of centralized Kitchen facilities serving tasty/safe food to our customers. We invest in building unified tech primitives for recipe management and food production serving all banners i.e. Whole Foods.
 You'll collaborate with cross\-functional teams, translating complex technical challenges into streamlined solutions that enhance food production processes. Expect to engage in strategic planning, program management, and creative problem\-solving that directly impacts customer experience. You ideally have experience leading programs with S\-Team/SVP/VP visibility, and are excited to think\-out\-of\-the box to solve complex problems.
 Key job responsibilities
* Invent, design, and implement engineering solutions to complex problems throughout the global Amazon grocery stores network.
* Coordinate design and innovation efforts to develop optimal solutions for the fulfillment network. Tackle complex challenges and break them down into actionable steps, delivering results efficiently.
* Collaborate with other teams and operational partners to generate high quality, cost effective solutions.
* Simultaneously manage multiple projects and tasks while effectively influencing, negotiating, and communicating with internal and external business partners.
* Provide technical leadership for large\-scale software, architectural, operational projects.
* Develop and lead high\-level strategic initiatives that will shape the future of our grocery sites.
**Basic Qualifications**
* 5\+ years of technical product or program management experience
* 7\+ years of working directly with engineering teams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A3083541</t>
        </is>
      </c>
    </row>
    <row r="107">
      <c r="A107" t="inlineStr">
        <is>
          <t>li-4365674651</t>
        </is>
      </c>
      <c r="B107" t="inlineStr">
        <is>
          <t>Corporate Vice President, Design Program Manager</t>
        </is>
      </c>
      <c r="C107" t="inlineStr">
        <is>
          <t>New York Life Insurance Company</t>
        </is>
      </c>
      <c r="D107" t="inlineStr">
        <is>
          <t>linkedin</t>
        </is>
      </c>
      <c r="E107" t="inlineStr"/>
      <c r="F107" t="inlineStr"/>
      <c r="G107" t="inlineStr">
        <is>
          <t>New York, NY</t>
        </is>
      </c>
      <c r="H107" t="inlineStr"/>
      <c r="I107" t="inlineStr">
        <is>
          <t>**Location Designation:** 
 Hybrid \- 3 days per week
**Role Overview**
 We are looking for an experienced and strategic Design Program Manager to join our growing digital product team. In this role, you will support the Field Experience value and drive end\-to\-end program execution for high\-impact initiatives that help New York Life’s agents and advisors better serve clients, grow their businesses, and deliver exceptional financial guidance.
 You will own complex, cross\-functional programs from intake to delivery. You’ll serve as the connective tissue between design, product, engineering, research, and our business partners, ensuring work is coordinated, unblocked, and delivered with clarity and quality.
 You will bring structure and operational excellence to an evolving, high\-visibility space that is core to New York Life’s strategy: empowering our field force with modern, intuitive, agent\-centric digital experiences.
**What You’ll Do**
*Program Leadership \&amp; Delivery*
* Serve as the primary DPM for the Field Experience value stream, owning program planning, execution, alignment, and reporting for multiple complex products and initiatives.
* Define and manage design timelines, deliverables, dependencies, and processes in partnership with design leads and cross\-functional stakeholders.
* Maintain tight alignment with product, engineering, research, and partners to ensure work is scoped correctly and delivered predictably.
*Cross\-Functional Coordination*
* Facilitate program rituals such as planning sessions, design reviews, standups, and risk assessments.
* Translate ambiguity into clear requirements, milestones, and operational workflows.
* Keep teams focused and unblocked by proactively managing dependencies and surfacing risks early.
*Operational Excellence*
* Implement systems, tools, and frameworks that improve communication, workflow efficiency, and visibility across Field Experience.
* Refine and scale processes that support intake, prioritization, and resourcing.
* Maintain clear documentation, tracking, and reporting that gives leaders confidence and transparency into the work.
*Stakeholder Engagement*
* Act as a central point of coordination for Field Experience work, ensuring all partners have what they need to make informed decisions.
* Build trust through consistent communication, clarity, and follow\-through.
* Drive alignment around goals, scope, and timelines, and reset expectations when priorities shift.
*Design Team Enablement*
* Create space for designers to do their best work by reducing operational overhead and managing cross\-team complexity.
* Identify opportunities to improve ways of working within the Field Experience value stream and across the team broadly.
**What You’ll Bring**
* Education: Bachelor's degree in a relevant field such as Marketing, Business, Design, Psychology, Computer Science, or other related discipline or equivalent work experience.
* 7\+ years of experience in program or project management, with at least 3 years in a design, UX, or creative environment.
* Deep understanding of the design process and how it fits within product development cycles (Agile/Scrum experience required)
* A user\-first mindset \- passionate about understanding our users’ needs, delivering a digital experience they love, and creating value for them.
* Strong written and verbal communication, facilitation, and organizational skills.
* Experience in creating operational frameworks and presentations via PowerPoint, keynote, or Figma.
* Experience creating and establishing operating systems with design and project management tools such as Figma, Jira, Asana, Workfront, or similar.
* Proven ability to manage multiple projects simultaneously in a fast\-paced environment.
* A passion for design and user experience, even if not a designer by trade.
* Background in change management or scaling operational systems in design teams.
**Not Required, But Nice To Have**
* Familiarity with research operations or content design practices.
**Pay Transparency**
 Salary Range: $140,000 \- $170,000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 Click here 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93084</t>
        </is>
      </c>
    </row>
    <row r="108">
      <c r="A108" t="inlineStr">
        <is>
          <t>li-4316640334</t>
        </is>
      </c>
      <c r="B108" t="inlineStr">
        <is>
          <t>Senior Program Manager - Enterprise Programs</t>
        </is>
      </c>
      <c r="C108" t="inlineStr">
        <is>
          <t>Appian</t>
        </is>
      </c>
      <c r="D108" t="inlineStr">
        <is>
          <t>linkedin</t>
        </is>
      </c>
      <c r="E108" t="inlineStr"/>
      <c r="F108" t="inlineStr"/>
      <c r="G108" t="inlineStr">
        <is>
          <t>McLean, VA</t>
        </is>
      </c>
      <c r="H108" t="inlineStr"/>
      <c r="I108" t="inlineStr">
        <is>
          <t>Here at Appian, our values of
 **Intensity** 
 and
 **Excellence** 
 define who we are. We set high standards and live up to them, ensuring that everything we do is done with care and quality. We approach every challenge with ambition and commitment, holding ourselves and each other accountable to achieve the best results. When you join Appian, you’ll be part of a passionate team dedicated to accomplishing hard things, together.
****About Appian****
 At Appian, we help organizations build apps and workflows rapidly, with a low\-code automation platform that combines people, technologies, and data in a single workflow. We are passionate about enabling our employees and customers to thrive in a fast\-paced, ever\-changing world.
****About The Role****
 We are seeking a
 **Senior Program Manager** 
 to join our Enterprise Programs team. In this role, you will lead cross\-functional, strategic programs that drive operational excellence, accelerate growth, and strengthen Appian’s enterprise capabilities. As a senior member of the team, you will act as a force multiplier \- creating clarity, driving alignment, and ensuring execution at scale across Appian’s most critical initiatives.
*This role is based at our headquarters in McLean, Virginia. Appian was built on a culture of in\-person collaboration, which we believe is a key driver of our mission to be the best. Employees hired for this position are expected to be in the office 5 days a week to foster that culture and ensure we continue to thrive through shared ideas and teamwork. We believe being in the office provides more opportunities to come together and celebrate working with the exceptional people across Appian.*
****What You’ll Do****
* Program Leadership: Own the end\-to\-end strategy, planning, and execution of complex enterprise\-wide programs spanning multiple business functions.
* Strategic Alignment: Partner with executives, functional leaders, and program sponsors to define success criteria, establish roadmaps, and drive decision\-making.
* Execution Excellence: Build and maintain governance frameworks, operating rhythms, and KPIs to ensure programs are delivered on time, within scope, and with measurable impact.
* Change Management: Lead organizational change associated with enterprise programs, ensuring stakeholders are engaged, informed, and aligned.
* Cross\-Functional Collaboration: Facilitate communication and alignment across Product, Engineering, Sales, Finance, IT, and other business units.
* Mentorship \&amp; Leadership: Provide guidance to program managers within the team, elevating program management standards and practices across the organization.
****What We’re Looking For****
* 5\+ years of experience in program management, strategy, or operations within a technology or enterprise software company.
* Proven track record leading large\-scale, cross\-functional programs with executive visibility and measurable business outcomes.
* Strong ability to influence without authority and drive alignment across diverse stakeholders.
* Expertise in program management methodologies, governance models, and tools.
* Exceptional communication and storytelling skills, with the ability to distill complexity into clarity for executive audiences.
* Strong business acumen and comfort navigating ambiguity in a high\-growth, global enterprise environment.
* Experience mentoring or leading other program managers is a plus.
****Preferred Qualifications****
* Experience in enterprise SaaS, cloud, or low\-code platform companies.
* Background in management consulting, business operations, or enterprise transformation programs.
* Familiarity with change management frameworks (e.g., Prosci ADKAR).
* PMP, PgMP, or other relevant certifications.
****What We Offer****
* The opportunity to drive impact on the most strategic programs at Appian.
* A collaborative, innovative environment where your voice matters.
* Competitive compensation, equity, and benefits.
* Growth opportunities within a high\-performing Enterprise Programs team.
**Tools and Resources**
* 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 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
* 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
****Benefits****
 Appian offers a comprehensive benefits package designed to support your health, wellbeing, and financial future. Benefits may include health coverage, Employee Assistance Program (EAP) with free mental health support, life and disability insurance, an Employee Stock Purchase Program (ESPP), a retirement/pension plan, wellness dollars, tuition reimbursement, family\-forming benefits and more. Benefits vary by country—please ask your Talent Acquisition contact for details specific to the location you are applying to.
****About Appian****
 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
**Follow Appian:** 
 LinkedIn.
*Appian is an equal opportunity employer that strives to attract and retain the best talent. All qualified applicants will receive consideration for employment without regard to any characteristic protected by applicable federal, state, or local law.*
*Appian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
*Appian's Applicant \&amp; Candidate Privacy Notice*</t>
        </is>
      </c>
    </row>
    <row r="109">
      <c r="A109" t="inlineStr">
        <is>
          <t>li-4373269856</t>
        </is>
      </c>
      <c r="B109" t="inlineStr">
        <is>
          <t>Program Manager</t>
        </is>
      </c>
      <c r="C109" t="inlineStr">
        <is>
          <t>Mass General Brigham</t>
        </is>
      </c>
      <c r="D109" t="inlineStr">
        <is>
          <t>linkedin</t>
        </is>
      </c>
      <c r="E109" t="inlineStr"/>
      <c r="F109" t="inlineStr"/>
      <c r="G109" t="inlineStr">
        <is>
          <t>Boston, MA</t>
        </is>
      </c>
      <c r="H109" t="inlineStr"/>
      <c r="I109" t="inlineStr">
        <is>
          <t>Site: The General Hospital Corporation
 Mass General Brigham relies on a wide range of professionals, including doctors, nurses, business people, tech experts, researchers, and systems analysts to advance our mission. As a not\-for\-profit, we support patient care, research, teaching, and community service, striving to provide exceptional care. We believe that high\-performing teams drive groundbreaking medical discoveries and invite all applicants to join us and experience what it means to be part of Mass General Brigham.
**Job Summary**
 With minimal oversight and direction from the Directors of the Residency Training Programs and Administrative Manager, the Program Manager is primarily responsible for coordinating the administrative aspects of the clinical residency and fellowship training programs in the Department of Oral \&amp; Maxillofacial Surgery (OMFS). The position requires a comprehensive and detailed understanding of national accreditation policies and hospital policies, as well as a high degree of initiative and independent judgment, and the ability to communicate effectively with faculty. The Residency/Fellowship Program Manager will continually assess and direct a wide range of programmatic issues including recruiting and onboarding residents/fellows, developing projects, analyzing administrative workflow, maintaining databases, communicating with faculty and residents/fellows regarding a range of issues, managing internal and external program relations, and long\-range planning. The Manager will also work closely with the department coordinators, cross\-covering and providing support to that position as required. Coordinates and provides on\-boarding support for individuals coming to the OMFS Department on J\-1 visas.
**Qualifications**
**Residency/Fellowship Program Management:**
* Manages and coordinates all of the administrative aspects of the Departmental clinical subspecialty residency/fellowship programs for CODA\-accredited and non\-CODA accredited clinical residencies/fellowships (e.g., OMFS, GPR, OFP and TMJ). CODA residencies include Oral \&amp; Maxillofacial Surgery, Orofacial Pain and General Practice Residency. Total number of residents is approximately 24\.
* Coordinates administrative aspects of CODA and MGB/MGH accreditation and Internal Review documentation for residents/fellowships, including preparing for and assisting in the readiness of the programs for CODA Site Visits, conducted approximately every 5 years, as well as other activities associated with program accreditation. Interprets and applies CODA, ABOMS and hospital policies to support compliance.
* Serves as primary resource to faculty serving as clinical residents/fellowship directors regarding existing or new policies and requirements, helping to advise them on particular issues regarding their subspecialty residency/fellowship program in general or regarding individual residents/fellows.
* Coordinates the recruitment process for clinical residency/fellowship applicants as needed, including application management, interviews, and offers.
* Manages all credentialing for residents/fellows, including processing of visa applications, working with OMFS Administration, MGH Physician Services, and the Partners International Office.
* Sets up rotations for clinical residents in the Department’s training program at each of the other institutions where they rotate, including credentialing and other required paperwork, such as setting up financial arrangements, working closely with OMFS Administration. Sets up MGH credentialing for outside rotators and observers, residents, fellows, and students coming to the Department from other MGH/MGB departments or outside institutions.
* Assists with updating and maintaining the resident/fellowship program manual.
* Assists with initiatives to improve the resident/fellowship programs.
* Tracks, reports, and ensures compliance with procedures regarding licensing, CODA/GME Duty Hour reporting, CRICO extensions, annual contracts, and initial and re\-credentialing of residents/fellows.
* Develops, implements, and oversees the maintenance of filing, record keeping, distribution of materials and other types of office/program systems.
* Evaluates and standardizes office procedures and effectively troubleshoots and resolves issues.
* Completes required national and hospital surveys, collating and reporting program or trainee data. Provide other information to external agencies regarding trainees as required.
* Coordinate closely with department coordinators and administrators due to interconnected nature of roles and responsibilities, provide cross\-coverage when necessary, as well as other administrative support as needed. This might include scheduling interviews, orientations, completing Residency trainee credentialing information, setting up files, etc.
* Work closely with department manager and Residency Training Program Directors, as well as other resident/fellowship program directors in the sub\-specialty services concerning operational and programmatic issues, and the status of projects. Identifies and evaluates the means for improving workflow and cost effectiveness; makes recommendations for improvements.
* Assist in program\-level policy development and long\-range planning. Oversees department\-level residency/fellowship orientation and any task\-specific training/certification. Informs residents/fellows of inter and intradepartmental policy and procedure changes, with assistance from GME office.
* Manages the evaluative processes of residents/fellows, the program, the faculty, and rotations.
* Works with OMFS Administration to notify and transition clinical trainees to any research programs.
* Establishes annual trainee financial arrangements with MGB Special Accounts and participating institutions, ensure proper FTE allocations and any discounts are included in the agreement. Also disseminates Departmental financial policies annually to all trainees to ensure proper expense reimbursements are followed on trainee educational allowances.
* Keeps abreast of any changes in resident/fellow status, new assignments, etc., updating databases \&amp; processing salary or credentialing status changes as necessary.
* Keep track of resident/fellows’ plans relating to rotations, so as to have a comprehensive understanding of current and future plans/rotations. Apprise OMFS Administration \&amp; Finance staff of status changes as necessary. Coordinates and provides on\-boarding support for individuals coming to the OMFS Department on J\-1 visas. Provide other administrative support to Resident/Fellowship Program Directors as necessary.
* Assist with quality and safety protocol/following with compliance. Reports to Q\&amp;S director to make sure reports are handled accurately and in a timely manner.
* Keep an ongoing database of all reports and updates to be prepared to present at M\&amp;M conferences.
* Schedule and book conferences for the year including but not limited to, Grand Rounds, Combine Grand Rounds, Pathology, Didactics and TMD Conference. Residency Program funds \&amp; responsible for coordinating departmental events, (e.g. Change party, Holiday party, in services). Performs all other duties and responsibilities as directed.
**Qualifications**
* Bachelor’s degree in Business Administration or Healthcare Management required.
* Minimum of 3 years of experience performing relevant work, preferably in a healthcare and/or education setting. Familiarity with medical trainee management, including ACGME/CODA policies, preferred.
**Skills/ Abilities/ Competencies Required**
* Strong ability to make decisions and to work independently, only escalating issues to supervisors as needed.
* Excellent written and verbal communication skills.
* Ability to multi\-task and organize information.
* Ability to handle sensitive information with absolute confidentiality.
* Strong interpersonal skills are necessary in order to interrelate with a wide range of personalities from both inside and outside of the Hospital.
* Working knowledge of software applications including Microsoft Word, Excel, PowerPoint, and Access databases, New Innovations.
* Ability to work under deadline pressure and prioritize work from several sources.
* Customer\-service orientation.
**Additional Job Details (if Applicable)**
**Remote Type**
 Onsite
**Work Location**
 55 Fruit Street
**Scheduled Weekly Hours**
 40
**Employee Type**
 Regular
**Work Shift**
 Day (United States of America)
**Pay Range**
 $63,648\.00 \- $90,750\.40/Annual
**Grade**
 6
 At Mass General Brigham, we believe in recognizing and rewarding the unique value each team member brings to our organization. Our approach to determining base pay is comprehensive, and any offer extended will take into account your skills, relevant experience if applicable, education, certifications and other essential factors. The base pay information provided offers an estimate based on the minimum job qualifications; however, it does not encompass all elements contributing to your total compensation package. In addition to competitive base pay, we offer comprehensive benefits, career advancement opportunities, differentials, premiums and bonuses as applicable and recognition programs designed to celebrate your contributions and support your professional growth. We invite you to apply, and our Talent Acquisition team will provide an overview of your potential compensation and benefits package.
**EEO Statement**
 1200 The General Hospital Corporation is an Equal Opportunity Employer. All qualified applicants will receive consideration for employment without regard to race, color, religious creed, national origin, sex, age, gender identity, disability, sexual orientation, military service, genetic information, and/or other status protected under law. We will ensure that all individuals with a disability are provided a reasonable accommodation to participate in the job application or interview process, to perform essential job functions, and to receive other benefits and privileges of employment. To ensure reasonable accommodation for individuals protected by Section 503 of the Rehabilitation Act of 1973, the Vietnam Veteran’s Readjustment Act of 1974, and Title I of the Americans with Disabilities Act of 1990, applicants who require accommodation in the job application process may contact Human Resources at (857\)\-282\-7642\.
**Mass General Brigham Competency Framework**
 At Mass General Brigham, our competency framework defines what effective leadership “looks like” by specifying which behaviors are most critical for successful performance at each job level. The framework is comprised of ten competencies (half People\-Focused, half Performance\-Focused) and are defined by observable and measurable skills and behaviors that contribute to workplace effectiveness and career success. These competencies are used to evaluate performance, make hiring decisions, identify development needs, mobilize employees across our system, and establish a strong talent pipeline.</t>
        </is>
      </c>
    </row>
    <row r="110">
      <c r="A110" t="inlineStr">
        <is>
          <t>li-4373285650</t>
        </is>
      </c>
      <c r="B110" t="inlineStr">
        <is>
          <t>Global BPO Program Manager (Remote)</t>
        </is>
      </c>
      <c r="C110" t="inlineStr">
        <is>
          <t>Jobgether</t>
        </is>
      </c>
      <c r="D110" t="inlineStr">
        <is>
          <t>linkedin</t>
        </is>
      </c>
      <c r="E110" t="inlineStr"/>
      <c r="F110" t="inlineStr"/>
      <c r="G110" t="inlineStr">
        <is>
          <t>Florida, United States</t>
        </is>
      </c>
      <c r="H110" t="inlineStr"/>
      <c r="I110" t="inlineStr">
        <is>
          <t>This position is posted by Jobgether on behalf of a partner company. We are currently looking for a Global BPO Program Manager \- REMOTE. In this role, you will own the BPO Partner Program globally, ensuring performance, governance, and strategic improvements. You will balance the needs of our BPO partners with our business objectives throughout multiple phases of the program. Your collaboration with cross\-functional teams is vital as you will work alongside business development and operations to drive success. This is an excellent opportunity for someone passionate about building programs and solving complex issues for our valued partners.
**Accountabilities**
* Build and launch a BPO Partner Program for our partner community.
* Develop a pricing and billing model suitable for BPOs with cross\-functional support.
* Work with global enablement to ensure effective program use by Zoom Channel Teams and Partners.
* Identify risks, trends, and improvement opportunities for the BPO Program post\-launch.
* Maintain strategic engagement with BPO partners to understand their business needs.
* Manage partner issues and implement corrective action plans related to our programs.
* Collaborate with various internal teams like Operations, IT, Finance, and HR as necessary.
* Translate business requirements into clear service expectations.
* Provide executive\-ready reporting, insights, and recommendations for the partner program.
* Establish and monitor key performance indicators (KPIs).
**Requirements**
* 6–10\+ years of experience working with BPOs globally.
* 5\+ years of experience in building partner programs.
* 3\+ years of experience specifically with BPO Partner Programs.
* Bachelor’s degree in Business, Operations, Management, or a related field.
* Strong interpersonal and team\-building skills.
* Excellent communication skills, both verbal and written.
* Strong financial and operational analysis skills.
**Benefits**
* Comprehensive benefits package to support physical, mental, and emotional health.
* Flexible working hours and a commitment to work\-life balance.
* Opportunities for professional growth and development.
* Engagement in meaningful community contributions.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1">
      <c r="A111" t="inlineStr">
        <is>
          <t>li-4347049761</t>
        </is>
      </c>
      <c r="B111" t="inlineStr">
        <is>
          <t>Program Manager, Mission Critical - Michels Preconstruction Services, Inc.</t>
        </is>
      </c>
      <c r="C111" t="inlineStr">
        <is>
          <t>Michels Corporation</t>
        </is>
      </c>
      <c r="D111" t="inlineStr">
        <is>
          <t>linkedin</t>
        </is>
      </c>
      <c r="E111" t="inlineStr"/>
      <c r="F111" t="inlineStr"/>
      <c r="G111" t="inlineStr">
        <is>
          <t>Milwaukee, WI</t>
        </is>
      </c>
      <c r="H111" t="inlineStr"/>
      <c r="I111" t="inlineStr">
        <is>
          <t>The Michels Preconstruction Services, Inc. team plays a critical role in the development of large, complex energy, infrastructure, marine and transportation projects. The Preconstruction Services team consists of construction and technical professionals working with one another and with customers to develop creative solutions for turning construction ideas into reliable outcomes. Like our field construction teams, our Preconstruction Services team takes into consideration the safety, social and environmental responsibility, and the health and wellbeing of our people and the communities in which we work. We strive to make a difference in positive, respectful, and responsible ways. Our work improves lives. Find out how a career as an Alternative Delivery Manager can change yours.
 As an Alternative Delivery Manager, responsibilities include providing direction and management for all phases of alternative/collaborative delivery projects. This position requires involvement in all phases of an alternative/collaborative delivery project lifecycle from business development, teaming, pursuits \&amp; proposals, and active contract and design management. It is essential to be goal oriented, organized, and professional in order to exceed client expectations. Critical for success in this position is excellent verbal and written communication skills, the ability to multitask while managing work both with internal Michels teams and external partner and client teams, as well as the ability to quickly make well informed decisions.
**Why Michels Preconstruction Services, Inc.?**
* We are consistently ranked among the top 10% of Engineering News\-Record’s Top 400 Contractors
* Our steady, strategic growth revolves around a commitment to quality
* We are family owned and operated
* We invest an average of $5,000 per employee on training each year
* We offer a comprehensive benefits package, including health, dental and vision, competitive paid time off plans and much more!
* We reward hard work and dedication with limitless opportunities
* We believe it is everyone’s responsibility to promote safety, regardless of job titles.
* Michels offers a comprehensive benefits program, including Health, Dental, Life, Flexible Spending Accounts, Health Savings Account, Short Term and Long Term Disability Insurance, 401(k) plan, Legal Plan, and Identity Theft and Monitoring Plan. Depending on your position and location you may participate in a different benefit plan.
**Why you?** 
- You thrive in fast\-paced environments and under tight deadlines
- You will own all aspects of data center preconstruction including:
- Identify new opportunities through relationship development and the creation of brand awareness. The individual must serve as an ambassador and promote The Michels Family of Companies as the contractor of choice while providing support in the development and preservation of client relationships. Critical for success are the abilities to maintain the highest level of confidentiality and discretion, demonstrate strong verbal and written communication skills and personify Michels Core Values in all interactions.
- Understanding and existing relationships in the mission critical industry
- Work with Business Development to facilitate early engagement with clients, owners, developers, contractors, and engineers
- Drive decision making
- Communicate and drive progress with internal stakeholders
- Proposal Delivery
* Receive RFPs
* Review estimates
* Develop commercial material
* Ensure proposal quality and compliance with RFP requirements prior to submission
* You relish new challenges and evolving technology
* You proactively build and sustain relationships
* You communicate proactively with the client, and with your team
* You provide leadership and guidance on project pursuits and on delivery
* You have an internal drive to produce results
**What It Takes**
* Bachelor’s Degree in Construction Management or Civil Engineering, 5\+ years of project management, construction management experience, or an equivalent combination
* Construction experience in transportation engineering or transportation construction projects, including, but not limited to, Highway DOT, bridges, or federal projects
* PE \&amp; DBIA Certification (Desired)
* Experience with Business Development and project pursuits
* Experience and understanding of alternative delivery projects, including, but not limited to, design build, CMGC, or progressive design build
* Experience in key project leadership roles
* Considerable experience in client management on project pursuits, as well as in project delivery
* Understanding and experience with win strategies, pricing and project scheduling
* Experience in technical writing
* Understanding of Scheduling, Estimating and Project Controls Software
* A valid driver license for the type(s) of vehicles you may be driving and an acceptable driving record
* Travel requirements will vary but could exceed 50% depending on assignment and project requirements
 AA/EOE/M/W/Vet/Disability
 https://www.michels.us/website\-user\-privacy\-policy/</t>
        </is>
      </c>
    </row>
    <row r="112">
      <c r="A112" t="inlineStr">
        <is>
          <t>li-4302890743</t>
        </is>
      </c>
      <c r="B112" t="inlineStr">
        <is>
          <t>Program Manager, Social Impact and Responsibility</t>
        </is>
      </c>
      <c r="C112" t="inlineStr">
        <is>
          <t>monday.com</t>
        </is>
      </c>
      <c r="D112" t="inlineStr">
        <is>
          <t>linkedin</t>
        </is>
      </c>
      <c r="E112" t="inlineStr"/>
      <c r="F112" t="inlineStr"/>
      <c r="G112" t="inlineStr">
        <is>
          <t>New York, NY</t>
        </is>
      </c>
      <c r="H112" t="inlineStr"/>
      <c r="I112" t="inlineStr">
        <is>
          <t>**Description**
 We are seeking a detail\-oriented and financially savvy Social Impact Program Manager to lead and coordinate high\-impact initiatives that drive meaningful change within our communities. The ideal candidate is passionate about uplifting underserved youth, community development, and ensuring measurable, lasting impact. This role requires exceptional project management skills, financial reporting expertise, and strict attention to detail to ensure all initiatives are executed efficiently, transparently, and in full compliance with financial policies.
**Please note that this is a hybrid position of 3 days/week in our NYC office.**
**About The Role**
* Lead the planning, execution, and evaluation of diverse social impact initiatives aimed at connecting underserved youth to the tech sector
* Oversee program budgets with precision—tracking expenses, maintaining financial records, and ensuring full compliance with accounting procedures, funding requirements, and financial policies
* Coordinate educational programming, inspirational workshops, and training sessions across NYC schools while maintaining fiscal responsibility and transparency
* Monitor project progress, assess financial risks, and implement mitigation strategies to ensure on\-time and within\-budget delivery
* Ensure all financial reporting obligations are met, preparing detailed reports and analysis to track funding utilization and program effectiveness
* Develop and implement strategic communication plans to raise awareness of programs, engage key audiences, and drive support for social impact efforts
* Collect data, evaluate project outcomes, and generate insights to drive continuous program improvements and inform future decision\-making
**Requirements**
* Minimum of 3 years of experience in project management, social impact, or community development, with a strong focus on financial reporting and budget management
* Proven ability to track program expenditures, and ensure compliance with accounting and foundation financial protocols
* Exceptional attention to detail, ensuring financial accuracy, compliance, and transparency in all program operations
* Excellent communication skills, with experience engaging stakeholders, facilitating discussions, and delivering presentations
* Strategic thinker with strong problem\-solving abilities, organizational skills, and a results\-driven approach
* Proficiency in project management tools; experience with monday.com is a plus
* Startup mentality with the ability to work independently, adapt to shifting priorities, and excel in a fast\-paced, dynamic environment
 Visa sponsorship for this role is currently not available.
 monday.com is proud to be an equal\-opportunity employer. We hire talented individuals, regardless of gender, race, ethnicity, ancestry, age, disability, sexual orientation, gender identity or expression, military or veteran status, cultural background, religious beliefs, or any other characteristic protected by federal, state, or local laws.
 For New York City\-based hires only: Compensation Range: $100,000 \- $120,000 base salary, subject to standard withholding and applicable taxes. In addition to base salary, the role includes the opportunity to receive and/or earn a discretionary bonus and/or equity\-based on Company’s plans and in accordance with Company’s policies. Compensation finally awarded to the candidate will be commensurate with the candidate’s skills and experience. Compensation ranges for candidates in locations outside of New York City may differ based on the cost of labor and such additional factors for such other locations.﻿</t>
        </is>
      </c>
    </row>
    <row r="113">
      <c r="A113" t="inlineStr">
        <is>
          <t>li-4373289628</t>
        </is>
      </c>
      <c r="B113" t="inlineStr">
        <is>
          <t>Technical Program Manager – Electronics</t>
        </is>
      </c>
      <c r="C113" t="inlineStr">
        <is>
          <t>Mercor</t>
        </is>
      </c>
      <c r="D113" t="inlineStr">
        <is>
          <t>linkedin</t>
        </is>
      </c>
      <c r="E113" t="inlineStr"/>
      <c r="F113" t="inlineStr"/>
      <c r="G113" t="inlineStr"/>
      <c r="H113" t="inlineStr"/>
      <c r="I113" t="inlineStr">
        <is>
          <t>**About The Job**
**Mercor** 
 connects elite creative and technical talent with leading AI research labs. Headquartered in San Francisco, our investors include
 **Benchmark** 
 ,
 **General Catalyst** 
 ,
 **Peter Thiel** 
 ,
 **Adam D'Angelo** 
 ,
 **Larry Summers** 
 , and
 **Jack Dorsey** 
 .
**Position:** 
 Technical Program Manager
**Type:** 
**Contract**
**Compensation:** 
**$105–$130/hour**
**Location:** 
**Remote**
**Role Responsibilities**
* Deliver programs within constraints of scope, quality, time, and budget. Manage moderate\-probability, moderate\-impact risk factors.
* Engage in program\-level strategic planning and interact with executive management. Resolve complex issues and build effective teams.
* Partner with Product Design Engineering to define and execute next\-gen hardware products.
* Coordinate and drive engineering design deliverables, including specifications, DOEs, and validation plans.
* Work with cross\-functional teams to develop best practices and technology development processes in a fast\-paced environment.
* Manage delivery of hardware components for development builds. Drive qualification to meet mass production timelines.
**Qualifications**
**Must\-Have**
* Experience as a technology development program manager or engineering lead in consumer electronics.
* Experience in ODM, JDM, and CM vendor engagement models.
* Knowledge of phase gate approach to technology development programs.
* Experience with mechanical system development, DFM, tooling, and validation processes.
* Experience communicating and collaborating with technical management teams.
* Demonstrated skills in organization, coordination, and multitasking.
* Demonstrated analytical and problem\-solving skills.
* Experience with program top\-issue tracking.
* Experience operating across multiple projects.
* Experience establishing work relationships across multi\-disciplinary teams and multiple partners in different time zones.
* Maintains composure in times of ambiguity and direction changes.
* Experience delivering technology and business application solutions in a large\-scale, multi\-platform systems environment.
* Bachelor's degree in a technical field such as Mechanical Engineering or related field required.
* PMP or PMI certification.
**Preferred**
* MBA or other related advanced degree.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14">
      <c r="A114" t="inlineStr">
        <is>
          <t>li-4364576511</t>
        </is>
      </c>
      <c r="B114" t="inlineStr">
        <is>
          <t>Product Manager</t>
        </is>
      </c>
      <c r="C114" t="inlineStr">
        <is>
          <t>Tenna</t>
        </is>
      </c>
      <c r="D114" t="inlineStr">
        <is>
          <t>linkedin</t>
        </is>
      </c>
      <c r="E114" t="inlineStr"/>
      <c r="F114" t="inlineStr"/>
      <c r="G114" t="inlineStr"/>
      <c r="H114" t="inlineStr"/>
      <c r="I114" t="inlineStr">
        <is>
          <t>**Position Description** 
 Tenna is searching for a Product Manager who will support our product vision and roadmap, while providing clear direction to a cross\-functional team of Software/Hardware Engineers and Designers. As a Product Manager, you will work closely with Engineering to translate detailed concepts into features, requirements, and acceptance criteria. If you are a creative problem solver, obsessed with capturing the voice of our customers, enjoy rolling up your sleeves to get the job done, and possess a passion for IoT – this might be the role for you.
**Why Tenna?** 
 At Tenna, we believe the best is right in front of all of us, and that each day holds more potential than the one before. We believe that every new discovery can lead to something better than we thought possible. When we boil it down, the top five qualities that define the Tenna Team are quality\-obsessed, gritty, continuous learners, collaborative problem solvers, and just plain awesome. Sound like you?
 Join us
 as we empower our customers to control their mixed assets anytime, anywhere, on one comprehensive platform. Apply now!
**Responsibilities** 
* Leads and manages the entire feature and product lifecycle from planning, development, and launch.
* Manages the iterative lifecycle of our product from idea conception to production including: scope, defining specifications, prioritization, design, implementation, user acceptance testing, quality assurance, deployment, and maintenance.
* Creates product specifications as needed: wireframes with support from Design, process workflows, state transition diagrams, copy decks, acceptance test plans, user stories and acceptance criteria, and personas.
* Defines and prioritizes the product backlog translating high\-level requirements into user stories, and performs acceptance testing on a rolling basis throughout each product iteration.
* Champions our product internally and externally by pushing for rapid adoption.
* Defines clear goals and KPIs around customer value and drives strategies to achieve them.
* Captures the voice of our customers by actively engaging in end\-user research, understanding end\-user goals and pain points, and communicating key conclusions/takeaways to internal stakeholders.
* Analyzes quantitative data to determine the most successful strategies and identifies new product opportunities.
* Assesses and makes creative recommendations on business opportunities for improvement in automation and efficiency of our processes.
* Works closely with Design, and Development to define Product Vision, Roadmap, and Release Plans.
* Ensures end\-user adoption and identifies and measures user utility.
* Collaborates with Marketing, Customer Success, and other internal stakeholders to define and execute go\-to\-market activities.
**Qualifications** 
* 7\+ years’ experience in an analytical, product\-focused role.
* 5\+ years’ experience delivering products as a Product Manager.
* 2\+ years’ experience writing user stories, and defining epics.
* 2\+ years' experience writing code is strongly preferred.
* Experience within the construction technology industry or IoT is strongly preferred.
* Experience bringing technology products to market in a fast\-paced environment.
* Proven ability to creatively solve problems, influence product improvements, and interpret business/technical requirements.
* Bachelor’s Degree in Engineering, Computer Science, Design, Information Technology, Economics, or related STEM degree program is required or equivalent.
* Ability to develop clean and targeted documentation, including process flows and standard operating procedures.
* Strong analytical thinking and decision\-making abilities.
* Proven ability to communicate effectively with technical and non\-technical people.
* Demonstrated personal commitment to customers. Sets and exceeds high\-quality standards.
**Benefits, Perks, \&amp; Additional Information:** 
* Full\-time opportunity.
* Opportunity is remote – nationwide.
* Competitive compensation package.
* Travel is required, up to 20%.
* Robust, low\-cost benefit packages.
* Benefit coverage begins the first date of employment.
* Dependent Care offered.
* 401k match.
* Employee referral bonuses.</t>
        </is>
      </c>
    </row>
    <row r="115">
      <c r="A115" t="inlineStr">
        <is>
          <t>li-4373238387</t>
        </is>
      </c>
      <c r="B115" t="inlineStr">
        <is>
          <t>Product Manager</t>
        </is>
      </c>
      <c r="C115" t="inlineStr">
        <is>
          <t>Atlantic Partners Corporation</t>
        </is>
      </c>
      <c r="D115" t="inlineStr">
        <is>
          <t>linkedin</t>
        </is>
      </c>
      <c r="E115" t="inlineStr"/>
      <c r="F115" t="inlineStr"/>
      <c r="G115" t="inlineStr"/>
      <c r="H115" t="inlineStr"/>
      <c r="I115" t="inlineStr">
        <is>
          <t>We’re seeking a highly driven Senior Product Operations professional to strengthen platform operations and client delivery as we scale. This role owns onboarding execution, data accuracy, and operational workflows while driving accountability, efficiency, and continuous improvement across teams.
**Key Responsibilities** 
**Client Delivery \&amp; Experience** 
* Own end\-to\-end client onboarding and implementation milestones
* Track SLAs, KPIs, and performance metrics
* Partner with Product \&amp; Engineering to resolve operational / technical issues
**Team Leadership \&amp; Enablement** 
* Provide day\-to\-day direction to Implementation Specialists
* Support offshore data teams to improve quality and consistency
* Partner with Data Quality to strengthen data integrity
**Operational Excellence** 
* Identify bottlenecks and process inefficiencies
* Design scalable workflows and playbooks
* Drive continuous improvement with a strong bias for action
**Qualifications** 
* 7\+ years in operations, client delivery, or product operations
* Proven ability to drive outcomes and solve complex problems
* Strong analytical, organizational, and communication skills
* Experience with KPIs, dashboards, and operational metrics
**Nice to Have** 
* Alternative investments industry exposure
* Salesforce / CRM workflow tools
* SQL and/or advanced Excel
* BI / analytics tools
**Culture \&amp; Values** 
* Extreme Client Service
* Relentless Problem Solving</t>
        </is>
      </c>
    </row>
    <row r="116">
      <c r="A116" t="inlineStr">
        <is>
          <t>li-4373295940</t>
        </is>
      </c>
      <c r="B116" t="inlineStr">
        <is>
          <t>Senior Product Manager, Work Discovery</t>
        </is>
      </c>
      <c r="C116" t="inlineStr">
        <is>
          <t>Zillow</t>
        </is>
      </c>
      <c r="D116" t="inlineStr">
        <is>
          <t>linkedin</t>
        </is>
      </c>
      <c r="E116" t="inlineStr"/>
      <c r="F116" t="inlineStr"/>
      <c r="G116" t="inlineStr"/>
      <c r="H116" t="inlineStr"/>
      <c r="I116" t="inlineStr">
        <is>
          <t>**About The Team**
 At Zillow, we believe home should be more than just a dream. Our purpose is to make home a reality for more and more people.
 The Zillow Home Loans (ZHL) Product team is focused on delivering a home financing journey that gives consumers more confidence, transparency, and ease than they can find anywhere else, in a way that is both scalable and profitable. We are reimagining the financing process by integrating it into the Zillow experience used by millions of Americans, connecting it into agent tools and technology, and building systems that empower our operators to deliver consistently at the highest standards.
 We are a product team with a strong mix of domain expertise and product craft. We partner closely with Engineering, AI, Design and Research, Marketing, and Operations to bring holistic experience innovation to market quickly and to redefine what’s possible in home finance.
**About The Role**
 As Senior Product Manager, Work Discovery, you will own how operational work is defined, surfaced, prioritized, and completed across the workforce throughout the ZHL mortgage lifecycle. At its core, this role is about turning complex operational processes into repeatable, system‑orchestrated workflows that reliably move borrowers from first contact through funded loan.
 Your goal is to ensure that, at any point in time, an operator can open their tools and immediately understand the most important actions they need to take, why those actions matter, and how to complete them efficiently. By systematizing work in this way, you enable ZHL to flex how and where work is performed—allowing discrete units of work to be completed by different operator roles, flexible labor pools, or automated systems—while maintaining consistent service levels and cost efficiency.
 This role sits on the Mortgage Operating System and Engagement team and is the product owner of work discovery patterns across ZHL. While other teams own underlying platforms (e.g., task and workflow engines, routing and capacity platforms, mortgage‑specific point solutions), you own how those capabilities are assembled into a cohesive, end‑to‑end operator experience.
 Success in this role means operators consistently know what to do next and why, operational processes are more consistent and observable across ZHL, and borrower journeys progress more reliably—enabling ZHL to scale efficiently while delivering consistently high‑quality customer and partner experiences.
 You Will Get To
* Define and own work discovery across the business: how operational work is generated, surfaced, prioritized, and tracked for different ZHL roles throughout the mortgage lifecycle.
* Design systems that break down complex, multi‑step business processes into clear, actionable, role‑specific units of work, enabling that work to be completed by different operator roles, flexible labor pools, or automated systems—while maintaining an end‑to‑end view of borrower progression.
* Ensure operator actions are explicitly captured in‑system, enabling consistent advancement of borrowers through defined milestones and improved visibility into process execution.
* Partner closely with Sales, Fulfillment, and Business Operations leaders to define excellent operational models and encode them into scalable system designs.
* Collaborate with platform product teams (tasks and workflow, routing and capacity, identity and access) to ensure their capabilities support work discovery needs, identifying gaps and driving prioritization of enhancements.
* Drive strong adoption by designing systems that meaningfully change operator behavior, reduce cognitive load, and make the right actions the easiest actions.
* Navigate legacy tooling, system migrations, and regulatory constraints to deliver compliant, secure, and durable solutions that create a foundation for increased automation and AI‑assisted execution over time.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A senior product manager with 5\+ years of product management experience, ideally building internal tools, workflow products, or platforms for operationally complex organizations, or equivalent experience. You bring clarity and structure to ambiguous problem spaces and are comfortable defining patterns where none previously existed.
* A strong systems thinker who can decompose complex, multi‑role processes into streamlined, elegant workflows without losing sight of end‑to‑end outcomes, and who has a demonstrated ability to translate business goals and processes into concrete system designs and shipped outcomes.
* Experienced working closely with Operations teams (e.g., Sales, Support, Production), with a strong understanding of how systems shape day‑to‑day execution, and deeply empathetic to operators and customers, seeing how internal tools, human behavior, and customer experience are tightly linked.
* Forward‑looking about how work can evolve over time, designing systems that can progressively shift work between humans, flexible labor pools, and AI‑assisted or automated execution as capabilities mature.
* Strongly analytical and data‑driven, using data to evaluate system behavior, identify bottlenecks, and improve results.
* Pragmatic and execution‑oriented, with a bias toward shipping durable solutions that work in real‑world operational environments.
* Skilled at navigating cross‑functional complexity and aligning diverse stakeholders around clear decisions, trade‑offs, and priorities, and disciplined about ownership and accountability so shared work moves forward with clear direction.
* Nice to have: experience in one or more of the following—operating in highly regulated environments (e.g., mortgage, finance, healthcare); working with queue‑based, SLA‑driven, or workflow‑oriented systems; integrating AI‑assisted execution into business processes or operational workflows; or working with identity, access controls, and permissioning in complex operational systems.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17">
      <c r="A117" t="inlineStr">
        <is>
          <t>li-4302849594</t>
        </is>
      </c>
      <c r="B117" t="inlineStr">
        <is>
          <t>Product Manager</t>
        </is>
      </c>
      <c r="C117" t="inlineStr">
        <is>
          <t>Granicus</t>
        </is>
      </c>
      <c r="D117" t="inlineStr">
        <is>
          <t>linkedin</t>
        </is>
      </c>
      <c r="E117" t="inlineStr"/>
      <c r="F117" t="inlineStr"/>
      <c r="G117" t="inlineStr"/>
      <c r="H117" t="inlineStr"/>
      <c r="I117" t="inlineStr">
        <is>
          <t>**The Company**
**Serving the People Who Serve the People**
 Granicus is driven by the excitement of building, implementing, and maintaining technology that is transforming the Govtech industry by bringing governments and its constituents together. We are on a mission to support our customers with meeting the needs of their communities and implementing our technology in ways that are equitable and inclusive. Granicus has consistently appeared on the GovTech 100 list over the past 5 years and has been recognized as the best companies to work on BuiltIn.
 Over the last 25 years, we have served 5,500 federal, state, and local government agencies and more than 300 million citizen subscribers power an unmatched Subscriber Network that use our digital solutions to make the world a better place. With comprehensive cloud\-based solutions for communications, government website design, meeting and agenda management software, records management, and digital services, Granicus empowers stronger relationships between government and residents across the U.S., U.K., Australia, New Zealand, and Canada. By simplifying interactions with residents, while disseminating critical information, Granicus brings governments closer to the people they serve—driving meaningful change for communities around the globe.
 Want to know more? See more of what we do here .
**Job Summary**
 Granicus is seeking a skilled Product Manager with a background in software and a passion for improving resident experiences, driving citizen engagement, and advancing government transparency. As a Product Manager, you’ll drive execution across agile teams by translating vision into actionable plans and managing a well\-prioritized Jira backlog across multiple value streams. You’ll ensure delivery of high\-impact features by balancing competing priorities, aligning cross\-functional teams, and applying data\-driven decision\-making. You’ll also oversee the development of complex, large\-scale technical products, ensuring they meet market needs and business goals—especially in the realm of digital tools and automation technologies.
**What Your Impact Will Look Like**
* Demonstrate Product Mastery: Develop and maintain a deep understanding of the product’s features, user journeys, technical architecture, and business value. Be the go\-to expert for how the product works and why.
* Apply AI/ML Fluency to Drive Innovation: Demonstrate familiarity with Agentic AI concepts and a strong innovation mindset. Leverage analytics, customer feedback, and business insights to inform backlog prioritization and product decisions.
* Lead PI Planning \&amp; Value Stream Alignment: Drive effective program increment planning by aligning team objectives with strategic goals across value streams—such as security, customer experience, technical debt, and innovation. Coordinate dependencies, track progress, and adapt plans as priorities evolve.
* Own Backlog \&amp; Sprint Readiness: Maintain a well\-groomed Jira backlog that reflects product priorities and technical feasibility. Ensure stories are clearly defined, prioritized, and sprint\-ready by refining requirements and removing blockers.
* Lead Agile Team Integration \&amp; Story Development: Actively participate in agile ceremonies and serve as the product voice within the team. Write clear, actionable user stories and acceptance criteria that reflect both user needs and technical feasibility.
* Facilitate Cross\-Functional Alignment \&amp; Communication: Collaborate with engineering, design, QA, and business stakeholders to clarify requirements, resolve ambiguities, and ensure smooth execution. Maintain clear documentation and communicate progress, risks, and timelines.
* Product Mastery: Develop and maintain a deep understanding of the product’s features, user journeys, technical architecture, and business value. Be the go\-to expert for how the product works and why. Apply AI/ML Fluency to Drive Innovation: Demonstrate familiarity with Agentic AI concepts and a strong innovation mindset. Leverage analytics, customer feedback, and business insights to inform backlog prioritization and product decisions. Lead PI Planning \&amp; Value Stream Alignment: Drive effective program increment planning by aligning team objectives with strategic goals across value streams—such as security, customer experience, technical debt, and innovation. Coordinate dependencies, track progress, and adapt plans as priorities evolve.
* Own Backlog \&amp; Sprint Readiness: Maintain a well\-groomed Jira backlog that reflects product priorities and technical feasibility. Ensure stories are clearly defined, prioritized, and sprint\-ready by refining requirements and removing blockers.
* Lead Agile Team Integration \&amp; Story Development: Actively participate in agile ceremonies and serve as the product voice within the team. Write clear, actionable user stories and acceptance criteria that reflect both user needs and technical feasibility.
* Facilitate Cross\-Functional Alignment \&amp; Communication: Collaborate with engineering, design, QA, and business stakeholders to clarify requirements, resolve ambiguities, and ensure smooth execution. Maintain clear documentation and communicate progress, risks, and timelines.
**You Will Love This Job If You Have**
* 3–5 years of product management or related experience in a fast\-paced, agile environment.
* Experience in marketing automation and/or digital engagement platforms.
* Fluency in Jira and/or Aha!
* Experience working with technical teams and understanding APIs, data models, or system architecture.
* Exposure to scaled agile frameworks (e.g., SAFe, LeSS) and program increment planning.
* Demonstrated use of AI/ML tools to enhance productivity, decision\-making, or product discovery.
* Strong understanding of customer discovery techniques and user research methodologies.
* Experience contributing to platform or multi\-product ecosystems.
* Familiarity with compliance, security, or regulatory requirements in product development.
* Familiarity with product analytics tools (e.g., Amplitude, Mixpanel, Looker) and A/B testing frameworks.
**Pay Range**
 USD $100,000\.00 \- USD $114,000\.00 /Yr.
**About Us**
 Don’t have all the skills/experience mentioned above? At Granicus, we are trying to build diverse, inclusive teams. We do not have degree requirements for most of our roles. If you don’t meet every requirement above but are excited to learn more, we encourage you to apply. We might just be able to find another role that could be a perfect fit!
**Security And Privacy Requirements**
* Responsible for Granicus information security by appropriately preserving the Confidentiality, Integrity, and Availability (CIA) of Granicus information assets in accordance with the company's information security program.
* Responsible for ensuring the data privacy of our employees and customers, their data, as well as taking all required privacy training in a timely manner, in accordance with company policies.
**The Team**
* We are a remote\-first company with a globally distributed workforce across the United States, Canada, United Kingdom, India, Armenia, Australia, and New Zealand.
**The Culture**
* At Granicus, we are building a transparent, inclusive, and safe space for everyone who wants to be a part of our journey.
* A few culture highlights include – Employee Resource Groups to encourage diverse voices
* Coffee with Mark sessions – Our employees get to interact with our CEO on very important and sometimes difficult issues ranging from mental health to work\-life balance and current affairs.
* Microsoft Teams communities focused on wellness, art, furbabies, family, parenting, and more.
* We bring in special guests from time to time to discuss issues that impact our employee population
**The Impact**
* We are proud to serve dynamic organizations around the globe that use our digital solutions to make the world a better place — quite literally. We have so many powerful success stories that illustrate how our solutions are impacting the world. See more of our impact here .
**The Benefits**
 At Granicus, we offer a
 **comprehensive and flexible benefits package** 
 designed to support your well\-being, growth, and work\-life balance—starting from day one.
 Here’s what you can expect as a U.S.\-based team member:
**Flexibility \&amp; Balance**
* Flexible Time Off – Take the time you need to rest, recharge, and live your life.
* Company\-Wide Wellbeing Days – Paid days off to unplug and focus on your mental health.
* Work From Home Reimbursement – Support a productive home office environment.
**Health \&amp; Wellness**
* Multiple Health Plan Options – Including a 100% employer\-paid plan.
* Employer HSA Contributions – When enrolled in a High\-Deductible Health Plan.
* Fitness Reimbursement Program – Stay active, your way.
* On\-Demand Mental Health Support – Access to Headspace and other wellness tools.
**Family \&amp; Future**
* Paid Parental Leave – For both birthing and non\-birthing parents.
* Traditional \&amp; Roth 401(k) – With a generous company match.
* Life \&amp; AD\&amp;D Insurance – 100% employer\-paid coverage for peace of mind.
**Growth \&amp; Recognition**
* Online Learning Platforms – Fuel your professional development.
* Competitive Salary \&amp; Bonuses – Your contributions are valued and rewarded.
**Equal Opportunity Employer**
 Granicus is committed to providing equal employment opportunities. All qualified applicants and employees will be considered for employment and advancement without regard to race, color, religion, creed, national origin, ancestry, sex, gender, gender identity, gender expression, physical or mental disability, age, genetic information, sexual or affectional orientation, marital status, status with regard to public assistance, familial status, military or veteran status or any other status protected by applicable law.</t>
        </is>
      </c>
    </row>
    <row r="118">
      <c r="A118" t="inlineStr">
        <is>
          <t>li-4324040699</t>
        </is>
      </c>
      <c r="B118" t="inlineStr">
        <is>
          <t>Senior Product Manager</t>
        </is>
      </c>
      <c r="C118" t="inlineStr">
        <is>
          <t>Kikoff</t>
        </is>
      </c>
      <c r="D118" t="inlineStr">
        <is>
          <t>linkedin</t>
        </is>
      </c>
      <c r="E118" t="inlineStr"/>
      <c r="F118" t="inlineStr"/>
      <c r="G118" t="inlineStr">
        <is>
          <t>San Francisco, CA</t>
        </is>
      </c>
      <c r="H118" t="inlineStr"/>
      <c r="I118" t="inlineStr">
        <is>
          <t>An ideal member of the product team likes to roll their sleeves up and dive in. You might conduct user interviews, dig in the database, wireframe in Miro, and dogfood the latest mobile app release, all before lunch. Because you're passionate about solving deeply personal financial problems for consumers, you will do whatever it takes to find the right solutions. You'll also work collaboratively within your dedicated product team that includes design and engineering, as well as cross\-functionally with marketing, legal, operations, leadership and whoever else you need to get it done. You won't stop until the data tells you it's right.
**What You Can Expect In This Role**
* Take direction from leadership regarding the key objectives your team needs to drive, but outline a roadmap with your product team to achieve successful outcomes, together.
* Drive the discovery process to form a deep understanding of our users and to uncover the products and features that will best empower those consumers.
* Reach beyond instinct alone to capture and analyze the right data to allow you to make the most informed decisions as you continue to evolve your approach.
* Champion your products within your team, across the company, and with consumers.
**What Will Help Make You Successful**
* You have empathy for consumers and a passion for solving consumer problems in new and innovative ways.
* You feel comfortable in the driver's seat and have a natural way of knowing how to get to the destination, but also know when it's time for others to drive.
* You've worked on successful digital consumer products for at least 2 years, preferably in a fast\-paced startup environment.
* You can wear as many hats as necessary including researcher, interface designer, analyst, and friend.
* An interest in and/or history working on modern consumer financial tools and products, with your own perspective on how best to innovate in this space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 Medical, dental, and vision coverage \- Kikoff covers the full cost of health insurance for the employee!
 📈 Meaningful equity in the form of RSU's
 🏝️ 20 days of paid time off per year — we encourage taking real time away to recharge and do your best work
 💵 401(k) plan with a meaningful employer match to help you invest in your future
 💰 Competitive pay based on experience consisting of base \+ equity \+ benefits
 Location: Hybrid, 3 days onsite in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for more information.</t>
        </is>
      </c>
    </row>
    <row r="119">
      <c r="A119" t="inlineStr">
        <is>
          <t>li-4373511023</t>
        </is>
      </c>
      <c r="B119" t="inlineStr">
        <is>
          <t>Product Manager, Data Insights</t>
        </is>
      </c>
      <c r="C119" t="inlineStr">
        <is>
          <t>Foureyes</t>
        </is>
      </c>
      <c r="D119" t="inlineStr">
        <is>
          <t>linkedin</t>
        </is>
      </c>
      <c r="E119" t="inlineStr"/>
      <c r="F119" t="inlineStr"/>
      <c r="G119" t="inlineStr"/>
      <c r="H119" t="inlineStr"/>
      <c r="I119" t="inlineStr">
        <is>
          <t>Who We Are
 Headquartered in Oregon, Foureyes® is a remote\-first company with 90\+ employees in 21 states. We are privately owned and focused on the automotive vertical.
 Foureyes is the automotive data platform that makes the car\-buying experience better for everyone. We bring scattered dealership data into one clean, connected foundation that’s easy to access and use so teams can move faster, collaborate more easily, and take action with confidence.
 We’re technologists, data\-obsessed, and car\-industry veterans who believe software should make people more successful. That means building tools our customers love to use and can easily see the value in.
 If this sounds like the kind of company you want to be a part of, there’s good news. We’re hiring for a Data Insights Product Manager!
 The Position
 As the Product Manager for the Data Insights experience within our customer data platform, you will lead the development of a user experience that empowers every dealership to explore their own data questions and uncover insights as easily as they could perform a Google search. Your team’s mission is to make data not only accessible, but actionable. We don’t just want dealers to say “that’s cool.” We want them to feel empowered to take action and know what action to take.
 You’ll own core standard reports as well as develop a roadmap focused on the mission of data accessibility and insights.
 Partnering with engineering, BI specialists, and dealer\-facing teams, you will shape a product experience that transforms complex data into clear, usable insights that drive smarter, faster decisions across dealerships.
**Responsibilities**
 Your mission is to deliver impactful, intuitive data solutions that dealers actually use to run their business better. To achieve that, you will:
* Understand dealer needs through research, feedback, and data analysis, identifying opportunities where self\-service insights can replace manual reports and analysis.
* Define and prioritize the roadmap for reporting, data sharing/access, and AI insights, balancing foundational data infrastructure with innovative dealer\-facing capabilities. This includes understanding how dealers want to user their data and making that as easy as possible for them to achieve
* Translate business and user needs into clear, actionable requirements for engineering
* Prototype reports and UI experiences with tools like Lovable
* Continuously measure impact by defining and tracking KPIs (e.g., report usage, time\-to\-insight, dealer decision\-making outcomes).
**Job Qualifications**
 Knowledge, Skills, Abilities
* Strong data literacy, demonstrated through SQL proficiency and a proven ability to prototype and deliver clear, impactful reporting solutions
* Passion for making complex data simple, intuitive, and actionable.
* Strong analytical skills with ability to translate messy data into business insights.
* User\-centered mindset with empathy for dealership employees and their workflows.
* Excellent communication skills (verbal, written, storytelling).
* Ability to influence cross\-functional partners without direct authority.
* Strong prioritization and project management skills; thrives in a dynamic, fast\-moving SaaS environment.
* Experience working with large data sets, BI tools (we are currently leaning heavily on Quicksight), and data warehousing tools like Snowflake
**Experience**
* 4\+ years of experience in product management (SaaS, BI, analytics, or data platform experience strongly preferred).
* Experience with reporting/BI tools, data platforms (ex: Snowflake, Tableau, AWS Quicksite, etc) a plus
* Experience delivering self\-service data products or analytics solutions.
 Location: This position is remote. We are hiring in the following states. AZ, CA, CO, FL, IA, ID, KY, MA, MD, MN, NV, OH, OR, PA, TN, TX, NC, IL, and WA
 Salary Range: $105,000 \- $125,000
 Why Foureyes?
* Competitive salary and health benefits for eligible full time employees.
* Additional benefits including 401k matching, and a subsidy for internet or cell phone.
* Generous PTO days, in addition to paid holidays that incorporate two days to honor and celebrate your heritage, culture, or traditions that matter most to you\-\- just tell us when!
* Half Day Summer Fridays!
* A company actively working to dismantle bias in our hiring practices, foster cultural inclusivity, and continuously examine policies and practices to ensure equity. We recognize and believe that diversity, equity, and inclusion constantly make us better.
* A fast\-paced, team\-driven culture that helps you grow your career with learning opportunities, autonomy and ownership, and chances to succeed (or fail\-\- hey, we’ve all learned through failure).
 Diversity, Equity \&amp; Inclusion
 At Foureyes, we believe your ability to build, think creatively, and solve problems is best accessed when you have the freedom to be yourself. Inclusion is not a nice\-to\-have; it is a must\-have. The bedrock of an inclusive culture is our ability to celebrate and harness the unique perspectives our diversity provides in the building process. While an org structure exists to provide clarity around how ideas get communicated, we are all equal as coworkers, and we are committed to careful and continued introspection around how to best be an equitable, fair, and inclusive workplace that celebrates you for being you.
 Equal Opportunity
 As an Equal Opportunity Employer, Foureyes is dedicated to providing a diverse and inclusive workplace, which includes unbiased recruiting, hiring, and employment practices. Applicants and employees are treated with respect, and provided opportunities – free of discrimination of race, creed, color, religion, gender, sexual orientation, gender identity/expression, national origin, disability, age, genetic information, veteran status, marital or parenting status.
 Sponsorship
 Foureyes is not currently sponsoring work visas for this role. Authorization to work in the U.S. is required to be considered.</t>
        </is>
      </c>
    </row>
    <row r="120">
      <c r="A120" t="inlineStr">
        <is>
          <t>li-4372341530</t>
        </is>
      </c>
      <c r="B120" t="inlineStr">
        <is>
          <t>AI Product Manager - Remote</t>
        </is>
      </c>
      <c r="C120" t="inlineStr">
        <is>
          <t>RemoteHunter</t>
        </is>
      </c>
      <c r="D120" t="inlineStr">
        <is>
          <t>linkedin</t>
        </is>
      </c>
      <c r="E120" t="inlineStr"/>
      <c r="F120" t="inlineStr"/>
      <c r="G120" t="inlineStr"/>
      <c r="H120" t="inlineStr"/>
      <c r="I120"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1">
      <c r="A121" t="inlineStr">
        <is>
          <t>li-4373506360</t>
        </is>
      </c>
      <c r="B121" t="inlineStr">
        <is>
          <t>Senior Product Manager - Loyalty</t>
        </is>
      </c>
      <c r="C121" t="inlineStr">
        <is>
          <t>Olo</t>
        </is>
      </c>
      <c r="D121" t="inlineStr">
        <is>
          <t>linkedin</t>
        </is>
      </c>
      <c r="E121" t="inlineStr"/>
      <c r="F121" t="inlineStr"/>
      <c r="G121" t="inlineStr"/>
      <c r="H121" t="inlineStr"/>
      <c r="I121" t="inlineStr">
        <is>
          <t>Olo is a leading SaaS platform accelerating digital transformation in the restaurant industry by helping customers deliver more personalized and profitable guest experiences. As a result, our digital ordering, payment, and guest engagement solutions and data enable brands to do more with less and make every guest feel like a regular.
 As a Senior Product Manager, you are on a mission to identify and solve our customers’ most perplexing challenges. You develop the vision and strategy for your product while achieving and maintaining alignment with executive stakeholders and your team. You lead your team on the prioritization, discovery, development, and launch of solutions that support progress on your strategy and toward your vision. Your relentless focus on measuring impact ensures we continue to deliver value to our customers while strengthening our position as the best\-in\-breed provider in our space.
 You can work remotely from anywhere in the U.S. or at Olo’s headquarters in NYC.
**What You'll Do**
* Proactively seeks opportunities to improve business processes, product development methodologies, and team workflows without explicit direction, demonstrating initiative and a commitment to continuous improvement
* Independently develop and refresh the long\-term vision and strategy for your product, ensuring alignment with leadership on strategic objectives
* Lead the integration of acquired Loyalty solution throughout Olo’s broader product suite while building new market\-leading features
* Identify and present opportunities to invest in and monetize solutions for customer problems, developing coherent business cases to gain cross\-functional executive alignment
* Known expert on multiple products, customers, user personas, and their respective pain points
* Frequently leverage data analytics and insights to inform decision\-making processes and drive product improvements and optimizations
* Develop and foster direct, ongoing relationships with customers to establish unencumbered access to customer insights
* Proactively balance technical and customer\-centric priorities to enhance product reliability and long\-term sustainability
* Ensure economic viability by managing budget, securing executive approval for major cost increases, and owning pricing and packaging initiatives for the product line
* Identify opportunities to leverage AI throughout the product development life cycle and build solutions throughout the product suite where applicable
* Lead the development and execution of feature launch plans in collaboration with Product Marketing to drive adoption and achieve KPI
* Future opportunity to manage, mentor, and support the career growth of Product Managers or Associate Product Managers
* Provide frequent stakeholder updates on product development progress, ensuring regular feedback is sought and addressed to drive continuous improvement
**What We'll Expect From You**
* Bachelor’s Degree or higher from an accredited institution anywhere, or equivalent practical experience
* 5\+ years of experience in a software Product Management role
* Experienced track record of consistently delivering on your team's quarterly product objectives
* Experience with POS integrations, restaurant loyalty programs, and/or hospitality industry vertical is a huge plus
* Able to collaborate with and influence senior executives, effectively communicating product vision and strategy, and driving alignment on high\-impact initiatives
* Able to present complex ideas clearly and persuasively, navigate organizational dynamics, and build strong relationships at all levels of the organization
* Able to leverage a toolkit of proven strategies and techniques to tackle complex challenges, initiate feature initiatives, and drive accelerated progress
* Lead changes as new information arises, making sound tradeoff decisions to support customer and business needs
**About Olo**
 Olo is a leading restaurant technology provider with ordering, payment, and guest engagement solutions that help brands increase orders, streamline operations, and improve the guest experience. Each day, Olo processes millions of orders on its open SaaS platform, gathering the right data from each touchpoint into a single source—so restaurants can better understand and better serve every guest on every channel, every time. Over 800 restaurant brands trust Olo and its network of more than 400 integration partners to innovate on behalf of the restaurant community, accelerating technology’s positive impact and creating a world where every restaurant guest feels like a regular. Learn more at olo.com.
 We’re remote\-friendly. Since 2015, we have been evolving our culture to continue to support a more distributed workforce and now over 75% of our team works remotely across the U.S. If you're in the New York City area, you can choose to work remotely or from Olo's headquarters.
 We offer great benefits, such as 20 days of paid time off, 10 sick days, 11 holidays, plus year\-end closure, health, dental, and vision coverage for yourself and your family, a 401k match, remote\-office stipend, a generous parental leave plan, volunteer time off, gift matching policy, and more!
 Our best estimate of the compensation range for this opportunity is $136,000\-$195,000 annually, depending on your experience and location. We look forward to discussing your salary expectations and our full total rewards offerings throughout the interview process.
**We encourage you to apply!**
 At Olo, we believe bringing together people with varied experiences and viewpoints leads to better results. Don't check every box in the job description? Research shows many qualified candidates hold back from applying unless they meet all listed requirements. We're committed to creating a genuine workplace where everyone can contribute their best work—this improves our decision\-making and helps us better serve our communities. So if you're enthusiastic about this role but your background doesn't align perfectly with every qualification, we encourage you to apply anyway. You might be exactly the right fit for this or other positions.
 All applicants receive consideration for employment. We do not discriminate on the basis of race, religion, color, national origin, gender identity, sexual orientation, pregnancy, age, marital status, veteran status, or disability status.
 California Residents: CCPA 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li-4373511024</t>
        </is>
      </c>
      <c r="B122" t="inlineStr">
        <is>
          <t>Technical Product Manager</t>
        </is>
      </c>
      <c r="C122" t="inlineStr">
        <is>
          <t>Inherent Technologies</t>
        </is>
      </c>
      <c r="D122" t="inlineStr">
        <is>
          <t>linkedin</t>
        </is>
      </c>
      <c r="E122" t="inlineStr"/>
      <c r="F122" t="inlineStr"/>
      <c r="G122" t="inlineStr">
        <is>
          <t>Raritan, NJ</t>
        </is>
      </c>
      <c r="H122" t="inlineStr"/>
      <c r="I122" t="inlineStr">
        <is>
          <t>**Position: Technical Product Manager**
**Location: Raritan NJ\*Day 1 Onsite**
**Duration: 1 Years**
**Mandatory: Health Authority query process**
**Must Have Experience**
**Product Manager for regulatory submission process**
* Must have experience as a Product Manager with experience in Regulatory submission processes
* TransPerfect Global Link Enterprise experience would be a plus (Candidates with experience would have first preference
* Excellent customer facing skills with 10\+ years of experience as product manager in life science and pharmaceuticals
* Must have strong and in\-depth knowledge of Pharma regulatory processes
* Should be hands on with Health Authority Questions and Answers well conversant with health Authority procedure and protocols.
* Well knowledgeable with Agile processes
**Job Description**
* The candidate would be expected to have a good understanding of the Health Authority query process and the submission translation process to help us support new releases of our systems.
* TransPerfect Global Link Enterprise experience would be a plus.</t>
        </is>
      </c>
    </row>
    <row r="123">
      <c r="A123" t="inlineStr">
        <is>
          <t>li-4338530110</t>
        </is>
      </c>
      <c r="B123" t="inlineStr">
        <is>
          <t>Product Manager, Terminal Device Expansion</t>
        </is>
      </c>
      <c r="C123" t="inlineStr">
        <is>
          <t>Stripe</t>
        </is>
      </c>
      <c r="D123" t="inlineStr">
        <is>
          <t>linkedin</t>
        </is>
      </c>
      <c r="E123" t="inlineStr"/>
      <c r="F123" t="inlineStr"/>
      <c r="G123" t="inlineStr">
        <is>
          <t>San Francisco, CA</t>
        </is>
      </c>
      <c r="H123" t="inlineStr"/>
      <c r="I123"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Terminal helps our users extend their online presence to the physical world. The Terminal team’s mission is to make it as easy for businesses to accept in\-person payments as the Stripe API has done for online payments. With Terminal, businesses can unlock in\-person payments use cases that are right for their business model—whether it’s creating a superb retail experience, extending their website to a pop\-up store, or enabling a mobile point\-of\-sale at their next event.
 We’re looking for an experienced product manager to lead and shape the future of the software platform that powers Stripe Terminal’s devices portfolio. Working closely with your engineering partners you will design, build and launch device software capabilities that delight users and differentiate Stripe’s solutions in the market. Working closely with our hardware experts you will build the multi\-year strategy for how Stripe will continue to enhance the scalability, reliability, usability, and market differentiation of the software capabilities of our in\-person commerce devices.
 In this role, you will work with a spectrum of users, from our largest platforms to small start ups as well as external technology partners to deeply understand user needs and market trends. You will obsess over stability, scalability, and expanding our product while delivering the best in person experiences in the world.
**What You'll Do**
 Set a motivating multi\-year vision for device software in partnership with the Hardware team and then break it down into measurable, meaningful milestones for the Terminal OS Platform Team and the Firmware team. This includes creating buy\-in, crafting roadmaps and OKRs, and navigating trade\-offs.
* Partner with software and hardware engineers to deeply understand the technology that our devices rely on and how to build on that technology to support exponential growth and a world\-class user experience. These experiences will include (but are not limited to) device boot up, device software updates (including AOSP, firmware and applications), device security, software and device performance, connectivity and devices accessories.
* Partner with cross\-functional partners to research, document, and deeply understand what Terminal customers need to enable an excellent in person payments experience.
* Build empathy with our end users and the differentiation they aim to deliver for their merchants.
* Deeply research and understand the competitive landscape and translate that understanding into differentiating features for your product suite.
* Collaborate with the Partnerships team to develop a compelling roadmap for how we can extend Terminal growth via third\-party hardware partnerships and clearly communicate the business value of these partnerships in the context of our wider Terminal Hardware roadmap to gain alignment across Terminal and Stripe leadership.
* Use metrics to inform your point of view and leverage analytics to measure success.
* Define product requirements, provide clear guidance on prioritization, and support decisions related to development sequencing. You will also participate in sprint planning rituals to deliver against those requirements and the overall roadmap.
* Leverage your technical knowledge and experience to help your team make technical trade off decisions.
**We’re Looking For Someone Who Has**
* 8\+ years of product management experience or equivalent
* Demonstrated success and strong execution track record in building and sustaining scalable technology products.
* Great interpersonal skills and strong verbal and written communication. You can collaborate and thrive in productive, healthy debate done with mutual respect and shared goals. You can make complex concepts accessible with clear communication
* Proven track record of successful stakeholder management including executive communications, handling escalations, and advocating for ongoing investment in your product.
* Experience working on products with developer interfaces (App deployment, APIs, SDKs); hardware or hardware\-related product experience a plus.
* Technically adept systems thinker, ideally with a Computer Science or equivalent degree or experience working as a software engineer
* Open to travel to Asia, including traveling at times to our Hong Kong or Taiwan locations.
 Experience in 1 \- 2 of the following areas are nice to have:
* Mobile device management
* Android operating system internals
* Hardware build and lifecycle management
* Payments and/or eCommerce
* Experience successfully building and launching 0\-1 products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24">
      <c r="A124" t="inlineStr">
        <is>
          <t>li-4373504053</t>
        </is>
      </c>
      <c r="B124" t="inlineStr">
        <is>
          <t>Lead Product Manager for Uber's Safety Media Product Team</t>
        </is>
      </c>
      <c r="C124" t="inlineStr">
        <is>
          <t>Uber</t>
        </is>
      </c>
      <c r="D124" t="inlineStr">
        <is>
          <t>linkedin</t>
        </is>
      </c>
      <c r="E124" t="inlineStr"/>
      <c r="F124" t="inlineStr"/>
      <c r="G124" t="inlineStr">
        <is>
          <t>San Francisco, CA</t>
        </is>
      </c>
      <c r="H124" t="inlineStr"/>
      <c r="I124"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5">
      <c r="A125" t="inlineStr">
        <is>
          <t>li-4301977868</t>
        </is>
      </c>
      <c r="B125" t="inlineStr">
        <is>
          <t>Associate Product Manager, Dictionary Media Group</t>
        </is>
      </c>
      <c r="C125" t="inlineStr">
        <is>
          <t>IXL Learning</t>
        </is>
      </c>
      <c r="D125" t="inlineStr">
        <is>
          <t>linkedin</t>
        </is>
      </c>
      <c r="E125" t="inlineStr"/>
      <c r="F125" t="inlineStr"/>
      <c r="G125" t="inlineStr">
        <is>
          <t>San Mateo, CA</t>
        </is>
      </c>
      <c r="H125" t="inlineStr"/>
      <c r="I125" t="inlineStr">
        <is>
          <t>IXL Learning, developer of personalized learning products used by millions of people globally, is seeking an Associate Product Manager for our Dictionary Media Group products. The Dictionary Media Group encompasses IXL Learning’s reference and ad\-supported products, including Dictionary.com, Thesaurus.com, ABCya, SpanishDictionary.com, inglés.com, and Vocabulary.com. The ideal candidate has some product experience, and is looking for opportunities to deepen their knowledge while meaningfully contributing to the Dictionary Media Group Product team.
 This is a full\-time position in our San Mateo, CA headquarters office. The work schedule for this role is Monday\-Friday in the office with the option to work from home one day per week.
**What You'll Be Doing**
* Work in tandem with product leaders, UI designers, and engineers to refine product designs, identify solutions, and solidify implementation approaches
* Write and communicate product requirements, conduct reviews of products
* Partner with your engineering team to clear unexpected roadblocks through implementation
* Gain domain knowledge in the educational technology, digital advertising, and online publishing spaces broadly, and IXL Learning’s product offerings specifically, with special focus on how we can provide a more delightful user experience across several large products
* Develop and strengthen your sense of our users’ learning goals, to better understand and channel user needs during all phases of product development
* Coordinate with teams and leads across functions to share information, seek input, and provide clarity on product and project status
* Juggle multiple, often competing priorities and projects
**What We're Looking For**
* BA/BS degree in a STEM or related field
* At least 2 years of product management, adtech, publishing, or other relevant experience
* Strong analytical skills, evidenced by expertise in and experience with statistical analysis, A/B testing, SQL, and/or Looker
* Growth mindset; you’re excited by challenges and you lead with a can\-do attitude
* Excellent verbal and written communication skills
* Familiarity with UX principles; you’re obsessed with the user journey and care about providing a top\-tier experience
* Prior experience in EdTech is a bonus
* Proficiency in Spanish and/or French is a bonus
*The base salary range for this full\-time position is $105,000 \- $140,000 \+ benefits. Our pay ranges are determined by role, level, and location. The range displayed on each job posting reflects the minimum and maximum target for new hire pay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126">
      <c r="A126" t="inlineStr">
        <is>
          <t>li-4317533463</t>
        </is>
      </c>
      <c r="B126" t="inlineStr">
        <is>
          <t>AI Product Manager - Remote</t>
        </is>
      </c>
      <c r="C126" t="inlineStr">
        <is>
          <t>First American</t>
        </is>
      </c>
      <c r="D126" t="inlineStr">
        <is>
          <t>linkedin</t>
        </is>
      </c>
      <c r="E126" t="inlineStr"/>
      <c r="F126" t="inlineStr"/>
      <c r="G126" t="inlineStr">
        <is>
          <t>Santa Rosa, CA</t>
        </is>
      </c>
      <c r="H126" t="inlineStr"/>
      <c r="I126"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Ready to shape the future of AI at scale? We’re looking for a visionary AI Product Manager to define and drive our enterprise\-wide AI strategy at First American Home Warranty. This high\-impact leadership role will set the direction for how we adopt and govern AI across technologies, platforms, and business functions.
 You’ll lead initiatives spanning large language models (LLMs), retrieval\-augmented generation (RAG), predictive analytics, and intelligent automation, ensuring solutions deliver measurable business value while meeting regulatory standards. If you’re passionate about driving innovation and building a culture of responsible AI, this is your opportunity.
**What You’ll Do**
* Define and execute the enterprise AI roadmap, aligning with business strategy and compliance.
* Evaluate and prioritize AI use cases across operations, IT, risk, and legal.
* Serve as the strategic and technical lead for AI platforms like Microsoft CoPilot, Appian, ChatGPT, Fabric, MLflow, and more.
* Design and implement AI governance frameworks for testing, validation, and deployment.
* Oversee development and deployment of AI solutions using Python, MLflow, and cloud\-based ML services.
* Manage and mentor AI talent, starting with a senior data scientist, while building organizational AI literacy.
* Champion responsible AI adoption, leading education and enablement programs for business users.
* Track emerging AI technologies and recommend adoption strategies.
**What We’re Looking For**
* Bachelor’s in Computer Science, Data Science, or related field; advanced degree preferred.
* 10\+ years in product management, with 3–5 years focused on AI/ML platforms.
* Proven experience managing AI/ML model lifecycle and governance in regulated environments.
* Expertise in LLMs, RAG systems, predictive analytics, and AI agents.
* Fluency with Python, SQL, MLflow, and enterprise ecosystems like Azure, CoPilot, Appian.
* Exceptional leadership, stakeholder management, and communication skills.
* Strategic thinker who balances innovation with compliance.
**Why You’ll Love It Here**
* Lead the enterprise AI strategy at a nationally respected company.
* Shape how AI transforms customer experience and business operations.
* Work with cutting\-edge platforms: LLMs, CoPilot, Fabric, MLflow.
* Build and champion a culture of responsible AI innovation.
* Join a collaborative, forward\-thinking team that values autonomy and continuous learning.
**Benefits**
* Competitive salary and performance\-based bonuses.
* Comprehensive health, dental, and vision coverage.
* 401(k) with company match.
* Flexible work arrangements, including remote options.
* Generous PTO and professional development opportunities.
**Ready to lead the future of AI? Apply now and make your mark.**
 Pay Range: $148,600\.00 \- $198,200\.00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27">
      <c r="A127" t="inlineStr">
        <is>
          <t>li-4312913971</t>
        </is>
      </c>
      <c r="B127" t="inlineStr">
        <is>
          <t>Product Manager II - Base App</t>
        </is>
      </c>
      <c r="C127" t="inlineStr">
        <is>
          <t>Coinbase</t>
        </is>
      </c>
      <c r="D127" t="inlineStr">
        <is>
          <t>linkedin</t>
        </is>
      </c>
      <c r="E127" t="inlineStr"/>
      <c r="F127" t="inlineStr"/>
      <c r="G127" t="inlineStr">
        <is>
          <t>San Francisco, CA</t>
        </is>
      </c>
      <c r="H127" t="inlineStr"/>
      <c r="I127"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to make it truly work, we need to make the onchain experience as intuitive, rewarding, and social as the apps people use every day.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We're looking for a strong Product Manager to lead the strategy and execution of the Base App's creator tools. In this role, you'll shape how people create, earn, and discover onchain, helping creators build markets around their work and users explore the best content, apps, trades, and experiences.
**What you'll be doing (ie. job duties):**
* Work with Engineering, Design, Data Science, and Marketing to discover, build, and launch experiences that bring millions of users onchain and make the Base App part of everyday life.
* Own the quarterly desired outcome, product backlog, and week\-to\-week execution on a focused set of prioritized opportunities
* Comfortable defining metrics, running experiments, and driving measurable engagement and retention outcomes
* Operates with high accountability \- bias toward action, ownership mentality, and strong follow\-through
* Report on progress, surface strategic blockers, and refine strategy with Base Leadership
* Work with creators and ecosystem builders to uncover unmet needs and the most impactful product opportunities for growing shared wins
**What we look for in you (ie. job requirements):**
* 5\+ years of Product Management, shipping consumer\-facing products end\-to\-end with proven cross\-functional experience (e.g., BD, Marketing, Finance, Legal)
* Deep experience in onchain products (wallets, social protocols, creator tools, or trading surfaces) or proven mastery in social consumer apps (feeds, growth loops, ranking, or creator ecosystems)
* An owner mindset with the ability to succeed in a fast\-paced environment
* Understands wallets, transactions, gas, and onchain identity models (or can learn fast)
* Comfortable driving alignment across key stakeholders while keeping velocity high
* Inner drive to go beyond scope, think ahead of the curve, and raise the bar for what an onchain consumer product can be
* You excel in working in fast\-moving environments where culture, product, and markets converge
* Excellent written and verbal communication skills
**Nice to haves:**
* You're deeply curious about the evolving landscape of consumer social, creator tools, and cultural platforms you've kept up with how people create, share, and earn online
* You've contributed to or collaborated with an onchain project, community, or app
* You have experience building or scaling social graphs, feeds, or creator monetization systems
* Experience in both offchain social growth mechanics and crypto product design principles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28">
      <c r="A128" t="inlineStr">
        <is>
          <t>li-4364772600</t>
        </is>
      </c>
      <c r="B128" t="inlineStr">
        <is>
          <t>Senior Product Manager</t>
        </is>
      </c>
      <c r="C128" t="inlineStr">
        <is>
          <t>Upbound Group</t>
        </is>
      </c>
      <c r="D128" t="inlineStr">
        <is>
          <t>linkedin</t>
        </is>
      </c>
      <c r="E128" t="inlineStr"/>
      <c r="F128" t="inlineStr"/>
      <c r="G128" t="inlineStr">
        <is>
          <t>Plano, TX</t>
        </is>
      </c>
      <c r="H128" t="inlineStr"/>
      <c r="I128" t="inlineStr">
        <is>
          <t>**Job Description**
 Conversion
 Upbound Group is an equal opportunity employer. We celebrate diversity and are committed to creating an inclusive environment for all employees.</t>
        </is>
      </c>
    </row>
    <row r="129">
      <c r="A129" t="inlineStr">
        <is>
          <t>li-4365691289</t>
        </is>
      </c>
      <c r="B129" t="inlineStr">
        <is>
          <t>Sr. Product Manager, Digital Production Management, Popeyes</t>
        </is>
      </c>
      <c r="C129" t="inlineStr">
        <is>
          <t>Popeyes Louisiana Kitchen</t>
        </is>
      </c>
      <c r="D129" t="inlineStr">
        <is>
          <t>linkedin</t>
        </is>
      </c>
      <c r="E129" t="inlineStr"/>
      <c r="F129" t="inlineStr"/>
      <c r="G129" t="inlineStr">
        <is>
          <t>Miami, FL</t>
        </is>
      </c>
      <c r="H129" t="inlineStr"/>
      <c r="I129"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As the Senior Product Manager, Digital Production Management , you will be responsible for building a seamless restaurant operating experience that makes it easy to consistently deliver the best product for our guests. Your purview will encompass three pivotal domains: kitchen production management, product fulfillment, and post order communication. Kitchen production management initiatives involve predictive demand forecasting and providing employees with real\-time instructions to ensure a steady supply of fresh chicken. Product fulfillment entails optimizing the tools/interfaces used by team members to streamline and optimize speed of service and order accuracy. Post\-order communication empowers restaurants to keep guests informed of their order status.
 In collaboration with leadership and cross\-functional partners, you will craft a comprehensive strategy for team member experience and develop a roadmap rooted in meticulous qualitative and quantitative analysis. Employing data and UXR principles, you will prioritize initiatives by harmonizing deep customer compassion with tangible business impact. Your role will entail close collaboration with operations, engineering, design, and analytics throughout the entire lifecycle, from ideation to execution, AB testing, and delivery phases. Furthermore, you will champion our approach with stakeholders and transparently communicate our progress and impact every step of the way.
 RBI follows a 5 day, in\-office work schedule to support collaboration. Candidates should be comfortable working onsite 5 days per week out of our office in
 **Miami, FL** 
 .
**Roles \&amp; Responsibilities**
* Define and deliver a comprehensive product, prioritizing features and enhancements based on business objectives, user feedback, and market trends.
* Set KPIs as leading indicators for restaurant operations and team member experience measure progress towards goals
* Communicate the value proposition of new products to all go\-to\-market teams and ensure that support materials and packages are created for the Field teams and our Franchisee partners
* Identify long\-term opportunities based on research, analysis and a strategic view of the direction of the market and Popeyes business
* Collaborate with cross\-functional partners to define success metrics, scope product features and develop strategies that support customer needs
* Promote a culture of data\-driven \+ agile decision making
* Be accountable for the craftsmanship of the experiences developed.
* Communicate updates to senior leadership, stakeholders, and franchisee partners on a regular cadence
**Qualifications \&amp; Skills**
* 5\+ years of Product Management experience within software or technology industries with a proven record of delivering best\-in\-class experiences
* Superior ability to inspire, motivate, and build strong cross\-functional relationships
* Role requires up to 10% national and local travel
* Proven ability to manage multiple projects across and organize cross\-functional partners to deliver results
* Ability to understand and explain technical decisions and our core technologies
* Ability to operate effectively in both tactical and strategic capacities
* Experience working with data engineering preferred
* Educational or professional background in mathematics, statistics, engineering, or business preferred
* Results\-driven with bias for action and commitment to excellence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130">
      <c r="A130" t="inlineStr">
        <is>
          <t>li-4364528702</t>
        </is>
      </c>
      <c r="B130" t="inlineStr">
        <is>
          <t>Associate, Product Manager</t>
        </is>
      </c>
      <c r="C130" t="inlineStr">
        <is>
          <t>Upbound Group</t>
        </is>
      </c>
      <c r="D130" t="inlineStr">
        <is>
          <t>linkedin</t>
        </is>
      </c>
      <c r="E130" t="inlineStr"/>
      <c r="F130" t="inlineStr"/>
      <c r="G130" t="inlineStr">
        <is>
          <t>Plano, TX</t>
        </is>
      </c>
      <c r="H130" t="inlineStr"/>
      <c r="I130" t="inlineStr">
        <is>
          <t>**Job Description**
 N/A \- Contractor Conversion
 Upbound Group is an equal opportunity employer. We celebrate diversity and are committed to creating an inclusive environment for all employees.</t>
        </is>
      </c>
    </row>
    <row r="131">
      <c r="A131" t="inlineStr">
        <is>
          <t>li-4373510034</t>
        </is>
      </c>
      <c r="B131" t="inlineStr">
        <is>
          <t>Product Manager, Agent Development - Healthcare</t>
        </is>
      </c>
      <c r="C131" t="inlineStr">
        <is>
          <t>Sierra Business Solution</t>
        </is>
      </c>
      <c r="D131" t="inlineStr">
        <is>
          <t>linkedin</t>
        </is>
      </c>
      <c r="E131" t="inlineStr"/>
      <c r="F131" t="inlineStr"/>
      <c r="G131" t="inlineStr">
        <is>
          <t>New York, NY</t>
        </is>
      </c>
      <c r="H131" t="inlineStr"/>
      <c r="I131" t="inlineStr">
        <is>
          <t>**About Us**
* At Sierra, we’re creating a platform to help businesses build better, more human customer experiences with AI. We are primarily an in\-person company based in San Francisco, with growing offices in Atlanta, New York, London, France, Singapore, and Japan.
* We are guided by a set of values that are at the core of our actions and define our culture: Trust, Customer Obsession, Craftsmanship, Intensity, and Family. These values are the foundation of our work, and we are committed to upholding them in everything we do.
* Our co\-founders are Bret Taylor and Clay Bavor. Bret currently serves as Board Chair of OpenAI. Previously, he was co\-CEO of Salesforce (which had acquired the company he founded, Quip) and CTO of Facebook. Bret was also one of Google's earliest product managers and co\-creator of Google Maps. Before founding Sierra, Clay spent 18 years at Google, where he most recently led Google Labs. Earlier, he started and led Google’s AR/VR effort, Project Starline, and Google Lens. Before that, Clay led the product and design teams for Google Workspace.
**About The Healthcare Team**
* Healthcare is one of Sierra's fastest\-growing verticals—our agents already reach over 50% of U.S. families. We partner with leading health plans, providers, and healthcare platforms to deliver AI agents that handle some of the most sensitive and high stakes conversations in any industry. From helping members understand their benefits to resolving billing questions with empathy, our agents are transforming how patients and policyholders interact with the healthcare system.
* Our healthcare customers include major health insurance networks, nonprofit providers, multi site primary and urgent care practices, healthcare diagnostics companies, and healthcare financial platforms.
* Join us to transform the patient experience across the healthcare system—and help build products that make care more accessible and human for everyone.
**What You'll Do**
* Build enterprise\-grade AI agents for healthcare: As an Agent PM at Sierra, you will be responsible for partnering directly with our engineers and customers to build and ship AI agents that handle thousands of customer conversations a day. These agents help people understand their coverage, find providers, schedule appointments, navigate billing, and more—all while maintaining strict HIPAA compliance and the trust that healthcare demands.
* Discover where agents will make an impact: Ground\-up discovery is a critical part of the role. Work closely with providers, payers, RCMs and pharmaceutical companies to identify new use cases and opportunities for AI Agents to deliver impact for their business. You should be our customer’s trusted advisor, and be able drive strategic decisions for our customers.
* Engage with customers: In the role, you will engage with all levels of our customers’ businesses:
+ Discover and assess their requirements.
+ Prepare and present demonstrations of Sierra’s agent.
+ Address and overcome technical challenges in the business process by working with technical counterparts.
+ Develop and improve Sierra virtual agents to fit and anticipate our customers’ needs and business processes.
+ Become trusted advisors and drive strategic technical strategies for our customers.
* Shape the platform and healthcare roadmap: Your direct work with healthcare customers will guide the evolution of Sierra's core platform. You'll surface unmet needs, prototype new tools and features, and collaborate with research, product, and platform to shape the future of AI agent development in healthcare.
**Example projects**
 These are examples of projects our healthcare team has worked on:
* Develop net new agentic healthcare products that can cut costs and drive revenue in the healthcare ecosystem.
* Build AI agents for major health insurance networks that handle detailed questions like "what's my co\-pay for a primary care visit?" and "how many physical therapy sessions do I have left?"
* Develop voice and chat agents for nonprofit healthcare providers that help members find in\-network specialists, check availability, and locate providers based on specialty or location
* Create AI agents for multi\-site primary and urgent care providers that manage appointments and answer common questions across 30\+ clinics
* Build agents that replace lengthy paper intake forms with conversational experiences, boosting pre\-visit intake conversion rates
* Develop AI agents for healthcare financial platforms that help patients understand billing, payment status, explanations of benefits, and financial assistance eligibility.
* Experiment with the latest voice models and integrate them at scale for healthcare enterprises requiring secure, compliant phone interactions
**What You'll Bring**
* 5\-7\+ years experience in product development of highly technical products.
* Past experience in Product Management or other similar product development roles at or above the level of Senior Product Manager.
* Experience crafting and tailoring a message for potential customers, including executives.
* Ability to communicate highly technical concepts to both non\-technical and technically proficient audiences, including recent AI developments.
* Degree in a technical or related field, or equivalent professional experience.
* Genuine interest in healthcare and improving patient/member experiences
**Even better...**
* Experience in healthcare technology, health IT or working with healthcare organizations
* Understanding of healthcare compliance requirements (HIPAA, PHI handling and healthcare data privacy)
* AI\-related experience (experience with product development for AI agents a plus).
* Some coding experience with React, Typescript, and Go.
* MBA or equivalent professional experience (while this is a product management role, you will have the opportunity to lean into broader business roles).
* Past roles that interface with end customers to influence software development.
**Our values**
* Trust: We build trust with our customers with our accountability, empathy, quality, and responsiveness. We build trust in AI by making it more accessible, safe, and useful. We build trust with each other by showing up for each other professionally and personally, creating an environment that enables all of us to do our best work.
* Customer Obsession: We deeply understand our customers’ business goals and relentlessly focus on driving outcomes, not just technical milestones. Everyone at the company knows and spends time with our customers. When our customer is having an issue, we drop everything and fix it.
* Craftsmanship: We get the details right, from the words on the page to the system architecture. We have good taste. When we notice something isn’t right, we take the time to fix it. We are proud of the products we produce. We continuously self\-reflect to continuously self\-improve.
* Intensity: We know we don’t have the luxury of patience. We play to win. We care about our product being the best, and when it isn’t, we fix it. When we fail, we talk about it openly and without blame so we succeed the next time.
* Family: We know that balance and intensity are compatible, and we model it in our actions and processes. We are the best technology company for parents. We support and respect each other and celebrate each other’s personal and professional achievements.
**What We Offer**
 We want our benefits to reflect our values and offer the following to full\-time employees:
* Flexible (Unlimited) Paid Time Off
* Medical, Dental, and Vision benefits for you and your family
* Life Insurance and Disability Benefits
* Retirement Plan (e.g., 401K, pension) with Sierra match
* Parental Leave
* Fertility and family building benefits through Carrot
* Lunch, as well as delicious snacks and coffee to keep you energized
* Discretionary Benefit Stipend giving people the ability to spend where it matters most
* Free alphorn lessons
 These benefits are further detailed in Sierra's policies and are subject to change at any time, consistent with the terms of any applicable compensation or benefits plans. Eligible full\-time employees can participate in Sierra's equity plans subject to the terms of the applicable plans and policies.
**Be you, with us**
 We're working to bring the transformative power of AI to every organization in the world. To do so, it is important to us that the diversity of our employees represents the diversity of our customers. We believe that our work and culture are better when we encourage, support, and respect different skills and experiences represented within our team. We encourage you to apply even if your experience doesn't precisely match the job description. We strive to evaluate all applicants consistently without regard to race, color, religion, gender, national origin, age, disability, veteran status, pregnancy, gender expression or identity, sexual orientation, citizenship, or any other legally protected class.</t>
        </is>
      </c>
    </row>
    <row r="132">
      <c r="A132" t="inlineStr">
        <is>
          <t>li-4364538666</t>
        </is>
      </c>
      <c r="B132" t="inlineStr">
        <is>
          <t>Product Owner</t>
        </is>
      </c>
      <c r="C132" t="inlineStr">
        <is>
          <t>Upbound Group</t>
        </is>
      </c>
      <c r="D132" t="inlineStr">
        <is>
          <t>linkedin</t>
        </is>
      </c>
      <c r="E132" t="inlineStr"/>
      <c r="F132" t="inlineStr"/>
      <c r="G132" t="inlineStr">
        <is>
          <t>Plano, TX</t>
        </is>
      </c>
      <c r="H132" t="inlineStr"/>
      <c r="I132" t="inlineStr">
        <is>
          <t>**Job Description**
 Contractor Conversion
 Upbound Group is an equal opportunity employer. We celebrate diversity and are committed to creating an inclusive environment for all employees.</t>
        </is>
      </c>
    </row>
    <row r="133">
      <c r="A133" t="inlineStr">
        <is>
          <t>li-4372327720</t>
        </is>
      </c>
      <c r="B133" t="inlineStr">
        <is>
          <t>Product Manager - AI &amp; Data Analytics</t>
        </is>
      </c>
      <c r="C133" t="inlineStr">
        <is>
          <t>RemoteHunter</t>
        </is>
      </c>
      <c r="D133" t="inlineStr">
        <is>
          <t>linkedin</t>
        </is>
      </c>
      <c r="E133" t="inlineStr"/>
      <c r="F133" t="inlineStr"/>
      <c r="G133" t="inlineStr"/>
      <c r="H133" t="inlineStr"/>
      <c r="I133" t="inlineStr">
        <is>
          <t>About the Opportunity:
 This organization is seeking a Product Manager focused on AI and Data Analytics. The role supports product management efforts to develop and enhance AI\-driven data analytics solutions in a fully remote capacity within the US.
 Responsibilities:
 • Manage product lifecycle for AI and data analytics offerings
 • Collaborate with cross\-functional teams to define product requirements
 • Analyze market trends and customer needs to guide product strategy
 • Oversee roadmap planning and prioritization
 • Drive product launches and ensure alignment with business goals
 • Monitor product performance and iterate based on feedback
 Requirements:
 • Experience in product management with AI and data analytics focus
 • Strong understanding of data\-driven product development
 • Ability to work effectively in remote, cross\-functional teams
 • Excellent communication and stakeholder management skills
 • Authorization to work lawfully in the United States
 • Does not require employment visa sponsorship now or in the future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4">
      <c r="A134" t="inlineStr">
        <is>
          <t>li-4338460711</t>
        </is>
      </c>
      <c r="B134" t="inlineStr">
        <is>
          <t>Principal Product Manager, AI Frameworks</t>
        </is>
      </c>
      <c r="C134" t="inlineStr">
        <is>
          <t>NVIDIA</t>
        </is>
      </c>
      <c r="D134" t="inlineStr">
        <is>
          <t>linkedin</t>
        </is>
      </c>
      <c r="E134" t="inlineStr"/>
      <c r="F134" t="inlineStr"/>
      <c r="G134" t="inlineStr">
        <is>
          <t>Santa Clara, CA</t>
        </is>
      </c>
      <c r="H134" t="inlineStr"/>
      <c r="I134" t="inlineStr">
        <is>
          <t>At Nvidia we meet customers where they are on their AI journey on our GPUs \- this means we build best in class frameworks in OSS and support a robust eco system of other OSS frameworks. and As a Product Manager for AI Platform training you will be responsible for building the tools, SDKs, and libraries which enable model builders to get the best large scale performance, resilience and experience on NVIDIA GPUs.
 As NVIDIA Product Managers, our goal is to enable researchers and operators to be successful on the NVIDIA Platform, and push the boundaries of what is possible in their research and research\-to\-production! As Product Managers, we are the champions inside NVIDIA for frontier model builders looking to push the bounds of scale and resilience for current and emerging modeling paradigms on GPUs. We work directly with customers inside and outside of the company to identify key improvements, create roadmaps, and stay alert on the training/post training landscape. We also work with NVIDIA leaders to define clear product strategy, and marketing team teams to build go\-to\-market plans. The Product Management organization at NVIDIA is a small, strong, and impactful group. We focus on enabling deep learning across all GPU use cases and providing great products for our users. We are seeking a rare blend of product skills, technical depth, and passion to make NVIDIA great. Does that sounds familiar? If so, we would love to hear from you!
**What You'll Be Doing**
* Create products to help researchers and production model builders
* Develop product strategy, roadmaps, and go\-to\-market plans
* Collaborate with internal and external customers to build product\-based roadmaps for training/post training software
* Work with leadership to align with and drive company strategy
**What We Need To See**
* Experience with training/post training and optimization software (ex. PyTorch distributed, torchtitan, VeRL, Nemo Framework, etc.)
* Demonstrable knowledge of GenAI or machine learning concepts, particularly around model training, performance optimization, and software development and delivery
* Experience with large scale distributed systems
* BS or MS degree in Computer Science, Computer Engineering, or similar experience (or equivalent experience)
* 15\+ years of technical product management, or similar, experience at a technology company
* Strong communication and interpersonal skills
**Ways To Stand Out From The Crowd**
* Experience leading GenAI/RecSys research to production at scale
* Working on Open Source \&amp; Github\-first developer products with deep customer interactions
* Knowledge of GPU architecture, HW/SW co\-design, and performance profiling
 Your base salary will be determined based on your location, experience, and the pay of employees in similar positions. The base salary range is 240,000 USD \- 379,500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JR2008001</t>
        </is>
      </c>
    </row>
    <row r="135">
      <c r="A135" t="inlineStr">
        <is>
          <t>li-4340768252</t>
        </is>
      </c>
      <c r="B135" t="inlineStr">
        <is>
          <t>Senior Product Manager</t>
        </is>
      </c>
      <c r="C135" t="inlineStr">
        <is>
          <t>First American</t>
        </is>
      </c>
      <c r="D135" t="inlineStr">
        <is>
          <t>linkedin</t>
        </is>
      </c>
      <c r="E135" t="inlineStr"/>
      <c r="F135" t="inlineStr"/>
      <c r="G135" t="inlineStr">
        <is>
          <t>Santa Ana, CA</t>
        </is>
      </c>
      <c r="H135" t="inlineStr"/>
      <c r="I135" t="inlineStr">
        <is>
          <t>**Who We Are**
 Join a team that puts its People First! First American Docutech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We are looking for an energetic, self\-motivated Senior Product Manager who is excited to work through ambiguity and deliver exceptional user experiences \&amp; lasting value to our customers.
 The Senior Product Manager will play a key role in helping us continue our innovative approach to building and delivering advanced solutions to our customers and partners. You will collaborate closely with engineering teams, business stakeholders, and user experience design teams to develop modern solutions for our core business. This person will define and communicate strategy as well as day\-to\-day decisions regarding product development and product releases.
**What You’ll Do:**
* Define product strategy with clear, supportable objectives and long\-term vision for your area of ownership.
* Collaborate with cross\-functional leaders to ensure product delivery and quality goals are achieved \&amp; maintained.
* Craft KPIs, develop a product roadmap, and write user stories / requirements for your areas of ownership.
* Engage with internal stakeholders to gather feedback, glean insights, and understand pain points to enhance product offerings.
* Actively contribute to cultivating a customer\-obsessed, product\-led design culture.
* Support a comprehensive testing strategy, validating solutions through quality assurance and user acceptance testing.
* Develop metrics to assess the success of new features and determine necessary enhancements.
**What You'll Bring:**
* 5 \+ years of software/technology Product Management. Equivalent experience in strategic marketing, business management, or other related technology functions is acceptable.
* Successful track record in software/technology product management and delivering features in an iterative and fast\-paced environment.
* Superior interpersonal and communication skills that bridge the gap between business and engineering teams.
* Ability to use data to gain product insights, validate risk, and demonstrate those risks and insights in a meaningful way.
* Excellent knowledge of standard software development methodologies.
* Experience launching products or features end\-to\-end.
* Comfort in embracing ambiguity and getting things done, even when “building the plane while flying it”.
 Pay Range: $129,300\.00 \- $172,300\.00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36">
      <c r="A136" t="inlineStr">
        <is>
          <t>li-4364753614</t>
        </is>
      </c>
      <c r="B136" t="inlineStr">
        <is>
          <t>Staff Product Manager, AI Runtime Data</t>
        </is>
      </c>
      <c r="C136" t="inlineStr">
        <is>
          <t>Unity South APAC (SEA, ANZ, IND Subcont.)</t>
        </is>
      </c>
      <c r="D136" t="inlineStr">
        <is>
          <t>linkedin</t>
        </is>
      </c>
      <c r="E136" t="inlineStr"/>
      <c r="F136" t="inlineStr"/>
      <c r="G136" t="inlineStr">
        <is>
          <t>San Francisco, CA</t>
        </is>
      </c>
      <c r="H136" t="inlineStr"/>
      <c r="I136"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salary$179,500—$269,300 USD</t>
        </is>
      </c>
    </row>
    <row r="137">
      <c r="A137" t="inlineStr">
        <is>
          <t>li-4339454577</t>
        </is>
      </c>
      <c r="B137" t="inlineStr">
        <is>
          <t>Principal Product Manager - Technical</t>
        </is>
      </c>
      <c r="C137" t="inlineStr">
        <is>
          <t>IDC</t>
        </is>
      </c>
      <c r="D137" t="inlineStr">
        <is>
          <t>linkedin</t>
        </is>
      </c>
      <c r="E137" t="inlineStr"/>
      <c r="F137" t="inlineStr"/>
      <c r="G137" t="inlineStr"/>
      <c r="H137" t="inlineStr"/>
      <c r="I137" t="inlineStr">
        <is>
          <t>**About The Role \&amp; Team**
 IDC is building the next generation of intelligent, AI\-powered platforms that transform how technology decisions get made. This confidential initiative re\-imagines the way decision\-makers discover and interact with trusted research and data—and will be foundational to IDC’s future.
 We are looking for a remote
 **Principal Product Manager – Technical** 
 (PM\-T) to lead the product strategy, architecture, and execution for a core pillar of this new platform. You will operate as the single\-threaded owner for a critical domain, working across engineering, AI/ML, research, and design to deliver a seamless and scalable product experience.
 This role is a rare opportunity to define the strategy for a zero\-to\-one system—shaping how content is modeled, how user intents are recognized, and how insights flow across the IDC ecosystem. The right candidate will bring deep technical fluency, customer obsession, and a track record of delivering high\-impact platform products in fast\-paced environments.
**What You’ll Do**
* Own the product vision, long\-term strategy, and roadmap for a foundational capability within IDC’s next\-gen discovery platform.
* Define the data models, technical architecture, and platform interfaces that power intelligent, context\-aware product experiences.
* Partner with engineering to design and deliver scalable APIs, system components, and observability layers that enable extensibility and reuse.
* Collaborate with AI/ML teams to integrate capabilities such as semantic search, LLM\-powered assistants, personalization, and classification systems.
* Write PRFAQs and technical narratives that align senior leadership, drive clarity across functions, and accelerate high\-judgment decisions.
* Engage directly with CIOs, analysts, and vendor partners to validate pain points and iterate toward product\-market fit.
* Define success metrics, build telemetry strategies, and use experimentation to drive continuous learning and iteration.
* Serve as the single\-threaded owner for your domain, mentoring others and raising the quality bar across the organization.
**W hat You Bring**
* 7\+ years of product management experience, with 4\+ years in a technical or platform product role.
* Bachelor’s degree in Computer Science, Engineering, or equivalent technical experience.
* Proven track record of shipping 0→2 products or scaling platform capabilities in ambiguous, high\-accountability environments.
* Deep technical fluency—you can meaningfully shape architecture, API design, and system trade\-offs with engineering teams.
* Exceptional written and verbal communication skills; able to influence VP\- and SVP\-level stakeholders.
* Demonstrated ability to lead cross\-functional initiatives that span engineering, data science, design, and research.
* Strong business and customer orientation; experience driving adoption, engagement, and measurable business outcomes.
**Preferred Qualifications**
* Experience building or scaling AI/ML\-powered products, especially involving search, retrieval\-augmented generation (RAG), or entity extraction.
* End\-to\-end digital fulfillment experience and digital product\-like growth systems experience, a plus.
* Familiarity with knowledge graph design, semantic modeling, or enterprise data platforms.
* Background working with structured research, metadata systems, or content syndication at scale.
* Experience with enterprise SaaS, developer platforms, or B2B intelligence solutions.
* Ability to operate autonomously, manage ambiguity, and influence outcomes in a matrixed organization.
**Why This Role Stands Out**
 At IDC,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
 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
**What We Offer**
* 15 vacation days (prorated based on start date)
* 12 company\-paid holidays
* 6 paid sick days (prorated based on start date; may vary by state)
* Medical, dental, and vision coverage
* 2 floating holidays (prorated based on start date)
* 1 volunteer day
* 401(k) company match (IDC matches 3% on the first 6% of employee contributions)
* Company\-paid short\-term disability
* Company\-paid parental leave
**Compensation Transparency**
 At IDC, we are committed to fair and equitable pay practices. Employees are compensated equitably for their work, aligned with their skills and experience. Salary and incentive structures are determined through a rigorous process that considers experience, education, certifications, role\-specific requirements, internal equity, and verified U.S. market data from an independent third\-party partner.
**The expected total annual compensation, depending on location and experience, is between $190,000–$220,000, inclusive of base salary and variable compensation.**
**Equal Opportunity Employer**
 IDC is committed to providing equal employment opportunities for all qualified persons . Employment eligibility verification required. We participate in E\-Verify.</t>
        </is>
      </c>
    </row>
    <row r="138">
      <c r="A138" t="inlineStr">
        <is>
          <t>li-4372342106</t>
        </is>
      </c>
      <c r="B138" t="inlineStr">
        <is>
          <t>Senior Product Manager (Career Sites)</t>
        </is>
      </c>
      <c r="C138" t="inlineStr">
        <is>
          <t>RemoteHunter</t>
        </is>
      </c>
      <c r="D138" t="inlineStr">
        <is>
          <t>linkedin</t>
        </is>
      </c>
      <c r="E138" t="inlineStr"/>
      <c r="F138" t="inlineStr"/>
      <c r="G138" t="inlineStr"/>
      <c r="H138" t="inlineStr"/>
      <c r="I138" t="inlineStr">
        <is>
          <t>About the Opportunity:
 The organization delivers an AI\-powered hiring platform that automates and optimizes the talent acquisition process for global enterprises. The Senior Product Manager (Career Sites) will focus on developing a world\-class career site offering that serves as the primary entry point for candidates and extends customers’ employer brand.
 Responsibilities:
 • Own specific problem areas and initiatives within the career sites product area
 • Contribute to a shared roadmap and product vision with other Product Managers
 • Lead discovery efforts to understand candidate, customer, and market needs
 • Translate insights into clear requirements, priorities, and delivery plans
 • Partner with engineering and design to deliver high\-performing, enterprise\-ready career site features
 • Balance usability, performance, accessibility, SEO, localization, and compliance requirements
 • Collaborate with platform, AI, integrations, and related teams to ensure cohesive experiences
 • Define and track success metrics such as conversion, engagement, adoption, and performance
 Requirements:
 • 5\+ years of Product Management experience in B2B SaaS or enterprise software
 • Experience owning customer\-facing web or platform capabilities within a larger ecosystem
 • Strong product discovery skills and ability to work in shared ownership models
 • Ability to balance design quality with enterprise\-scale constraints
 • Technical fluency and strong collaboration skills with engineering teams
 • Clear, confident communication with cross\-functional stakeholders
 • Experience with global, high\-traffic products involving localization, accessibility, or compliance is a plus
 Benefits \&amp; Perks:
 • Remote work opportunity within the United States
 • Competitive compensation and benefits
 • Career growth opportunities in a collaborative, multi\-PM environment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9">
      <c r="A139" t="inlineStr">
        <is>
          <t>li-4372322742</t>
        </is>
      </c>
      <c r="B139" t="inlineStr">
        <is>
          <t>Urgent Need: Technical Product Owner - Remote</t>
        </is>
      </c>
      <c r="C139" t="inlineStr">
        <is>
          <t>Jobs via Dice</t>
        </is>
      </c>
      <c r="D139" t="inlineStr">
        <is>
          <t>linkedin</t>
        </is>
      </c>
      <c r="E139" t="inlineStr"/>
      <c r="F139" t="inlineStr"/>
      <c r="G139" t="inlineStr"/>
      <c r="H139" t="inlineStr"/>
      <c r="I139" t="inlineStr">
        <is>
          <t>Dice is the leading career destination for tech experts at every stage of their careers. Our client, Drevol LLC, is seeking the following. Apply via Dice today!
 Hi,
 Hope you are doing well.
 This is Tahir from Drevol LLC. Please find below the job description for your reference and please let me know if you are interested in this position.
**Job Title: Technical Product Owner**
**Location: Remote**
**Duration: 12 Months**
**Responsibilities:**
 Conduct interviews and requirement workshops with a cross\-disciplined team to elicit an understanding of business needs.
 Collaborate with key stakeholders and the development team to drive a solution that meets the program\-level objectives and vision.
 Document and maintain requirements (features and user stories) via collaboration with the product, business, and development teams.
 Refinement of program backlog and preparation/readiness for Program Increment Planning.
 Prioritize and maintain the team backlog in coordination with the Scrum Master and Delivery Lead.
 Acceptance of user stories completed at the end of each iteration/sprint.
 Complete all responsibilities as outlined in the annual performance review and/or goal setting.
 Complete all special projects and other duties as assigned.
 Must be able to perform duties with or without reasonable accommodation.
**Qualifications:**
 Bachelor’s degree in a related field or significant equivalent work experience.5\+ years of</t>
        </is>
      </c>
    </row>
    <row r="140">
      <c r="A140" t="inlineStr">
        <is>
          <t>li-4324250568</t>
        </is>
      </c>
      <c r="B140" t="inlineStr">
        <is>
          <t>Sr. Product Manager- Collaboration &amp; Negotiation</t>
        </is>
      </c>
      <c r="C140" t="inlineStr">
        <is>
          <t>Docusign</t>
        </is>
      </c>
      <c r="D140" t="inlineStr">
        <is>
          <t>linkedin</t>
        </is>
      </c>
      <c r="E140" t="inlineStr"/>
      <c r="F140" t="inlineStr"/>
      <c r="G140" t="inlineStr">
        <is>
          <t>Seattle, WA</t>
        </is>
      </c>
      <c r="H140" t="inlineStr"/>
      <c r="I140"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As Senior Product Manager on the Collaboration \&amp; Negotiation team, you will shape world\-class presignature experiences across Docusign IAM, including within Agreement Desk, CLM, and AI\-Assisted Review, that help Legal, Procurement, and Finance teams (and their business partners) move agreements forward with speed and confidence.
 You will help define and deliver experiences that blend great UX with automation and the latest AI technology to augment human work and delight our customers. You will ship innovative agreement interaction patterns that enable cross\-functional collaboration, scalable negotiation, and the elimination of tedious work while preserving
 human judgment, auditability, and trust.
 You will support the product lifecycle end\-to\-end, from initial concept through launch, adoption, and ongoing optimization and scaling. You will partner closely with Design and Engineering to deliver end\-to\-end customer outcomes, and work cross\-functionally with go\-to\-market teams to launch and scale adoption.
 This position is an individual contributor role reporting to the Director of Product Management.
**Responsibility**
* Build product plans that drive end\-to\-end use cases that support the goals of Collaboration \&amp; Negotiation and Intelligent Agreement Management
* Define and effectively communicate product goals and requirements, and work cross\-functionally with
* Design and Engineering to implement solutions
* Set priorities and make tradeoffs, balancing short\-term execution with long\-term vision
* Understand the most heavily used tools among our customers and key personas within companies. Be an expert and champion of these users' needs and goals.
* Work directly with customers to identify product opportunities and gaps
* Define key business metrics and goals, and track them
* Translate customer feedback, market and competitive analysis, and usage data into usable, high\-value end\-user experiences
* Partner with business stakeholders to drive adoption, go\-to\-market strategies, and customer success initiatives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8\+ years of related work experience
* Experience shipping highly used products with strong UX and measurable outcomes
* Experience working cross\-functionally with Product Management, Design, Engineering, Operations, Program Management, Marketing, Sales, and Customer Support
* Experience articulatinge problem spaces, product decisions, and underlying rationale
**Preferred**
* Strong decision\-making skills when faced with ambiguous situations without perfect data
* Excellent written and verbal communication and stakeholder management skills
* Strong UX interaction design instincts for working with documents or collaborative tools
* Experience directly engaging with and/or managing contracts throughout their lifecycle, from creation and negotiation to execution and analysis
* Experience with legal, sales, or procurement\-focused software products
* Experience with AI/ML products, agentic systems, or enterprise automation
* MBA, J.D., Computer Science, AI, or related field, or equivalent experience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141">
      <c r="A141" t="inlineStr">
        <is>
          <t>li-4372326704</t>
        </is>
      </c>
      <c r="B141" t="inlineStr">
        <is>
          <t>Integrations Product Manager</t>
        </is>
      </c>
      <c r="C141" t="inlineStr">
        <is>
          <t>RemoteHunter</t>
        </is>
      </c>
      <c r="D141" t="inlineStr">
        <is>
          <t>linkedin</t>
        </is>
      </c>
      <c r="E141" t="inlineStr"/>
      <c r="F141" t="inlineStr"/>
      <c r="G141" t="inlineStr"/>
      <c r="H141" t="inlineStr"/>
      <c r="I141" t="inlineStr">
        <is>
          <t>About the Opportunity:
 The organization focuses on enhancing the contact center experience by combining AI and human intelligence to uncover customer insights, automate processes, and improve team productivity. The Integrations Product Manager will lead the strategy and execution of AI Agent integrations with CCaaS platforms and other core systems, enabling scalable human\-AI collaboration and accelerating integration speed across industries.
 Responsibilities:
 • Prioritize CCaaS platforms for AI Agent integrations based on contractual and market factors
 • Lead engineering teams to design scalable, efficient CCaaS integrations and deliver them on schedule
 • Act as a liaison between engineering and customer business and technical teams for discovery, decision\-making, and education
 • Develop integration strategies leveraging protocols like MCP and iPaaS for diverse external systems
 • Manage business and technical partnerships to accelerate integrations
 • Improve developer experience to enable fast system integrations by Forward Deployed Engineers
 • Collaborate with product and GTM teams to prioritize verticals and tailor integration approaches accordingly
 • Define SDK strategy and core capabilities to support technical users consuming the AI Agent
 Requirements:
 • Technical background or experience in roles such as Software Engineer or Solutions Architect
 • Proven ability to manage complex projects involving multiple technical teams
 • Experience in product management, especially leading technical products from conception to launch
 • Strong verbal and written communication skills with success in customer\-facing technical roles
 • Ability to build and maintain relationships with internal teams, customers, and technology partners
 • Proactive, ownership\-driven mindset comfortable with ambiguity and fast\-paced environments
 Bonus Points:
 • Experience integrating with CCaaS platforms across multiple channels
 • Familiarity with iPaaS solutions supporting MCP
 • Experience building and growing developer ecosystems including APIs and documentation
 • Knowledge of generative AI protocols and standards such as MCP or A2A
 • Understanding of AI Agent function tool development
 • Hands\-on experience in SDK development or management
 • Strong skills in product strategy for platform or integration products
 Benefits \&amp; Perks:
 • Comprehensive benefits package focused on employee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2">
      <c r="A142" t="inlineStr">
        <is>
          <t>li-4373504481</t>
        </is>
      </c>
      <c r="B142" t="inlineStr">
        <is>
          <t>Sr. Product Manager: Disruption - Core &amp; Commerce (100% Remote - USA)</t>
        </is>
      </c>
      <c r="C142" t="inlineStr">
        <is>
          <t>The Grace Hopper Program at Fullstack Academy</t>
        </is>
      </c>
      <c r="D142" t="inlineStr">
        <is>
          <t>linkedin</t>
        </is>
      </c>
      <c r="E142" t="inlineStr"/>
      <c r="F142" t="inlineStr"/>
      <c r="G142" t="inlineStr">
        <is>
          <t>New York, NY</t>
        </is>
      </c>
      <c r="H142" t="inlineStr"/>
      <c r="I142" t="inlineStr">
        <is>
          <t>**About The Job**
 As Senior Product Manager on the Disruption Core \&amp; Commerce team, you will work at the intersection of the business, software development, data science, and user experience to create innovative solutions and intuitive user experiences to reduce the stress of traveling. You will have a competitive understanding of the travel landscape to facilitate the creation of successful new features.
 On any given day \- whether you’re weighing the tradeoffs of offering new features, scoping and specifying solutions with partners, or shepherding features through development \- your contribution will be critical to Hopper’s current and future success.
 Leveraging data science to solve customers’ problems is in Hopper’s DNA. While this began with helping customers save money by booking at the best time, we’ve also built a suite of novel Fintech products which help customers save money, retain optionality to cancel or change their trips as needed, and help them seamlessly rebook when they run into problems during their travel.
 This position is on the Disruption team, focused on solving that last problem. Hopper offers a product called Disruption Assistance for Any Reason that helps customers navigate flight delays and cancellations, and ultimately get where they want to go. If a customer experiences a disruption, they can rebook themselves on any airline – for free – or get a 100% refund of their trip cost.
 The Disruption team is expanding rapidly by offering our product in new distribution channels, and scaling the business into an enterprise. As the Senior Product Manager for the Disruption team, you are part of a cross functional team that is dedicated to this specific product; you will have immense impact, experience no gatekeeping, and no competing priorities, allowing you to truly focus on product work and your customers!
**What Would Your Day\-to\-day Look Like**
* Manage a product roadmap across several different business objectives and distribution channels, ensuring that we are executing against the highest impact items at any given time, and delivering things on time.
* Figure out how to leverage AI to improve our customer experience and internal processes to execute our implementation pipeline successfully.
* Work closely with external partners on new and existing implementations; earn and maintain trust by building good relationships.
* Work closely with internal stakeholders to understand feature gaps and solution around them; earn and maintain trust by building good relationships.
* Rapidly test sound hypotheses through new merchandising experiments at different points in the customer journey to increase revenue
* Use data to identify user behavior and purchase patterns, which directly lead to hypotheses around opportunities that can be measurably validated/invalidated through simple experiments
* Launch new partnerships, end to end: from sales pitch to design to development to customer service to optimization. This person will launch things from the ground up and grow them into mature products.
* Work with customer service to understand and identify customer problem trends
* Work with back\-end and front\-end engineers, designers, legal, and many other stakeholders to launch innovative features quickly and bug\-free
* Learn and use a diverse set of analytics and AI tools
**An ideal candidate has**
* B2B and B2C experience
* Delivered impactful and delightful features at scale
* Has incorporated AI into their product or processes to achieve business outcomes
* Strong experience, knowledge of, and/or keen interest in Fintech, Insurtech, or risk\-based products
* An innovative and detail\-oriented approach to problem\-solving
* Extreme attention to detail, and simultaneously the ability to think and operate strategically.
* Exceptional ability to grasp, manage, and articulate complex systems
* Experience connecting innovative solutions to real\-world, user problems with actual business needs of a rapidly scaling organization
* Technical depth that allows you to communicate with, understand, and earn the respect of world\-class engineers and data scientists
* A track record of being proactive and persuading colleagues by constructing a compelling narrative both in\-person and in\-writing
* Past success analyzing data, drawing accurate conclusions, and adjusting strategy accordingly
* No ego, and a strong focus on doing what is right for the customer and the company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143">
      <c r="A143" t="inlineStr">
        <is>
          <t>li-4372327760</t>
        </is>
      </c>
      <c r="B143" t="inlineStr">
        <is>
          <t>Product Owner</t>
        </is>
      </c>
      <c r="C143" t="inlineStr">
        <is>
          <t>Jobs via Dice</t>
        </is>
      </c>
      <c r="D143" t="inlineStr">
        <is>
          <t>linkedin</t>
        </is>
      </c>
      <c r="E143" t="inlineStr"/>
      <c r="F143" t="inlineStr"/>
      <c r="G143" t="inlineStr">
        <is>
          <t>Phoenix, AZ</t>
        </is>
      </c>
      <c r="H143" t="inlineStr"/>
      <c r="I143" t="inlineStr">
        <is>
          <t>Dice is the leading career destination for tech experts at every stage of their careers. Our client, Pegasys Information Technologies, is seeking the following. Apply via Dice today!
 Hi,
 Job Title: Product Owner with Banking Domain
 Location: Phoenix, AZ (Locals Only)
 Duration: Long term
 Warm Regards,
 Upender.K
 Sr. Talent Acquisition
 24155 Drake Road, Suite \#126,
 Farmington, MI 48335
 Email:</t>
        </is>
      </c>
    </row>
    <row r="144">
      <c r="A144" t="inlineStr">
        <is>
          <t>li-4363787400</t>
        </is>
      </c>
      <c r="B144" t="inlineStr">
        <is>
          <t>Principal Product Manager</t>
        </is>
      </c>
      <c r="C144" t="inlineStr">
        <is>
          <t>Microsoft</t>
        </is>
      </c>
      <c r="D144" t="inlineStr">
        <is>
          <t>linkedin</t>
        </is>
      </c>
      <c r="E144" t="inlineStr"/>
      <c r="F144" t="inlineStr"/>
      <c r="G144" t="inlineStr"/>
      <c r="H144" t="inlineStr"/>
      <c r="I144" t="inlineStr">
        <is>
          <t>**Overview**
 We’re building next generation
 **AI\-powered skilling** 
 experiences that help people and organizations learn faster, prove what they know, and keep pace with Ai driven work. As a
 **Principal Product Manager** 
 , you’ll set the vision, shape the roadmap, and lead cross functional teams to deliver delightful, measurable learning outcomes on a global scale. '
 You’ll thrive here if you love turning deep customer insight into bold product bets, partnering closely with Design and Engineering, and shipping high quality experiences that people can’t wait to use. We value
 **clarity, curiosity, and craft** 
 —and we’ll give you the autonomy and support to do your effective work.
 Microsoft’s mission is to empower every person and every organization on the planet to achieve more, and we’re dedicated to this mission across every aspect of our company. Our culture is centered on embracing a growth mindset and encouraging teams and leaders to bring their highly qualified contributions each day. Join us and help shape the future of the world.
**Responsibilities**
**The Principal Product Manager is responsible for the following** 
 :
* Set the North Star – Define the vision and strategy for AI skilling across learner, manager, and enterprise scenarios; translate it into clear success metrics.
* Turn Insight into Product – Use qualitative and quantitative research to uncover unmet needs and convert them into crisp scenarios, roadmaps, and MVPs.
* Lead the Portfolio – Prioritize data informed investments; make tradeoffs across content, platform, telemetry, cost/latency, privacy, and compliance.
* Build AI First Experiences – Partner with Design and Engineering to ship LLM powered features (recommendations, coach, pathways, assessment) that are usable, accessible, and trustworthy.
* Raise the Bar on Quality – Establish measurement for engagement, learning outcomes, credential attainment, reliability, and performance; iterate based on evidence.
* Launch and Grow – Collaborate with Product Marketing and field teams to craft narratives, land launches (e.g., major events), and drive adoption and retention.
* Win with Partners – Work with internal/external partners (e.g., content providers, platform teams) to expand catalog depth, credentials, and enterprise integrations.
* Model Reliable Product Leadership – Create clarity, build energy, and deliver results across multiple squads/epics through inclusive, transparent execution.
**Other**
* Embody our culture and values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in Computer Science, Engineering, Human Computer Interaction, Data/AI, or related technical field or equivalent practical experience AND 12\+ years of product leadership with enterprise SaaS/platform experience
+ OR equivalent experience.
* Advance Degree in (e.g. MS in Computer Science, Engineering, Human Computer Interaction, Data/AI, or MBA ) is a plus.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6\+ years of experience end to end product management experience shipping largescale, cross functional products or platforms.
* 6\+ years of experience leading product teams building consumer products.
* 6\+ years of experience in machine learning and/or AI.
* 4\+ years experience taking a product, feature, or experience to market (e.g., design, addressing product market fit, and launch, internal tool/framework).
* Domain expertise in learning/skilling, credentials/assessment, or workforce development; familiarity with content pipelines and role based learning paths.
* Handson experience bringing generative AI to production (prompting, evaluation, safety \&amp; governance, cost/perf optimization).
* Depth in experimentation and measurement (A/B testing, causal inference, learning outcomes, cohort analysis).
* Demonstrated executive storytelling and external thought leadership (talks, blogs, community).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5">
      <c r="A145" t="inlineStr">
        <is>
          <t>li-4302139257</t>
        </is>
      </c>
      <c r="B145" t="inlineStr">
        <is>
          <t>Voice Product Manager</t>
        </is>
      </c>
      <c r="C145" t="inlineStr">
        <is>
          <t>Infobip</t>
        </is>
      </c>
      <c r="D145" t="inlineStr">
        <is>
          <t>linkedin</t>
        </is>
      </c>
      <c r="E145" t="inlineStr"/>
      <c r="F145" t="inlineStr"/>
      <c r="G145" t="inlineStr">
        <is>
          <t>Jersey City, NJ</t>
        </is>
      </c>
      <c r="H145" t="inlineStr"/>
      <c r="I145" t="inlineStr">
        <is>
          <t>Working at Infobip means being part of something truly global. With 75\+ offices across six continents, we’re not just building technology—we’re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If you're looking for meaningful work and challenges that grow you in a culture where people show up with purpose, this is your opportunity.
 Let’s build what’s next, together.
**Why is this role important at Infobip?**
 Every great company’s success starts with having a great product. To write our next success story, it is essential to continue to innovate and develop our global in\-house products. As a
 ***Voice Product Manager***
 , you will directly impact our company’s portfolio by leading the discovery, defining, building, launching and scaling of a product with a focus on Real Time Communications (e.g., Voice and Video) as part of our Communication Platform as a Service (CPaaS) solution.
**More About What You'll Do**
* Manage and develop Infobip’s voice products with a primary emphasis on products serving the U.S. market, leveraging Infobip’s best\-in\-class carrier network.
* Discover customer needs and market opportunities while keeping in mind the overall business objectives.
* Define a clear product vision, strategy, and roadmap.
* Share the vision of the product with all stakeholders: customers, management, engineering, marketing, sales and other teams.
* Serve as the product's subject matter expert and point of contact for stakeholders.
* Build the product together with engineering, design, and other expert teams.
* Achieve company readiness to launch new products and features by enabling the organization and removing any roadblocks.
* Scale the products by continuously monitoring product metrics and identifying improvement and growth opportunities.
**More About You And Your Qualifications**
* Experience with SIP trunking product management.
* Previous experience working at a U.S. carrier.
* Experience in shaping product strategy in CPaaS.
* Good knowledge and understanding of SIP trunking.
* Worked on end\-to\-end software product life cycle from discovery to delivery.
* Experience with market research and product testing.
* Experience with implementing Go\-to\-Market (GTM) strategies.
* Experience in working with both external and internal stakeholders.
* Experience working with agile methodologies, Scrum, LESS, Kanban or others.
* Ability to influence decision\-making at all levels within an organization.
**Why our employees choose us (and stay)?**
* Learn as you grow – starting from an onboarding program to internal education, training resources, e\-learning, to external education \-\- we invest heavily in employee learning and development.
* Awesome clients – We serve and partner with most leading mobile operators, OTTs, brands, banks, social networks, aggregators and more. You can look forward to working with the likes of Vodafone, WhatsApp, Uber, and many more.
* Great environment – Team spirit, passion, creativity, persistence, and collaboration are the drivers of our company.
* Connect globally – Work with Bippers, teams, and partners from all over the world. We put the “global” in globalization.
* Opportunity Knocks. Often. – Being a part of a growing company in a growing industry, we challenge you to grow! Whether it’s horizontal, vertical, or angular, we want to support the path that you want to carve.
* Never a dull moment – We work with powerful companies with great impact which pushes us to work on the highest possible level. Work on uncharted challenges and push boundaries daily.
**Additional Information**
**Salary Range** 
 : $150,000\-$185,000 USD annual base salary (the salary of the finalist selected for this role will be based on a variety of factors, including but not limited to internal equity, job\-related knowledge, experience, education, and skillset). This role is also eligible to receive an annual bonus, based on both individual and company performance.
**Benefits \&amp; Perks** 
 : Medical, Dental, and Vision insurance; Basic life insurance; 401(k) plan participation with company match; Short\-term and long\-term disability insurance; Wellness plan of up to $500/year pro\-rated based on hire date; PTO: Accrual of up to twenty\-three (23\) vacation days per year, accrual of up to nine (9\) sick days per year, plus carryover of up to nine (9\) sick days annually; Additional leave time for marriage, relocation, bereavement, and other major life events; Twelve (12\) weeks of paid parental leave; Participation in employee share ownership plan (ESOP); Fourteen (14\) paid holidays annually.
**Diversity drives connection**
**Infobip is built on diverse backgrounds, perspectives, and talents.** 
 We’re proud to be an equal\-opportunity employer and are committed to fostering an inclusive workplace.
 No matter your race, gender, age, background, or identity—if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t>
        </is>
      </c>
    </row>
    <row r="146">
      <c r="A146" t="inlineStr">
        <is>
          <t>li-4344020924</t>
        </is>
      </c>
      <c r="B146" t="inlineStr">
        <is>
          <t>Senior Product Manager - CORTRAK Specialty Nutrition Systems, North America - Alpharetta, GA</t>
        </is>
      </c>
      <c r="C146" t="inlineStr">
        <is>
          <t>Avanos Medical</t>
        </is>
      </c>
      <c r="D146" t="inlineStr">
        <is>
          <t>linkedin</t>
        </is>
      </c>
      <c r="E146" t="inlineStr"/>
      <c r="F146" t="inlineStr"/>
      <c r="G146" t="inlineStr"/>
      <c r="H146" t="inlineStr"/>
      <c r="I146" t="inlineStr">
        <is>
          <t>**Requisition ID: 6850**
**Job Title: Senior Product Manager \- CORTRAK Specialty Nutrition Systems, North America \- Alpharetta, GA**
**Job Country: United States (US)**
**Reports To : Sr. Director, Global SNS Marketing**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**Essential Duties And Responsibilities**
 Provides leadership to the Specialty Nutrition Systems product portfolio managing the CORTRAK and CORGRIP businesses with a focus on growing these categories through the development and execution of the strategic business/ marketing plans.
 To be successful in the role this will require developing a financial budget that drives growth and is achieved each calendar year. This individual will also drive the development and execution of the business/ marketing plans that will include market assessments, pricing strategy, key GPO/IDN strategies and competitive landscape. This role will also have responsibility for key customer management, new product launches, developing and running SABs (Sales Advisory Boards), improving GP and OP, tradeshow management and advising Global Strategic Marketing on future pipeline decisions. This role reports directly to the Sr. Director, Global Marketing
**Key Responsibilities**
* Assist in the development and execution of effective plans and programs, both strategic and tactical, to drive net sales, operating profit, and market share for categories.
* Maintain full P\&amp;L management responsibility for product portfolios.
* Develop long\-term strategic business plans and marketing plans for product portfolio segments.
* Develop pricing strategies that support the growth and profitability of the business.
* Collaborate with Sales, Planning and Finance teams to develop timely and accurate forecasts to ensure required fill rates on existing and new products, supporting sector goals to improve return on working capital and working closely with sales team to develop a financial and demand forecast with a high degree of accuracy.
* Support in the development of GPO/ IDN strategies to grow and maintain the business.
* Constantly evaluate product mix to reduce redundancy and drive strategic objectives for the category.
* Responsible for launching new products including the development of branding, pricing, positioning, messaging, marketing campaigns, training, and forecasts.
* Support and guide development and execution of tools and training to improve and maintain sales force competency, drive new product sales and provide superior customer service.
* Lead the development \&amp; execution of digital marketing \&amp; demand generation programs.
* Assist in developing key initiatives and programs by gathering customer insights through end\-user focus with physicians / clinicians.
* Establish and manage relationships with industry KOLs and lead/ manage Sales Advisory Boards.
* Responsible for providing effective communication with sales team, as well as cross\-functional teams, to help ensure collaboration and understanding of the business.
* Actively seek and positively respond to performance and personal development feedback, while initiating activities to enhance personal functional effectiveness to realize full career potential.
**This hybrid role is based in Alpharetta, GA and requires three days per week in the office.**
**Your Qualifications**
**Required:**
* This is a hybrid position requiring three days per week to be onsite in the Alpharetta Office
* Bachelor's degree required
* At least 7 years of product management and sales experience in the health care industry (or other regulated industry)
* Ability to travel at least 25%
* Ability to manage cross\-functional teams without direct reporting relationships
* Ability to collaborate successfully and influence decisions
* Exceptional written, verbal and communication skills
* Experience in forecasting and demand planning
* Development of strategic business plans
* Development of key tactics and execution plans that drive strategic goals
* Ability to assess the market and competitive landscape
* Successful product launch experience
* Gaining and understanding the internal/external customer perspective
* Management of an advertising and promotion budget
* Knowledge and experience with branding and brand management
* Ability to multi\-task and work under pressure in a fast\-paced environment
* Strong computer skills including: Microsoft Word , Excel , Outlook, PowerPoint
**Preferred**
* MBA with either a Marketing or Business\-related concentration
* Product management experience within digestive health, enteral feeding, or capital equipment
* In\-depth understanding of the medical device legal and regulatory pathways
* Complex project management experience
 The statements above are intended to describe the general nature and level of work performed by employees assigned to this classification. Statements are not intended to be construed as an exhaustive list of all duties, responsibilities and skills required for this position.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**IMPORTANT: If you are a current employee of Avanos or a current Avanos Contractor, please apply here .**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147">
      <c r="A147" t="inlineStr">
        <is>
          <t>li-4347181391</t>
        </is>
      </c>
      <c r="B147" t="inlineStr">
        <is>
          <t>Principal Product Manager - Kubernetes &amp; Compute Abstractions</t>
        </is>
      </c>
      <c r="C147" t="inlineStr">
        <is>
          <t>CoreWeave</t>
        </is>
      </c>
      <c r="D147" t="inlineStr">
        <is>
          <t>linkedin</t>
        </is>
      </c>
      <c r="E147" t="inlineStr"/>
      <c r="F147" t="inlineStr"/>
      <c r="G147" t="inlineStr">
        <is>
          <t>Sunnyvale, CA</t>
        </is>
      </c>
      <c r="H147" t="inlineStr"/>
      <c r="I14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8">
      <c r="A148" t="inlineStr">
        <is>
          <t>li-4347081520</t>
        </is>
      </c>
      <c r="B148" t="inlineStr">
        <is>
          <t>Principal Product Manager - Kubernetes &amp; Compute Abstractions</t>
        </is>
      </c>
      <c r="C148" t="inlineStr">
        <is>
          <t>CoreWeave</t>
        </is>
      </c>
      <c r="D148" t="inlineStr">
        <is>
          <t>linkedin</t>
        </is>
      </c>
      <c r="E148" t="inlineStr"/>
      <c r="F148" t="inlineStr"/>
      <c r="G148" t="inlineStr">
        <is>
          <t>Bellevue, WA</t>
        </is>
      </c>
      <c r="H148" t="inlineStr"/>
      <c r="I14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Compute Abstractions team has a goal to provide the right compute abstraction to meet the needs of customers, while reinforcing the fundamental value propositions of CoreWeave. We design and build systems and platforms that allow customers to be pioneers in AI.
**About The Role**
* We are looking for a Principal Product Manager for Kubernetes \&amp; Compute Abstractions to lead the strategic direction and execution of our current and future compute abstraction offerings, including the CoreWeave Kubernetes Abstractions, our Bare Metal offering, and a forward\-looking strategy for additional compute abstractions.
* This is a pivotal role that will focus on building a cohesive product strategy that aligns with our broader goals, forward\-looking roadmaps, execution and delivery of innovative product offerings to enable our customers to create the next generation of AI experiences.
**Key Responsibilities**
* Product Lead for Kubernetes \&amp; Compute Abstractions: Lead the product vision, strategy, and execution for CoreWeave Kubernetes Service (CKS), as well as the broader portfolio of current and future compute abstractions within CoreWeave, including Bare Metal.
* Product \&amp; Program Development: Design and launch new compute products and features to best fit the needs of an increasingly diverse set of customers and workloads.
* Cross\-functional Collaboration: Partner with engineering, sales, finance, and marketing teams to ensure alignment on goals, effective product launches, and seamless go\-to\-market execution.
* Market Analysis: Conduct in\-depth market research and competitive analysis to identify current state, emerging trends, and opportunities for differentiation.
* Go\-to\-Market Strategy: Partner with industry partners, marketing, and sales teams to develop and execute effective go\-to\-market strategies, including positioning, messaging, and competitive differentiation.
* Performance Monitoring: Define key metrics and establish robust reporting to monitor the performance of compute abstractions, identify areas for improvement, and inform future decisions.
**Who You Are**
* Deep understanding of cloud compute technologies (VMs, Bare Metal, Serverless)
* A strong working knowledge of Kubernetes
* A data\-driven and analytical approach to solving problems
* Experience in defining products from concept, to product definition, and execution of a roadmap to achieve impact in the market
**Preferred**
* Experience in developing and launching 0\-1 products
* A strong working knowledge of GPUs, and the AI market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experiment with new AI technologies, and try things on the bleeding edge
* You’re curious about novel ways to solve old, and new problems
* You’re an expert in Kubernetes, cloud computing, building, and launching products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$206,000 to $303,000\.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9">
      <c r="A149" t="inlineStr">
        <is>
          <t>li-4372323666</t>
        </is>
      </c>
      <c r="B149" t="inlineStr">
        <is>
          <t>Senior Technical Program Manager</t>
        </is>
      </c>
      <c r="C149" t="inlineStr">
        <is>
          <t>RemoteHunter</t>
        </is>
      </c>
      <c r="D149" t="inlineStr">
        <is>
          <t>linkedin</t>
        </is>
      </c>
      <c r="E149" t="inlineStr"/>
      <c r="F149" t="inlineStr"/>
      <c r="G149" t="inlineStr"/>
      <c r="H149" t="inlineStr"/>
      <c r="I149" t="inlineStr">
        <is>
          <t>**About the Opportunity:** 
**The organization is focused on making retirement benefits accessible and affordable for small and medium\-sized businesses, helping employees achieve financial independence through retirement savings. The Senior Technical Program Manager, Security \&amp; GRC, will collaborate with Infosec and Risk teams to improve security without hindering progress. This role integrates software engineering, corporate risk, and business operations to build a technical ecosystem where security and compliance are automated and integral to the software development lifecycle.** 
**Responsibilities:** 
**• Partner with Security Engineering, Risk, Product, and Infrastructure teams to integrate security and compliance early in development.** 
**• Identify execution blockers and design technical solutions within the security stack.** 
**• Define technical milestones for initiatives like Zero Trust and IAM overhauls.** 
**• Lead agile security sprints to align vulnerability remediation and threat detection with feature development.** 
**• Automate GRC workflows to reduce manual processes and advance Compliance as Code.** 
**• Translate complex security telemetry into clear risk narratives for leadership and detailed technical information for engineers.** 
**• Align cloud infrastructure costs and security tooling with strategic defensive objectives.** 
**• Identify systemic inefficiencies and improve processes through tooling and engineering.** 
**Requirements:** 
**• Bachelor’s degree in Computer Science, Engineering, or related field.** 
**• 5\+ years as a TPM managing high\-stakes security, privacy, or infrastructure projects.** 
**• Deep understanding of Security SDLC and experience with cloud\-native architectures (AWS/GCP) focused on security guardrails.** 
**• Experience translating regulatory frameworks (SOC2, ISO 27001, FedRAMP, GDPR) into actionable technical requirements.** 
**• Ability to analyze architectural diagrams, API documentation, and cloud configurations to diagnose program delays.** 
**• Strong communication skills to explain security controls to developers and technical fixes to auditors.** 
**• Proficient in using data from vulnerability scanners and project management tools to support decision\-making.** 
**Benefits \&amp; Perks:** 
**No specific benefits or perks were detailed in the provided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0">
      <c r="A150" t="inlineStr">
        <is>
          <t>li-4338431788</t>
        </is>
      </c>
      <c r="B150" t="inlineStr">
        <is>
          <t>Senior Technical Program Manager – CSP Engagements</t>
        </is>
      </c>
      <c r="C150" t="inlineStr">
        <is>
          <t>NVIDIA</t>
        </is>
      </c>
      <c r="D150" t="inlineStr">
        <is>
          <t>linkedin</t>
        </is>
      </c>
      <c r="E150" t="inlineStr"/>
      <c r="F150" t="inlineStr"/>
      <c r="G150" t="inlineStr">
        <is>
          <t>Santa Clara, CA</t>
        </is>
      </c>
      <c r="H150" t="inlineStr"/>
      <c r="I150" t="inlineStr">
        <is>
          <t>NVIDIA is looking for a Senior Technical Program Manager to join the CSP Engagements team, specializing in system software for Datacenter products such as GB200, GB300\. This position requires strong technical knowledge of data center system software and exceptional program management skills in software and firmware to develop innovative solutions for platforms like GB200, GB300\. As a key link between NVIDIA's advanced R\&amp;D teams and hyperscale CSPs, you will help ensure the smooth delivery of complex, high\-profile programs that drive global AI advancements.
**What You Will Be Doing**
* Drive strategic CSP partnerships, collaborate with key hyperscale CSPs to align project schedules, priorities, and technical roadmaps for next\-generation data center platforms.
* Manage complex technical collaborations proactively, identifying and resolving critical issues before they impact customer deployments.
* Orchestrate internal stakeholder alignment ensuring CSP priorities are reflected across NVIDIA's engineering, product, and business.
* Create comprehensive customer program visibility through executive dashboards, status reports, and metrics tracking that provide real\-time insights into CSP project health, risks, and milestone achievement.
* Lead large\-scale deployment programs managing multi\-rack, hyperscale infrastructure rollouts with complex technical dependencies, timeline coordination, and resource alignment across multiple internal teams.
**What We Need To See**
* Technical Expertise: Solid understanding of system software design, OS fundamentals, Linux kernel development, and hardware/software interfaces. Experience in GPU\-based data center server architectures.
* Program Management: Proven ability to lead software development for rack\-scale systems and data center servers, including complex hardware/software integration projects.
* Industry Collaboration: Experience partnering with hyperscalers to drive technical outcomes, manage dependencies, handle escalations, and communicate effectively at the executive level.
* Communication \&amp; Leadership: Exceptional ability to translate technical concepts for business stakeholders and align diverse teams toward common goals.
* BS or MS in Computer Engineering, Computer Science, or related field or equivalent experience.
* 12\+ years of technical program management experience in HPC or data center server software development.
**Ways To Stand Out From The Crowd**
* Prior hands\-on technology development experience in out\-of\-band manageability and observability solutions, system software/Linux kernel driver development, CUDA programming, or LLM/AI framework development.
 NVIDIA is widely considered to be one of the technology world’s most desirable employers. We have some of the most forward\-thinking and hard\-working people in the world working for us. NVIDIA is leading the way in groundbreaking developments in Artificial Intelligence, High\-Performance Computing and Visualization. The GPU, our invention, serves as the visual cortex of modern computers and is at the heart of our products and services. We have some of the most forward\-thinking and hardworking people in the world working for us. If you're creative, hardworking and self\-motivated, we want to hear from you!
 Your base salary will be determined based on your location, experience, and the pay of employees in similar positions. The base salary range is 200,000 USD \- 322,000 USD for Level 5, and 240,000 USD \- 379,500 USD for Level 6\.
 You will also be eligible for equity and benefits .
 Applications for this job will be accepted at least until February 15,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JR2008437</t>
        </is>
      </c>
    </row>
    <row r="151">
      <c r="A151" t="inlineStr">
        <is>
          <t>li-4239626420</t>
        </is>
      </c>
      <c r="B151" t="inlineStr">
        <is>
          <t>Project/Program Manager - Aviation</t>
        </is>
      </c>
      <c r="C151" t="inlineStr">
        <is>
          <t>STV</t>
        </is>
      </c>
      <c r="D151" t="inlineStr">
        <is>
          <t>linkedin</t>
        </is>
      </c>
      <c r="E151" t="inlineStr"/>
      <c r="F151" t="inlineStr"/>
      <c r="G151" t="inlineStr">
        <is>
          <t>Dallas, TX</t>
        </is>
      </c>
      <c r="H151" t="inlineStr"/>
      <c r="I151"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152">
      <c r="A152" t="inlineStr">
        <is>
          <t>li-4312781578</t>
        </is>
      </c>
      <c r="B152" t="inlineStr">
        <is>
          <t>Development Program Manager (Data Center Construction)</t>
        </is>
      </c>
      <c r="C152" t="inlineStr">
        <is>
          <t>QTS Data Centers</t>
        </is>
      </c>
      <c r="D152" t="inlineStr">
        <is>
          <t>linkedin</t>
        </is>
      </c>
      <c r="E152" t="inlineStr"/>
      <c r="F152" t="inlineStr"/>
      <c r="G152" t="inlineStr">
        <is>
          <t>York, SC</t>
        </is>
      </c>
      <c r="H152" t="inlineStr"/>
      <c r="I152" t="inlineStr">
        <is>
          <t>**Who we are:**
 It's pretty exciting to find yourself standing in a pivotal moment in time. It’s even more exciting to be out front leading it. At QTS, our world\-class data centers are supporting our customers’ most strategic growth initiatives, positioning us at the forefront of today’s dynamic digital transformation.
 As AI and cloud drive the demand for increased speed, capacity and capability, QTS has emerged as the global digital infrastructure leader, committed to connecting the world for good. Driven by purpose and fueled by a spirit of innovation, QTS designs, builds and operates some of the world’s most advanced, forward\-thinking data centers. QTS is a portfolio company of Blackstone.
 QTS is Powered by People. People who play a vital role in our company’s culture, innovation and growth. People who are committed to contributing to the communities where we operate and work. People who are knowledgeable, resourceful and mission driven. Together, we do great things.
**Who You Are and the** 
**Impact You Will Have** 
**:**
 The Development Program Manager (Data Center Construction) is primarily responsible for leading and managing the design, pre\-construction and construction activities on a given project. The Program Manager will interact on a daily basis with Facilities, Contractors, Designers, Engineers, Commissioning Agents, Vendors, and Data Center Operations staff and should have both written and oral communication skills commensurate with this level of regular communication.
**What You Will Do:**
* Manage multiple projects on a campus(es) and maintain updated budgets, schedules, and status reports for each
* Create and communicate updates on development program \&amp; project status on a monthly basis suitable for executive level reviews. Effectively present information in a manner to support efficient decision making
* Work with QTS stakeholders, design, and construction teams to create a master development program for site(s), including a complete campus design solution and capital budget.
* Manage entitlement and permitting needs for each assigned site project(s)
* Implement and manage multi\-phased site development plans to achieve time, budget, and quality standards in a predictable fashion. Continuously update a campus master plan to provide predictable statistics in a dynamic environment
* Write scopes of work for design, construction, commissioning services \&amp; participate in procurement and project cost estimates
* Evaluate and level pricing proposals for design, construction, and commissioning services
* Work closely with strategic procurement team on equipment procurement and delivery process
* Ensure appropriate submittals are coordinated with site stakeholders
* Monitor \&amp; create project budget/cost\-to\-date against overall project budget.
* Establish project schedules and manage teams to on\-time completion
* Review and approve monthly pay applications from the contractors
* Review change order requests from contractors and negotiate pricing
* Establish site construction security procedures in conjunction with site security team
* Develop plans for product deployment and review/communicate plans with QTS staff involved
* Collaborate with Sales Engineers and Product teams to aid in custom deal solutioning for prospective clients within the applicable schedule and budget for an assigned location.
* Establish and maintain relationships serving as liaison with key QTS stakeholders
* Represent QTS interests as leader in OAC meetings
* Create \&amp; build relationships that enhance QTS's ability to be a leader in creating the World's Most Valuable Data Center Real Estate
* Aid in due diligence efforts for potential new sites on an as\-needed basis
* Work with the internal development team to enhance project management processes and protocols
**What You Will Need to be Successful (basic qualifications):**
* Bachelor's degree in Science or Engineering or equivalent professional experience
* Eight or more years of professional experience in commercial construction practices and procedures, including management of Lump Sum, Construction Management at Risk, and Design Build project delivery methods from conceptual development through procurement to close out
* Experience with Microsoft Office suite, specifically PowerPoint for use in communicating program updates to executive level, and Excel to create and maintain site program \&amp; individual project budgets
* Be able to travel up to 50% of the time
**Other Key Skills:**
* MBA, Masters in Engineering, Management, or related field desirable
* Experience with delivery of mission critical data center facilities
* Extensive experience with management of MEP trades
**The Perks (and these are just a few!):**
* Q\-Rest Sabbatical
* Employee Stock Purchase Plan
* QTS scholarship for dependents
* Eagle Club Award Trip Eligibility
* Paid Volunteer and Floating days
* Tuition Assistance, Parental Leave and Military Leave Assistance
 We conform to all the laws, statutes, and regulations concerning equal employment opportunities and affirmative action. We strongly encourage women, minorities, individuals with disabilities and veterans to apply to all of our job openings. We are an equal opportunity employer and all qualified applicants will receive consideration for employment without regard to race, color, religion, gender, sexual orientation, gender identity, or national origin, age, disability status, Genetic Information \&amp; Testing, Family \&amp; Medical Leave, protected veteran status, or any other characteristic protected by law. We prohibit retaliation against individuals who bring forth any complaint, orally or in writing, to the employer or the government, or against any individuals who assist or participate in the investigation of any complaint or discrimination claim.
 The "Know Your Rights" Poster is included here:
 Know Your Rights (English)
 Know Your Rights (Spanish)
 The pay transparency policy is available here:
 Pay Transparency Nondiscrimination Poster\-Formatted
 QTS is committed to working with and providing reasonable accommodations to individuals with disabilities. If you need a reasonable accommodation because of a disability for any part of the employment process, please send an e\-mail to talentacquisition@qtsdatacenters.com and let us know the nature of your request and your contact information.</t>
        </is>
      </c>
    </row>
    <row r="153">
      <c r="A153" t="inlineStr">
        <is>
          <t>li-4239622557</t>
        </is>
      </c>
      <c r="B153" t="inlineStr">
        <is>
          <t>Project/Program Manager - Aviation</t>
        </is>
      </c>
      <c r="C153" t="inlineStr">
        <is>
          <t>STV</t>
        </is>
      </c>
      <c r="D153" t="inlineStr">
        <is>
          <t>linkedin</t>
        </is>
      </c>
      <c r="E153" t="inlineStr"/>
      <c r="F153" t="inlineStr"/>
      <c r="G153" t="inlineStr">
        <is>
          <t>Charlotte, NC</t>
        </is>
      </c>
      <c r="H153" t="inlineStr"/>
      <c r="I153"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154">
      <c r="A154" t="inlineStr">
        <is>
          <t>li-4239623562</t>
        </is>
      </c>
      <c r="B154" t="inlineStr">
        <is>
          <t>Project/Program Manager - Aviation</t>
        </is>
      </c>
      <c r="C154" t="inlineStr">
        <is>
          <t>STV</t>
        </is>
      </c>
      <c r="D154" t="inlineStr">
        <is>
          <t>linkedin</t>
        </is>
      </c>
      <c r="E154" t="inlineStr"/>
      <c r="F154" t="inlineStr"/>
      <c r="G154" t="inlineStr">
        <is>
          <t>Franklin, TN</t>
        </is>
      </c>
      <c r="H154" t="inlineStr"/>
      <c r="I154" t="inlineStr">
        <is>
          <t>**STV** 
 is seeking a
 **Project/Program Manager** 
 to join our national aviation team to oversee and direct airport terminal improvements. We have
 **projects nationwide at all major airports including the states of** 
**CA, CO, FL, GA, IL, MA, MD, NY, NC, OH, SC, TN, TX, etc.**
 A successful candidate will need significant aviation experience and have previously managed design or construction within an active airport terminal environment.
**Responsibilities Include**
* Provide project management, technical oversight and leadership for all phases of aviation projects associated with a capital improvement, including, but not limited to; business case development, stakeholder engagement, design management, design and construction procurement, permitting and federal/state approvals, scheduling, project delivery, cost and change management safety, quality control, and ORAT
* Provide guidance to discipline managers and contractors to address key program challenges, risk management, innovation, schedule and budget performance
* Provide leadership to ensure that responsibilities are accomplished to a high degree of quality which exceeds the expectation of the client
* Develop project level process and procedures, project controls, and governances, that align to and drive overall project goals
* Manage and oversee all aspects of project planning and development, including engineering and pre\-construction/construction; bidding strategy; schedules; cost estimating; budget oversight; systems and facility integration; and commissioning/activation
* Facilitates coordination with stakeholders; airport operating divisions, airline operations, regulatory agencies and other delivery partners and oversight entities, as required
* Facilitates the development of the overall program schedule and oversees the integration of project level schedules
* Utilization of earned value management to track and manage the program and associated projects
* Schedule and conduct design and/or construction progress meetings
* Drive the planning, design, and construction deliverables to successfully meeting the deliverable dates
* Present progress to stakeholders and project delivery partners
* Use electronic tools including Primavera P6, Project Management Information Systems (PMIS), and other related software systems
* Coordinate maintenance of traffic and phasing plans, utility shutdown requests, impact notices, disruption notices, contingency planning and other tasks as needed
**Preferred Qualifications**
* Experience in successful management of capital projects/programs of over $10M
* Knowledge of airport operations, design, and construction of airport facilities is required
* Experience in overseeing multiple construction activities concurrently as part of a complex capital infrastructure project is preferred
**Required Education/Accreditation**
* Achieved a bachelor’s degree, preferably in Engineering, Architecture, or Construction Management
* Candidates may substitute comparable experience for educational requirements
**Compensation Range**
 $122,944\.48 \- $163,925\.98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 Health insurance, including an option with a Health Savings Account
* Dental insurance
* Vision insurance
* Flexible Spending Accounts (Healthcare, Dependent Care and Transit and Parking where applicable)
* Disability insurance
* Life Insurance and Accidental Death \&amp; Dismemberment
* 401(k) Plan
* Retirement Counseling
* Employee Assistance Program
* Paid Time Off (16 days)
* Paid Holidays (9 days)
* Back\-Up Dependent Care (up to 10 days per year)
* Parental Leave (up to 80 hours)
* Continuing Education Program
*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is>
      </c>
    </row>
    <row r="155">
      <c r="A155" t="inlineStr">
        <is>
          <t>li-4373290968</t>
        </is>
      </c>
      <c r="B155" t="inlineStr">
        <is>
          <t>Conserve Research Program Manager - Land and Water Conservation - 528309</t>
        </is>
      </c>
      <c r="C155" t="inlineStr">
        <is>
          <t>Inside Higher Ed</t>
        </is>
      </c>
      <c r="D155" t="inlineStr">
        <is>
          <t>linkedin</t>
        </is>
      </c>
      <c r="E155" t="inlineStr"/>
      <c r="F155" t="inlineStr"/>
      <c r="G155" t="inlineStr">
        <is>
          <t>Tuscaloosa, AL</t>
        </is>
      </c>
      <c r="H155" t="inlineStr"/>
      <c r="I155" t="inlineStr">
        <is>
          <t>**Pay Grade/Pay Range:** 
 Minimum: $101,900 \- Midpoint: $142,700 (Salaried E15\)
**Department/Organization:** 
 750501 \- Alabama Water Institute (AWI)
**Normal Work Schedule:** 
 Monday \- Friday 8:00am to 5:00pm
**Note to Applicants:** 
 Position is eligible for remote work subject to University policy.
**Job Summary:** 
 The Conserve Research Program Manager directs the identification, pursuit, and capture of federally sponsored projects, including leading the preparation of competitive DoD proposals. Leads all operational aspects of CONSERVE’s DoD program portfolio, managing internal staff and subcontracted partners in the execution of complex restoration and sustainment projects. Ensures compliance with all applicable federal laws. May supervise staff and provide supervisory guidance to external stakeholders assisting with the project.
**Additional Department Summary:** 
 The Alabama Water Institute (AWI) is one of five University of Alabama research institutes. AWI serves as a catalyst for interdisciplinary collaboration across the University’s various colleges, uniting engineers, computer scientists, biologists, social scientists, economists, and more to tackle the pressing water challenges faced by Alabama and the world. AWI\-affiliated researchers specialize in water security and quality, remote sensing, hydrologic and hydraulic modeling, and watershed management through synergies with AWI research programs, including the NOAA Cooperative Institute for Research to Operations in Hydrology, the Global Water Security Center, and the CONSERVE Research Group.
 Direct and lead high\-level strategic initiatives within the Alabama Water Institute (AWI) and the CONSERVE Research Group. Provide institutional leadership, operational oversight, and expert guidance in environmental science, resource management, and research partnerships to drive organizational growth and national prominence. Lead and manage the full lifecycle of sponsored research development for federally funded environmental programs, with a strategic emphasis on land and water conservation initiatives on Federal, Tribal, and State lands.
**Required Minimum Qualifications:** 
 Bachelor's degree and four (4\) years of research experience at an institution of higher education; OR master's degree and two (2\) years of research experience at an institution of higher education.
**Additional Required Department Minimum Qualifications:** 
 Must have valid U.S. driver's license. Must be at least 19 years of age at time of hire and have an acceptable Motor Vehicle Report that is in compliance with University policies. Applicants under the age of 21 will have some driving restrictions.
**Skills and Knowledge:** 
 Proven experience implementing land reclamation projects, including allocation and oversight of heavy equipment, and management of soil, water, and vegetation resources. Proficiency in administering subcontracted land management activities, ensuring compliance with the cooperative agreement scope of work (SOW) and established quality standards.
 Experience conducting quality control assessments of both staff and subcontracted work, and providing technical guidance to ensure adherence to SOW requirements.
 Ability to oversee land management operations in rugged, wooded environments, including travel by vehicle (e.g., ATV) or on foot across uneven terrain, under hot and humid conditions. Demonstrated experience identifying and documenting land restoration needs while working on various landscapes under Federal, Tribal, or State jurisdiction. Working knowledge of heavy equipment types and their operational capabilities as applied to environmental restoration and land management practices.
 Recognized as a trusted and effective leader, with a strong reputation for collaboration, integrity, and impact. Exceptional communication skills, with expertise in oral and written communication, interpersonal engagement, facilitation, and negotiation. Strong history of successful staff performance management, professional development, and mentorship across various career stages. Demonstrated success in recruiting, training, and mentoring researchers and staff, fostering a culture of excellence and innovation.
 Comprehensive knowledge of externally funded grants, contracts, and research funding strategies, with experience in government contracting and/or grantmaking related to environmental and watershed science support considered a plus.
**Preferred Qualifications:** 
 Bachelor’s degree in Natural Resources Management, Forestry, Geology, Geographic Information Systems (GIS), or a related field relevant to land management or other discipline relevant to AWI’s research portfolio with 12 years of relevant experience.
**Background Investigation Statement:** 
 Prior to hiring, the final candidate(s) must successfully pass a pre\-employment background investigation and information obtained from social media and other internet sources. A prior conviction reported as a result of the background investigation DOES NOT automatically disqualify a candidate from consideration for this position. A candidate with a prior conviction or negative behavioral red flags will receive an individualized review of the prior conviction or negative behavioral red flags before a hiring decision is made.
**Equal Employment Opportunity** 
 : The University of Alabama is an Equal Employment/Equal Educational Opportunity Institution. All qualified applicants will receive consideration for employment or volunteer status without regard to any legally protected basis and will not be discriminated against because of their protected status. Applicants and employees of this institution are protected under Federal law from discrimination on several bases. More information is available in the EEOC’s Know Your Rights: Workplace discrimination is illegal poster.
 The University of Alabama affirms its longstanding commitment to institutional neutrality, free speech, and academic freedom.</t>
        </is>
      </c>
    </row>
    <row r="156">
      <c r="A156" t="inlineStr">
        <is>
          <t>li-4373514785</t>
        </is>
      </c>
      <c r="B156" t="inlineStr">
        <is>
          <t>Product Manager</t>
        </is>
      </c>
      <c r="C156" t="inlineStr">
        <is>
          <t>Lensa</t>
        </is>
      </c>
      <c r="D156" t="inlineStr">
        <is>
          <t>linkedin</t>
        </is>
      </c>
      <c r="E156">
        <f>HYPERLINK("https://www.linkedin.com/jobs/view/4373514785", "https://www.linkedin.com/jobs/view/4373514785")</f>
        <v/>
      </c>
      <c r="F156">
        <f>HYPERLINK("https://lensa.com/cgw/2053007caa7b4a62b529f12955715bd3tjo1?jpsi=directemployers_no_redirect&amp;publisher_preference=easier_apply&amp;utm_campaign=Other%20Management%20Occupations&amp;utm_medium=slot&amp;utm_source=linkedin&amp;utm_term=jse&amp;urlHash=KgX3", "https://lensa.com/cgw/2053007caa7b4a62b529f12955715bd3tjo1?jpsi=directemployers_no_redirect&amp;publisher_preference=easier_apply&amp;utm_campaign=Other%20Management%20Occupations&amp;utm_medium=slot&amp;utm_source=linkedin&amp;utm_term=jse&amp;urlHash=KgX3")</f>
        <v/>
      </c>
      <c r="G156" t="inlineStr">
        <is>
          <t>Universal City, CA</t>
        </is>
      </c>
      <c r="H156" t="inlineStr"/>
      <c r="I15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NBCUniversal. Clicking "Apply Now" or "Read more" on Lensa redirects you to the job board/employer site. Any information collected there is subject to their terms and privacy notice.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We are seeking a highly experienced and motivated Product Manager, AI Solutions to join our AI Solutions team within Operations \&amp; Technology. In this role, you will work on enterprise products and agents utilizing Generative AI to create impactful solutions. This role will involve product management, cross\-functional collaboration, strategic planning, hands\-on execution, and leadership, ensuring that our products meet both organizational goals and stakeholder needs.
 Key Responsibilities
**Product Development**
* Collaborate with cross\-functional teams and stakeholder community, including Program Management, Product, Engineering, Scrum, and leadership, to scope, develop, and implement GenAI products.
* Develop a deep understanding of stakeholder needs to define detailed, actionable requirements and write user stories for engineering work.
* Partner with cross\-functional teams to define and sustain an outcome\-based roadmap grounded in customer insights and business priorities.
* Perform product testing to ensure functionality, accuracy, and performance as well as conduct demos.
* Own and maintain products, utilizing feedback to iterate and refine features continuously.
**Strategic Execution \&amp; Stakeholder Engagement**
* Drive the execution of product roadmaps, ensuring alignment with strategic goals and long\-range plans.
* Partner with internal and external stakeholders (including vendors) throughout the end\-to\-end GenAI use case lifecycle.
* Prepare and deliver decks, reports, metrics, recommendations, and other resources to stakeholders and executives.
**Innovation**
* Stay informed on emerging AI, LLM, machine learning, and similar technologies as well as the latest vendor offerings.
* Contribute to identifying reusable enterprise GenAI patterns to streamline future implementations.
* Identify opportunities to enhance products, improve operational processes, and drive overall efficiency.
* Additional duties as needed.
**Basic Qualifications**
* Bachelor's degree in computer science, Engineering, or a related field (or equivalent professional experience)
* 5\+ years of related professional experience (e.g., experience in product management or development, ideally with a focus on AI)
* Excellent verbal and written communication skills, with the ability to articulate technical concepts to both technical and non\-technical audiences.
* Proven experience as a Product Manager, preferably in managing LLM based Conversational agents.
* Exceptional product management, organizational skills, attention to detail, and the ability to manage multiple priorities effectively.
* Strong understanding of agile methodologies, UI/UX principles, and conversational AI technologies.
**Desired Characteristics**
* Strong collaboration skills and the ability to build relationships and foster partnerships across teams.
* Advanced technical, quantitative, analytical, research, and problem\-solving skills.
* Self\-starter with the ability to succeed in a fast\-paced, evolving landscape.
* Familiarity with UI/UX principles and their application to product development.
* Experience with product management tools like Jira, Confluence, and Airtable.
* Proficiency with Lucidchart, Word, PowerPoint, Excel, and SharePoint.
* Experience in the Media \&amp; Entertainment industry.
* Knowledge of data governance, privacy and legal compliance, cyber security, and best practices in ethical AI.
**Additional Requirements**
* Hybrid: This position has been designated as hybrid, generally contributing from the office a minimum of four days per week.
*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$120,000 \- $145,000\.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
 If you have questions about this posting, please contact support@lensa.com</t>
        </is>
      </c>
    </row>
    <row r="157">
      <c r="A157" t="inlineStr">
        <is>
          <t>li-4373507964</t>
        </is>
      </c>
      <c r="B157" t="inlineStr">
        <is>
          <t>Product Owner (REMOTE)</t>
        </is>
      </c>
      <c r="C157" t="inlineStr">
        <is>
          <t>Lensa</t>
        </is>
      </c>
      <c r="D157" t="inlineStr">
        <is>
          <t>linkedin</t>
        </is>
      </c>
      <c r="E157">
        <f>HYPERLINK("https://www.linkedin.com/jobs/view/4373507964", "https://www.linkedin.com/jobs/view/4373507964")</f>
        <v/>
      </c>
      <c r="F157" t="inlineStr"/>
      <c r="G157" t="inlineStr">
        <is>
          <t>Chantilly, VA</t>
        </is>
      </c>
      <c r="H157" t="inlineStr"/>
      <c r="I1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158">
      <c r="A158" t="inlineStr">
        <is>
          <t>li-4373516843</t>
        </is>
      </c>
      <c r="B158" t="inlineStr">
        <is>
          <t>Product Manager</t>
        </is>
      </c>
      <c r="C158" t="inlineStr">
        <is>
          <t>Lensa</t>
        </is>
      </c>
      <c r="D158" t="inlineStr">
        <is>
          <t>linkedin</t>
        </is>
      </c>
      <c r="E158">
        <f>HYPERLINK("https://www.linkedin.com/jobs/view/4373516843", "https://www.linkedin.com/jobs/view/4373516843")</f>
        <v/>
      </c>
      <c r="F158">
        <f>HYPERLINK("https://lensa.com/cgw/e96af368d1c64eafabaaf38eb63fa92atjo1?jpsi=directemployers&amp;publisher_preference=easier_apply&amp;utm_campaign=Other%20Management%20Occupations&amp;utm_medium=slot&amp;utm_source=linkedin&amp;utm_term=jse&amp;urlHash=5BWW", "https://lensa.com/cgw/e96af368d1c64eafabaaf38eb63fa92atjo1?jpsi=directemployers&amp;publisher_preference=easier_apply&amp;utm_campaign=Other%20Management%20Occupations&amp;utm_medium=slot&amp;utm_source=linkedin&amp;utm_term=jse&amp;urlHash=5BWW")</f>
        <v/>
      </c>
      <c r="G158" t="inlineStr">
        <is>
          <t>Alameda, CA</t>
        </is>
      </c>
      <c r="H158" t="inlineStr"/>
      <c r="I1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Abbott. Clicking "Apply Now" or "Read more" on Lensa redirects you to the job board/employer site. Any information collected there is subject to their terms and privacy notice.
 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theFreedom 2 Savestudent debt program, andFreeUeducation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Alameda, CA location in the Abbott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We are looking for an energetic and driven product manager to join our growing Product and Innovation group, which is responsible for software and hardware products and services that expand and enhance the capabilities of the FreeStyle Libre platform, the world’s \#1 continuous glucose monitoring (CGM) solution.
 This is a fully on\-site role in our main Alameda, CA site OR you can choose to work from our Milpitas,
 CA office as well.
**What You’ll Work On**
* Use insights to help identify new product opportunities
* Identify and prioritize unmet user needs, and translate them into product requirements
* Collaborate with product designers to define the complete user experience
* Plan and execute design research and user testing
* Collaborate with software engineering to implement and test new features and/or products
* Collaborate with product marketing to produce promotional and/or educational content
* Support on\-market activities in collaboration with Commercial teams
* Analyze global market trends, consumer behaviors, regulatory environments, and competitive landscapes to identify growth opportunities and strengthen Abbott’s leadership in digital diabetes management.
* Maintain and advance the product roadmap
**Required Qualifications**
* Bachelor’s degree with 5 years' experience
* Experience building and shipping software and/or hardware products
* Experience working in highly cross\-functional organizations
**Preferred Qualifications**
* Strong presentation and communication skills, proactive and resourceful with a “can do” attitude
* Able to think openly, broadly and strategically
* Strong analytical skills, able to draw conclusions from data
* Enjoys responding quickly and influencing people to deliver
* Sound time management skills, ensuring that work is produced to agreed deadlines and high standards
* Highly organized, focused and committed to achieving goals
* Thrives under pressure with tight deadlines on several initiatives simultaneously
* Understanding of delivering products in a regulated environment
* Previous experience working in health and wellness is a plus
**Learn more about our benefits that add real value to your life to help you live fully:** 
 www.abbottbenefits.com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 on Facebook at www.facebook.com/Abbott and on Twitter @AbbottNews and @AbbottGlobal.
 The base pay for this position is $114,000\.00 – $228,000\.00\. In specific locations, the pay range may vary from the range posted.
 An Equal Opportunity Employer
 Abbot welcomes and encourages diversity in our workforce.
 We provide reasonable accommodation to qualified individuals with disabilities.
 To request accommodation, please call 224\-667\-4913 or email corpjat@abbott.com
 If you have questions about this posting, please contact support@lensa.com</t>
        </is>
      </c>
    </row>
    <row r="159">
      <c r="A159" t="inlineStr">
        <is>
          <t>li-4372346056</t>
        </is>
      </c>
      <c r="B159" t="inlineStr">
        <is>
          <t>Senior Product Manager</t>
        </is>
      </c>
      <c r="C159" t="inlineStr">
        <is>
          <t>Robert Half</t>
        </is>
      </c>
      <c r="D159" t="inlineStr">
        <is>
          <t>linkedin</t>
        </is>
      </c>
      <c r="E159">
        <f>HYPERLINK("https://www.linkedin.com/jobs/view/4372346056", "https://www.linkedin.com/jobs/view/4372346056")</f>
        <v/>
      </c>
      <c r="F159" t="inlineStr"/>
      <c r="G159" t="inlineStr"/>
      <c r="H159" t="inlineStr"/>
      <c r="I159" t="inlineStr">
        <is>
          <t>**Position: Senior Product Manager \- Digital Transformation (Remote)** 
**Location: Remote** 
**Salary: $120 \- $145K \+ bonus \+ excellent benefits** 
**\*\*\* For immediate and confidential consideration, please send a message to MEREDITH CARLE on LinkedIn or send an email to me with your resume. My email can be found on my LinkedIn page. \*\*\*** 
**Senior Product Manager – Digital Transformation (Remote)** 
 Are you ready to help build a brand‑new digital platform from the ground up?
 Join a well‑funded, enterprise\-backed
 **0→1 digital transformation initiative** 
 that’s reinventing how consumers, experience services.
 This is not legacy maintenance.
 This is
 **greenfield** 
 , mobile‑first, high\-impact product leadership.
**Why This Role Is Exciting** 
* New digital department with direct executive support
* Startup energy backed by a nationally recognized, stable enterprise
* Modern, cloud\-first architecture (Flutter Web, microservices, event\-driven patterns)
* Build products used across financial services
* Work with an A‑team of engineers, designers, and product leaders
**What You’ll Do** 
* Lead strategy, discovery, and roadmap for a major domain within a new end\-to\-end digital platform
* Partner closely with engineering, UX/design, and business stakeholders
* Drive MVP definition, sequencing, and measurable outcomes
* Translate customer insights into high\-impact product decisions
* Shape processes, standards, and best practices for a brand‑new product organization
**What Makes You a Great Fit** 
* 7–10\+ years in product management, ideally with 0→1 or platform experience
* Strong discovery and strategic thinking skills
 **OR** 
 strong technical execution and sequencing leadership (two Sr PM roles available)
* Comfort leading in a fast\-paced, ambiguous, collaborative environment
* Ability to influence without authority and work across multiple business domains
* Passion for solving complex workflow and customer experience problems
**What You’ll Love** 
* 100% remote
* High ownership \+ direct access to product and engineering leadership
* The rare chance to build a digital ecosystem from scratch at enterprise scale
**\*\*\* For immediate and confidential consideration, please send a message to MEREDITH CARLE on LinkedIn or send an email to me with your resume. My email can be found on my LinkedIn page. Also, you may contact me by office: 515\-303\-4654\. Or one click apply on our Robert Half website. No third party inquiries please. Our client cannot provide sponsorship and cannot hire C2C. \*\*\***</t>
        </is>
      </c>
    </row>
    <row r="160">
      <c r="A160" t="inlineStr">
        <is>
          <t>li-4373509938</t>
        </is>
      </c>
      <c r="B160" t="inlineStr">
        <is>
          <t>REMOTE- Innovation Product Manager</t>
        </is>
      </c>
      <c r="C160" t="inlineStr">
        <is>
          <t>Lensa</t>
        </is>
      </c>
      <c r="D160" t="inlineStr">
        <is>
          <t>linkedin</t>
        </is>
      </c>
      <c r="E160">
        <f>HYPERLINK("https://www.linkedin.com/jobs/view/4373509938", "https://www.linkedin.com/jobs/view/4373509938")</f>
        <v/>
      </c>
      <c r="F160" t="inlineStr"/>
      <c r="G160" t="inlineStr">
        <is>
          <t>Coral Gables, FL</t>
        </is>
      </c>
      <c r="H160" t="inlineStr"/>
      <c r="I16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An employer is looking for an Innovation Product Manager to sit remotely. Your primary responsibility will be to oversee the portfolio of products/ projects within the client's innovation lab. These consist of new campaigns/ ideas the team brings in through their intake pipeline and evaluate each to determine if they are desirable to pursue. You will manage and create the solution pipeline, track all opportunities and lead new campaigns/ pursuits. You will help create product roadmaps/ strategy around new pursuits and pass off to the solutions team so they can take the necessary next steps to engineer. You will play a pivotal part in spearheading the vetting process for new intakes, evaluate runbooks and identify areas for process improvement. Additional tasks will include evaluating emerging tools/ technologies, lead voting efforts with executives on new ventures, and act as the main point of contact/ advocate for the innovation lab enterprise wide.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experience in product management
 Well versed in evaluating new solutions, prototypes, technologies, etc.
 Strong background in Microsoft tools/ technologies
 Experience in Kanban grooming and building product roadmaps
 Azure Devops experience
 Strong process documentation skills
 Expertise in executive stakeholder management and presentations Experience in enterprise architecture
 Power Platform experience
 Experience in logistics/ supply chain industry
 If you have questions about this posting, please contact support@lensa.com</t>
        </is>
      </c>
    </row>
    <row r="161">
      <c r="A161" t="inlineStr">
        <is>
          <t>li-4372354430</t>
        </is>
      </c>
      <c r="B161" t="inlineStr">
        <is>
          <t>Product Manager</t>
        </is>
      </c>
      <c r="C161" t="inlineStr">
        <is>
          <t>hackajob</t>
        </is>
      </c>
      <c r="D161" t="inlineStr">
        <is>
          <t>linkedin</t>
        </is>
      </c>
      <c r="E161">
        <f>HYPERLINK("https://www.linkedin.com/jobs/view/4372354430", "https://www.linkedin.com/jobs/view/4372354430")</f>
        <v/>
      </c>
      <c r="F161">
        <f>HYPERLINK("https://www.hackajob.com/job/ab5a81eb-09d7-11f1-b544-0a05e249917d-product-manager?utm_source=LinkedIn&amp;utm_medium=JobAds&amp;utm_term=Automated&amp;utm_campaign=comcast-product-manager&amp;job_name=product-manager&amp;company=comcast&amp;workplace_type=on-site&amp;city=philadelphia&amp;country=united-states&amp;urlHash=mRwo", "https://www.hackajob.com/job/ab5a81eb-09d7-11f1-b544-0a05e249917d-product-manager?utm_source=LinkedIn&amp;utm_medium=JobAds&amp;utm_term=Automated&amp;utm_campaign=comcast-product-manager&amp;job_name=product-manager&amp;company=comcast&amp;workplace_type=on-site&amp;city=philadelphia&amp;country=united-states&amp;urlHash=mRwo")</f>
        <v/>
      </c>
      <c r="G161" t="inlineStr">
        <is>
          <t>Philadelphia, PA</t>
        </is>
      </c>
      <c r="H161" t="inlineStr"/>
      <c r="I161"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ION Team vision delivers innovative technology solutions as a service, empowering businesses with actionable data to drive industry\-leading network expansion and revenue growth. Leveraging the expertise in data broadband networks and geographical information systems, we enable organizations to unlock the full potential of their network for strategic success. The ION Team builds software solutions that enable growth across multiple broadband expansions. The Product Manager will coordinate and drive integrations between ION Team platforms, partner platforms and all stakeholders to ensure teams meet delivery timelines. At any given time, Product Manager should expect to lead 2\-3 major integrations and work with existing integration partners on any enhancement requests. The purpose of this role is to ensure internal and external stakeholder alignment throughout the process to support a seamless UAT, Beta and General Go\-To\-Market Availability launch.
**Job Description**
*Comcast experience required for this position*
*This position is ineligible for visa sponsorship. To be considered for this role, you must be legally authorized to work in the United States and not require sponsorship for employment now or in the future.*
 The ideal candidate has at least 5 \- 7 years of experience working with all the various stakeholders listed:
**Internal Stakeholder Management**
* Identify key stakeholders, integration scope and engagement model
* Creating and managing forums to define requirements including setting up collaboration spaces, scheduling meetings, agenda, notes, document storage and action item tracking and resolution to ensure mutual understanding of scope and requirements
* Develop a “sixth sense” and have a point of view and plan of action on next challenge the team will need to overcome to meet the integration deliverables
* Responsible for identifying artifacts (ex. Training videos, job aids, trials) and tracking those deliverables to ensure successful launch
* Work in conjunction with other TPMs to drive an agreed upon timeline for unit testing functionality and end\-to\-end testing activities
**Other Stakeholder Management**
 Product Manager will need to work to identify stakeholders listed below and create forums, schedule meetings, create agenda, take notes, provide a document storage solution and track action item to resolution to ensure a successful launch of integration. Product Manager will be responsible for an engagement model with stakeholders with the skill sets and deliverables outlined below.
* Subject Matter Experts (SME) : This group of resources assists the technical teams in development decision points. Goal of this external stakeholder engagement is to ensure technical team questions are answered and baked into requirements
* User Acceptance Testing resources: this group of resources assists the technical team with testing parts of the implementation and providing feedback. Goal for this eternal stakeholder engagement is to ensure they are engaged and test the required components. A bonus if you can make this group a promoter of the product you’re building.
* Leads/Influencers: This group of resources is the main group Product Manager will need to keep aligned around timelines of product deliverables and educate on the product they will receive. Product Manager will need to ensure this group is committed to helping the team roll out new functionality Nationally.
* External Integration teams: This team will jointly develop requirements with the ION team and will be responsible for delivering code required to enable integration.
* Internal Sr. Leadership: This group must be informed of how integrations are tracking for the program and any blockers they need to remove. This group requires succinct communication on a weekly basis on program progress and specific and clear asks if their involvement is required to unblock or de\-risk the program
* External Sr. Leadership: This group must get involved if alignment around a program that impacts process or resources.
**Product Manager Deliverables And Skill Set**
* Meeting prep:
+ Define success for every meeting
+ Identify questions that need to be answered
+ Deck and Presenter Prep
+ Create and share agenda
+ Identify correct participant list
+ Actions from prior meetings that require follow\-up
* Meeting Operation:
+ Orchestrate a clean and tightly run meeting. A meeting must include:
- Relevant attendees
- Clear communication of goals
- Agenda and prepped speakers
- Notes sent within a day of meeting that:
* Highlight and synthesis of Decisions made / Agreements
* Actions items with action owners and timing to complete
* Links to documents shared
* While many components of this position require tracking work of other team members, this position is solely responsible for:
+ Owning timeline and communication for product delivery – if a date is published, it is either met or re\-baselined with all stakeholders
+ Work with internal team to resolve obstacles
+ If obstacle encountered requires clearance or support from Sr. leadership, outline the issue and decision point required succinctly to drive decisions
+ Ensuring everyone who needs to be informed about the program is informed
+ Keeping all listed stakeholders aligned with objectives and delighted throughout the process
**Required Skills**
* 5 \- 7 years working with cross‑functional stakeholders including SMEs, UAT teams, leadership, technical teams, and integration partners.
* Experience leading 2–3 major platform integrations simultaneously and managing enhancement cycles.
* Proven ability to lead and align internal and external stakeholder groups throughout integration cycles.
* Skilled in managing delivery timelines, re‑baselining dates when needed, and driving successful UAT, Beta, and Go‑To‑Market launches.
* Expertise in preparing agendas, running efficient meetings, capturing decisions and action items, and ensuring timely follow‑through.
* Ability to collaborate effectively with SMEs, UAT testers, leadership teams, and integration partners to clarify requirements and remove obstacles.
* Strong communication skills, including translating technical concepts into simple terms and providing concise updates to senior leadership.
* Demonstrated capacity to anticipate risks, identify upcoming challenges, and proactively drive mitigation plans.
* Comfortable navigating ambiguity, shifting priorities, and fast‑moving environments while keeping teams focused on MVP objectives.
**Additional Skills**
* Ensuring the team brand is protected: We are hard\-working individuals who love our work and are committed to holding each other accountable and are committed to helping each other and the team be the best version of ourselves.
* Ability to study up on the integration objective, understand the technical underbelly of integration but be able to communicate in non\-technical terms
* Sharing passion for the project with all stakeholders
* Natural curiosity about how the world works and platforms specifically
* Succinct communication
* Comfort with many unknowns and ability to make progress in spite these unknowns
* Ability to hyper focus on MVP delivery and rallying team and stakeholders around this objective even if the path is not yet clear
* Comfortable in being uncomfortable; programs move quickly, decisions change, uncertainly it is all around. A successful candidate harnesses chaos and thrives in this environment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Stakeholder Alignment; Adaptability; Timeline Management; Technical Savvy;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62">
      <c r="A162" t="inlineStr">
        <is>
          <t>li-4373531016</t>
        </is>
      </c>
      <c r="B162" t="inlineStr">
        <is>
          <t>Product Manager</t>
        </is>
      </c>
      <c r="C162" t="inlineStr">
        <is>
          <t>Lensa</t>
        </is>
      </c>
      <c r="D162" t="inlineStr">
        <is>
          <t>linkedin</t>
        </is>
      </c>
      <c r="E162">
        <f>HYPERLINK("https://www.linkedin.com/jobs/view/4373531016", "https://www.linkedin.com/jobs/view/4373531016")</f>
        <v/>
      </c>
      <c r="F162" t="inlineStr"/>
      <c r="G162" t="inlineStr">
        <is>
          <t>Phoenix, AZ</t>
        </is>
      </c>
      <c r="H162" t="inlineStr"/>
      <c r="I1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Highmark Health. Clicking "Apply Now" or "Read more" on Lensa redirects you to the job board/employer site. Any information collected there is subject to their terms and privacy notice.
****Company :****
 Highmark Health
****Job Description :****
**JOB SUMMARY**
 This job defines the product’s fundamental value proposition, outlines vision and execution plan, gains alignment and support from key strategic partners and stakeholders, and oversees execution of that vision. This incumbent will attend spring/milestone reviews with the Delivery team.
****ESSENTIAL RESPONSIBILITIES****
* Understand the department's and the company's strategic roadmap and competitive position, and develops a holistic product vision and the corresponding product strategy to drive maximum value. Clearly set and communicate roadmaps, priorities, experiments, and decisions across audiences, from product team to executive levels.
* Actively anticipates future needs and utilizes metrics and qualitative input to identify asset improvement opportunities.
* Represent the product in all governance meetings.
* Clearly sets and communicates roadmaps, priorities, experiments, and decisions across audiences, from product team to executive levels.
* Serve as accountable owner for the sets of products/tools within the designated portfolio.
* Identify and drives both cross\-product and cross\-customer value and shared learnings.
* Guides Agile developments in the role of Product Owner.
* Own the product backlog and uses input from internal and partner teams to frequently refresh and re\-prioritize the backlog.
* Other duties as assigned.
**EDUCATION**
**Required**
* Bachelor's Degree in science, technology, mathematics or related field OR relevant experience and/or education as determined by the company in lieu of bachelor’s degree
**Preferred**
* None
****EXPERIENCE****
 Required
* 3 years of Product experience
**To Include:**
* 3 years with the Software Lifecycle
* 1 year of Advanced domain experience
**Preferred**
* 1 year with the Agile process
**LICENSES or CERTIFICATIONS**
**Required**
* None
****SKILLS****
* Business Acumen for P\&amp;Ls
* Communication
* Conflict Management
****Language (Other Than English):****
 None
****Travel Requirement:****
 0% \- 25%
**PHYSICAL, MENTAL DEMANDS and WORKING CONDITIONS**
**Position Type**
 Office\-based
 Teaches / trains others regularly
 Frequently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$147,500\.00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
 Req ID: J271588
 If you have questions about this posting, please contact support@lensa.com</t>
        </is>
      </c>
    </row>
    <row r="163">
      <c r="A163" t="inlineStr">
        <is>
          <t>li-4373509906</t>
        </is>
      </c>
      <c r="B163" t="inlineStr">
        <is>
          <t>Product Manager (Hybrid)</t>
        </is>
      </c>
      <c r="C163" t="inlineStr">
        <is>
          <t>Lensa</t>
        </is>
      </c>
      <c r="D163" t="inlineStr">
        <is>
          <t>linkedin</t>
        </is>
      </c>
      <c r="E163">
        <f>HYPERLINK("https://www.linkedin.com/jobs/view/4373509906", "https://www.linkedin.com/jobs/view/4373509906")</f>
        <v/>
      </c>
      <c r="F163">
        <f>HYPERLINK("https://lensa.com/cgw/f5db7c22a9e04af1809bfa0cf97560c8tjo1?jpsi=directemployers&amp;publisher_preference=easier_apply&amp;utm_campaign=Other%20Management%20Occupations&amp;utm_medium=slot&amp;utm_source=linkedin&amp;utm_term=jse&amp;urlHash=RdQ9", "https://lensa.com/cgw/f5db7c22a9e04af1809bfa0cf97560c8tjo1?jpsi=directemployers&amp;publisher_preference=easier_apply&amp;utm_campaign=Other%20Management%20Occupations&amp;utm_medium=slot&amp;utm_source=linkedin&amp;utm_term=jse&amp;urlHash=RdQ9")</f>
        <v/>
      </c>
      <c r="G163" t="inlineStr">
        <is>
          <t>Irvine, CA</t>
        </is>
      </c>
      <c r="H163" t="inlineStr"/>
      <c r="I16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Stryker. Clicking "Apply Now" or "Read more" on Lensa redirects you to the job board/employer site. Any information collected there is subject to their terms and privacy notice.
 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of 4 years of work experience.
* Experience in product marketing.
* Demonstrated experience collaborating with multiple cross\-functional stakeholders to deliver projects or business outcomes.
**Preferred Qualifications**
* Master’s Degree (MBA).
* Experience in upstream product marketing.
* Experience managing product roadmaps for capital (hardware\-enabled) and/or software\-driven solutions in an enterprise or regulated environment.
* Experience supporting or participating in new product development processes.
* Experience working within complex, multistep business processes.‑step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If you have questions about this posting, please contact support@lensa.com</t>
        </is>
      </c>
    </row>
    <row r="164">
      <c r="A164" t="inlineStr">
        <is>
          <t>li-4373530062</t>
        </is>
      </c>
      <c r="B164" t="inlineStr">
        <is>
          <t>Product Manager</t>
        </is>
      </c>
      <c r="C164" t="inlineStr">
        <is>
          <t>Lensa</t>
        </is>
      </c>
      <c r="D164" t="inlineStr">
        <is>
          <t>linkedin</t>
        </is>
      </c>
      <c r="E164">
        <f>HYPERLINK("https://www.linkedin.com/jobs/view/4373530062", "https://www.linkedin.com/jobs/view/4373530062")</f>
        <v/>
      </c>
      <c r="F164" t="inlineStr"/>
      <c r="G164" t="inlineStr">
        <is>
          <t>Atlanta, GA</t>
        </is>
      </c>
      <c r="H164" t="inlineStr"/>
      <c r="I1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Product Managers who value moving quickly.
**Required Skills**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**Public Compensation**
 $173,000/year to $241,000/year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65">
      <c r="A165" t="inlineStr">
        <is>
          <t>li-4373533024</t>
        </is>
      </c>
      <c r="B165" t="inlineStr">
        <is>
          <t>Product Manager - AI Defense</t>
        </is>
      </c>
      <c r="C165" t="inlineStr">
        <is>
          <t>Lensa</t>
        </is>
      </c>
      <c r="D165" t="inlineStr">
        <is>
          <t>linkedin</t>
        </is>
      </c>
      <c r="E165">
        <f>HYPERLINK("https://www.linkedin.com/jobs/view/4373533024", "https://www.linkedin.com/jobs/view/4373533024")</f>
        <v/>
      </c>
      <c r="F165" t="inlineStr"/>
      <c r="G165" t="inlineStr">
        <is>
          <t>San Jose, CA</t>
        </is>
      </c>
      <c r="H165" t="inlineStr"/>
      <c r="I16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Cisco. Clicking "Apply Now" or "Read more" on Lensa redirects you to the job board/employer site. Any information collected there is subject to their terms and privacy notice.
 The application window is expected to close on: 02/10/2026
**Job posting may be removed earlier if the position is filled or if a sufficient number of applications are received** 
 .
 Meet the Team
 The AI Software \&amp; Platform team delivers AI products and platform for all Cisco Secure products and portfolios so businesses around the world can defend against threats and safeguard the most vital aspects of their business with security resilience. We are passionate about making our customers secure by simplifying security with zero compromise.
 Your Impact
**Responsibilities**
 As a Product Manager working on AI Defense within our AI Software \&amp; Platform team, you will be responsible for leading efforts focused on the following:
* Lead the design, development, and launch of features aligned with our AI/ML product strategy and roadmap
* Define and prioritize product requirements to address emerging AI security challenges, such as adversarial attacks, data leakage, and model vulnerabilities
* Oversee the entire product lifecycle, from conception and design, to development, launch, and ongoing performance tracking
* Maintain a deep understanding of the competitive landscape and emerging technologies in AI and Security
* Identify market opportunities and contribute to strategic decisions that position Cisco AI Defense as a leader in the industry
* Collaborate with engineers, machine learning experts, threat intelligence teams, and researchers to deliver ML\-powered features that address real\-world AI security threats
* Define and track key performance indicators (KPIs) to measure product success
* Gather feedback from customers and stakeholders to continuously improve product offerings
**Minimum Qualifications**
* 5\+ years of product management experience
* 3\+ years of experience in the AI/ML domain
* Bachelors or Masters degree in computer science, engineering, or related technical field
**Preferred Qualifications**
* Excellent interpersonal skills, with the ability to communicate complex concepts clearly and persuasively across different audiences and varying levels of the organization
* Excellent written, analytical, and problem\-solving skills
* Demonstrated ability to understand and discuss technical concepts, manage trade\-offs, and evaluate opportunistic new ideas with internal and external partners.
* Familiarity with GenAI, ML, and Data platforms and services (e.g. AWS Bedrock, Vertex AI, Azure AI Services, Snowflake, Databricks, OpenAI)
* The capacity to think critically and tackle complex, innovative problems in the field.
* A willingness to continuously learn and adapt, crucial in the ever\-evolving field of AI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$168,800\.00 to $241,200\.00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$168,800\.00 \- $277,400\.00
**Non\-Metro New York State \&amp; Washington State**
 $148,800\.00 \- $248,200\.00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If you have questions about this posting, please contact support@lensa.com</t>
        </is>
      </c>
    </row>
    <row r="166">
      <c r="A166" t="inlineStr">
        <is>
          <t>li-4373529163</t>
        </is>
      </c>
      <c r="B166" t="inlineStr">
        <is>
          <t>Product Manager</t>
        </is>
      </c>
      <c r="C166" t="inlineStr">
        <is>
          <t>Lensa</t>
        </is>
      </c>
      <c r="D166" t="inlineStr">
        <is>
          <t>linkedin</t>
        </is>
      </c>
      <c r="E166">
        <f>HYPERLINK("https://www.linkedin.com/jobs/view/4373529163", "https://www.linkedin.com/jobs/view/4373529163")</f>
        <v/>
      </c>
      <c r="F166">
        <f>HYPERLINK("https://lensa.com/cgw/7b4b10a1c3044bc8a0604f88c3689f6btjo1?jpsi=directemployers_no_redirect&amp;publisher_preference=easier_apply&amp;utm_campaign=Other%20Management%20Occupations&amp;utm_medium=slot&amp;utm_source=linkedin&amp;utm_term=jse&amp;urlHash=3MHc", "https://lensa.com/cgw/7b4b10a1c3044bc8a0604f88c3689f6btjo1?jpsi=directemployers_no_redirect&amp;publisher_preference=easier_apply&amp;utm_campaign=Other%20Management%20Occupations&amp;utm_medium=slot&amp;utm_source=linkedin&amp;utm_term=jse&amp;urlHash=3MHc")</f>
        <v/>
      </c>
      <c r="G166" t="inlineStr">
        <is>
          <t>Dallas, TX</t>
        </is>
      </c>
      <c r="H166" t="inlineStr"/>
      <c r="I1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Santander US. Clicking "Apply Now" or "Read more" on Lensa redirects you to the job board/employer site. Any information collected there is subject to their terms and privacy notice.
**It Starts Here**
 Santander is a global leader and innovator in the financial services industry and is evolving from a high\-impact brand into a technology\-driven organization. Our people are at the heart of this journey and together, we are driving a customer\-centric transformation that values bold thinking, innovation, and the courage to challenge what's possible. This is more than a strategic shift. It's a chance for driven professionals to grow, learn, and make a real difference.
 If you are interested in exploring the possibilities
 **We Want to Talk to You!**
**The Difference You Make**
 The Sr. Associate, Product Management leads product development processes for
 **Auto Finance pricing, decisioning, and originations products** 
 , supporting both consumer and commercial lending. The role partners closely with cross\-functional teams to deliver scalable, compliant, and profitable solutions that support credit risk management, pricing strategy, and funding objectives.
* This role is responsible for defining business and functional requirements, allocating work within projects or teams, and leading the design and execution of product strategies across decision engines, pricing frameworks, and origination platforms.
* Assists in leading cross\-functional sessions with Credit Risk, Pricing Strategy, Development, Operations, Compliance, and Marketing teams as needed.
* Leverages strong familiarity with Auto Finance competitors, consumer and dealer behavior, and market conditions to analyze and review reports prepared by junior analysts.
* Develops deep knowledge of Auto Finance products, including pricing models, decisioning rules, originations workflows, and funding mechanics, with a strong understanding of business, functional, and technical requirements.
* Summarizes analytical findings and provides actionable recommendations for management review.
* Analyzes and defines product business cases using portfolio performance, pricing impact, credit risk outcomes, and industry benchmarks.
* Prioritizes product requirements and evaluates feasibility, regulatory impact, and return on investment.
* Documents and maintains product requirements, user stories, features, and decision logic supporting pricing and originations.
* Maintains comprehensive product documentation, including policy, decisioning, and implementation artifacts.
* Addresses customer, dealer, and internal stakeholder feedback to inform product enhancements and prioritization.
* Assists in defining product scope, ownership, and responsibilities across pricing and originations capabilities.
* Contributes to the achievement of Pricing Strategy, Credit Risk, and Originations team objectives.
* Works closely with business partners to understand end\-to\-end Auto Finance processes, including application intake, decisioning, pricing, funding, and servicing, ensuring solutions align with business priorities.
* Partners with Technology teams on strategic planning, architecture alignment, and Program Increment (PI) planning.
* Develops and maintains product roadmaps and platform strategies for pricing, decisioning, and originations products.
* Differentiates decisioning and pricing services based on portfolio strategy, risk appetite, and dealer/channel needs.
* Stays current on Auto Finance industry trends, regulatory developments, and emerging decisioning and pricing technologies.
* Develops consultative and innovative capabilities to enhance core pricing and decisioning solutions.
* Supports the evolution of organizational and platform structures to deliver efficient, compliant, and scalable Auto Finance solutions, with a focus on speed to market, cost reduction, and elimination of duplicative systems.
**What You Bring**
 To perform this role successfully, an individual must be able to perform each essential duty satisfactorily. The qualifications below represent the knowledge, skills, and abilities required.
* Bachelor's Degree or equivalent work experience in Business, Finance, Technology, or a related field \- Required .
* 9\+ years of relevant professional experience \- Required .
* Strong understanding of Auto Finance regulatory requirements and their impact on pricing, decisioning, and originations products.
* Demonstrated experience in Auto Finance pricing, credit decisioning, and originations platforms , including loan and lease products.
* Proven understanding of the product development lifecycle within regulated financial services.
* Strong analytical skills and financial acumen, with the ability to assess pricing, credit risk, and profitability impacts.
* Demonstrated ability to develop strategic product plans and define a clear course of action to drive portfolio growth and returns.
* Self\-starter with a forward\-thinking mindset and strong ownership mentality.
* Ability to translate complex credit, pricing, and regulatory requirements into scalable product features.
* Strong communication skills with the ability to engage internal teams, dealer\-facing partners, and executive leadership.
* Experience working within Agile and SDLC frameworks in a financial services environment.
* Demonstrates integrity and professionalism when interacting with stakeholders at all levels.
* Excellent verbal, written, and interpersonal communication skills.
* Strong project and stakeholder management capabilities.
* Experience with both Waterfall and Agile delivery methodologies.
* Hands\-on experience with Agile Scrum practices (Daily Standups, PI Planning, Sprint Planning, Sprint Reviews, and Retrospectives).
**Certifications**
* Product Management certification \- Preferred .
**It Would Be Nice For You To Have**
* Established work history or equivalent experience demonstrated through a combination of professional experience, training, military service, or education.
* Experience with Auto Finance decision engines, pricing models, and origination platforms .
* Proficiency with Microsoft Office products.
**What Else You Need To Know**
 The base pay range for this position is posted below and represents the annualized salary range. For hourly positions (non\-exempt), the annual range is based on a 40\-hour work week. The exact compensation may vary based on skills, experience, training, licensure and certifications and location.
**Minimum**
**Base Pay Range:**
 $93,750\.00 USD
**Maximum**
 $165,000\.00 USD
**We Value Your Impact**
 Your contribution matters and it's recognized. You can expect a fair and competitive rewards package that reflects the impact you create and the value you deliver. We know rewards go beyond numbers. Offering more than just a paycheck our benefits are designed to support you, your family and your well\-being, now and into the future. Santander Benefits \- 2026 Santander OnGoing/NH eGuide (foleon.com) (https://businessolver.foleon.com/santander/2026\-santander\-eguide/)
**Risk Culture**
 We embrace a strong risk culture and all of our professionals at all levels are expected to take a proactive and responsible approach toward risk management.
**EEO Statement**
 At Santander, we value and respect differences in our workforce. We actively encourage everyone to apply. Santander is an equal opportunity employer. All qualified applicants will receive consideration for employment without regard to race, color, religion, sex, sexual orientation, gender identity, national origin, genetics, disability, age, veteran status or any other characteristic protected by law.
**Working Conditions**
 Frequent minimal physical effort such as sitting, standing and walking is required for this role. Depending on location, occasional moving and lifting light equipment and/or furniture may be required.
**Employer Rights**
 This job description does not list all of the job duties of the job. You may be asked by your supervisors or managers to perform other duties. You may be evaluated in part based upon your performance of the tasks listed in this job description. The employer has the right to revise this job description at any time. This job description is not a contract for employment and either you or the employer may terminate your employment at any time for any reason.
**What To Do Next**
 If this sounds like a role you are interested in, then please apply.
 We are committed to providing an inclusive and accessible application process for all candidates. If you require any assistance or accommodation due to a disability or any other reason, please contact us at TAOps@santander.us to discuss your needs.
 AN EQUAL OPPORTUNITY EMPLOYER M/F/Vet/Disabled/SO
 If you have questions about this posting, please contact support@lensa.com</t>
        </is>
      </c>
    </row>
    <row r="167">
      <c r="A167" t="inlineStr">
        <is>
          <t>li-4373521567</t>
        </is>
      </c>
      <c r="B167" t="inlineStr">
        <is>
          <t>Lead Technical Product Manager - Remote</t>
        </is>
      </c>
      <c r="C167" t="inlineStr">
        <is>
          <t>Lensa</t>
        </is>
      </c>
      <c r="D167" t="inlineStr">
        <is>
          <t>linkedin</t>
        </is>
      </c>
      <c r="E167">
        <f>HYPERLINK("https://www.linkedin.com/jobs/view/4373521567", "https://www.linkedin.com/jobs/view/4373521567")</f>
        <v/>
      </c>
      <c r="F167" t="inlineStr"/>
      <c r="G167" t="inlineStr">
        <is>
          <t>Minneapolis, MN</t>
        </is>
      </c>
      <c r="H167" t="inlineStr"/>
      <c r="I1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Engagement Technology's mission is to power meaningful, timely, and personalized member interactions across all touchpoints, enabling better experiences and stronger relationships. Our charter is to unify customer data, orchestrate intelligent journeys, and deliver capabilities that elevate how members engage with our products and services.
 The Engagement Tech team brings together product, engineering, data, and architecture disciplines to build scalable platforms that support omnichannel communication, real time decisioning, and continuous experience improvement. We partner closely with business and technology stakeholders to drive platforms that are resilient, modern, and member focused.
 The Lead Technical Product Manager for the Call Center Transformation initiative will own the technology roadmap, platform capabilities, and execution strategy that modernize our contact center ecosystem. This role will define and deliver next generation tools, integrations, and data\-driven experiences that empower agents, streamline operations, and drive exceptional member outcomes.
 You'll enjoy the flexibility to work remotely \* from anywhere within the U.S. as you take on some tough challenges.
**Primary Responsibilities**
* Leads product management activities for multiple products, or one strategic product, with cross\-divisional impact. Drives the design and continuous improvement of AI/ML technical solutions
* Influences and collaborates with cross\-functional teams to create best practices that drive significant change to the client experience. Ensures business outcomes are linked to business case drivers
* Provides guidance to technical product and engineering teams, helping them adopt effective AI/ML practices and insights. Oversees product teams' support of the messaging, communication, and customer outreach as necessary
* Facilitates strong business support through working with team members to promote a consistent approach to decisions/impacts and client propositions. Drives connection across all appropriate internal and external stakeholders
* Leads the planning, development, and implementation of new AI/ML technical products with cross\-divisional impact. Defines and analyzes AI/ML markets, developing detailed product features and requirements, and developing implementation plans
* Drives the team's engineering practices in development, continuous integration, and automated deployment
* Participates in and influences ongoing business planning and departmental prioritization activities
* Manages the complete product lifecycle from strategy and planning to development and go\-to\-market execution for AI/ML\-based products
* Conducts market research and analyzes trends to identify opportunities for AI/ML product innovation and enhancement
* Determines features and functional specifications in collaboration with cross\-functional teams
* Prepares product documentation and enables internal stakeholders (including sales and marketing) with the required product knowledge and technical expertise
* Aligns the Engagement Technology strategy with the enterprise AI strategy, guiding when to adopt existing AI capabilities versus when to build new ones
* Influences and contributes to overall corporate AI strategy and ensures AI development aligns to industry and corporate best practices and responsible guidelines
* Uses customer feedback and product performance data to evaluate current functionality and shape the direction of future releases
* Map and drive improvements across contact center and omnichannel communication workflows (email, SMS, chat, digital channels), leveraging AI/ML enabled capabilities to enhance customer experience, streamline operations, and deliver more intelligent, personalized interactions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Artificial Intelligence, or a related technical field required; Master's degree or MBA preferred
* 10\+ years of experience in product management, technical project management, or AI/ML product leadership roles, including 5 years of experience managing AI/ML solutions, ideally in data\-intensive or AI/ML\-driven platforms
* 5\+ years in AI/ML product lifecycle management, stakeholder engagement, market research, data\-driven decision\-making, and technical collaboration across engineering and data science teams
* 5\+ years working with agile development methodologies, AI/ML frameworks (e.g., TensorFlow, PyTorch), and cloud platforms (e.g., AWS, Azure, GCP) is expected
* 2\+ years of experience improving contact center or omnichannel communication ecosystems (email, SMS, chat, digital), including hands on work or prototyping with AI/ML methods such as intelligent routing, conversational AI, automation, or predictive engagement
* 2\+ years of experience deploying AI/ML products or features into a production
* Deep understanding of the Data and AI platform landscape and emerging technologies
* Solid knowledge of how to leverage AI tools in a business setting
**Preferred Qualifications**
* Experience with contact center platforms (Genesys, Five9, Twilio), agent assist, QA/interaction analytics, or knowledge/deflection
* Proven excellent stakeholder communication and the ability to influence across product, operations, engineering, InfoSec, and compliance
* Proven solid verbal and written communication, problem\-solving, critical thinking, cross\-functional collaboration, and organizational skills
* Proven ability to adapt quickly in a fast\-paced environment, work with ambiguity, and lead products that are technically complex and strategically impactful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
 If you have questions about this posting, please contact support@lensa.com</t>
        </is>
      </c>
    </row>
    <row r="168">
      <c r="A168" t="inlineStr">
        <is>
          <t>li-4373519704</t>
        </is>
      </c>
      <c r="B168" t="inlineStr">
        <is>
          <t>Product Manager</t>
        </is>
      </c>
      <c r="C168" t="inlineStr">
        <is>
          <t>Lensa</t>
        </is>
      </c>
      <c r="D168" t="inlineStr">
        <is>
          <t>linkedin</t>
        </is>
      </c>
      <c r="E168">
        <f>HYPERLINK("https://www.linkedin.com/jobs/view/4373519704", "https://www.linkedin.com/jobs/view/4373519704")</f>
        <v/>
      </c>
      <c r="F168">
        <f>HYPERLINK("https://lensa.com/cgw/29ccbc95708540c5a07b1813ef647513tjo1?jpsi=directemployers_no_redirect&amp;publisher_preference=easier_apply&amp;utm_campaign=Other%20Management%20Occupations&amp;utm_medium=slot&amp;utm_source=linkedin&amp;utm_term=jse&amp;urlHash=vAPs", "https://lensa.com/cgw/29ccbc95708540c5a07b1813ef647513tjo1?jpsi=directemployers_no_redirect&amp;publisher_preference=easier_apply&amp;utm_campaign=Other%20Management%20Occupations&amp;utm_medium=slot&amp;utm_source=linkedin&amp;utm_term=jse&amp;urlHash=vAPs")</f>
        <v/>
      </c>
      <c r="G168" t="inlineStr">
        <is>
          <t>Dallas, TX</t>
        </is>
      </c>
      <c r="H168" t="inlineStr"/>
      <c r="I1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Manpower Group Inc.. Clicking "Apply Now" or "Read more" on Lensa redirects you to the job board/employer site. Any information collected there is subject to their terms and privacy notice.
 Our client, a leading organization in the industry, is seeking a dedicated and experienced ServiceNow HRSD Product Owner to join their dynamic team. As a vital member of the HR technology initiatives, you will have the opportunity to lead the functional design and implementation of innovative HR service management solutions. Your expertise will directly impact the efficiency and effectiveness of HR operations, supporting a diverse workforce and fostering a culture of continuous improvement and excellence.
**Job Title:** 
 Product Manager \- ServiceNow HRSD solutions
**Location:** 
 Dallas, TX
**Pay Range: $60\-$65 on W2\.**
**What's the Job?**
* Lead the functional design and implementation of ServiceNow HRSD solutions to enhance HR service delivery.
* Manage and prioritize the product backlog, ensuring alignment with business goals and ROI.
* Collaborate with HR leaders, process owners, and end\-users to gather requirements and develop detailed user stories.
* Develop and execute testing plans, including user acceptance testing (UAT), to validate solutions before go\-live.
* Ensure the delivered solution meets quality standards and business expectations, supporting continuous improvement.
**What's Needed?**
* Minimum of 3\-5 years of hands\-on experience with the ServiceNow platform, specifically in HRSD implementations.
* Proven experience with at least two full\-cycle ServiceNow HRSD projects, including case and knowledge management, and employee service center.
* Strong understanding of employee workflows and practical experience designing and implementing complex processes.
* Proficiency in Agile methodologies, with experience acting as a ServiceNow Business Analyst, Business Process Consultant, or Product Owner within Scrum or similar frameworks.
* Excellent communication skills, with the ability to influence stakeholders at all levels and translate business needs into technical requirements.
**What's in it for me?**
* Opportunity to lead impactful HR technology projects in a forward\-thinking organization.
* Collaborate with a diverse and talented team committed to innovation and excellence.
* Enhance your skills and expertise in ServiceNow HRSD and Agile project management.
* Work in a supportive environment that values continuous learning and professional growth.
* Be part of a company recognized for its commitment to diversity, inclusion, and ethical practices.
**Upon Completion Of Waiting Period Consultants Are Eligible For**
* Medical and Prescription Drug Plans
* Dental Plan
* Vision Plan
* Health Savings Account
* Health Flexible Spending Account
* Dependent Care Flexible Spending Account
* Supplemental Life Insurance
* Short Term and Long Term Disability Insurance
* Business Travel Insurance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
 If you have questions about this posting, please contact support@lensa.com</t>
        </is>
      </c>
    </row>
    <row r="169">
      <c r="A169" t="inlineStr">
        <is>
          <t>li-4373529060</t>
        </is>
      </c>
      <c r="B169" t="inlineStr">
        <is>
          <t>Product Manager (Leadership)</t>
        </is>
      </c>
      <c r="C169" t="inlineStr">
        <is>
          <t>Lensa</t>
        </is>
      </c>
      <c r="D169" t="inlineStr">
        <is>
          <t>linkedin</t>
        </is>
      </c>
      <c r="E169">
        <f>HYPERLINK("https://www.linkedin.com/jobs/view/4373529060", "https://www.linkedin.com/jobs/view/4373529060")</f>
        <v/>
      </c>
      <c r="F169">
        <f>HYPERLINK("https://lensa.com/cgw/68e2a0fd2b91416f85db537b6733e02btjo1?jpsi=directemployers&amp;publisher_preference=easier_apply&amp;utm_campaign=Other%20Management%20Occupations&amp;utm_medium=slot&amp;utm_source=linkedin&amp;utm_term=jse&amp;urlHash=q4BT", "https://lensa.com/cgw/68e2a0fd2b91416f85db537b6733e02btjo1?jpsi=directemployers&amp;publisher_preference=easier_apply&amp;utm_campaign=Other%20Management%20Occupations&amp;utm_medium=slot&amp;utm_source=linkedin&amp;utm_term=jse&amp;urlHash=q4BT")</f>
        <v/>
      </c>
      <c r="G169" t="inlineStr">
        <is>
          <t>Boston, MA</t>
        </is>
      </c>
      <c r="H169" t="inlineStr"/>
      <c r="I16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**Required Skills**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Preferred Qualifications:
* Experience in a consumer focused technology company
* Experience building 0\-1 products, platform/ecosystem products, or marketplaces
**Public Compensation**
 $249,000/year to $323,000/year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70">
      <c r="A170" t="inlineStr">
        <is>
          <t>li-4372344183</t>
        </is>
      </c>
      <c r="B170" t="inlineStr">
        <is>
          <t>Senior Product Manager - Pay</t>
        </is>
      </c>
      <c r="C170" t="inlineStr">
        <is>
          <t>Olo</t>
        </is>
      </c>
      <c r="D170" t="inlineStr">
        <is>
          <t>linkedin</t>
        </is>
      </c>
      <c r="E170">
        <f>HYPERLINK("https://www.linkedin.com/jobs/view/4372344183", "https://www.linkedin.com/jobs/view/4372344183")</f>
        <v/>
      </c>
      <c r="F170">
        <f>HYPERLINK("https://jobs.lever.co/olo/1d536dbd-eac9-4ea2-b22e-b50d19b28cc8&amp;urlHash=sFqq", "https://jobs.lever.co/olo/1d536dbd-eac9-4ea2-b22e-b50d19b28cc8&amp;urlHash=sFqq")</f>
        <v/>
      </c>
      <c r="G170" t="inlineStr"/>
      <c r="H170" t="inlineStr"/>
      <c r="I170" t="inlineStr">
        <is>
          <t>Olo is a leading SaaS platform accelerating digital transformation in the restaurant industry by helping customers deliver more personalized and profitable guest experiences. As a result, our digital ordering, payment, and guest engagement solutions and data enable brands to do more with less and make every guest feel like a regular.
 As a
 **Senior Product Manager** 
 , you are on a mission to identify and solve our customers’ most perplexing challenges by owning mission\-critical, in\-store payment experiences. You develop the vision and strategy for your product while maintaining alignment with executive stakeholders.
 Reporting to the Director, Product Management, you will lead your team on the prioritization, discovery, and launch of solutions that directly impact restaurant revenue, guest experience, and customer reputation. Your relentless focus on measuring impact ensures we continuously deliver value and maintain our position as the best\-in\-breed provider in our space.
 You can work remotely from anywhere in the U.S. or at Olo’s headquarters in NYC.
**What You'll Be Doing** 
* Own the end\-to\-end card\-present payments experience, including defining strategy across software, third\-party integrations, and hardware.
* Balance payment processing, customer experience, fraud prevention, and customer experience in card\-present transaction flows.
* Serve as the product lead for key payments and POS partners, influencing roadmaps and navigating platform constraints.
* Proactively seeks opportunities to improve business processes, product development methodologies, and team workflows without explicit direction, demonstrating initiative and a commitment to continuous improvement.
* Independently develop and refresh the long\-term vision and strategy for your product, ensuring alignment with leadership on strategic objectives.
* Identify and present opportunities to invest in and monetize solutions for customer problems, developing coherent business cases to gain cross\-functional executive alignment.
* Known expert on multiple products, customers, user personas and their respective pain points.
* Frequently leverage data analytics and insights to inform decision\-making processes and drive product improvements and optimizations.
* Develop and foster direct, ongoing relationships with customers to establish unencumbered access to customer insights.
* Proactively balance technical and customer\-centric priorities to enhance product reliability and long\-term sustainability.
* Ensure economic viability by managing the budget and securing executive approval for major cost increases.
* Lead the development and execution of feature launch plans in collaboration with Product Marketing to drive adoption and achieve KPI.
* Independently identify and own failures to meet goals and determine the appropriate next steps without requiring management intervention.
* Provide frequent stakeholder updates on product development progress, ensuring regular feedback is sought and addressed to drive continuous improvement.
**What We'll Expect From You** 
* 5\+ years of experience in a software Product Management role.
* Track record of consistently delivering on your team's quarterly product objectives.
* Experience influencing and collaborating with senior executives, effectively communicating product vision and strategy, and driving alignment on high\-impact initiatives.
* Experience presenting complex ideas clearly and persuasively, navigating organizational dynamics, and building strong relationships at all levels of the organization.
* Experience leveraging a toolkit of proven strategies and techniques to tackle complex challenges, initiate feature initiatives, and drive accelerated progress.
* Experience leading changes as new information arises, making sound tradeoff decisions to support customer and business needs.
* Bachelor’s Degree or higher, or equivalent practical experience.
**About Olo** 
 Olo is a leading restaurant technology provider with ordering, payment, and guest engagement solutions that help brands increase orders, streamline operations, and improve the guest experience. Each day, Olo processes millions of orders on its open SaaS platform, gathering the right data from each touchpoint into a single source—so restaurants can better understand and better serve every guest on every channel, every time. Over 800 restaurant brands trust Olo and its network of more than 400 integration partners to innovate on behalf of the restaurant community, accelerating technology’s positive impact and creating a world where every restaurant guest feels like a regular. Learn more at
 olo.com
 .
 We’re remote\-friendly. Since 2015, we have been evolving our culture to continue to support a more distributed workforce and now over 75% of our team works remotely across the U.S. If you're in the New York City area, you can choose to work remotely or from Olo's headquarters.
 We offer great benefits, such as 20 days of paid time off, 10 sick days, 11 holidays, plus year\-end closure, health, dental, and vision coverage for yourself and your family, a 401k match, remote\-office stipend, a generous parental leave plan, volunteer time off, gift matching policy, and more!
 Our best estimate of the compensation range for this opportunity is $136,000\-$190,000 annually, depending on your experience and location. We look forward to discussing your salary expectations and our full total rewards offerings throughout the interview process.
**We encourage you to apply!** 
 At Olo, we believe bringing together people with varied experiences and viewpoints leads to better results. Don't check every box in the job description? Research shows many qualified candidates hold back from applying unless they meet all listed requirements. We're committed to creating a genuine workplace where everyone can contribute their best work—this improves our decision\-making and helps us better serve our communities. So if you're enthusiastic about this role but your background doesn't align perfectly with every qualification, we encourage you to apply anyway. You might be exactly the right fit for this or other positions.
 All applicants receive consideration for employment. We do not discriminate on the basis of race, religion, color, national origin, gender identity, sexual orientation, pregnancy, age, marital status, veteran status, or disability status.
 California Residents: CCPA notice</t>
        </is>
      </c>
    </row>
    <row r="171">
      <c r="A171" t="inlineStr">
        <is>
          <t>li-4373510930</t>
        </is>
      </c>
      <c r="B171" t="inlineStr">
        <is>
          <t>Product Manager - AI Based Developer Tools</t>
        </is>
      </c>
      <c r="C171" t="inlineStr">
        <is>
          <t>Lensa</t>
        </is>
      </c>
      <c r="D171" t="inlineStr">
        <is>
          <t>linkedin</t>
        </is>
      </c>
      <c r="E171">
        <f>HYPERLINK("https://www.linkedin.com/jobs/view/4373510930", "https://www.linkedin.com/jobs/view/4373510930")</f>
        <v/>
      </c>
      <c r="F171" t="inlineStr"/>
      <c r="G171" t="inlineStr">
        <is>
          <t>Redmond, WA</t>
        </is>
      </c>
      <c r="H171" t="inlineStr"/>
      <c r="I1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NVIDIA. Clicking "Apply Now" or "Read more" on Lensa redirects you to the job board/employer site. Any information collected there is subject to their terms and privacy notice.
 Are you passionate about building outstanding future looking software that helps developers solve difficult accelerated computing problems? Have you ever dreamed of helping bring next gen AI to life? Do you want to work with a fast, agile, and experienced team and move at the speed of light? NVIDIA is looking to hire a technical, creative and hands\-on Product Manager to pioneer the next generation of Nsight AI powered Developer Tools .
 As a valued member of the team you'll work directly with Developer Tools leadership, internal \&amp; external partners, account managers of light house accounts and customers to define and develop proof of concepts for new initiatives and influence the direction of tools used by developers world\-wide to harness the full power of NVIDIA accelerated computing stack. This is a technical role in an agile and fast paced environment. Part of every day should be spent working closely with Lighthouse customers, understanding their workflows, gathering feedback, feature requests and bugs in a timely fashion to help them be successful. All while keeping pace with technology changes. Everyone has a different learning style, we will support your self\-directed learning.
**What You'll Be Doing**
* Work closely with customers, build surveys, present at conferences, understand product quality and prioritize critical bugs.
* Collect and track KPI insights and build market analysis that provides the data to adjust the product through impartial research.
* Understand who our competitors are and where we can differentiate and provide extra value to our customers.
* Work with marketing to define positioning that enables the creation of technical content, including blog posts, webinars, developer tutorials, and more to communicate the product value proposition and showcase success stories.
* Define the go\-to\-market strategy and provide guidance to the cross\-functional implementation of the plan across the team.
* Collaborate with engineering to promote the customer's needs through setting feature priorities across roadmaps.
* Coordinate with peer organizations within NVIDIA on unified objectives.
* Be a power user of the tools who can both educate and hold technical discussions with engineers and developers
**What We Need To See**
* BS or MS in Computer Science, Engineering, or other technical field or equivalent experience.
* Hands\-on experience building AI systems or in a field that requires technical knowledge of model benchmarking, tuning, optimization pipelines(e.g. RAG) and orchestration frameworks(agentic systems).
* 5\+ years of technical product management or similar experience at a technology company.
* Consistent track record of teamwork across teams, customers, and partners.
* Outstanding interpersonal and public communication skills with a shown ability to articulate a value proposition to technical and non\-technical audiences.
* Able to work effectively with a team of engineers in a fast paced and multifaceted environment.
**Ways To Stand Out From The Crowd**
* Experience with software development lifecycles and first hand programming on large code bases. Using NVIDIA technologies such as CUDA, developer tools, and software.
* Be able to demonstrate initiative and determination in getting things done through a consistent record of accomplishments.
* Leadership or active participation in standards bodies or communities with research publications and/or contributions to open source.
 NVIDIA is widely considered to be one of the technology world’s most desirable employers with some of the most forward\-thinking and hardworking people in the world working here. If you're highly technical and enthusiastic about inventing the future of developer experience using AI, we want to hear from you! For two decades, we have pioneered accelerated computing. With our invention of the GPU \- the engine of modern accelerated computing \- the field has expanded to encompass video games, movie production, product design, medical diagnosis and scientific research. Today, with AI we stand at the forefront of enabling a new computing model, the AI computing era.
 Your base salary will be determined based on your location, experience, and the pay of employees in similar positions. The base salary range is 148,000 USD \- 224,250 USD.
 You will also be eligible for equity and benefits (https://www.nvidia.com/en\-us/benefits/) .
 Applications for this job will be accepted at least until February 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If you have questions about this posting, please contact support@lensa.com</t>
        </is>
      </c>
    </row>
    <row r="172">
      <c r="A172" t="inlineStr">
        <is>
          <t>li-4373515787</t>
        </is>
      </c>
      <c r="B172" t="inlineStr">
        <is>
          <t>Product Manager (Leadership)</t>
        </is>
      </c>
      <c r="C172" t="inlineStr">
        <is>
          <t>Lensa</t>
        </is>
      </c>
      <c r="D172" t="inlineStr">
        <is>
          <t>linkedin</t>
        </is>
      </c>
      <c r="E172">
        <f>HYPERLINK("https://www.linkedin.com/jobs/view/4373515787", "https://www.linkedin.com/jobs/view/4373515787")</f>
        <v/>
      </c>
      <c r="F172" t="inlineStr"/>
      <c r="G172" t="inlineStr">
        <is>
          <t>Sunnyvale, CA</t>
        </is>
      </c>
      <c r="H172" t="inlineStr"/>
      <c r="I1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**Required Skills**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 BA/BS in Computer Science or related field
**Preferred Qualifications**
 Preferred Qualifications:
* Experience in a consumer focused technology company
* Experience building 0\-1 products, platform/ecosystem products, or marketplaces
**Public Compensation**
 $249,000/year to $323,000/year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If you have questions about this posting, please contact support@lensa.com</t>
        </is>
      </c>
    </row>
    <row r="173">
      <c r="A173" t="inlineStr">
        <is>
          <t>li-4317533463</t>
        </is>
      </c>
      <c r="B173" t="inlineStr">
        <is>
          <t>AI Product Manager - Remote</t>
        </is>
      </c>
      <c r="C173" t="inlineStr">
        <is>
          <t>First American</t>
        </is>
      </c>
      <c r="D173" t="inlineStr">
        <is>
          <t>linkedin</t>
        </is>
      </c>
      <c r="E173">
        <f>HYPERLINK("https://www.linkedin.com/jobs/view/4317533463", "https://www.linkedin.com/jobs/view/4317533463")</f>
        <v/>
      </c>
      <c r="F173" t="inlineStr"/>
      <c r="G173" t="inlineStr">
        <is>
          <t>Santa Rosa, CA</t>
        </is>
      </c>
      <c r="H173" t="inlineStr"/>
      <c r="I173" t="inlineStr">
        <is>
          <t>**Who We Are**
 Join a team that puts its People First! As a member of First American’s family of companies, First American Home Warranty offers a wide range of home warranty products and services to home sellers, buyers and agents. Since 1889, First American (NYSE: FAF) has held an unwavering belief in its people. They are passionate about what they do, and we are equally passionate about fostering an environment where all feel welcome, supported, and empowered to be innovative and reach their full potential. Our inclusive, people\-first culture has earned our company numerous accolades, including being named to the Fortune 100 Best Companies to Work For® list for ten consecutive years. We have also earned awards as a best place to work for women, diversity and LGBTQ\+ employees, and have been included on more than 50 regional best places to work lists. First American will always strive to be a great place to work, for all. For more information, please visit www.careers.firstam.com.
**What We Do**
 Ready to shape the future of AI at scale? We’re looking for a visionary AI Product Manager to define and drive our enterprise\-wide AI strategy at First American Home Warranty. This high\-impact leadership role will set the direction for how we adopt and govern AI across technologies, platforms, and business functions.
 You’ll lead initiatives spanning large language models (LLMs), retrieval\-augmented generation (RAG), predictive analytics, and intelligent automation, ensuring solutions deliver measurable business value while meeting regulatory standards. If you’re passionate about driving innovation and building a culture of responsible AI, this is your opportunity.
**What You’ll Do**
* Define and execute the enterprise AI roadmap, aligning with business strategy and compliance.
* Evaluate and prioritize AI use cases across operations, IT, risk, and legal.
* Serve as the strategic and technical lead for AI platforms like Microsoft CoPilot, Appian, ChatGPT, Fabric, MLflow, and more.
* Design and implement AI governance frameworks for testing, validation, and deployment.
* Oversee development and deployment of AI solutions using Python, MLflow, and cloud\-based ML services.
* Manage and mentor AI talent, starting with a senior data scientist, while building organizational AI literacy.
* Champion responsible AI adoption, leading education and enablement programs for business users.
* Track emerging AI technologies and recommend adoption strategies.
**What We’re Looking For**
* Bachelor’s in Computer Science, Data Science, or related field; advanced degree preferred.
* 10\+ years in product management, with 3–5 years focused on AI/ML platforms.
* Proven experience managing AI/ML model lifecycle and governance in regulated environments.
* Expertise in LLMs, RAG systems, predictive analytics, and AI agents.
* Fluency with Python, SQL, MLflow, and enterprise ecosystems like Azure, CoPilot, Appian.
* Exceptional leadership, stakeholder management, and communication skills.
* Strategic thinker who balances innovation with compliance.
**Why You’ll Love It Here**
* Lead the enterprise AI strategy at a nationally respected company.
* Shape how AI transforms customer experience and business operations.
* Work with cutting\-edge platforms: LLMs, CoPilot, Fabric, MLflow.
* Build and champion a culture of responsible AI innovation.
* Join a collaborative, forward\-thinking team that values autonomy and continuous learning.
**Benefits**
* Competitive salary and performance\-based bonuses.
* Comprehensive health, dental, and vision coverage.
* 401(k) with company match.
* Flexible work arrangements, including remote options.
* Generous PTO and professional development opportunities.
**Ready to lead the future of AI? Apply now and make your mark.**
 Pay Range: $148,600\.00 \- $198,200\.00 Annually
 This hiring range is a reasonable estimate of the base pay range for this position at the time of posting. Pay is based on a number of factors which may include job\-related knowledge, skills, experience, business requirements and geographic location.
* Note that the following statements only apply to candidates who will be working from an unincorporated area within Los Angeles County. \*\*
 First American will consider for employment all qualified applicants, including those with arrest or conviction records, in a manner consistent with the requirements of applicable state and local laws (e.g., the Los Angeles County Fair Chance Ordinance for Employers and the California Fair Chance Act).
 First American intends to conduct a review of an applicant’s criminal history in connection with a conditional offer. First American reasonably believes that a criminal history may have a direct, adverse and negative relationship with the following material job duties for this position potentially resulting in the withdrawal of the conditional offer of employment: handling of confidential, proprietary or trade secret information belonging to First American or its customers, administrating or facilitating financial transactions, and the ability to meet customer\-imposed criminal history requirements.
**What We Offer**
 By choice, we don’t simply accept individuality – we embrace it, we support it, and we thrive on it! Our People First Culture celebrates diversity, equity and inclusion not simply because it’s the right thing to do, but also because it’s the key to our success. We are proud to foster an authentic and inclusive workplace For All. You are free and encouraged to bring your entire, unique self to work. First American is an equal opportunity employer in every sense of the term.
 Based on eligibility, First American offers a comprehensive benefits package including medical, dental, vision, 401k, PTO/paid sick leave and other great benefits like an employee stock purchase plan.</t>
        </is>
      </c>
    </row>
    <row r="174">
      <c r="A174" t="inlineStr">
        <is>
          <t>li-4372345517</t>
        </is>
      </c>
      <c r="B174" t="inlineStr">
        <is>
          <t>Product Manager - Commodities Technology</t>
        </is>
      </c>
      <c r="C174" t="inlineStr">
        <is>
          <t>hackajob</t>
        </is>
      </c>
      <c r="D174" t="inlineStr">
        <is>
          <t>linkedin</t>
        </is>
      </c>
      <c r="E174">
        <f>HYPERLINK("https://www.linkedin.com/jobs/view/4372345517", "https://www.linkedin.com/jobs/view/4372345517")</f>
        <v/>
      </c>
      <c r="F174" t="inlineStr"/>
      <c r="G174" t="inlineStr">
        <is>
          <t>Houston, TX</t>
        </is>
      </c>
      <c r="H174" t="inlineStr"/>
      <c r="I174"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Commodities Technology,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Act as the bridge between business stakeholders and technology delivery teams.
* Ensure technology solutions deliver measurable business value and regulatory compliance.
* Own and manage the product backlog with clear list of initiatives, deliverables, epics and stories
* Collaborate with Engineering Leads and Development Teams to translate business needs into actionable requirements.
* Maintain a detailed execution plan for all deliverables with lowest level of granularity tracking originally committed date, current target date, RAG status and status commentary
* Understand system architecture, data flows, and integration points across front\-to\-back systems.
* Participate in testing, validation, and release sign\-off to ensure business requirements are met.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Experience in Trade Capture, Lifecycle and Risk in one or more asset classes
* Demonstrable experience in running complex F2B projects with stakeholders across Front Office, Middle Office and Back Office
* Strong Communicator with good attention to detail
* Ability to context switch between multiple initiatives
**Preferred Qualifications, Capabilities And Skill**
* Demonstrated prior experience working in a highly matrixed, complex organization
* Experience in Commodities
* Technical expertise in Python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5">
      <c r="A175" t="inlineStr">
        <is>
          <t>li-4373519679</t>
        </is>
      </c>
      <c r="B175" t="inlineStr">
        <is>
          <t>Product Manager - Tysons, VA</t>
        </is>
      </c>
      <c r="C175" t="inlineStr">
        <is>
          <t>Lensa</t>
        </is>
      </c>
      <c r="D175" t="inlineStr">
        <is>
          <t>linkedin</t>
        </is>
      </c>
      <c r="E175">
        <f>HYPERLINK("https://www.linkedin.com/jobs/view/4373519679", "https://www.linkedin.com/jobs/view/4373519679")</f>
        <v/>
      </c>
      <c r="F175" t="inlineStr"/>
      <c r="G175" t="inlineStr">
        <is>
          <t>Vienna, VA</t>
        </is>
      </c>
      <c r="H175" t="inlineStr"/>
      <c r="I1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M.C. Dean, Inc.. Clicking "Apply Now" or "Read more" on Lensa redirects you to the job board/employer site. Any information collected there is subject to their terms and privacy notice.
**Overview**
**About M.C. Dean**
 M.C. Dean is Building Intelligence. We design, build, operate, and maintain cyber\-physical solutions for the nation's most mission\-critical facilities, secure environments, complex infrastructure, and global enterprises. With over 7,000 employees, our capabilities span electrical, electronic security, telecommunications, life safety, automation and controls, audiovisual, and IT systems. Headquarters in Tysons, Virginia, M.C. Dean delivers resilient, secure, and innovative power and technology solutions through engineering expertise and smart systems integration.
**Why Join Us?**
 Our people are passionate about engineering innovation that improves lives and drives impactful change. Guided by our core values\-agility, expertise, and trust\-we foster a collaborative and forward\-thinking work environment. At M.C. Dean, we are committed to building the next generation of technical leaders in electrical, engineering, and cybersecurity industries.
**Responsibilities**
 We design, develop, deploy and manage software which extends, manages, and integrates the OT solutions we deploy with our customer's business systems. The software we develop orchestrates critical business processes for our customers and automates data flow to form their enterprise systems. The focus of this position is driving delivery of the software we build for our customers throughout the entirety of the Software Development Life Cycle. The successful candidate will have a keen ability to research, empathize with, and translate user needs into prioritized, clearly defined product requirements that are understandable by technical and business teams. The Product Manager responsibilities will include (but will not be limited to) the following:
* Assist with the end\-to\-end product lifecycle from concept to implementation.
* Capture, document, and communicate customer needs, translating requirements into features and user stories and drive the technical team's understanding of requirements.
* Assist with the definition and prioritization of product roadmaps to best meet the needs of a diverse set of internal and external stakeholders throughout the organization and across our customer set.
* Collaborate with engineering teams to define product requirements and ensure timely product delivery.
* Manage product backlog, prioritize features, and work with technical and project stakeholders to make trade\-off decisions.
* Lead day to day software operations, managing productivity to ensure release targets are consistently met by managing work assignments, balancing resources, and remediating blocking conditions.
* Create, manage, and maintain detailed and accurate system documentation, including design and configuration plans, design diagrams, task\-oriented procedures, operations and maintenance plans, etc.
* Assist with planning and conduction of user testing (UAT).
* Establish KPIs, identify gaps, and improve performance and adoption of the products we deliver.
* Co\-lead product demos, training sessions, and other activities to support internal and external stakeholders.
**Qualifications**
**Clearance/Citizen Type:** 
 Applicants selected will be subject to a government security investigation and must meet eligibility requirements, including U.S. Citizenship, for access to classified information;
 **ability to obtain a TS/SCI with Polygraph is REQUIRED**
**Key Requirements**
* Education: Bachelor's degree in Computer Science, Information Technology, or a related Technical Discipline with 2\+ years of progressive experience in product management and software delivery.
* Experience:
* Proven track record of successfully launching and managing complex software products.
* Strong understanding of application lifecycle management systems, such as Atlassian Jira (and related components), Azure DevOps, GitLab, etc. to manage, monitor, and report on software development project status and performance.
* Working knowledge and hands\-on experience with MS Azure and cloud services and technologies, including compute, database, storage, network virtualization, and security services.
* Working understanding of network infrastructure, concepts of operation, and protocols such as TCP/IP, DNS, DHCP, SNMP, Syslog, etc.
* Demonstrated time management and organization skills while working in a fast\-paced, multidiscipline team environment.
* Strong analytical and problem\-solving skills.
* Strong communication (oral and written) skills.
* Proficiency with workflow and lifecycle management systems (e.g. Atlassian Jira).
**What We Offer**
* A collaborative team inspired by the way engineering and innovation enhance customer outcomes, improve lives, and change the world for the better. We are driven by our core values of agility, expertise, and trust.
* An opportunity to lead and build a business with the support of an industry\-leading firm that has been in business for 75 years.
* Investment in your skills and expertise through a combination of professional and technical training programs, including leadership training and tuition reimbursement.
* Open and transparent communication with senior leadership as well as local office management.
**We Offer An Excellent Benefits Package Including**
* A competitive salary
* Medical, dental, vision, life, and disability insurance
* Paid time off
* Tuition reimbursement
* 401k Retirement Plan
* Military Reserve pay offset
* Paid maternity leave
**Abilities**
* Exposure to computer screens for an extended period of time.
* Sitting for extended periods of time.
* Reach by extending hands or arms in any direction.
* Have finger dexterity in order to manipulate objects with fingers rather than whole hands or arms, for example, using a keyboard.
* Listen to and understand information and ideas presented through spoken words and sentences.
* Communicate information and ideas in speaking so others will understand.
* Read and understand information and ideas presented in writing.
* Apply general rules to specific problems to produce answers that make sense.
* Identify and understand the speech of another person.
 If you have questions about this posting, please contact support@lensa.com</t>
        </is>
      </c>
    </row>
    <row r="176">
      <c r="A176" t="inlineStr">
        <is>
          <t>li-4373510475</t>
        </is>
      </c>
      <c r="B176" t="inlineStr">
        <is>
          <t>Staff Product Manager - Billing &amp; Reporting</t>
        </is>
      </c>
      <c r="C176" t="inlineStr">
        <is>
          <t>Socure</t>
        </is>
      </c>
      <c r="D176" t="inlineStr">
        <is>
          <t>linkedin</t>
        </is>
      </c>
      <c r="E176">
        <f>HYPERLINK("https://www.linkedin.com/jobs/view/4373510475", "https://www.linkedin.com/jobs/view/4373510475")</f>
        <v/>
      </c>
      <c r="F176" t="inlineStr"/>
      <c r="G176" t="inlineStr"/>
      <c r="H176" t="inlineStr"/>
      <c r="I176"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Turn product value into revenue and insight. This role owns the zero to one build of Socure’s real time billing, usage metering, entitlements, and reporting on RiskOS. It sits at the center of our hypergrowth engine and connects product innovation to clean revenue, accurate forecasting, and executive level visibility. Work across Product, Engineering, Accounting, Revenue Operations, Finance, and Business Intelligence to create a standardized billing foundation and a reporting layer that leaders and customers trust.
 What You'll Do
* Define the billing spec. Create and maintain a standardized billing and metering specification that every Socure product integrates with for consistent monetization and usage capture.
* Build real time billing. Partner with Engineering to deliver a real time, event driven billing flow in RiskOS, including metering, rating, proration, discounts, bundles, commitments, and overage rules.
* Lead billing modernization. Drive the migration from legacy systems to the new unified, real\-time billing and metering architecture \- ensuring data integrity, backward compatibility, and audit continuity.
* Own entitlements and usage. Design APIs and SDKs that make it simple for product teams to meter usage and enforce entitlements with low latency and high reliability.
* Report with clarity. Deliver core data products and dashboards for billing, usage, and performance. Provide executive and customer facing reporting that is accurate, timely, and self\-serve.
* Harden the data. Govern data quality, lineage, integrity, reconciliation, auditability, and SLAs for billing and reporting datasets.
* Integrate the stack. Drive the roadmap for ERP, CPQ, CRM, and payments integrations. Examples include NetSuite, Salesforce, Snowflake, Tableau.
* Close the loop. Partner with Finance, Accounting, and RevOps on revenue recognition, month end close, forecasting, and dispute reduction.
* Guide pricing and packaging. Advise PMs on the implications of new products and features. Enable experiments, price plans, discounts, and usage relationships without custom code.
* Instrument and observe. Establish monitoring, alerting, and error budgets for metering and billing services. Reduce revenue leakage and silent failures.
* Continuously improve. Identify gaps, propose enhancements, prioritize the roadmap, ship, and measure outcomes.
 What You Bring
* 4 to 7 years in product management or a similar role in SaaS or B2B technology with exposure to billing, usage metering, revenue operations, or financial systems.
* Strong understanding of billing systems and financial data pipelines and how they integrate with product and platform architecture.
* Proven record working with Finance, Accounting, RevOps, and BI to deliver tools, reporting, or data integrations that changed outcomes.
* Ability to turn business and operational needs into clear specs, user stories, and acceptance criteria, then drive execution across teams.
* Familiarity with data modeling, pipelines, and API driven integrations, plus a point of view on reliability and governance.
* Excellent stakeholder management and communication across technical and non technical teams with influence without direct authority.
* Analytical mindset with comfort diving into data, finding issues, running root cause, and partnering to fix them.
* Bonus experience with real time billing, usage analytics, or tools such as NetSuite, Snowflake or Tableau.
 What Success Looks Like in Year One
* Real time billing lives in RiskOS, with sub minute metering latency and reliable reporting.
* Executive and customer facing reporting that is accurate, timely, and used in weekly and monthly business reviews.
* Month\-end\-close faster by several days with clear reconciliation and fewer billing disputes.
* Measurable reduction in revenue leakage and data quality incidents, with strong alerting and on\-call health.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$180K \- $220K</t>
        </is>
      </c>
    </row>
    <row r="177">
      <c r="A177" t="inlineStr">
        <is>
          <t>li-4372353461</t>
        </is>
      </c>
      <c r="B177" t="inlineStr">
        <is>
          <t>Finance Product Owner - Associate</t>
        </is>
      </c>
      <c r="C177" t="inlineStr">
        <is>
          <t>hackajob</t>
        </is>
      </c>
      <c r="D177" t="inlineStr">
        <is>
          <t>linkedin</t>
        </is>
      </c>
      <c r="E177">
        <f>HYPERLINK("https://www.linkedin.com/jobs/view/4372353461", "https://www.linkedin.com/jobs/view/4372353461")</f>
        <v/>
      </c>
      <c r="F177" t="inlineStr"/>
      <c r="G177" t="inlineStr">
        <is>
          <t>Newark, DE</t>
        </is>
      </c>
      <c r="H177" t="inlineStr"/>
      <c r="I177" t="inlineStr">
        <is>
          <t>***hackajob** 
 is collaborating with
 **J.P. Morgan** 
 to connect them with exceptional tech professionals for this role.*
**Job Description**
**The Firmwide Finance Business Architecture (FFBA)** 
 team is responsible for the Global Finance organization Data Acquisition \&amp; Consumption (including Credit Risk \&amp; Treasury), Financial \&amp; Management Reporting, and General Ledger (GL) Target Platform Strategies. The team has established a consolidated framework that creates opportunities for broad\-scale communication, streamlined governance, and increased oversight.
 A key objective of the Business Architecture Team is to manage the delivery of large scale infrastructure programs and business process change management events to ensure accurate, complete and consistent data is readily available for both internal financial reporting and external regulatory reporting purposes, consumed by both LOB stakeholders and corporate groups.
 One of the top priorities across Global Finance, Credit Risk and Liquidity is to evolve the organization to a more integrated data and reporting strategy – one that is globally consistent and usable for business, finance, risk and regulatory requirements.
 As a Finance Product Owner Associate on the
 **Business Architecture Team** 
 , you will work closely with Line of Business stakeholders, data Subject Matter Experts (SMEs), Consumers and technology teams across Finance, Credit Risk \&amp; Treasury and the various Program Management teams.
 The
 **Business Architecture Core Capabilities Team** 
 is responsible for the delivery of applications and tools that enable data management, controls, data modelling and aggregation, analytics, and reporting. The Product Owner’s primary responsibility will be working on the build out and modernization of applications and services utilized for both internal and external reporting that align to critical firm\-wide initiatives. The product owner will partner with users and technology delivering within an agile framework responsible for managing the prioritized backlog to ensure the team is always maximizing delivery value against the firm’s goals.
**Job Responsibilities**
* Design and build user\-facing data analytics tools
* Utilize Agile delivery methodologies, including JIRA and Confluence, to effectively manage and execute projects.
* Develop and deliver clear and tailored communication to various audiences, fostering strong relationships and collaboration.
* Apply knowledge in Data Modelling, Reporting Automation, and Dashboarding, while leveraging data wrangling tools like Alteryx to enhance data processes.
* Organize and prioritize multiple work streams, ensuring attention to detail and adherence to tight deadlines.
* Lead and influence cross\-functional teams, employing strong analytical, problem\-solving, and leadership skills to drive collaboration and achieve organizational goals.
**Required Qualifications, Capabilities, And Skills**
* 5\+ years of experience in user\-facing product ownership, ideally within financial services and/or regulatory reporting, with a strong foundation in both technical and business domains.
* Proven track record in designing and building user\-centric data analytics tools, adept at managing large data volumes across diverse products.
* Ability to swiftly assimilate both business and technical knowledge, juggling multiple work streams with tight deadlines.
* Proficiency in desktop tools (e.g., Excel) and data interaction, including SQL querying, to support both technical and business analysis.
* Demonstrated ability to lead complex projects, leveraging collaboration and influencing skills to drive decision\-making across technical and business stakeholders.
* In\-depth knowledge of data and business intelligence concepts, including ETL, Data Modeling, and Reporting Automation, with a focus on practical application.
* Detail\-oriented, organized, and highly responsible, with strong analytical and problem\-solving skills that integrate technical and business insights.
**Preferred Qualifications, Capabilities And Skills**
* Experience in Agile delivery methodologies, including JIRA and Confluence, to manage both technical and functional project aspects.
* Deep knowledge and experience with a variety of banking products, such as Loans, Deposits, Cash, Derivatives, and Securities, from both a technical and business perspective.
* Experience with UI/UX design and implementation, enhancing user interaction and experience by integrating technical functionality with user needs.
* Hands\-on experience with cutting\-edge technologies like AWS, and Databricks, leveraging these to elevate product capabilities and insights.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is>
      </c>
    </row>
    <row r="178">
      <c r="A178" t="inlineStr">
        <is>
          <t>li-4373523376</t>
        </is>
      </c>
      <c r="B178" t="inlineStr">
        <is>
          <t>Agile 1 - Program Manager</t>
        </is>
      </c>
      <c r="C178" t="inlineStr">
        <is>
          <t>Lensa</t>
        </is>
      </c>
      <c r="D178" t="inlineStr">
        <is>
          <t>linkedin</t>
        </is>
      </c>
      <c r="E178">
        <f>HYPERLINK("https://www.linkedin.com/jobs/view/4373523376", "https://www.linkedin.com/jobs/view/4373523376")</f>
        <v/>
      </c>
      <c r="F178" t="inlineStr"/>
      <c r="G178" t="inlineStr">
        <is>
          <t>Dublin, CA</t>
        </is>
      </c>
      <c r="H178" t="inlineStr"/>
      <c r="I1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 this role we are looking for a Program Manager to work for a leader in the energy industry. In this role you will be responsible for working directly with other parts of the organization to ensure projects are meeting deliverables and KPI's. This organization helps manage operations throughout a larger organization. In this role you will be responsible for the following:
**Program Oversight**
* Manage multiple programs, ensuring adherence to scope, schedule, and budget.
* Act as the escalation point for delivery issues and client concerns.
**Lean \&amp; Process Improvement**
* Implement Lean strategies across programs, leveraging tools such as Value Stream Mapping, Kaizen, 5S, and A3 Problem Solving.
* Identify inefficiencies and bottlenecks in workflows; develop corrective actions and countermeasures.
* Drive a culture of continuous improvement through workshops, training, and coaching.
**Governance \&amp; Reporting**
* Develop and maintain KPIs, SLAs, and dashboards to monitor program health.
* Prepare and present executive\-level reports on financial performance, compliance, and operational metrics.
**Stakeholder Engagement**
* Collaborate with cross\-functional teams to ensure alignment and buy\-in for Lean initiatives.
* Facilitate change management and communication strategies across departments.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4\+ years of Program Management experience
* Understand how to take a project, define the scope /objective and execute
* Understanding of Lean and Agile methodologies (understand change management, lean guidelines and principles)
* Ability to work cross functionally with other stakeholders to drive KPI's and deliverables
* Experience putting together communication plans and approach
* Proven ownership of complex, cross\-functional programs
* Demonstrated ability to translate risk, operations, and data into executive decisions
* Experience driving process change in regulated or high\-consequence environments \- Experience with easement encroachment
* PMP Certification
* Six Sigma Certification (Black or Green belt)
 If you have questions about this posting, please contact support@lensa.com</t>
        </is>
      </c>
    </row>
    <row r="179">
      <c r="A179" t="inlineStr">
        <is>
          <t>li-4364509586</t>
        </is>
      </c>
      <c r="B179" t="inlineStr">
        <is>
          <t>Principal Product Manager - Performance Solutions Delivery Architecture</t>
        </is>
      </c>
      <c r="C179" t="inlineStr">
        <is>
          <t>FactSet</t>
        </is>
      </c>
      <c r="D179" t="inlineStr">
        <is>
          <t>linkedin</t>
        </is>
      </c>
      <c r="E179">
        <f>HYPERLINK("https://www.linkedin.com/jobs/view/4364509586", "https://www.linkedin.com/jobs/view/4364509586")</f>
        <v/>
      </c>
      <c r="F179" t="inlineStr"/>
      <c r="G179" t="inlineStr"/>
      <c r="H179" t="inlineStr"/>
      <c r="I179"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80">
      <c r="A180" t="inlineStr">
        <is>
          <t>li-4373513842</t>
        </is>
      </c>
      <c r="B180" t="inlineStr">
        <is>
          <t>Director, Program Manager</t>
        </is>
      </c>
      <c r="C180" t="inlineStr">
        <is>
          <t>Lensa</t>
        </is>
      </c>
      <c r="D180" t="inlineStr">
        <is>
          <t>linkedin</t>
        </is>
      </c>
      <c r="E180">
        <f>HYPERLINK("https://www.linkedin.com/jobs/view/4373513842", "https://www.linkedin.com/jobs/view/4373513842")</f>
        <v/>
      </c>
      <c r="F180" t="inlineStr"/>
      <c r="G180" t="inlineStr">
        <is>
          <t>New York, NY</t>
        </is>
      </c>
      <c r="H180" t="inlineStr"/>
      <c r="I1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Pfizer. Clicking "Apply Now" or "Read more" on Lensa redirects you to the job board/employer site. Any information collected there is subject to their terms and privacy notice.
**Use Your Power for Purpose**
 Technology impacts everything we do. Pfizer's digital and 'data first' strategy focuses on implementing impactful and innovative technology solutions across all functions from research to manufacturing. Whether you are digitizing drug discovery and development, identifying solutions, or making our work easier and faster, you will be making a difference to countless lives. As the Director, your role will be pivotal in implementing innovative technology solutions that streamline our processes, enhance our capabilities, and ultimately contribute to the well\-being of patients worldwide.
 The Program Director is responsible to lead and manage the Commercial Customer Facing Solutions Delivery Project Management team members in the delivery of end to end technology solutions with expertise in both waterfall and agile approaches. This position will perform that function in partnership and collaboration with Business Partner leaders, other technology service providers, and business team members stakeholders. The role is responsible for effectively leading team members from other Digital groups assigned to the program, overseeing vendor contractors, responsible for coaching and guiding multiple scrum teams in their adoption and execution of agile methodologies, fostering a culture of continuous improvement and collaboration and bringing to bear both superb management expertise and technology capabilities in the execution of project and program responsibilities.
**What You Will Achieve**
 Ensure the delivery of project management deliverables as defined by the project Management Body of Knowledge (PMBOK), implementation of Scrum and other agile practices that are appropriate for the size, scale, complexity and regulatory compliance of the assigned program(s) or project(s). Includes resource management and planning for employees and consultants as needed to achieve project milestones and business outcomes. Perform effective and clear stakeholder management communications and activities with a clear articulation of vision, direction and expectations; supervise project team members and their activities including supplier commitments.
 Effectively manage project and program resources including finances, commercial contracts, people, software licenses and assets, computing platform and intellectual property. Responsible for the value realization of business objectives including a general understanding of business processes and activities.
**In This Role, You Will**
* Prepare and own program proposals that are part of a large project portfolio to determine goals, time frame, funding, procedures for accomplishing project, staffing requirements and colleague resource planning.
* Develop project plans, specifying goals, staffing, scheduling, risks, contingency plans and allocation of available resources.
* Act as a servant leader, facilitating effective team meetings, ceremonies, and discussions, including sprint planning, daily stand\-ups, sprint reviews, and retrospectives.
* Oversee vendor resources assigned to project work including negotiating SOW terms, managing POWs, financial forecasting and reconciliation, invoice cost tracking and distribution, and demand management.
* Be accountable to work closely with Business Partners to ensure business and functional analysis activities (e.g. documenting functional requirements) for projects are clear and concise
* Collaborate with product owners and stakeholders to define and prioritize product backlogs, ensuring alignment with business goals and objectives.
* Effectively leverage all Governance and Portfolio Tools that support project, resource and financial management in accordance with technology standards
* Work with the Core Technologies Lead and Global Product Engineering team to ensure project solutions comply with technology standards
* Own key initiatives forward to achieve technical delivery cost savings targets through effective project estimation, vendor selection and negotiation, and project delivery efficiencies
* Direct and coordinate activities of project personnel to ensure project progresses on schedule and within budget.
* Remove impediments and roadblocks to help the team maintain focus and meet sprint commitments.
* Establish standards and procedures for project reporting and documentation.
* Prepare project status reports, and keep stakeholders informed of project status and related issues.
* Confer with project personnel to provide technical advice and resolve problems.
* Coordinate and respond to requests for changes from original specifications.
* Develop quality assurance test plans and ensure quality assurance testing.
* Work closely with Core Technologists and Service Managers to understand and put in the measures for meeting solution lifecycle objectives.
* Mentor and guide team members on agile principles, ensuring the team's understanding and adherence to agile best practices.
* Foster a culture of continuous improvement, encouraging teams to identify areas for enhancement and experimentation.
* Collaborate with other Scrum Masters and Agile Coaches to drive consistent agile practices and continuous learning across the organization.
* Provide insights and metrics on team performance, velocity, and other relevant agile metrics to inform decision\-making.
* Participate in the development and improvement of agile methodologies within the organization.
* Provide leadership and motivation to project team members throughout the project life cycle.
**Here Is What You Need (Basic Requirements)**
* Bachelor's degree with at least 8 years of experience
* Proven track record of using knowledge of the pharmaceutical industry, related industries, customer requirements, and the general business environment to define strategic actions for a global business unit
* Demonstrated capabilities managing large complex global programs consisting of capital and operating expenses and virtual teams
* Strong people management experience
* Exceptional interpersonal and communication skills with the ability to establish relationships, influence outcomes, and deliver effective presentations to a variety of audiences
* Experience in managing application support and maintenance, change management, configuration management, problem management, incident management, and lifecycle management
* Demonstrated progressive experience successfully designing, delivering and maintaining IT business solutions for mid\-to\-scale organizations across multiple hardware and software platforms. Must have demonstrated competency / expertise in:
* Software Development Lifecycle management, including production system maintenance and operation
* Agile principles and methodologies
* Proven experience working with business teams developing and delivering strategy and operating plans with demonstrated competency in strategic thinking, and relationship management.
* Technology solutions delivery in a pharmaceutical or regulated environment
* Line management experience in a global organization with demonstrated career development and coaching expertise, including performance management, succession planning and new hire planning
* Certified Project Management Professional (PMP), Certified Scrum Master (CSM) or equivalent agile certification required; Certified Scrum Professional (CSP) or Certified Scrum Coach (CSC) is a plus.
* Experience in financial stewardship for budgets and resources allocated to application support and management
* Strong problem\-solving skills and the ability to develop solutions to complex or unique problems
* Experience in fostering an environment of continuous improvement and innovation in daily operations
* Ability to manage talent and leadership development, participate in succession planning, and prepare for long\-term development needs
* Strong leadership skills to hold senior managers accountable for skill development and diversity
* Experience using common AI tools, including generative technologies such as ChatGPT or Microsoft Copilot, to support problem solving and enhance productivity. Demonstrated curiosity for exploring how these tools can improve outcomes and understanding of responsible AI practices, including risk management and ethical use
* Candidate demonstrates a breadth of diverse leadership experiences and capabilities including: the ability to influence and collaborate with peers, develop and coach others, oversee and guide the work of other colleagues to achieve meaningful outcomes and create business impact.
**Preferred Qualifications**
* Master's degree with proven progressive experience as an Information Technology professional
**Non\-standard Work Schedule, Travel Or Environment Requirements**
* Candidate will be expected to travel globally to Pfizer locations as needed
* Non\-standard work hours may be required based on project deliverables and business needs
* Work Location Assignment: Hybrid. Must be able to work in assigned Pfizer office 2\-3 days per week, or as needed by the business
**Other Job Details**
* Last day to apply: Feb 19, 2026
* Eligible for Relocation Package: No
 The annual base salary for this position ranges from $176,600\.00 to $282,900\.00\.\* In addition, this position is eligible for participation in Pfizer's Global Performance Plan with a bonus target of 20\.0% of the base salary and eligibility to participate in our share based long term incentive program.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 The annual base salary for this position in Tampa, FL ranges from $152,700\.00 to $254,500\.00\.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Pfizer endeavors to make www.pfizer.com/careers accessible to all users. If you would like to contact us regarding the accessibility of our website or need assistance completing the application process and/or interviewing, please email disabilityrecruitment@pfizer.com. This is to be used solely for accommodation requests with respect to the accessibility of our website, online application process and/or interviewing. Requests for any other reason will not be returned.
 Information \&amp; Business Tech
 If you have questions about this posting, please contact support@lensa.com</t>
        </is>
      </c>
    </row>
    <row r="181">
      <c r="A181" t="inlineStr">
        <is>
          <t>li-4364763295</t>
        </is>
      </c>
      <c r="B181" t="inlineStr">
        <is>
          <t>Principal Product Manager - Performance Solutions Delivery Architecture</t>
        </is>
      </c>
      <c r="C181" t="inlineStr">
        <is>
          <t>FactSet</t>
        </is>
      </c>
      <c r="D181" t="inlineStr">
        <is>
          <t>linkedin</t>
        </is>
      </c>
      <c r="E181">
        <f>HYPERLINK("https://www.linkedin.com/jobs/view/4364763295", "https://www.linkedin.com/jobs/view/4364763295")</f>
        <v/>
      </c>
      <c r="F181">
        <f>HYPERLINK("https://factset.wd108.myworkdayjobs.com/FactSetCareers/job/Norwalk-CT-USA/Principal-Product-Manager\u002d\u002d-Performance-Solutions-Delivery-Architecture_R30960?source=LinkedIn&amp;urlHash=9iYz", "https://factset.wd108.myworkdayjobs.com/FactSetCareers/job/Norwalk-CT-USA/Principal-Product-Manager\u002d\u002d-Performance-Solutions-Delivery-Architecture_R30960?source=LinkedIn&amp;urlHash=9iYz")</f>
        <v/>
      </c>
      <c r="G181" t="inlineStr"/>
      <c r="H181" t="inlineStr"/>
      <c r="I181"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82">
      <c r="A182" t="inlineStr">
        <is>
          <t>li-4373525291</t>
        </is>
      </c>
      <c r="B182" t="inlineStr">
        <is>
          <t>Program Manager (Remote)</t>
        </is>
      </c>
      <c r="C182" t="inlineStr">
        <is>
          <t>Lensa</t>
        </is>
      </c>
      <c r="D182" t="inlineStr">
        <is>
          <t>linkedin</t>
        </is>
      </c>
      <c r="E182">
        <f>HYPERLINK("https://www.linkedin.com/jobs/view/4373525291", "https://www.linkedin.com/jobs/view/4373525291")</f>
        <v/>
      </c>
      <c r="F182" t="inlineStr"/>
      <c r="G182" t="inlineStr">
        <is>
          <t>Washington, DC</t>
        </is>
      </c>
      <c r="H182" t="inlineStr"/>
      <c r="I18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GovCIO is seeking an exceptional Program Manager to lead complex, high\-visibility programs supporting the Department of Veterans Affairs (VA). This role requires a poised, highly polished professional who thrives in fast\-paced, high\-pressure environments and can confidently engage senior government stakeholders, manage challenging subcontractors, and solve problems before they become escalations.
 This position is fully remote located within the Continental United States.
**Responsibilities**
* Serve as the primary point of contact for senior VA stakeholders, ensuring trust, transparency, and consistent delivery across all program activities.
* Lead and manage large, complex programs supporting the Department of Veterans Affairs, including multiple workstreams, subcontractors, and stakeholders.
* Navigate high\-stress, high\-profile environments with professionalism, discretion, and sound judgment.
* Proactively identify risks, issues, and dependencies; develop and execute mitigation strategies with minimal disruption to operations.
* Oversee subcontractor performance and foster strong working relationships to ensure delivery against schedule, quality, and compliance requirements.
* Drive program execution across scope, schedule, budget, and quality, ensuring adherence to contractual, regulatory, and cybersecurity requirements.
* Prepare and deliver polished briefings, reports, and executive\-level communications for VA leadership.
* Lead cross\-functional teams, fostering accountability, collaboration, and a solutions\-oriented culture.
* Partner with internal leadership on staffing, performance management, and continuous improvement initiatives.
**Qualifications**
**Required Qualifications**
* Bachelor’s degree required, plus 12\+ years of work experience.
* 5\+ years of program or project management experience supporting federal government clients.
* Experience supporting the Department of Veterans Affairs.
* Demonstrated success managing high\-visibility, high\-pressure programs with senior government stakeholders.
* Exceptional written and verbal communication skills; able to engage confidently with executives and government officials.
* Proven ability to manage and resolve conflict with subcontractors and stakeholders in a professional, effective manner.
* Strong problem\-solving skills with the ability to make sound decisions quickly and calmly.
* Deep understanding of federal contracting environments, governance, and compliance.
**Preferred Qualifications**
* Experience managing programs with cybersecurity, information assurance, or RMF/FISMA components.
* Familiarity with NIST frameworks, ATO processes, and security requirements within the VA environment.
* Ability to partner effectively with technical and cyber teams while translating risk and requirements for non\-technical stakeholders.
 Desired Attributes
* Impeccably professional presence; calm, confident, and credible under pressure.
* Highly organized, detail\-oriented, and relentlessly proactive.
* Mission\-driven, with a genuine commitment to supporting Veterans and the VA mission.
* Resilient, adaptable, and unflappable in dynamic environments.
**Clearance required:** 
 Ability to obtain and maintain a Suitability/Public Trust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$140,000\.00 \- USD $150,000\.00 /Yr.
 Submit a referral to this job (https://careers\-govcio.icims.com/jobs/7616/program\-manager\-%28remote%29/job?mode\=apply\&amp;apply\=yes\&amp;in\_iframe\=1\&amp;hashed\=\-1834385473\)
**Location** 
*US\-Remote*
**ID** 
*2026\-7616*
**Category** 
*Project/Program Management*
**Position Type** 
*Full\-Time*
 If you have questions about this posting, please contact support@lensa.com</t>
        </is>
      </c>
    </row>
    <row r="183">
      <c r="A183" t="inlineStr">
        <is>
          <t>li-4373509898</t>
        </is>
      </c>
      <c r="B183" t="inlineStr">
        <is>
          <t>Quality Program Manager</t>
        </is>
      </c>
      <c r="C183" t="inlineStr">
        <is>
          <t>Lensa</t>
        </is>
      </c>
      <c r="D183" t="inlineStr">
        <is>
          <t>linkedin</t>
        </is>
      </c>
      <c r="E183">
        <f>HYPERLINK("https://www.linkedin.com/jobs/view/4373509898", "https://www.linkedin.com/jobs/view/4373509898")</f>
        <v/>
      </c>
      <c r="F183" t="inlineStr"/>
      <c r="G183" t="inlineStr">
        <is>
          <t>El Segundo, CA</t>
        </is>
      </c>
      <c r="H183" t="inlineStr"/>
      <c r="I18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Pride Industries, Inc.. Clicking "Apply Now" or "Read more" on Lensa redirects you to the job board/employer site. Any information collected there is subject to their terms and privacy notice.
**Pay Rate**
 $70,304 per year
**Telecommute Status**
 Onsite
**Announcement**
 PRIDE Industries is a fast\-paced company with a mission: To Create Jobs for People with Disabilities while providing high quality, value\-added solutions to our nationwide customers. We are currently recruiting to fill the following position:
**AbilityOne**
 N/A
****Job Description****
**PRIDE Industries**
****Job Description****
**Job:** 
 Quality Program Manager
**Job Code:** 
 N02 \- PR\-Quality Program Mgr
**HR Title Group:** 
 Quality
**Salary Grade:** 
 E13
**FLSA Status:** 
 Exempt
**Approval Date:** 
 August 2017
****SUPERVISES:****
 There may be direct reports with this position.
****POSITION SUMMARY:****
 Under minimal supervision, the Quality Program Manager (QPM) oversees, manages and reports on all site related Quality Management Systems (QMS) programs, policies, processes, initiatives and operations for the assigned contract. This job class requires comprehensive knowledge of Quality Assurance/Quality Control (QA/QC) functions, continuous improvement, related contract industry standards as well as the ability to organize and budget time and resources while managing multiple projects and priorities.
****TYPICAL DUTIES:****
* \*Coordinate, plan, organize, execute and report on all QA/QC activities for assigned sites' contractual obligations; serving as the functional expert on all QMS standards, policies and procedures.
* \*Consult with management and customers to effectively implement and monitor the sites QMS program.
* \*Compile, author and report on QA/QC statistical data for customer, local and corporate management reviews.
* \*Analyze, audit and recommend revisions to site core business policies, processes and procedures.
* \*Perform Document Control functions for site QMS documents by authoring, revising and distributing updates.
* \*Coordinate and manage all aspects of the nonconformance, corrective and preventive action programs.
* \*Respond to, investigate, document, track and follow\-up on operational customer complaints.
* \*Author and revise site specific Quality Control Plan, processes and procedures per contract terms and modifications.
* \*Participate in various site, customer and regulatory contract meetings and quality related audits and investigations.
* \*Evaluate and determine the course of action for inspection activities that identify nonconformance's.
* \*Coordinate with management and facilitate meetings to resolve contract quality, production and efficiency issues.
* \*Coordinate and conduct QMS training for site employees and customers to ensure compliance and understanding.
* \*Coordinate Customer Surveys IAW the QMS and site customer survey procedures;
* Perform joint government/PRIDE management quality inspections for contract requirement verification.
* Support the site safety program by working with site personnel and auditing safety activities.
* Perform other duties and special projects as assigned.
* Denotes Essential Job Function
****MINIMUM QUALIFICATION:****
* Three or more years of experience in quality;
* General knowledge of assigned line of business/industry skill sets, i.e. carpentry, electrical, plumbing, HVAC, construction, custodial, grounds, and hospital housekeeping;
* General knowledge of QA/QC processes and/or formal certifications in ISO, Six Sigma, Lean, TQM or other preferred;
* Experience with various QA/QC and/or trade tools, equipment, concepts, codes and industry standards preferred;
* Ability to effectively supervise and develop assigned team to meet strategic goals;
* Ability to communicate effectively both orally and in writing; to make presentations and respond to inquiries by senior management, customers, employees, public, and/or PRIDE's board of directors;
* Demonstrated leadership, organizational, reasoning, problem solving and analytical skills;
* Human relations skills to build effective relationships with team, customers and public;
* Exceptional customer service skills;
* Advanced computer literacy including knowledge of word processing, spreadsheet, database and presentation software;
* Knowledge of business English including vocabulary, spelling, and correct grammatical usage and punctuation;
* Mathematical skills to include the ability to apply concepts such as fractions, percentages, ratios, and proportions to practical situations;
* Ability to establish priorities and solve a wide range of business, operational and strategic management problems;
* Flexibility to respond to changing work priorities and handle numerous projects at the same time.
****EDUCATION REQUIREMENTS:****
 Bachelors in Business Administration or related field
 A comparable combination of formal education and work experience will be considered.
****CERTIFICATES OR LICENSES REQUIRED:****
 The following licenses or certificates may be required depending on local, state and/or contract requirements:
 Customer Clearances
 Valid Driver's License
****PHYSICAL REQUIREMENTS:****
 Employees must have the ability to perform the following physical demands for extended periods of time with or without assistance:
* Utilizing keyboard
* Viewing computer screen
* Bending, kneeling, stooping, squatting and reaching
* May require climbing ladders and/or step stools
* Standing and walking
* Maneuvering in and around the worksite
****WORK ENVIRONMENT:****
 Work is performed primarily in an office environment with limited privacy and exposure to noise from others conducting business. The remainder of work is performed on job sites in the field, driving to and from worksite. Employees may be exposed to hazardous equipment, toxic substances, noise from equipment, and depending on external weather conditions, wind, rain, cold, and heat.
****DISCLAIMER:****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this job. Employees are expected to follow their supervisor's instructions and to perform the tasks requested by their supervisors.
***At PRIDE, we make a difference in the lives of many, one job at a time.***
****How To Apply****
**Ready to make an impact?**
 Join an organization where business meets purpose, and every role contributes to a greater mission. Apply today at
 **PRIDE Careers (https://www.prideindustries.com/work\-with\-pride/careers)** 
 and be part of something meaningful.
 Learn more about who we are and what we stand for at
 **www.prideindustries.com** 
 .
**PRIDE Industries is an Equal Opportunity Employer.** 
 All qualified applicants will be considered for employment without regard to race, color, religion, sex, sexual orientation, gender identity, age, national origin, disability, veteran status, or any other characteristic protected by law.
 Thank you for considering a career with us\-we look forward to connecting with you!
**Pay Rate** 
*$70,304 per year*
**Job ID** 
*2025\-19785*
**Type** 
*Full Time Regular*
**Location** 
*US\-CA\-El Segundo*
 Our commitment to an inclusive workplace
 PRIDE Industries is an equal opportunity employer and is committed to providing a workplace free from harassment and discrimination. We embrace the unique differences of our employees because that is what drives innovation and the success of our business. We do not discriminate based on race, religion, color, national origin, gender, sexual orientation, gender identity or expression, age, marital status, veteran status, disability status, pregnancy, parental status, genetic information, political affiliation, or any other status protected by the laws or regulations.
 If you have questions about this posting, please contact support@lensa.com</t>
        </is>
      </c>
    </row>
    <row r="184">
      <c r="A184" t="inlineStr">
        <is>
          <t>li-4373510908</t>
        </is>
      </c>
      <c r="B184" t="inlineStr">
        <is>
          <t>Customer Program Manager</t>
        </is>
      </c>
      <c r="C184" t="inlineStr">
        <is>
          <t>Lensa</t>
        </is>
      </c>
      <c r="D184" t="inlineStr">
        <is>
          <t>linkedin</t>
        </is>
      </c>
      <c r="E184">
        <f>HYPERLINK("https://www.linkedin.com/jobs/view/4373510908", "https://www.linkedin.com/jobs/view/4373510908")</f>
        <v/>
      </c>
      <c r="F184">
        <f>HYPERLINK("https://lensa.com/cgw/a392aee887714053b6d9b39a0afb061ftjo1?jpsi=directemployers_no_redirect&amp;publisher_preference=easier_apply&amp;utm_campaign=Sales%20Representatives%2C%20Services&amp;utm_medium=slot&amp;utm_source=linkedin&amp;utm_term=jse&amp;urlHash=Nxfa", "https://lensa.com/cgw/a392aee887714053b6d9b39a0afb061ftjo1?jpsi=directemployers_no_redirect&amp;publisher_preference=easier_apply&amp;utm_campaign=Sales%20Representatives%2C%20Services&amp;utm_medium=slot&amp;utm_source=linkedin&amp;utm_term=jse&amp;urlHash=Nxfa")</f>
        <v/>
      </c>
      <c r="G184" t="inlineStr">
        <is>
          <t>New York, NY</t>
        </is>
      </c>
      <c r="H184" t="inlineStr"/>
      <c r="I18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Celestica. Clicking "Apply Now" or "Read more" on Lensa redirects you to the job board/employer site. Any information collected there is subject to their terms and privacy notice.
 Req ID: 131337
 Remote Position: Yes
 Region: Americas
 Country: USA
**Summmary**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 main areas of responsibility are Program Mgmt.,Cost and P\&amp;L mgmt., Business Development, Pricing/Bid development, Development support, NPI coordination, Customer Satisfaction, Customer Business Processes set up , Communications Mgmt.and performance reporting and planning. The program manager is key team leader for the customer account and coordinates the teams interface with the customer and other internal Celestica groups such as Marketing, Sales, Finance, Mfg. etc
**Responsibilities Include**
* Acts as the primary interface between the customer and the company for managing specific programs to achieve planned revenue and profits for smaller cust.accounts.
* May also be assigned to a large\-scale initiative across multi\-customers
* Works as a member of teams responsible for day\-to\-day activities of cust.accounts to ensure that product deliveries are on time and that projects/programs are on schedule.
* Coordinates and hosts regular program tracking meetings with the cust. and internal account team members to ensure ongoing communication
* With guidance from more experienced team members,manages current and planned programs to achieve planned revenue.
* Develops plans to meet commitments and schedules for customers.
* Supports sales team and GCBU with contents required for customer communications and business reviews
* Develops action plans to correct out\-of\-plan conditions.
* Communicates frequently with cust.to help ensure satisfaction with the company and the products.
* Solicits performance feedback and communicates information to internal teams and dept's.
* Prepares,distributes and analyzes cust.surveys and self\-assessments.
* Receives and resolves customer issues and complaints. Acts as a customer advocate to drive prioritization of projects and responses to problems/issues.
* Manages cust.account profitability.
* Participates in forecasting, planning and monitoring of efficiency and execution of account strategies.
* Participates in the pricing/bid preparation process and contract development and management
* Provides performance reporting and analysis for monthly OPS Reviews and quarterly Cust.Performance Reviews.
* Plays a key role in developing account sales strategies and in this capacity works directly with sales and marketing to implement with the customer.
**Knowledge/Skills/Competencies**
* Relationship Management
* Project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 Preffered EMS and/ OEM, ODM experience
**Typical Experience**
 Nine plus years of relevant experience
**Typical Education**
 Bachelor's degree in related field, or consideration of an equivalent combination of education and experience.
**Salary**
 $156,000\-214,000 USD/year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
 If you have questions about this posting, please contact support@lensa.com</t>
        </is>
      </c>
    </row>
    <row r="185">
      <c r="A185" t="inlineStr">
        <is>
          <t>li-4373523067</t>
        </is>
      </c>
      <c r="B185" t="inlineStr">
        <is>
          <t>Program Manager | Up to $80/hr</t>
        </is>
      </c>
      <c r="C185" t="inlineStr">
        <is>
          <t>Mercor</t>
        </is>
      </c>
      <c r="D185" t="inlineStr">
        <is>
          <t>linkedin</t>
        </is>
      </c>
      <c r="E185">
        <f>HYPERLINK("https://www.linkedin.com/jobs/view/4373523067", "https://www.linkedin.com/jobs/view/4373523067")</f>
        <v/>
      </c>
      <c r="F185" t="inlineStr"/>
      <c r="G185" t="inlineStr"/>
      <c r="H185" t="inlineStr"/>
      <c r="I185" t="inlineStr">
        <is>
          <t>**About The Job**
**Mercor** 
 connects elite creative and technical talent with leading AI research labs. Headquartered in San Francisco, our investors include
 **Benchmark** 
 ,
 **General Catalyst** 
 ,
 **Peter Thiel** 
 ,
 **Adam D'Angelo** 
 ,
 **Larry Summers** 
 , and
 **Jack Dorsey** 
 .
**Position:** 
 Engineering Program Specialist
**Type:** 
**Contract**
**Compensation:** 
**$65–$80/hour**
**Role Responsibilities**
* Partner with Technical Program Managers to deliver hardware on time for product development.
* Collect allocation requests and manage distribution logistics efficiently.
* Support budget management and forecasting to ensure financial accuracy.
* Manage procurement and track Purchase Orders diligently.
* Collaborate with the Logistics team to ensure fast shipping.
* Oversee multiple programs concurrently to meet project goals.
**Qualifications**
**Must\-Have**
* 5\+ years of experience as an Engineering Program Specialist or similar role in consumer electronics.
* Experience in hardware development and working with vendors domestically and internationally.
* Proficiency in managing complex spreadsheets and accounting tools.
* Ability to coordinate across different teams, vendors, and time zones.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186">
      <c r="A186" t="inlineStr">
        <is>
          <t>li-4373518662</t>
        </is>
      </c>
      <c r="B186" t="inlineStr">
        <is>
          <t>Sr Technical Program Manager - Remote</t>
        </is>
      </c>
      <c r="C186" t="inlineStr">
        <is>
          <t>Lensa</t>
        </is>
      </c>
      <c r="D186" t="inlineStr">
        <is>
          <t>linkedin</t>
        </is>
      </c>
      <c r="E186">
        <f>HYPERLINK("https://www.linkedin.com/jobs/view/4373518662", "https://www.linkedin.com/jobs/view/4373518662")</f>
        <v/>
      </c>
      <c r="F186" t="inlineStr"/>
      <c r="G186" t="inlineStr">
        <is>
          <t>Columbus, OH</t>
        </is>
      </c>
      <c r="H186" t="inlineStr"/>
      <c r="I18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SitusAMC. Clicking "Apply Now" or "Read more" on Lensa redirects you to the job board/employer site. Any information collected there is subject to their terms and privacy notice.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be responsible for leading a capability to deliver software that provides exceptional business value to users.
**Essential Job Functions**
* Team Empowerment, Support, and Improvement
* Supervise, mentor and support Technical Program Managers \&amp; Scrum Masters
* Support and guide Technical Program Managers \&amp; Scrum Masters in the development and adherence of best practices and procedures
* Ensure Technical Program Managers \&amp; Scrum Masters are properly facilitating team ceremonies
* Facilitate Portfolio\-level team ceremonies and remove any roadblocks to the team's work.
* Assist the team in making informed decisions by providing relevant information and facilitating discussions.
* Ensure that decisions align with priorities at all levels of the portfolio or capability.
* Foster collaboration between different functional areas within the organization, ensuring that dependencies are identified and managed effectively. Dependencies should be mitigated, owned and resolved.
* Help the portfolio or capability teams adapt to evolving circumstances and stay focused on team goals.
* Ensure team goals and deliverables are aligned with strategic initiatives and Scorecard objectives
* Encourage a culture of continuous improvement by facilitating retrospectives and feedback sessions.
* Tooling, Metrics and Automation
* Manage Azure DevOps boards to maintain established structure and processes.
* Analyze data and create possible solutions to improve portfolio or capability performance.
* Ensure monthly metrics are captured on a defined cadence and relevant insights are surfaced to inform improvements, unblock teams and highlight successes or challenges.
* Own driving accountability through metrics data, understand performance indicators and leverage data proactively to lead teams to success or mitigate risks.
* Review the performance indicators/metrics of the teams under your portfolio or capability and assist with determining solutions for improvement.
* Ensure release planning activities are completed with the delivery teams as performed by capability teams. Advocate for the use of automation to streamline repetitive tasks and improve overall efficiency.
* Resource Management
* Manage resource allocation, ensuring that team members have the necessary tools, skills, and support to perform their tasks effectively.
* Identify and address potential resource constraints or bottlenecks.
* Report on resource utilization and manage capacity of the portfolio or capability.
* Project Planning and Coordination
* Collaborate with stakeholders to define project goals, scope, and timelines, ensuring initiatives are aligned with strategic business objectives and focused on delivering measurable value.
* Respond to changes in project scope, priorities, or requirements by adjusting plans and priorities accordingly.
* Coordinate activities among team members and other relevant stakeholders.
* Act as a liaison between the technical delivery teams and other stakeholders, ensuring clear and transparent communication.
* Provide regular Portfolio Roadmap tracking and communication including updates on project/development progress, milestones, release commitments, and potential challenges to stakeholders.
* Identify and assess project risks, working with the team to develop mitigation plans.
* Proactively address issues and obstacles that may impact product delivery.
* Technology Governance
* Partner with business and technology leadership to create and implement processes for managing and tracking software development teams.
* Work across business lines (CRE, RRE, Corporate) to standardize processes and drive the implementation and adherence of the Technology System of Delivery (SoD).
* Suggest, analyze and implement improvements to the SoD.
* Partner with Data and Analytics staff to create metrics and reports that support the portfolio and capability teams.
* Create and maintain a repository for storage and communication of standard processes and procedures in SharePoint.
* Other activities as may be assigned by your manager
**Qualifications/ Requirements**
* Bachelor's degree or equivalent from four\-year College or technical school or equivalent combination of education and experience.
* Minimum of 8\+ years of industry and/or relevant experience, typically with 2\+ years in an AVP level role or external equivalent.
* Prior experience with Scrum/Agile methodologies with enterprise\-level application development projects. Agile certifications a plus: PMI\-ACP, CSM, SAFe
* Experience overseeing multi\-function project teams with at least 10\-15 team members including Developers, Business Analyst, and QA personnel.
* Experience using Azure DevOps (preferred) or Jira for managing work tasks.
* Experience with Microsoft Office Suite.
* Experience with a Project Portfolio Management (PPM) tool is a plus.
* Experience directly managing staff.
* Experience working remotely and household setup conducive to remote work.
* Solid understanding of software development life cycle models and extensive knowledge of both agile and traditional project management principles and practices.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$110,000\.00 \- $140,000\.00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
 If you have questions about this posting, please contact support@lensa.com</t>
        </is>
      </c>
    </row>
    <row r="187">
      <c r="A187" t="inlineStr">
        <is>
          <t>li-4373527244</t>
        </is>
      </c>
      <c r="B187" t="inlineStr">
        <is>
          <t>Sr Technical Program Manager - Remote</t>
        </is>
      </c>
      <c r="C187" t="inlineStr">
        <is>
          <t>Lensa</t>
        </is>
      </c>
      <c r="D187" t="inlineStr">
        <is>
          <t>linkedin</t>
        </is>
      </c>
      <c r="E187">
        <f>HYPERLINK("https://www.linkedin.com/jobs/view/4373527244", "https://www.linkedin.com/jobs/view/4373527244")</f>
        <v/>
      </c>
      <c r="F187" t="inlineStr"/>
      <c r="G187" t="inlineStr">
        <is>
          <t>Washington, DC</t>
        </is>
      </c>
      <c r="H187" t="inlineStr"/>
      <c r="I18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SitusAMC. Clicking "Apply Now" or "Read more" on Lensa redirects you to the job board/employer site. Any information collected there is subject to their terms and privacy notice.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This position will be responsible for leading a capability to deliver software that provides exceptional business value to users.
**Essential Job Functions**
* Team Empowerment, Support, and Improvement
* Supervise, mentor and support Technical Program Managers \&amp; Scrum Masters
* Support and guide Technical Program Managers \&amp; Scrum Masters in the development and adherence of best practices and procedures
* Ensure Technical Program Managers \&amp; Scrum Masters are properly facilitating team ceremonies
* Facilitate Portfolio\-level team ceremonies and remove any roadblocks to the team’s work.
* Assist the team in making informed decisions by providing relevant information and facilitating discussions.
* Ensure that decisions align with priorities at all levels of the portfolio or capability.
* Foster collaboration between different functional areas within the organization, ensuring that dependencies are identified and managed effectively. Dependencies should be mitigated, owned and resolved.
* Help the portfolio or capability teams adapt to evolving circumstances and stay focused on team goals.
* Ensure team goals and deliverables are aligned with strategic initiatives and Scorecard objectives
* Encourage a culture of continuous improvement by facilitating retrospectives and feedback sessions.
* Tooling, Metrics and Automation
* Manage Azure DevOps boards to maintain established structure and processes.
* Analyze data and create possible solutions to improve portfolio or capability performance.
* Ensure monthly metrics are captured on a defined cadence and relevant insights are surfaced to inform improvements, unblock teams and highlight successes or challenges.
* Own driving accountability through metrics data, understand performance indicators and leverage data proactively to lead teams to success or mitigate risks.
* Review the performance indicators/metrics of the teams under your portfolio or capability and assist with determining solutions for improvement.
* Ensure release planning activities are completed with the delivery teams as performed by capability teams. Advocate for the use of automation to streamline repetitive tasks and improve overall efficiency.
* Resource Management
* Manage resource allocation, ensuring that team members have the necessary tools, skills, and support to perform their tasks effectively.
* Identify and address potential resource constraints or bottlenecks.
* Report on resource utilization and manage capacity of the portfolio or capability.
* Project Planning and Coordination
* Collaborate with stakeholders to define project goals, scope, and timelines, ensuring initiatives are aligned with strategic business objectives and focused on delivering measurable value.
* Respond to changes in project scope, priorities, or requirements by adjusting plans and priorities accordingly.
* Coordinate activities among team members and other relevant stakeholders.
* Act as a liaison between the technical delivery teams and other stakeholders, ensuring clear and transparent communication.
* Provide regular Portfolio Roadmap tracking and communication including updates on project/development progress, milestones, release commitments, and potential challenges to stakeholders.
* Identify and assess project risks, working with the team to develop mitigation plans.
* Proactively address issues and obstacles that may impact product delivery.
* Technology Governance
* Partner with business and technology leadership to create and implement processes for managing and tracking software development teams.
* Work across business lines (CRE, RRE, Corporate) to standardize processes and drive the implementation and adherence of the Technology System of Delivery (SoD).
* Suggest, analyze and implement improvements to the SoD.
* Partner with Data and Analytics staff to create metrics and reports that support the portfolio and capability teams.
* Create and maintain a repository for storage and communication of standard processes and procedures in SharePoint.
* Other activities as may be assigned by your manager
**Qualifications/ Requirements**
* Bachelor’s degree or equivalent from four\-year College or technical school or equivalent combination of education and experience.
* Minimum of 8\+ years of industry and/or relevant experience, typically with 2\+ years in an AVP level role or external equivalent.
* Prior experience with Scrum/Agile methodologies with enterprise\-level application development projects. Agile certifications a plus: PMI\-ACP, CSM, SAFe
* Experience overseeing multi\-function project teams with at least 10\-15 team members including Developers, Business Analyst, and QA personnel.
* Experience using Azure DevOps (preferred) or Jira for managing work tasks.
* Experience with Microsoft Office Suite.
* Experience with a Project Portfolio Management (PPM) tool is a plus.
* Experience directly managing staff.
* Experience working remotely and household setup conducive to remote work.
* Solid understanding of software development life cycle models and extensive knowledge of both agile and traditional project management principles and practices.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$110,000\.00 \- $140,000\.00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
 If you have questions about this posting, please contact support@lensa.com</t>
        </is>
      </c>
    </row>
    <row r="188">
      <c r="A188" t="inlineStr">
        <is>
          <t>li-4373513835</t>
        </is>
      </c>
      <c r="B188" t="inlineStr">
        <is>
          <t>Senior Agile Program Manager</t>
        </is>
      </c>
      <c r="C188" t="inlineStr">
        <is>
          <t>Lensa</t>
        </is>
      </c>
      <c r="D188" t="inlineStr">
        <is>
          <t>linkedin</t>
        </is>
      </c>
      <c r="E188">
        <f>HYPERLINK("https://www.linkedin.com/jobs/view/4373513835", "https://www.linkedin.com/jobs/view/4373513835")</f>
        <v/>
      </c>
      <c r="F188" t="inlineStr"/>
      <c r="G188" t="inlineStr">
        <is>
          <t>Santa Clara, CA</t>
        </is>
      </c>
      <c r="H188" t="inlineStr"/>
      <c r="I1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NVIDIA. Clicking "Apply Now" or "Read more" on Lensa redirects you to the job board/employer site. Any information collected there is subject to their terms and privacy notice.
 Our work at NVIDIA is dedicated towards a computing model passionate about visual and AI computing. For two decades, NVIDIA has pioneered visual computing, the art and science of computer graphics, with our invention of the GPU. The GPU has also proven to be unbelievably effective at solving some of the most sophisticated problems in computer science. Today, NVIDIA’s GPU simulates human intelligence, running deep learning algorithms and acting as the brain of computers, robots and self\-driving cars that can perceive and understand the world. Artificial intelligence is no longer science fiction. And in the next few years, it will transform every industry.
 NVIDIA is seeking a Senior Agile Program Manager for the Global SPEED/IT PMO team supporting the Enterprise Engineering Productivity (EPE) Portfolio, accountable for strategic program delivery, agile practices, and operational excellence. As a leader in our organization, you will have the opportunity to oversee various ground\-breaking programs and projects, including the implementation of new technology solutions within IT. This is a unique opportunity to play a key role in driving the Agile transformation and collaboration tools at NVIDIA, enabling us to deliver world\-class solutions with agility and speed.
**What You'll Be Doing**
* Promote Agile Excellence Across teams \- guides teams on Agile best practices and tooling, support agile ceremonies and planning sessions, reinforce Agile maturity through hands\-on support, mentor others to lead ceremonies and build team ownership
* Drive Agile Maturity \&amp; Efficiency Improvements: Regular review of agile health metrics \&amp; team maturity indicators, identification of opportunities for improvement, partner with teams to drive increased efficiency. Process improvements proposals and tracking to completion.
* Provide Tooling \&amp; Operational Support \- Support tooling across all teams, ensuring consistent usage, helping teams to derive value from data, dashboards and metrics.
* Support Portfolio \&amp; Quarterly Planning as needed – at least two sprints for visibility and actionability.
* Project Lifecycle support \- work with project owners to define project scope, success criteria, budget, plans and resource requirements.
* Dependency Management: Identify and run multi\-functional dependencies, collaborating with enterprise teams to plan and complete the dependencies.
* Continuous Improvement: Find opportunities for process improvements, automation, and optimization processes. Collaborate to implement standard methodologies, drive efficiency gains, and enhance performance.
* Leverage AI tools and insights: to drive data\-informed decision\-making across prioritization, forecasting, capacity planning, and risk management.
**What We Need To See**
* Bachelor's Degree in computer science or other related technical subject area, or equivalent experience.
* 12\+ years of IT experience, with a consistent track record of successfully leading parallel technical programs in a fast\-paced enterprise environment.
* Proficiency in Atlassian products (Jira, Jira Align) to manage tasks, track progress and collaborate with team members.
* Expertise in Agile Transformation and execution
* Experience with AI tools to improve project efficiency (documentation, requirements analysis, reporting, dependency mapping, retrospectives, knowledge management)
* Experience in enabling teams to responsibly adopt AI tools to support the project management lifecycle
* Background with Jira dashboards, business intelligence and visualization tools such as PowerBI.
* Demonstrated ability to deliver solutions in a fast\-paced environment with frequent shifts in priorities.
 Your base salary will be determined based on your location, experience, and the pay of employees in similar positions. The base salary range is 200,000 USD \- 322,000 USD.
 You will also be eligible for equity and benefits (https://www.nvidia.com/en\-us/benefits/) .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If you have questions about this posting, please contact support@lensa.com</t>
        </is>
      </c>
    </row>
    <row r="189">
      <c r="A189" t="inlineStr">
        <is>
          <t>li-4373515818</t>
        </is>
      </c>
      <c r="B189" t="inlineStr">
        <is>
          <t>Customer Program Manager</t>
        </is>
      </c>
      <c r="C189" t="inlineStr">
        <is>
          <t>Lensa</t>
        </is>
      </c>
      <c r="D189" t="inlineStr">
        <is>
          <t>linkedin</t>
        </is>
      </c>
      <c r="E189">
        <f>HYPERLINK("https://www.linkedin.com/jobs/view/4373515818", "https://www.linkedin.com/jobs/view/4373515818")</f>
        <v/>
      </c>
      <c r="F189" t="inlineStr"/>
      <c r="G189" t="inlineStr">
        <is>
          <t>Las Vegas, NV</t>
        </is>
      </c>
      <c r="H189" t="inlineStr"/>
      <c r="I18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Celestica. Clicking "Apply Now" or "Read more" on Lensa redirects you to the job board/employer site. Any information collected there is subject to their terms and privacy notice.
 Req ID: 131337
 Remote Position: Yes
 Region: Americas
 Country: USA
**Summmary**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 main areas of responsibility are Program Mgmt.,Cost and P\&amp;L mgmt., Business Development, Pricing/Bid development, Development support, NPI coordination, Customer Satisfaction, Customer Business Processes set up , Communications Mgmt.and performance reporting and planning. The program manager is key team leader for the customer account and coordinates the teams interface with the customer and other internal Celestica groups such as Marketing, Sales, Finance, Mfg. etc
**Responsibilities Include**
* Acts as the primary interface between the customer and the company for managing specific programs to achieve planned revenue and profits for smaller cust.accounts.
* May also be assigned to a large\-scale initiative across multi\-customers
* Works as a member of teams responsible for day\-to\-day activities of cust.accounts to ensure that product deliveries are on time and that projects/programs are on schedule.
* Coordinates and hosts regular program tracking meetings with the cust. and internal account team members to ensure ongoing communication
* With guidance from more experienced team members,manages current and planned programs to achieve planned revenue.
* Develops plans to meet commitments and schedules for customers.
* Supports sales team and GCBU with contents required for customer communications and business reviews
* Develops action plans to correct out\-of\-plan conditions.
* Communicates frequently with cust.to help ensure satisfaction with the company and the products.
* Solicits performance feedback and communicates information to internal teams and dept's.
* Prepares,distributes and analyzes cust.surveys and self\-assessments.
* Receives and resolves customer issues and complaints. Acts as a customer advocate to drive prioritization of projects and responses to problems/issues.
* Manages cust.account profitability.
* Participates in forecasting, planning and monitoring of efficiency and execution of account strategies.
* Participates in the pricing/bid preparation process and contract development and management
* Provides performance reporting and analysis for monthly OPS Reviews and quarterly Cust.Performance Reviews.
* Plays a key role in developing account sales strategies and in this capacity works directly with sales and marketing to implement with the customer.
**Knowledge/Skills/Competencies**
* Relationship Management
* Project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 Preffered EMS and/ OEM, ODM experience
**Typical Experience**
 Nine plus years of relevant experience
**Typical Education**
 Bachelor’s degree in related field, or consideration of an equivalent combination of education and experience.
**Salary**
 $156,000\-214,000 USD/year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
 If you have questions about this posting, please contact support@lensa.com</t>
        </is>
      </c>
    </row>
    <row r="190">
      <c r="A190" t="inlineStr">
        <is>
          <t>li-4373507948</t>
        </is>
      </c>
      <c r="B190" t="inlineStr">
        <is>
          <t>Program Manager (Hybrid)</t>
        </is>
      </c>
      <c r="C190" t="inlineStr">
        <is>
          <t>Lensa</t>
        </is>
      </c>
      <c r="D190" t="inlineStr">
        <is>
          <t>linkedin</t>
        </is>
      </c>
      <c r="E190">
        <f>HYPERLINK("https://www.linkedin.com/jobs/view/4373507948", "https://www.linkedin.com/jobs/view/4373507948")</f>
        <v/>
      </c>
      <c r="F190" t="inlineStr"/>
      <c r="G190" t="inlineStr">
        <is>
          <t>Greenlawn, NY</t>
        </is>
      </c>
      <c r="H190" t="inlineStr"/>
      <c r="I19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BAE Systems USA. Clicking "Apply Now" or "Read more" on Lensa redirects you to the job board/employer site. Any information collected there is subject to their terms and privacy notice.
**Job Description**
 Join our management team that leads the development and production of Combat Identification Systems. This role is specifically working within the Identification Friend or Foe (IFF) group to satisfy the growing demand in US government and international applications. Our team is comprised of renowned experts in Engineering, Manufacturing, Supply Chain, Quality, Program Management and many more. Grow with our team.
 Our flexible work environment provides you a chance to change the world without giving up your personal life. We put our customers first exemplified by our mission: We Protect Those Who Protect Us. Sound like a team you want to be a part of? Come build your career with BAE Systems.
**Role**
 In Command, Control, Communications, Computers, Intelligence, Surveillance, and Reconnaissance (C4ISR) solutions, you ll help develop systems that sense, control, exploit and disseminate actionable information to warfighters supporting a variety of missions. In this role, you will:
* Perform tasks across the Project Management processes of initiating, organizing, integrating, planning, managing \&amp; controlling, developing and completing projects or programs.
* Track progress and ensures achievement of financial, schedule, technical and/or new business performance objectives.
* Manage, coordinate, plan, organize, control, integrate, and execute a projects or collection of projects.
* May support new business development activities and participate in developing strategic and financial plans for assigned business area.
* Participate in the support of new business and in the development of financial plans for the company.
* Exercise discretion and independent judgment in the performance of duties set forth.
* Exhibit sound interpersonal skills involving interfacing, coordinating and negotiating with company personnel, customers and suppliers.
* Utilize computer skills to prepare appropriate reports and documents;
* Make decisions using sound judgment while complying with policies, procedures, appropriate principles and applicable state and federal laws and regulations;
* Analyze, evaluate, develop and implement processes and systems within budget and adhere to time requirements and schedule.
 Because this role involves a combination of collaborative/in\-person and independent work, it will take the form of a hybrid work format, with time split between working onsite and remotely.
**Required Education, Experience, \&amp; Skills**
* Experience with Aerospace industry or similar.
* Experience in a project management or related field.
* Risk \&amp; Opportunity experience.
* Models and demonstrates leadership in ethics, safety and security.
* Effective problem solving skills.
* Strong interpersonal skills within a cross functional team environment.
**Preferred Education, Experience, \&amp; Skills**
* Bachelor s degree in Engineering, Operations, Supply Chain, Business Administration, or related field with at least 4 years experience or Master's degree with 2 years experience.
* Risk \&amp; Opportunity experience.
**Pay Information**
 Full\-Time Salary Range: $103752 \- $176378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**Program Manager (Hybrid)**
**116624BR**
 EEO Career Site Equal Opportunity Employer. Minorities . females . veterans . individuals with disabilities . sexual orientation . gender identity . gender expression
 If you have questions about this posting, please contact support@lensa.com</t>
        </is>
      </c>
    </row>
    <row r="191">
      <c r="A191" t="inlineStr">
        <is>
          <t>li-4372342301</t>
        </is>
      </c>
      <c r="B191" t="inlineStr">
        <is>
          <t>Program Manager</t>
        </is>
      </c>
      <c r="C191" t="inlineStr">
        <is>
          <t>SAAVETX EF</t>
        </is>
      </c>
      <c r="D191" t="inlineStr">
        <is>
          <t>linkedin</t>
        </is>
      </c>
      <c r="E191">
        <f>HYPERLINK("https://www.linkedin.com/jobs/view/4372342301", "https://www.linkedin.com/jobs/view/4372342301")</f>
        <v/>
      </c>
      <c r="F191" t="inlineStr"/>
      <c r="G191" t="inlineStr">
        <is>
          <t>Dallas, TX</t>
        </is>
      </c>
      <c r="H191" t="inlineStr"/>
      <c r="I191" t="inlineStr">
        <is>
          <t>**Company Description** 
 SAAVETX Education Fund is a non\-partisan non\-profit, mission\-driven organization focused on empowering the South Asian American community in Texas through civic engagement, advocacy, and education. The organization works to amplify the voices of South Asians to drive impactful change in both local and national policies. By fostering voter participation, advocating for social justice policies, and building collaborative community networks, SAAVETX EF creates space for inclusion and equity. Through education initiatives, SAAVETX EF equips individuals with tools and resources to actively participate in shaping a better future for the community in Texas and beyond.
**Position Overview:** 
 SAAVETX Education Fund seeks a strategic and results\-oriented Program Manager to coordinate and implement statewide initiatives across Texas. This role will ensure alignment and programmatic synergy across major metropolitan regions, including, but not limited to, Dallas–Fort Worth, Houston, Austin, and San Antonio.
 The Program Manager will lead the execution of civic engagement, voter education, get\-out\-the\-vote, digital outreach, community engagement, and volunteer development efforts.
 A central responsibility of this position is strengthening community capacity statewide by cultivating local leadership, supporting regional teams, and building scalable systems that sustain long\-term impact. The role will also develop strategic partnerships and coalitions that expand SAAVETX Education Fund’s reach, while advancing issue\-based advocacy aligned with our mission and values to promote safe, inclusive, and thriving communities.
 We seek a candidate committed to community\-driven change and democratic participation, with the ability to translate strategy into measurable statewide outcomes.
**Qualifications** 
**Strategy, Planning \&amp; Execution·** 
* Develop, implement, and continuously refine SAAVETX EF’s statewide civic engagement and GOTV strategy to maximize voter education, engagement, and turnout.
* Design and execute targeted outreach initiatives — including phone banking, canvassing, digital campaigns, and volunteer mobilization — with clear goals, timelines, and contingency plans.
* Lead project planning and execution by establishing measurable objectives, guiding cross\-functional meetings toward defined outcomes, and tracking progress against performance benchmarks.
* Standardize operational systems, workflows, and best practices to ensure program consistency, legal compliance, financial accountability, and accurate reporting to leadership, board members, and funders.
* Develop and implement an ecosystem approach to power\-building that strengthens local communities, connects regional efforts statewide, and positions SAAVETX EF within national networks and strategic tables.
* Build integrated relationships across local, state, and national partners to ensure coordinated strategy, shared infrastructure, and sustained collective impact
**Community Partnership \&amp; Coalition Development** 
* Lead the development of strong, mission\-aligned coalitions with community organizations, advocacy groups, and partners who share a common vision for equity, civic participation, and representation.
* Identify and cultivate meaningful, long\-term partnerships that build collective strength, expand shared impact, and position SAAVETX Education Fund within broader statewide movements.
* Strategically convene and align partners around common goals, ensuring collaboration results in coordinated action and measurable outcomes.
* Represent SAAVETX Education Fund in coalition spaces and external forums with clarity, credibility, and a commitment to building durable, values\-driven alliances.
* Develop and implement an ecosystem approach to power\-building that strengthens local communities, connects regional efforts statewide, and positions SAAVETX EF within national networks and strategic tables.
* Build integrated relationships across local, state, and national partners to ensure coordinated strategy, shared infrastructure, and sustained collective impact.
**Adaptability \&amp; Growth** 
* Demonstrate flexibility and resilience in a fast\-paced, evolving civic and political environment, adjusting strategies as conditions change.
* Embrace feedback and new information to continuously strengthen programs, partnerships, and internal systems.
* Take initiative in identifying emerging opportunities and challenges, proactively adapting plans to maintain momentum and impact.
* Contribute to a culture of accountability, innovation, and professional growth across the organization.
**QUALIFICATIONS:** 
**Education \&amp; Experience** 
 Bachelor’s degree in public policy, nonprofit management, political science, communications, or a related field preferred; equivalent professional experience will be considered.
 Minimum of 3–5 years of experience in civic engagement, community organizing, nonprofit program management, or related fields.
 Demonstrated experience developing strategic plans and successfully translating strategy into execution, including managing complex initiatives from design through implementation and evaluation.
 Proven ability to coordinate cross\-functional teams, manage volunteers, and deliver measurable outcomes in dynamic environments.
 Experience working with diverse communities — preferably South Asian or immigrant communities — with a strong understanding of culturally competent engagement and coalition\-building. Bilingual in South Asian languages is a plus.
**Skills \&amp; Abilities** 
* Proven ability to build programs and systems from the ground up
* Strong project management and meticulous organizational skills
* Demonstrated leadership of paid staff and volunteer teams
* Experience operating in nonpartisan nonprofit environments
* Ability to navigate complex political and community landscapes with judgment and discretion
* Strong bias toward action and measurable outcomes
* Demonstrated ability to execute strategic plans with precision, supported by meticulous organizational and project management skills.
* Strong understanding of nonpartisan nonprofit work, including compliance requirements and operating effectively within mission\-driven environments.
* Proven capacity to manage substantial workloads and competing priorities in fast\-paced settings while delivering measurable results.
* Ability to build programs, systems, and infrastructure from the ground up within a growing organization, contributing to long\-term civic power\-building.
* Exceptional skills in consensus\-building, persuasion, negotiation, and influence, with the ability to navigate complex political environments, inspire trust, and mobilize diverse stakeholders.
* Proven leadership experience managing and motivating teams — including paid staff and volunteers — to meet goals collaboratively and independently.
* Strong ability to evaluate and improve processes, structures, and team operations to increase efficiency and impact.
* High cultural competency, including experience engaging multi\-generational and diverse South Asian communities with clarity and respect.
* Proficiency in voter database systems (e.g., VAN or equivalent), Reach, EveryAction, Excel, social media platforms, and website management tools, with comfort in data analysis and performance tracking.
**Supervision Duties: This individual will supervise 1\-3 direct reports.** 
**Benefits:** 
 SAAVETX EF’s fiscal sponsor, NEO Philanthropy, provides a generous full benefit
 package, including 100% medical coverage for the employee and 90% medical coverage for
 dependents; 100% coverage for vision, dental, life/AD\&amp;D, and long\-term disability. NEO also
 administers a 401K retirement savings plan, Healthcare Reimbursement Arrangement (HRA),
 Medical FSA, Dependent Care FSA, commuter benefits, Employee Assistance Program, other
 supplemental benefits, and generous paid time off.
 We value lived experience and nontraditional career paths. If you're excited about this role and believe you can make an impact, we want to hear from you—even if your experience doesn't match every qualification exactly.
 NEO Philanthropy is committed to attracting, developing, and retaining exceptional people, and to creating a work environment that is dynamic, rewarding, and enables each of us to realize our potential. NEO Philanthropy's work environment is safe and open to all employees and partners, respecting the full spectrum of race, color, religious creed, sex, gender identity, sexual orientation, national origin, political affiliation, ancestry, age, disability, genetic information, veteran status, and all other classifications protected by law in the locality and/or state in which you are working
**Cover letter:** 
 Candidates should articulate specific leadership experiences that demonstrate their capacity to advance SAAVETX Education Fund’s mission of building educated voters. Submissions should highlight measurable outcomes in civic engagement, organizational strategy, team development, and community\-centered programming, and clearly explain how prior experience translates into impact in this role.
 Candidates must demonstrate:
* Programs they built from scratch
* Teams they managed
* Measurable results they delivered
* Systems they implemented
* Conflicts or challenges they resolved
**All finalists** 
 will be required to complete a strategic work\-based project as part of the selection process. The project will assess their ability to design a thoughtful, mission\-aligned plan to mobilize South Asians across Texas using SAAVETX Education Fund’s mission, vision, and values as a guiding framework.</t>
        </is>
      </c>
    </row>
    <row r="192">
      <c r="A192" t="inlineStr">
        <is>
          <t>li-4372344356</t>
        </is>
      </c>
      <c r="B192" t="inlineStr">
        <is>
          <t>IT Portfolio / Program Manager</t>
        </is>
      </c>
      <c r="C192" t="inlineStr">
        <is>
          <t>Jobs via Dice</t>
        </is>
      </c>
      <c r="D192" t="inlineStr">
        <is>
          <t>linkedin</t>
        </is>
      </c>
      <c r="E192">
        <f>HYPERLINK("https://www.linkedin.com/jobs/view/4372344356", "https://www.linkedin.com/jobs/view/4372344356")</f>
        <v/>
      </c>
      <c r="F192" t="inlineStr"/>
      <c r="G192" t="inlineStr">
        <is>
          <t>Rochester, NY</t>
        </is>
      </c>
      <c r="H192" t="inlineStr"/>
      <c r="I192" t="inlineStr">
        <is>
          <t>Dice is the leading career destination for tech experts at every stage of their careers. Our client, Vortex Consulting, Inc, is seeking the following. Apply via Dice today!
**IT Portfolio Manager**
 Seeking an experienced
 **IT Portfolio Manager** 
 for an immediate contract opportunity overseeing an organization s portfolio of IT workstreams to ensure they align with business strategy, deliver value, and optimize resources.
 Workplace: Onsite
**Key responsibilities:**
**Strategic Alignment**
* Align and coordinate IT initiatives with overall business goals and objectives
* Partner with executive leadership to prioritize programs / projects
* Ensure projects support digital transformation and long\-term strategy
**Portfolio Governance \&amp; Oversight**
* Coordinate program reviews
* Leverage existing portfolio management frameworks and governance processes
* Support intake, evaluation, approval, and prioritization processes
* Support existing portfolio management practices
**Prioritization \&amp; Demand Management**
* Work with Workstream leads to communicate risk, cost, resource capacity, and value
* Coordinate portfolio roadmap
* Communicate competing demands across departments
**Risk Management**
* Communicate and coordinate portfolio\-level risks and exposure across programs
* Escalate major risks to leadership
**Resource \&amp; Capacity Planning**
* Coordinate resource availability with Workstream Leads
**Communication \&amp; Performance Reporting**
* Provide updates to steering committees and executive leadership based on Workstream input
* Leverage existing dashboards for executive\-level reporting
* Communicate portfolio health and value delivery
**Tools**
* Utilize portfolio tools (PPM tools like Planview, ServiceNow, etc.)
**Required Skills**
* 10\+ years of hands\-on IT Portfolio Management experience supporting and prioritizing IT programs, projects and initiatives
* Project Coordination experience
* Portfolio tracking skills
* Strong stakeholder and risk management experience
* Data analysis \&amp; reporting skills
* Executive communication and collaboration skills
* Strategic thinker, adaptive, able to pivot and supporting adjusting priorities</t>
        </is>
      </c>
    </row>
    <row r="193">
      <c r="A193" t="inlineStr">
        <is>
          <t>li-4373528093</t>
        </is>
      </c>
      <c r="B193" t="inlineStr">
        <is>
          <t>Clinical Program Manager RN - REMOTE - Days</t>
        </is>
      </c>
      <c r="C193" t="inlineStr">
        <is>
          <t>Lensa</t>
        </is>
      </c>
      <c r="D193" t="inlineStr">
        <is>
          <t>linkedin</t>
        </is>
      </c>
      <c r="E193">
        <f>HYPERLINK("https://www.linkedin.com/jobs/view/4373528093", "https://www.linkedin.com/jobs/view/4373528093")</f>
        <v/>
      </c>
      <c r="F193" t="inlineStr"/>
      <c r="G193" t="inlineStr">
        <is>
          <t>Orange, CA</t>
        </is>
      </c>
      <c r="H193" t="inlineStr"/>
      <c r="I1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Providence Service. Clicking "Apply Now" or "Read more" on Lensa redirects you to the job board/employer site. Any information collected there is subject to their terms and privacy notice.
**Description**
 Leads the alignment, standardization and ongoing improvement of ministry length of stay for designated patient populations. Serves as designated ministry liaison with providers and ministry Care Coordination teams, to move patients towards safe and effective discharge plans or transitions to the most appropriate next level of care.
 Providence caregivers are not simply valued – they’re invaluable. Join our team at St. Joseph Hospital Of Orange and thrive in our culture of patient\-focused, whole\-person care built on understanding, commitment, and mutual respect. Your voice matters here, because we Providence know that to inspire and retain the best people, we must empower them.
**Required Qualifications**
* Associate's Degree in Nursing
* Bachelor's Degree in Nursing. Or
* Upon hire: California Registered Nurse License.
* 3 years Experience in Utilization Management.
* Experience working with InterQual and MCG guidelines.
**Preferred Qualifications**
* Master's Degree in Nursing.
* 5 years Experience as a utilization/case manager in an acute care setting.
* Experience in a multi\-hospital and/or integrated healthcare system.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Posted are the minimum and the maximum wage rates on the wage range for this position. The successful candidate's placement on the wage range for this position will be determined based upon relevant job experience and other applicable factors. These amounts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Applicants in the Unincorporated County of Los Angeles: Qualified applications with arrest or conviction records will be considered for employment in accordance with the Unincorporated Los Angeles County Fair Chance Ordinance for Employers and the California Fair Chance Act.
**About The Team**
 The Sisters of Providence and Sisters of St. Joseph of Orange have deep roots in California, bringing health care and education to communities from the redwood forests to the beach shores of Orange county \- and everywhere in between. In Southern California, Providence provides care throughout Los Angeles County, Orange County, High Desert and beyond.
 Our award\-winning and comprehensive medical centers are known for outstanding programs in cancer, cardiology, neurosciences, orthopedics, women's services, emergency and trauma care, pediatrics and neonatal intensive care. Our not\-for\-profit network provides a full spectrum of care with leading\-edge diagnostics and treatment, outpatient health centers, physician groups and clinics, numerous outreach programs, and hospice and home care, and even our own Providence High School.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410644
**Company:** 
 Providence Jobs
**Job Category:** 
 Clinical Administration
**Job Function:** 
 Clinical Support
**Job Schedule:** 
 Full time
**Job Shift:** 
 Day
**Career Track:** 
 Nursing
**Department:** 
 7540 SJO CASE MGMT
**Address:** 
 CA Orange 1100 W Stewart Dr
**Work Location:** 
 St Joseph Hospital\-Orange
**Workplace Type:** 
 Remote
**Pay Range:** 
 $68\.94 \- $108\.84
 The amounts listed are the base pay range; additional compensation may be available for this role, such as shift differentials, standby/on\-call, overtime, premiums, extra shift incentives, or bonus opportunities.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2026-02-16T03:04:06Z</dcterms:created>
  <dcterms:modified xsi:type="dcterms:W3CDTF">2026-02-16T03:04:06Z</dcterms:modified>
</cp:coreProperties>
</file>