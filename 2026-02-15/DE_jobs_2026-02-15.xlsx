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in-ff4537b6eeef5f38</t>
        </is>
      </c>
      <c r="B2" t="inlineStr">
        <is>
          <t>Data engineer</t>
        </is>
      </c>
      <c r="C2" t="inlineStr">
        <is>
          <t>Stacklogy</t>
        </is>
      </c>
      <c r="D2" t="inlineStr">
        <is>
          <t>indeed</t>
        </is>
      </c>
      <c r="E2" t="inlineStr"/>
      <c r="F2" t="inlineStr"/>
      <c r="G2" t="inlineStr">
        <is>
          <t>US</t>
        </is>
      </c>
      <c r="H2" s="2" t="n">
        <v>46067</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in-705fc2d2718a6223</t>
        </is>
      </c>
      <c r="B3" t="inlineStr">
        <is>
          <t>Delivery Consultant - Data Engineer, Data and Machine Learning, WWPS US Federal</t>
        </is>
      </c>
      <c r="C3" t="inlineStr">
        <is>
          <t>Amazon Web Services</t>
        </is>
      </c>
      <c r="D3" t="inlineStr">
        <is>
          <t>indeed</t>
        </is>
      </c>
      <c r="E3" t="inlineStr"/>
      <c r="F3" t="inlineStr"/>
      <c r="G3" t="inlineStr">
        <is>
          <t>Herndon, VA, US</t>
        </is>
      </c>
      <c r="H3" s="2" t="n">
        <v>45991</v>
      </c>
      <c r="I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in-ec3ebfd95dc9eeea</t>
        </is>
      </c>
      <c r="B4" t="inlineStr">
        <is>
          <t>Delivery Consultant - Data Engineer, Data and Machine Learning, WWPS US Federal</t>
        </is>
      </c>
      <c r="C4" t="inlineStr">
        <is>
          <t>Amazon Web Services</t>
        </is>
      </c>
      <c r="D4" t="inlineStr">
        <is>
          <t>indeed</t>
        </is>
      </c>
      <c r="E4" t="inlineStr"/>
      <c r="F4" t="inlineStr"/>
      <c r="G4" t="inlineStr">
        <is>
          <t>Arlington, VA, US</t>
        </is>
      </c>
      <c r="H4" s="2" t="n">
        <v>45991</v>
      </c>
      <c r="I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in-21e7b37a584188af</t>
        </is>
      </c>
      <c r="B5" t="inlineStr">
        <is>
          <t>Data Engineer</t>
        </is>
      </c>
      <c r="C5" t="inlineStr">
        <is>
          <t>Medical Mutual of Ohio</t>
        </is>
      </c>
      <c r="D5" t="inlineStr">
        <is>
          <t>indeed</t>
        </is>
      </c>
      <c r="E5" t="inlineStr"/>
      <c r="F5" t="inlineStr"/>
      <c r="G5" t="inlineStr">
        <is>
          <t>Cleveland, OH, US</t>
        </is>
      </c>
      <c r="H5" s="2" t="n">
        <v>46068</v>
      </c>
      <c r="I5" t="inlineStr">
        <is>
          <t>Founded in 1934, Medical Mutual is the oldest and one of the largest health insurance companies based in Ohio. We provide peace of mind to more than 1\.2 million members through our high\-quality health, life, disability, dental, vision and indemnity plans. We offer fully insured and self\-funded group coverage, including stop loss, as well as Medicare Advantage, Medicare Supplement, and individual plans.
**Job Summary:**
**Data Engineer I**
Software developer for the design and development of the company’s data lake, data warehouse, and data marts, and development of related business intelligence dashboards and visualizations. Job duties involve profiling data, developing data transformation jobs and processes, measuring data quality, and designing data warehouse data models, evaluating usability and testing data models, and developing business intelligence visualizations .
**Responsibilities:**
* Develop data pipelines to integrate and transform data for analysis.
* Support other data users and enable applied use of data to solve business problems.
* Business meetings to understand data and business needs, socialize knowledge of data products and insights, and generate consensus.
* Data profiling, data documentation, measuring and enforcing data quality.
* Developing data models to represent information.
* Performs other duties as assigned.
* Learns new technical concepts and software languages as needed.
**Qualifications:**
**Education and Experience:**
* Bachelors degree in Computer Science, Computer Information Systems, business degree with focus on data transformation or analysis, or equivalent work experience.
**Professional Certification(s):**
* N/A
**Technical Skills and Knowledge:**
* Basic understanding of programming design and coding techniques.
* Familiarity with systems development life cycle.
* Understanding of database technologies and query semantics.
* Experience with public cloud database technology (e.g. RedShift, SnowFlake, DataBricks, Azure Synapse, BigQuery).
* Experience programming in ETL or ELT technology.
* Understanding of data warehouse data model theory and techniques.
* Experience with Python programming language.
**Data Engineer II**
**Job Summary:**
Software developer for the design and development of the company’s data lake, data warehouse, and data marts, and support for applied use of data for business insights. Job duties involve profiling data, developing data transformation jobs and processes, measuring data quality, and designing data warehouse data models, evaluating usability and testing data models, and developing processes for applied use of enterprise data (data analysis, business intelligence, reporting).
* **Responsibilities:**
	+ Developing and sequencing jobs and processes to transform data into data lake and data warehouse
	+ Support analytic projects, data extracts, and other work to apply data in the warehouse, test and prove capabilities, evaluate usability, and perform demonstrations to other analysts for how to use data to meet objectives
	+ Business meetings to understand data, capture agreement on business rules, understand analyst and stakeholder objectives, and support usage of data to solve business problems.
	+ Data profiling, data documentation, and measuring data quality with manual verification and development of automated data quality tests
	+ Developing data models to represent data
	+ Performs other duties as assigned
	+ Learns new technical concepts and software languages as needed
**Qualifications:**
**Education and Experience:**
* Bachelors degree in Computer Science, Computer Information Systems, business degree with focus on data transformation or analysis, or equivalent work experience.
**Professional Certification(s):**
* N/A
**Technical Skills and Knowledge:**
* Two or more years professional experience developing software to solve business problems
* Experience with data engineering system design and software implementation
* Experience with all parts of the systems development life cycle
* Experience with database technologies and query semantics
* Experience with public cloud database technology (e.g. RedShift, SnowFlake, DataBricks, Azure Synapse, BigQuery)
* Experience programming in ETL or ELT technology
* Understanding of data warehouse data model theory and techniques
* Experience with Python programming language
**Data Engineer III**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**Responsibilities:**
* Develop data pipelines to integrate and transform data for analysis
* Support other data users and enable applied use of data to solve business problems
* Business meetings to understand data and business needs, socialize knowledge of data products and insights, and generate consensus
* Data profiling, data documentation, measuring and enforcing data quality
* Developing data models to represent information
* Performs other duties as assigned.
* Learns new technical concepts and software languages as needed.
**Qualifications:**
**Education and Experience:**
* Bachelors degree in Computer Science, Computer Information Systems, business degree with focus on data transformation or analysis, or equivalent work experience
**Professional Certification(s):**
* N/A
**Technical Skills and Knowledge:**
* Four or more years professional experience developing software to solve business problems
* Three or more years experience with data engineering system design and software implementation
* Experience with all parts of the systems development life cycle
* Experience with database technologies and query semantics
* Experience with public cloud database technology (e.g. RedShift, SnowFlake, DataBricks, Azure Synapse, BigQuery)
* Experience programming in ETL or ELT technology
* Understanding of data warehouse data model theory and techniques
* Experience with Python programming language
**Data Engineer IV**
**Job Summary:**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**Responsibilities:**
* Develop data pipelines to integrate and transform data for analysis
* Support other data users and enable applied use of data to solve business problems
* Business meetings to understand data and business needs, socialize knowledge of data products and insights, and generate consensus
* Data profiling, data documentation, measuring and enforcing data quality
* Developing data models to represent information
* Performs other duties as assigned.
* Learns new technical concepts and software languages as needed.
**Qualifications:**
**Education and Experience:**
* Bachelors degree in Computer Science, Computer Information Systems, business degree with focus on data transformation or analysis, or equivalent work experience
**Professional Certification(s):**
* N/A
**Technical Skills and Knowledge:**
* Seven or more years professional experience developing software to solve business problems
* Five or more years experience with data engineering system design and software implementation
* Proficient with all parts of the systems development life cycle
* Experience with database technologies and query semantics
* Experience leading and coordinating technical initiatives
* Experience with public cloud database technology (e.g. RedShift, SnowFlake, DataBricks, Azure Synapse, BigQuery)
* Experience programming in ETL or ELT technology
* Understanding of data warehouse data model theory and techniques
* Experience with Python programming language</t>
        </is>
      </c>
    </row>
    <row r="6">
      <c r="A6" t="inlineStr">
        <is>
          <t>in-72a5fdee7265f341</t>
        </is>
      </c>
      <c r="B6" t="inlineStr">
        <is>
          <t>Data Engineer</t>
        </is>
      </c>
      <c r="C6" t="inlineStr">
        <is>
          <t>HyerTek Inc.</t>
        </is>
      </c>
      <c r="D6" t="inlineStr">
        <is>
          <t>indeed</t>
        </is>
      </c>
      <c r="E6">
        <f>HYPERLINK("https://www.indeed.com/viewjob?jk=72a5fdee7265f341", "https://www.indeed.com/viewjob?jk=72a5fdee7265f341")</f>
        <v/>
      </c>
      <c r="F6">
        <f>HYPERLINK("https://recruiting.paylocity.com/recruiting/jobs/Details/3911579/HYERTEK-INC/Data-Engineer?source=Indeed_Feed", "https://recruiting.paylocity.com/recruiting/jobs/Details/3911579/HYERTEK-INC/Data-Engineer?source=Indeed_Feed")</f>
        <v/>
      </c>
      <c r="G6" t="inlineStr">
        <is>
          <t>Rockville, MD, US</t>
        </is>
      </c>
      <c r="H6" s="3" t="n">
        <v>46063</v>
      </c>
      <c r="I6" t="inlineStr">
        <is>
          <t>Description:
HyerTek is a fast\-moving Microsoft solutions partner seeking a data engineer to support the full data engineering lifecycle — from cleansing to visualization.
You'll work directly with our solutions team and client end users to migrate and operationalize data for public sector, defense, and commercial programs. That starts with assessing client environments and mapping source data — whether it's legacy spreadsheets, flat files, or disconnected databases. From there, you'll build extraction and transformation pipelines to cleanse, normalize, and load that data into production systems across Dataverse, Azure SQL, and SharePoint. Once the data is governed and operational, you'll build the reporting and visualization layer—standing up Power BI dashboards, Fabric Lakehouses, and consolidated views that turn raw data into decision\-ready insights.
Requirements:  
* Migrate data from legacy data systems, Excel workbooks, SharePoint, and Access databases into Dataverse and Azure data stores
* Build and maintain ETL/ELT pipelines using Azure Data Factory, Dataflows, Dataverse SDK, or whatever fits the problem
* Design and build Power BI reports and dashboards that support operational decision\-making at the command level
* Work with Microsoft Fabric for data lakehouse architecture, data integration, and consolidated analytics
* Model and manage data within Dynamics 365 / Dataverse, including entity design, relationships, and data quality
* Transform messy, inconsistent source data into clean, governed datasets—Excel normalization, deduplication, validation
* Connect data across Power Platform apps, Power Automate flows, and Power BI for end\-to\-end visibility
* Work in Azure Government (GCC High / IL4\-IL5\) environments
* Document data flows, mappings, and BI solutions so the team can maintain and scale them
**WHAT YOU'LL NEED**
* Eligibility for an Active Secret clearance. You must be a U.S. citizenship
* 3\+ years working across the Microsoft data stack—you don’t need to be an expert in all of it, but you need real experience with most of: Azure data services, D365/Dataverse, Power BI, Power Platform, and Excel\-based data work
* Hands\-on Power BI experience: data modeling, DAX, building reports and dashboards that stakeholders actually use
* Experience migrating or integrating data into Dataverse or D365 (beyond simple imports—you’ve dealt with referential integrity, transformations, and data quality)
* Solid SQL skills
* Scripting ability in Python, PowerShell, or M (Power Query)
* Prior work in DoD or federal IT environments
**Clearance \&amp; Work Authorization**
This position requires U.S. citizenship and the ability to successfully obtain and maintain a U.S. Department of Defense (DoD) clearance. Candidates must be authorized to work in the United States without the need for employment\-based visa sponsorship now or in the future. HyerTek will not sponsor applicants for U.S. work visa status for this opportunity, and no sponsorship is available for H\-1B, L\-1, TN, O\-1, E\-3, H\-1B1, F\-1, J\-1, OPT, CPT, or any other employment\-based visa.
**Salary Range**
$120,000 – $140,000 annually, depending on experience, technical depth, and clearance status.
**Equal Employment Opportunity (EEO)**
HyerTek is an Equal Opportunity Employer. All qualified applicants will receive consideration for employment without regard to race, color, religion, sex, sexual orientation, gender identity, national origin, disability, veteran status, age, or any other protected status.</t>
        </is>
      </c>
    </row>
    <row r="7">
      <c r="A7" t="inlineStr">
        <is>
          <t>in-f4c9a9a70497ea49</t>
        </is>
      </c>
      <c r="B7" t="inlineStr">
        <is>
          <t>Data Engineer, Denied Party Screening, AWS Compliance &amp; Security Assurance</t>
        </is>
      </c>
      <c r="C7" t="inlineStr">
        <is>
          <t>Amazon.com</t>
        </is>
      </c>
      <c r="D7" t="inlineStr">
        <is>
          <t>indeed</t>
        </is>
      </c>
      <c r="E7">
        <f>HYPERLINK("https://www.indeed.com/viewjob?jk=f4c9a9a70497ea49", "https://www.indeed.com/viewjob?jk=f4c9a9a70497ea49")</f>
        <v/>
      </c>
      <c r="F7">
        <f>HYPERLINK("https://www.amazon.jobs/jobs/3160403/data-engineer-denied-party-screening-aws-compliance--security-assurance?cmpid=DA_INAD200785B", "https://www.amazon.jobs/jobs/3160403/data-engineer-denied-party-screening-aws-compliance--security-assurance?cmpid=DA_INAD200785B")</f>
        <v/>
      </c>
      <c r="G7" t="inlineStr">
        <is>
          <t>Dallas, TX, US</t>
        </is>
      </c>
      <c r="H7" s="3" t="n">
        <v>46029</v>
      </c>
      <c r="I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8">
      <c r="A8" t="inlineStr">
        <is>
          <t>in-0420429e5725fe3c</t>
        </is>
      </c>
      <c r="B8" t="inlineStr">
        <is>
          <t>Data Engineer, Denied Party Screening, AWS Compliance &amp; Security Assurance</t>
        </is>
      </c>
      <c r="C8" t="inlineStr">
        <is>
          <t>Amazon.com</t>
        </is>
      </c>
      <c r="D8" t="inlineStr">
        <is>
          <t>indeed</t>
        </is>
      </c>
      <c r="E8">
        <f>HYPERLINK("https://www.indeed.com/viewjob?jk=0420429e5725fe3c", "https://www.indeed.com/viewjob?jk=0420429e5725fe3c")</f>
        <v/>
      </c>
      <c r="F8">
        <f>HYPERLINK("https://www.amazon.jobs/jobs/3160403/data-engineer-denied-party-screening-aws-compliance--security-assurance?cmpid=DA_INAD200785B", "https://www.amazon.jobs/jobs/3160403/data-engineer-denied-party-screening-aws-compliance--security-assurance?cmpid=DA_INAD200785B")</f>
        <v/>
      </c>
      <c r="G8" t="inlineStr">
        <is>
          <t>Seattle, WA, US</t>
        </is>
      </c>
      <c r="H8" s="3" t="n">
        <v>46029</v>
      </c>
      <c r="I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
      <c r="A9" t="inlineStr">
        <is>
          <t>in-91fc6f8d526dc0ef</t>
        </is>
      </c>
      <c r="B9" t="inlineStr">
        <is>
          <t>Data Engineer</t>
        </is>
      </c>
      <c r="C9" t="inlineStr">
        <is>
          <t>Amazon.com</t>
        </is>
      </c>
      <c r="D9" t="inlineStr">
        <is>
          <t>indeed</t>
        </is>
      </c>
      <c r="E9">
        <f>HYPERLINK("https://www.indeed.com/viewjob?jk=91fc6f8d526dc0ef", "https://www.indeed.com/viewjob?jk=91fc6f8d526dc0ef")</f>
        <v/>
      </c>
      <c r="F9">
        <f>HYPERLINK("https://www.amazon.jobs/jobs/3141339/data-engineer?cmpid=DA_INAD200785B", "https://www.amazon.jobs/jobs/3141339/data-engineer?cmpid=DA_INAD200785B")</f>
        <v/>
      </c>
      <c r="G9" t="inlineStr">
        <is>
          <t>Seattle, WA, US</t>
        </is>
      </c>
      <c r="H9" s="3" t="n">
        <v>46001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0">
      <c r="A10" t="inlineStr">
        <is>
          <t>in-831b688c7cf0ed50</t>
        </is>
      </c>
      <c r="B10" t="inlineStr">
        <is>
          <t>Data Engineer</t>
        </is>
      </c>
      <c r="C10" t="inlineStr">
        <is>
          <t>Amazon.com</t>
        </is>
      </c>
      <c r="D10" t="inlineStr">
        <is>
          <t>indeed</t>
        </is>
      </c>
      <c r="E10">
        <f>HYPERLINK("https://www.indeed.com/viewjob?jk=831b688c7cf0ed50", "https://www.indeed.com/viewjob?jk=831b688c7cf0ed50")</f>
        <v/>
      </c>
      <c r="F10">
        <f>HYPERLINK("https://www.amazon.jobs/jobs/3141339/data-engineer?cmpid=DA_INAD200785B", "https://www.amazon.jobs/jobs/3141339/data-engineer?cmpid=DA_INAD200785B")</f>
        <v/>
      </c>
      <c r="G10" t="inlineStr">
        <is>
          <t>San Francisco, CA, US</t>
        </is>
      </c>
      <c r="H10" s="3" t="n">
        <v>46001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li-4373270762</t>
        </is>
      </c>
      <c r="B2" t="inlineStr">
        <is>
          <t>Senior Data Engineer</t>
        </is>
      </c>
      <c r="C2" t="inlineStr">
        <is>
          <t>Sedra Solutions</t>
        </is>
      </c>
      <c r="D2" t="inlineStr">
        <is>
          <t>linkedin</t>
        </is>
      </c>
      <c r="E2" t="inlineStr"/>
      <c r="F2" t="inlineStr"/>
      <c r="G2" t="inlineStr">
        <is>
          <t>New York, NY</t>
        </is>
      </c>
      <c r="H2" t="inlineStr"/>
      <c r="I2" t="inlineStr">
        <is>
          <t>**Company Description** 
 Sedra Solutions, founded in 2022, is transforming forensic accounting with its innovative AI and Machine Learning\-driven software platform. The company specializes in detecting and documenting financial fraud, delivering significant time and cost efficiency for businesses and governments. Sedra empowers organizations with state\-of\-the\-art analytic tools to tackle financial fraud effectively. Dedicated to innovation, Sedra continuously evolves its technology to address the complexities of financial analysis, supporting a more secure and transparent financial future.
**About the Role** 
 We are an early\-stage startup building our data platform intentionally from the ground up. We are looking for a Senior Data Engineer who seeks ownership: designing the foundations, shipping quickly, and making pragmatic tradeoffs that scale with the company.
 You will be one of the key people defining how data moves through the system. This is a hands\-on role in a GCP\-first environment where you’ll influence architecture, tooling, and standards from day one.
**Key Duties \&amp; Responsibilities** 
 ● Design, build, and operate scalable data pipelines, primarily using Dataflow
 ● Own ingestion, transformation, and modeling of data for analytics and product needs
 ● Work closely with engineering to define clear data contracts
 ● Build reliable, well\-modeled datasets in BigQuery, Elasticsearch, and Neo4j to support analytics and product use cases
 ● Implement data quality checks, monitoring, and alerting
 ● Optimize pipelines for cost, performance, and reliability as usage grows
 ● Help establish best practices, patterns, and tooling for data engineering
**Qualifications \&amp; Skills** 
**Required Qualifications** 
 ● 5\+ years of experience in data engineering, backend, or platform engineering
 ● Strong SQL skills and proficiency in Python and/or Scala
 ● Experience building and running production data pipelines
 ● Solid understanding of ETL patterns and data modeling
 ● Comfort operating in a fast\-moving, ambiguous startup environment
 ● Strong communication skills and ability to collaborate across functions
 ● Understanding of information security principles and ISMS policies
 ● Knowledge of security best practices for cloud environments
**Preferred Qualifications** 
 ● Experience with Apache Beam, Scio, and running pipelines on Dataflow
 ● Familiarity with workflow orchestration tools (Airflow, Dagster, etc.)
 ● Experience supporting analytics, experimentation, or ML workloads
 ● Knowledge of data quality, observability, or lineage tooling
 ● Experience being the primary owner of data systems in a small team
 ● Domain experience with legal technology and forensic accounting workflows
**Compensation** 
 • Competitive base salary US $120,000 to US $150,000 (commensurate with experience)
 • Performance\-based bonus structure
 • Generous equity package that lets you get in on the ground floor of an early startup with tremendous upside potential
 • On\-target earnings aligned with company growth milestones
**Why Join Us?** 
 • Foundational role in shaping the company’s data architecture
 • Direct exposure to leadership in a high\-growth Fintech startup
 • Significant ownership and technical decision\-making authority
 • Flexible schedule and high\-autonomy work environment
 • Collaborative, entrepreneurial culture with long\-term growth opportunities</t>
        </is>
      </c>
    </row>
    <row r="3">
      <c r="A3" t="inlineStr">
        <is>
          <t>li-4264933324</t>
        </is>
      </c>
      <c r="B3" t="inlineStr">
        <is>
          <t>Senior Data Engineer</t>
        </is>
      </c>
      <c r="C3" t="inlineStr">
        <is>
          <t>StubHub</t>
        </is>
      </c>
      <c r="D3" t="inlineStr">
        <is>
          <t>linkedin</t>
        </is>
      </c>
      <c r="E3" t="inlineStr"/>
      <c r="F3" t="inlineStr"/>
      <c r="G3" t="inlineStr">
        <is>
          <t>Los Angeles, CA</t>
        </is>
      </c>
      <c r="H3" t="inlineStr"/>
      <c r="I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a talented Senior Data Engineer to join StubHub's Data team. In this role, you will be responsible for designing and building the underlying systems and pipelines for centralizing StubHub’s internal plus third\-party data. Our team's goal is to empower organizations across the company to transform data for analysis and reporting, new product development, experimentation, and machine learning. This includes developing the core infrastructure for the data lake and data warehouse, creating foundational data models and data pipelines, and building shared tooling to streamline the creation of high\-quality, trustworthy data assets.
 As a Senior Data Engineer on the Data Platform team, you will contribute to core infrastructure, frameworks, and analytical data layers. You will also play a key role in defining the culture and expectations of what great data engineering looks like, and mentoring others on the team to reach that bar. We are looking for the right person who is passionate about the power of both data and software development fundamentals, and can use them in tandem to create a data ecosystem that is principled, maintainable, and extensible to the hypergrowth happening at StubHub. You will specialize in one or more business domains, building deep expertise and anticipating the needs of those verticals.
*Location: Hybrid (3 days in office/2 days remote) – New York, NY or Century City, CA*
**What You'll Do**
* Build and operate scalable data pipelines with robust QA, monitoring, and alerting
* Create shared tooling to improve data practitioner (data engineering, analytics engineering, data science) productivity and quality across the company
* Influence the direction for key infrastructure and framework choices for data pipelining and data management
* Contribute to core cross\-functional data models
* Launch data platform features that have immediate impact on the velocity of innovation and ultimately growth of the business
* Manage individual initiatives—Setting priorities, deadlines, and deliverables based on your technical expertise
* Foster a culture of inclusion, results\-oriented execution, open innovation, and limitless creativity in your team
* Specialize in one or more business domains, building deep expertise and anticipating the needs of that business vertical
**What You've Done** 
* 7\+ years of relevant development experience—in data platform or data engineering—in fast paced environments
* Very high SQL proficiency, with experience in both transactional RDBMS systems and distributed systems
* Strong programming and system design skills
* Experience designing and developing large\-scale, efficient batch and streaming data processing
* Ability to analyze and reason about large datasets to identify data quality issues and other contextual insights
* Experience mentoring, delegating to, and reviewing the work of junior team members
* Passion for great data end\-user experience and stewardship
* Experience with:
+ Data pipeline management and orchestration tools, such as Airflow
+ Cloud\-based data warehousing solutions, such as Snowflake, BigQuery, and Redshift
+ Batch processing systems, such as Spark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4">
      <c r="A4" t="inlineStr">
        <is>
          <t>li-4373227614</t>
        </is>
      </c>
      <c r="B4" t="inlineStr">
        <is>
          <t>Data Engineer (REMOTE)</t>
        </is>
      </c>
      <c r="C4" t="inlineStr">
        <is>
          <t>Jobgether</t>
        </is>
      </c>
      <c r="D4" t="inlineStr">
        <is>
          <t>linkedin</t>
        </is>
      </c>
      <c r="E4" t="inlineStr"/>
      <c r="F4" t="inlineStr"/>
      <c r="G4" t="inlineStr">
        <is>
          <t>New York, United States</t>
        </is>
      </c>
      <c r="H4" t="inlineStr"/>
      <c r="I4"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li-4373224818</t>
        </is>
      </c>
      <c r="B5" t="inlineStr">
        <is>
          <t>Data Engineer - REMOTE</t>
        </is>
      </c>
      <c r="C5" t="inlineStr">
        <is>
          <t>Jobgether</t>
        </is>
      </c>
      <c r="D5" t="inlineStr">
        <is>
          <t>linkedin</t>
        </is>
      </c>
      <c r="E5" t="inlineStr"/>
      <c r="F5" t="inlineStr"/>
      <c r="G5" t="inlineStr">
        <is>
          <t>Wisconsin, United States</t>
        </is>
      </c>
      <c r="H5" t="inlineStr"/>
      <c r="I5"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li-4373227617</t>
        </is>
      </c>
      <c r="B6" t="inlineStr">
        <is>
          <t>Data Engineer - REMOTE</t>
        </is>
      </c>
      <c r="C6" t="inlineStr">
        <is>
          <t>Jobgether</t>
        </is>
      </c>
      <c r="D6" t="inlineStr">
        <is>
          <t>linkedin</t>
        </is>
      </c>
      <c r="E6" t="inlineStr"/>
      <c r="F6" t="inlineStr"/>
      <c r="G6" t="inlineStr">
        <is>
          <t>Arkansas, United States</t>
        </is>
      </c>
      <c r="H6" t="inlineStr"/>
      <c r="I6"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li-4373268880</t>
        </is>
      </c>
      <c r="B7" t="inlineStr">
        <is>
          <t>Data Engineer</t>
        </is>
      </c>
      <c r="C7" t="inlineStr">
        <is>
          <t>Wiraa</t>
        </is>
      </c>
      <c r="D7" t="inlineStr">
        <is>
          <t>linkedin</t>
        </is>
      </c>
      <c r="E7" t="inlineStr"/>
      <c r="F7" t="inlineStr"/>
      <c r="G7" t="inlineStr"/>
      <c r="H7" t="inlineStr"/>
      <c r="I7" t="inlineStr">
        <is>
          <t>**About The Company**
 Vivian Health is a leading healthcare technology company dedicated to transforming the recruitment and staffing landscape for healthcare professionals. As the largest healthcare jobs marketplace, Vivian Health connects over 2 million clinicians with their ideal career opportunities, streamlining the hiring process through innovative AI\-driven solutions. Backed by prominent investors such as Thoma Bravo and IAC, the company has successfully raised over $75 million in capital, underscoring its growth and industry impact. Recognized for its remote\-first work culture, Vivian Health has received numerous accolades, including BuiltIn's awards for “Fully Remote Best Startup,” “Fully Remote Best Places to Work,” and “U.S. Best Startups to Work For” in 2024\.
 Our mission is to empower healthcare professionals by making job search faster, easier, and more efficient, while also providing healthcare organizations with the tools needed to optimize staffing and operational efficiency. With a focus on innovation, data\-driven decision making, and user\-centric design, Vivian Health continues to set new standards in healthcare recruitment technology.
**About The Role**
 We are seeking a highly skilled and visionary Lead Data Engineer to join our dynamic Data Team. In this pivotal role, you will be responsible for setting the technical direction, strategy, and operational excellence of our data platform. You will lead a team of talented data engineers, guiding architecture decisions, and ensuring the robustness and scalability of our data infrastructure. A key component of your role will involve building and maintaining feature stores and ML infrastructure to support our machine learning models, enabling personalized experiences for millions of healthcare professionals and users.
 This position offers a unique opportunity to influence the future of healthcare staffing through innovative data solutions, working in a collaborative, remote\-first environment. Your expertise will help shape the technological foundation that drives business insights, operational efficiencies, and product enhancements across the organization.
**Qualifications**
* 7\+ years of professional experience in data engineering or related engineering fields
* 2\+ years of leadership or management experience in a technical team
* Proven experience designing and operating large\-scale data platforms
* Strong proficiency in Python and SQL
* Deep expertise with cloud data warehouses such as Snowflake, BigQuery, or Redshift
* Experience building and maintaining feature stores and ML infrastructure
* Knowledge of AWS technologies including DynamoDB, Lambda, SageMaker, and Kinesis
* Experience with Infrastructure\-as\-Code tools like CloudFormation or Terraform
* Proficiency with data orchestration tools such as Airflow and DBT
* Hands\-on experience with streaming data pipelines using Kafka, Kinesis, or similar technologies
* Strong mentoring skills and track record of building high\-performing teams
* Excellent communication skills with ability to translate technical concepts for diverse audiences
**Responsibilities**
* Set and lead the technical strategy for the data engineering team and data platform
* Oversee the design, development, and maintenance of scalable data infrastructure
* Lead architecture decisions for data pipelines, feature stores, and ML infrastructure
* Mentor and coach team members to foster growth and high performance
* Collaborate with product, engineering, and data science teams to align on goals and deliverables
* Implement monitoring, alerting, and observability practices to ensure platform reliability
* Drive initiatives to improve data quality, testing, and documentation standards
* Lead the development and deployment of real\-time data pipelines and features for ML models
* Establish best practices for data security, governance, and compliance
* Stay updated with industry trends and incorporate innovative solutions into the data platform
**Benefits**
* Competitive annual salary range of $190,000 \- $220,000, commensurate with experience and skills
* Equity options to participate in the company's growth
* Flexible Time Off policy to support work\-life balance
* Comprehensive health insurance plans, including HSA and FSA options
* 401(k) retirement savings plan with a generous employer match
* Work\-from\-home stipend to support remote work setup
* Access to corporate discount programs
* Pet insurance coverage
 Equal Opportunity
 Vivian Health is committed to fostering an inclusive environment and is proud to be an equal opportunity employer. We do not discriminate on the basis of race, color, religion, gender, sexual orientation, gender identity or expression, national origin, age, disability, or any other protected status under applicable law. We believe diversity drives innovation and are dedicated to ensuring a welcoming and equitable workplace for all employees.</t>
        </is>
      </c>
    </row>
    <row r="8">
      <c r="A8" t="inlineStr">
        <is>
          <t>li-4373221938</t>
        </is>
      </c>
      <c r="B8" t="inlineStr">
        <is>
          <t>Data Engineer - Remote</t>
        </is>
      </c>
      <c r="C8" t="inlineStr">
        <is>
          <t>Jobgether</t>
        </is>
      </c>
      <c r="D8" t="inlineStr">
        <is>
          <t>linkedin</t>
        </is>
      </c>
      <c r="E8" t="inlineStr"/>
      <c r="F8" t="inlineStr"/>
      <c r="G8" t="inlineStr">
        <is>
          <t>Illinois, United States</t>
        </is>
      </c>
      <c r="H8" t="inlineStr"/>
      <c r="I8"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
      <c r="A9" t="inlineStr">
        <is>
          <t>li-4365686872</t>
        </is>
      </c>
      <c r="B9" t="inlineStr">
        <is>
          <t>Analytics Engineer</t>
        </is>
      </c>
      <c r="C9" t="inlineStr">
        <is>
          <t>Spreedly</t>
        </is>
      </c>
      <c r="D9" t="inlineStr">
        <is>
          <t>linkedin</t>
        </is>
      </c>
      <c r="E9" t="inlineStr"/>
      <c r="F9" t="inlineStr"/>
      <c r="G9" t="inlineStr"/>
      <c r="H9" t="inlineStr"/>
      <c r="I9" t="inlineStr">
        <is>
          <t>About Us:
 Spreedly is the world's leading Open Payments Platform, sitting at the center of a network processing more than $50b of GMV annually. Spreedly's Payments Orchestration platform enables and optimizes digital transactions with the world’s most complete payment services marketplace. Built on Spreedly’s PCI\-compliant architecture, our Advanced Vault solution combines a modern feature\-set with rule\-based configurations to optimize the vaulting experience for all stored payment methods. Global enterprises and hyper\-growth companies grow their digital business faster by relying on our payments platform. Hundreds of customers worldwide secure card data in our PCI\-compliant vault and use tokenized card data to enable and optimize over $45 billion of annual transaction volumes with any payment service.
 Our vision is that the world is better with a diversified, inclusive payment ecosystem. Our mission is to accelerate commerce with an open, secure, and flexible payment platform that welcomes all payment participants. Our employees help us execute our vision by building a culture focused on autonomy, transparency, and collaboration in a dynamic, high\-growth organization.
 Product Offering:
 Spreedly provides an open payments platform. The platform’s connectivity provides payments performance. Key products and services include:
**Payment Gateway Integration** 
 : Connects merchants, platforms, and marketplaces to multiple payment gateways and payment services.
**Tokenization** 
 : Securely stores and manages payment data with a universal tokenization service.
**Transaction Routing** 
 : Enables intelligent routing of transactions to optimize success rates and costs.
**Payment Vault** 
 : A secure storage solution for sensitive payment information.
**Fraud Tools Integration** 
 : Integrates with various fraud prevention tools to enhance transaction security.
**About the Role:**
 The Analytics Engineer will sit at the crossroads of Spreedly's business teams, Data Engineering, and Business Intelligence and be responsible for bringing robust, efficient, and integrated data models to life. A successful candidate for this role can speak the language of business teams and technical teams, and is able to translate data insights and analysis needs into models powered by Spreedly’s data pipeline and platform.
 This role will blend business acumen with technical expertise and transition between business strategy and data development, working alongside self\-starters interested in solving real\-world problems and in streamlining our internal capacity to simplify a complex environment with billions of data points.
**Responsibilities:**
* Collaborate and Advise: Partner with business teams and stakeholders to collect requirements, define analytics outcomes, and build foundational data models and dashboards. You'll serve as a data modeling and visualization expert, assisting all teams by delivering high\-impact dashboards built on scalable data models.
* Develop and Maintain Data Models: Design, develop, and maintain scalable dbt models to advance our data maturity. This includes ensuring a single source of truth, keeping data sources fresh as requirements evolve, and maintaining our data dictionary.
* Ensure Quality and Governance: Write SQL that meets internal standards for structure and quality. You'll maintain these standards through code reviews and peer\-reviewing database and data model schema changes.
* Empower Stakeholders: Encourage internal adoption and self\-sufficiency of stakeholders in Tableau through documentation, training, and dashboard organization.
**Requirements:**
* 3\+ years of proven experience in the data space as an analyst or analytics engineer.
* 3\+ years designing and implementing commercial enterprise dimensional models and working with large\-scale (1B\+ rows) cloud data warehouses.
* Hands\-on experience building, testing, and maintaining data models in dbt
* Expertise with SQL, including advanced techniques (ex. window functions, common table expressions, UDFs, etc.) for data investigation and analysis.
* Experience with data visualization in Tableau
* Solid project management skills, including planning work, managing details, and navigating ambiguity to deliver results with cross\-functional stakeholders.
* Enthusiasm for conducting reproducible analysis, including code reviews, version control, and robust documentation.
**Additional Skills We Value:**
* Familiarity with Snowflake
* Experience with Fivetran
* Background in a B2B SaaS or fintech environment
* Experience supporting RevOps or GTM analytics, including sales funnel and marketing performance reporting
**We Offer Our US\-Based Employees:**
* Competitive salary \+ Equity
* Outstanding Medical and Dental benefits, including 100% employer\-paid options
* Company\-paid Life and Disability insurance
* Optional vision and supplemental insurance options, and various Flexible Spending Accounts (FSA)
* Open Paid Time Off policy \+ 12 weeks of paid leave for new parents
* Matching 401(k) plan (5% up to $5,000 yearly)
* $1,000 annual professional development stipend
* Monthly home working/digital lifestyle stipend, new MacBook, and one\-time accessory reimbursement
* Access to company\-paid professional coaching service
* Visits to HQ in Durham, North Carolina for remote employees
 We champion the ethical, creative use of AI—if you’re someone who pairs human judgment with modern AI tools to work smarter and drive bigger impact, you’ll thrive here.
 \-\-
 Spreedly is an equal opportunity employer. We are committed to fostering, cultivating, and preserving a culture of diversity, equity, inclusion, and belonging. We actively work to drive out even unintentional discrimination in our hiring processes via practices like blindly graded work samples, structured interviews, and diversity awareness training.
 Due to the sensitive nature of what Spreedly does \- handling payment data \- finalist candidates must complete a successful background and reference check.
 At this time Spreedly is unable to provide sponsorship for employment, and we are not set up to support remote employees who reside in New York. In order to be considered for employment, applicants must be currently legally authorized to work in the job location country and not require future sponsorship in order to continue working in that country.
 We appreciate your interest in our company. Because of the high volume of resume flow, we may only respond to those candidates that we think will be a potential fit.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li-4373222990</t>
        </is>
      </c>
      <c r="B10" t="inlineStr">
        <is>
          <t>Data Engineer (Remote)</t>
        </is>
      </c>
      <c r="C10" t="inlineStr">
        <is>
          <t>Jobgether</t>
        </is>
      </c>
      <c r="D10" t="inlineStr">
        <is>
          <t>linkedin</t>
        </is>
      </c>
      <c r="E10" t="inlineStr"/>
      <c r="F10" t="inlineStr"/>
      <c r="G10" t="inlineStr">
        <is>
          <t>Delaware, United States</t>
        </is>
      </c>
      <c r="H10" t="inlineStr"/>
      <c r="I10"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li-4373222998</t>
        </is>
      </c>
      <c r="B11" t="inlineStr">
        <is>
          <t>Data Engineer REMOTE</t>
        </is>
      </c>
      <c r="C11" t="inlineStr">
        <is>
          <t>Jobgether</t>
        </is>
      </c>
      <c r="D11" t="inlineStr">
        <is>
          <t>linkedin</t>
        </is>
      </c>
      <c r="E11" t="inlineStr"/>
      <c r="F11" t="inlineStr"/>
      <c r="G11" t="inlineStr">
        <is>
          <t>Iowa, United States</t>
        </is>
      </c>
      <c r="H11" t="inlineStr"/>
      <c r="I11"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li-4373277488</t>
        </is>
      </c>
      <c r="B12" t="inlineStr">
        <is>
          <t>Data Engineer II</t>
        </is>
      </c>
      <c r="C12" t="inlineStr">
        <is>
          <t>Wiraa</t>
        </is>
      </c>
      <c r="D12" t="inlineStr">
        <is>
          <t>linkedin</t>
        </is>
      </c>
      <c r="E12" t="inlineStr"/>
      <c r="F12" t="inlineStr"/>
      <c r="G12" t="inlineStr"/>
      <c r="H12" t="inlineStr"/>
      <c r="I12" t="inlineStr">
        <is>
          <t>**About The Company**
 First Citizens Bank is a leading financial institution committed to providing exceptional banking services to our clients. With a rich history of stability, integrity, and innovation, we serve a diverse customer base across various regions. Our focus on technological advancement and data\-driven decision making has positioned us as a forward\-thinking bank dedicated to operational excellence and customer satisfaction. We foster a collaborative work environment that values diversity, continuous learning, and professional growth, ensuring our associates are equipped to meet the evolving needs of the financial industry.
**About The Role**
 We are seeking a skilled Data Engineer to join our team in a remote capacity, with the ability to work within North Carolina, Arizona, or Texas. This role is pivotal in supporting our enterprise data warehouse and data platform initiatives that underpin critical business functions such as regulatory reporting, finance, risk management, and customer insights. The successful candidate will be responsible for designing, developing, and maintaining scalable data solutions that facilitate seamless data integration, security, and governance. This position involves collaboration with cross\-functional teams, managing production support activities, and driving automation to optimize data workflows. The role offers an exciting opportunity to contribute to enterprise\-wide data architecture, ensuring data quality, performance, and compliance with industry standards.
**Qualifications**
* Bachelor’s degree in Computer Science, Information Technology, Data Science, or a related field, with at least 2 years of professional experience in data engineering or database management
* Alternatively, a high school diploma or GED with a minimum of 6 years of relevant experience in data engineering or related disciplines
* Proficiency in designing and building data warehouses and data lakes
* Experience working with large\-scale data platforms such as Oracle, Netezza, Teradata, SQL Server, Snowflake, AWS Redshift, or Google BigQuery
* Strong SQL scripting skills and experience with data integration tools like Informatica, SAP BODS, IBM Data Stage, or ELT tools such as DBT, Fivetran, AWS Glue
* Knowledge of data modeling, data architecture, and performance tuning of data pipelines and database objects
* Experience with cloud\-based data solutions and familiarity with version control and CI/CD processes (e.g., GitLab)
* Excellent communication, problem\-solving, and collaboration skills
* Experience in the financial industry is a plus
**Responsibilities**
* Design, develop, and maintain robust data platforms supporting enterprise data warehouses, operational data stores, and data marts
* Create and optimize data ingestion pipelines, ensuring efficient data flow into large\-scale data platforms
* Implement scheduled and trigger\-based data ingestion processes using appropriate scheduling tools
* Develop performance\-optimized DDLs for relational and columnar databases, including Oracle, Postgres, and Netezza
* Perform performance tuning on complex data pipelines and SQL queries to ensure high efficiency
* Conduct impact analysis on proposed changes, assessing effects on architecture, capabilities, and system priorities
* Manage deliverables, perform design reviews, and coordinate release activities with development teams
* Estimate project timelines, identify technical risks, and communicate issues and solutions effectively
* Drive automation initiatives, identify process inefficiencies, and recommend improvements for data workflows
* Apply agile engineering practices to rapidly develop and deploy data products
* Collaborate with product owners and stakeholders to understand requirements, plan iterations, and ensure timely delivery
* Provide technical support for production incidents, troubleshooting, and failure resolution
* Work closely with global technology teams across different time zones to ensure seamless data operations and business value delivery
**Benefits**
* Competitive salary and comprehensive health insurance plans
* Retirement savings options with employer matching
* Paid time off and holiday leave
* Professional development and continuous learning opportunities
* Flexible work arrangements and remote work support
* Employee assistance programs and wellness initiatives
* Access to cutting\-edge technology and tools to support your work
 Equal Opportunity
 First Citizens Bank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in accordance with applicable laws.</t>
        </is>
      </c>
    </row>
    <row r="13">
      <c r="A13" t="inlineStr">
        <is>
          <t>li-4365671285</t>
        </is>
      </c>
      <c r="B13" t="inlineStr">
        <is>
          <t>Senior Data Engineer I</t>
        </is>
      </c>
      <c r="C13" t="inlineStr">
        <is>
          <t>Pax8</t>
        </is>
      </c>
      <c r="D13" t="inlineStr">
        <is>
          <t>linkedin</t>
        </is>
      </c>
      <c r="E13" t="inlineStr"/>
      <c r="F13" t="inlineStr"/>
      <c r="G13" t="inlineStr"/>
      <c r="H13" t="inlineStr"/>
      <c r="I13" t="inlineStr">
        <is>
          <t>📍
 **Remote – United States**
 🕒
 **Full‑Time** 
 \| 💼
 **Experienced Level**
 ⭐
 **Elev8\. Advoc8\. Innov8\. Celebr8\.**
 At Pax8, we’re transforming the cloud marketplace — and data is the engine that powers everything we do. We help technology professionals buy, sell, and manage cloud solutions with ease, and data is at the core of delivering those intelligent, seamless experiences.
 We’re growing fast and looking for a
 **Senior Data Engineer I** 
 who thrives on building scalable systems, solving complex challenges, and mentoring others. If you are energized by innovation, curiosity, and meaningful impact, we’d love to meet you.
 ⚡
 **The Impact You Will Make**
 As a Senior Data Engineer I, you will design and build the data systems that enable smarter decisions, deeper insights, and scalable growth across Pax8\. You will shape foundational data architecture, guide technical approaches, and partner closely with teams across the business.
**In This Role, You Will**
 🧩
 **Design and build data pipelines**
 Create, optimize, and maintain robust data pipelines using Python and Structured Query Language.
 🔄
 **Transform and manage data**
 Develop scalable transformations and models to support analytics, product, and operational teams across the business.
 🧑‍🏫
 **Lead and mentor**
 Guide junior engineers, promote clean and testable code, and share best practices to elevate the team.
 🚀
 **Improve deployment and tooling**
 Enhance deployment workflows and contribute to strong continuous integration and continuous delivery pipelines.
 🏗️
 **Shape data architecture**
 Collaborate on long‑term architecture decisions and project planning efforts that influence the future of our data platform.
 🐞
 **Troubleshoot and support**
 Resolve issues across pipelines and platforms, and participate in on‑call rotation to keep systems healthy and supported.
 🧠
 **What You Bring**
 You are a collaborative, curious, and adaptable engineer who loves solving complex problems and building elegant data solutions.
**We Are Looking For Someone Who Has**
 📅
 **Experience**
 4 or more years of hands‑on data engineering experience.
 💻
 **Technical Skills**
* Advanced proficiency in Python and Structured Query Language
* Experience with Apache Spark, Kafka, and orchestration tools such as Airflow or Prefect
* Familiarity with cloud platforms (Amazon Web Services, Azure, or Google Cloud)
* Experience with infrastructure tools such as Terraform, Docker, or Kubernetes
* Strong understanding of analytical databases such as Redshift, Athena, or BigQuery
**🧩 Mindset \&amp; Competencies**
 💡
 **Growth mindset** 
 — You stay curious and adapt quickly.
 🧠
 **Strong problem‑solving** 
 — You can break down complex issues elegantly.
 🤝
 **Collaboration excellence** 
 — You work well across engineering, data, and business teams.
 📣
 **Clear communication** 
 — You express ideas simply and effectively.
 🔥
 **Innovation and ownership** 
 — You care deeply about quality and continuous improvement.
 🎓
 **Education**
 Bachelor’s degree in a related field or equivalent experience required.
 Master’s degree preferred.
 💚
 **How You Work**
**You Live And Breathe The Pax8 Values**
 💬
 **Compassionate Candor** 
 — Honest, kind, clear communication.
 🤝
 **We Before Me** 
 — Collaboration and team over ego.
 📌
 **Do What You Say** 
 — Accountability and follow‑through.
 🔥
 **Light Up Learning** 
 — Curiosity, experimentation, and growth.
 ❤️
 **Driven by Passion** 
 — Purpose, resilience, and enthusiasm.
**You Help Every Teammate And Stakeholder Feel**
 ⭐
 **Recognized** 
 , 📣
 **Informed** 
 , 🤝
 **Respected** 
 , 💛
 **Supported**
 🎉
 **Why You’ll Love Working Here**
 🏆 Recognized as one of Denver’s Best Places to Work
 🌱 Endless opportunities to grow and innovate
 🧠 A culture that values creativity, curiosity, and learning
 🤗 A supportive team that embraces individuality and authenticity
 🌍 Flexible remote work environment
 🎉 A place where hard work is celebrated—and fun is part of the formula
**Compensation**
 Qualified candidates can expect a compensation range of:
 💰
 **$135,000 – $165,000 or more** 
 , depending on experience.
**Expected Closing Date: 3/20/2026**
 At Pax8, we care deeply about building genuine, trust‑based relationships — starting with how we hire.
 To protect our business, our teams, and our customers, we use a range of measures throughout the recruitment process to help confirm authenticity and prevent fraud. These safeguards are designed to be fair, respectful, and proportionate, and may evolve as risks change.
 By applying, you acknowledge that we take steps to verify identity and representation during hiring. If you’re applying as your authentic self, you have nothing to worry about — we’re excited to meet you.
**Perks**
**Why Join Pax8?**
 Because here, success isn't just about numbers—it’s about
 **impact** 
 .
 It’s about being part of a team that
 **thinks bigger** 
 , empowers each other, and never loses sight of why we do what we do: to make the cloud
 **easier, more accessible, and more meaningful** 
 .
**Benefits**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Please take a moment to review our Proprietary Rights and Non\-Competition Agreement — this document outlines important information about your rights and responsibilities if you join our team.
**Pax8 is an EEOC Employer.**
**Equal Opportunities**
 Pax8 is an equal opportunities employer and welcome individuals who are in possession of the appropriate requirements to work within the country the role is based in. Offered individuals will be asked to undertake identity, security compliance and reference checks. Your privacy is important to us. Your data will be held in accordance with Data Privacy best practices and processed only in accordance with our recruiting processes.
 Job Applicant Privacy Notice</t>
        </is>
      </c>
    </row>
    <row r="14">
      <c r="A14" t="inlineStr">
        <is>
          <t>li-4333290576</t>
        </is>
      </c>
      <c r="B14" t="inlineStr">
        <is>
          <t>Senior Data Engineer</t>
        </is>
      </c>
      <c r="C14" t="inlineStr">
        <is>
          <t>Wpromote</t>
        </is>
      </c>
      <c r="D14" t="inlineStr">
        <is>
          <t>linkedin</t>
        </is>
      </c>
      <c r="E14" t="inlineStr"/>
      <c r="F14" t="inlineStr"/>
      <c r="G14" t="inlineStr"/>
      <c r="H14" t="inlineStr"/>
      <c r="I14" t="inlineStr">
        <is>
          <t>**The Role**
 As a Senior Data Engineer, you will be pivotal in designing, building, and optimizing our data infrastructure. You'll work closely with cross\-functional teams to ensure seamless data flow and integration across various MarTech and AdTech platforms powering Polaris, Wpromote’s proprietary tech platform. Have a seat at the table from day one, with the ability to influence strategy and the technical roadmap, and join an organization with opportunities for professional advancement and development. Most importantly, you will have the challenge of building with cutting\-edge technologies and innovative projects.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$102,000 \- $125,000,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Developing data pipelines leveraging a variety of technologies including dbt and BigQuery
* Gathering requirements from non\-technical stakeholders and building effective solutions
* Identifying areas of innovation that align with existing company and team objectives
* Managing multiple pipelines across Wpromote’s client portfolio
**You Must Have**
* Bachelor’s degree in Computer Science, Information Technology, or a related field, or equivalent practical experience
* 4\+ years of experience in data engineering or a related field
* Intermediate to advanced programming skills in Python
* Proficiency in SQL and experience with relational databases
* Strong knowledge of database and data warehousing design and management
* Strong experience with DBT (data build tool) and test\-driven development practices
* Proficiency with at least 1 cloud database (e.g. BigQuery, Snowflake, Redshift, etc.)
* Excellent problem\-solving skills, project management habits, and attention to detail
* Advanced level Excel and Google Sheets experience
* Familiarity with data orchestration tools (e.g. Airflow, Dagster, AWS Glue, Azure data factory, etc.)
* Strong business and marketing acumen including common marketing goals, KPIs, and tactics
* Excellent communication skills (verbal and written) to present effectively and to explain algorithms and insights to major non\-technical stakeholders
**Nice to Have**
* Experience leading and managing other Data Engineers
* Intermediate to advanced programming skills in Python
* Experience creating API calls to gather and store large datasets (batch or streaming)
* Familiarity with CRM data
* Familiarity with the command line interface
* Experience with data visualization and storytelling practices
* Ability to generate insights from data in the form of refined tabular and graphical reports, metrics, and ad\-hoc analysis
* Familiarity with version control systems (e.g. GitHub, Bitbucket, GitLab)
* Experience within an Advertising Agency or similar client environment
* Working experience with digital media platforms (e.g. Facebook, Google Ads, The Trade Desk, etc.)
* Experience and/or certification in web analytics platforms (e.g. Google Analytics, Adobe Analytics, etc.)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
      <c r="A15" t="inlineStr">
        <is>
          <t>li-4373275335</t>
        </is>
      </c>
      <c r="B15" t="inlineStr">
        <is>
          <t>10+ Year - Data Engineer – Python, Azure &amp; Databricks | NJ/ NY || F2F interview || NO H1B VISA</t>
        </is>
      </c>
      <c r="C15" t="inlineStr">
        <is>
          <t>Arkisol Inc</t>
        </is>
      </c>
      <c r="D15" t="inlineStr">
        <is>
          <t>linkedin</t>
        </is>
      </c>
      <c r="E15" t="inlineStr"/>
      <c r="F15" t="inlineStr"/>
      <c r="G15" t="inlineStr">
        <is>
          <t>New York, United States</t>
        </is>
      </c>
      <c r="H15" t="inlineStr"/>
      <c r="I15" t="inlineStr">
        <is>
          <t>**Job Title:** 
 Data Engineer – Python, Azure \&amp; Databricks.
 Location: NJ/ NY
 Duration: 6\+ Months.
**Job Description:** 
 We are looking for a Data Engineer with strong experience in Python, Azure, and Databricks to design, build, and optimize scalable data pipelines. The role involves working with large datasets, implementing ETL/ELT processes, and supporting analytics and reporting needs.
**Key Responsibilities:** 
* Develop and maintain data pipelines using Python and Databricks
* Design and manage data solutions on Azure (ADF, ADLS, Azure SQL/Synapse)
* Optimize data processing and ensure data quality and reliability
* Collaborate with analytics, BI, and business teams
**Required Skills:** 
* Strong hands\-on experience with Python
* Experience with Azure data services and Databricks
* Knowledge of ETL/ELT, SQL, and data warehousing concepts
 📩 Please send your resumes to
 **parames.baskar@arkisol.com** 
 . Let’s connect and make great things happen together! 🚀</t>
        </is>
      </c>
    </row>
    <row r="16">
      <c r="A16" t="inlineStr">
        <is>
          <t>li-4364781453</t>
        </is>
      </c>
      <c r="B16" t="inlineStr">
        <is>
          <t>Data Engineer - Manufacturing</t>
        </is>
      </c>
      <c r="C16" t="inlineStr">
        <is>
          <t>ChatGPT Jobs</t>
        </is>
      </c>
      <c r="D16" t="inlineStr">
        <is>
          <t>linkedin</t>
        </is>
      </c>
      <c r="E16" t="inlineStr"/>
      <c r="F16" t="inlineStr"/>
      <c r="G16" t="inlineStr"/>
      <c r="H16" t="inlineStr"/>
      <c r="I16" t="inlineStr">
        <is>
          <t>**Job Description**
 Data Engineer \- Manufacturing
 Foundation EGI
 Remote Nationwide,
* Remote
* Full\-Time
**Job Description**
 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Key Responsibilities
*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t>
        </is>
      </c>
    </row>
    <row r="17">
      <c r="A17" t="inlineStr">
        <is>
          <t>li-4324732301</t>
        </is>
      </c>
      <c r="B17" t="inlineStr">
        <is>
          <t>Analytics Engineer 5 - Ads (Programmatic Signals)</t>
        </is>
      </c>
      <c r="C17" t="inlineStr">
        <is>
          <t>Netflix</t>
        </is>
      </c>
      <c r="D17" t="inlineStr">
        <is>
          <t>linkedin</t>
        </is>
      </c>
      <c r="E17" t="inlineStr"/>
      <c r="F17" t="inlineStr"/>
      <c r="G17" t="inlineStr"/>
      <c r="H17" t="inlineStr"/>
      <c r="I1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You’ll work closely with partner teams to build workflows, provide recommendations, and drive success on end\-to\-end analytics initiatives in this 0 \-1 space.
 We are seeking a Senior Analytics Engineer to lead the development and optimization of programmatic signals analytics for Netflix’s global Ads business. In this highly impactful role, you will build the foundational metrics, dashboards, and analysis frameworks that drive how we measure, understand, and enhance DSP adoption, audience targeting, and ROI across our programmatic ecosystem. You will collaborate closely with product, engineering, finance, and ad operations teams to inform business\-critical decisions around signal strategy, inventory quality, and fraud prevention. As a subject matter expert, you will play a pivotal role in shaping the analytics vision for programmatic advertising—empowering Netflix to optimize ad delivery, maximize revenue, and ensure transparency and trust with our partners and members worldwide. Your insights and technical leadership will directly influence the future of data\-driven advertising at Netflix.
**In This Role, You Will**
* Drive the analytics strategy for programmatic signals across Netflix Ads, designing and implementing frameworks to measure, optimize, and report on DSP adoption, audience targeting effectiveness, and the ROI of bidstream signals exchanged with demand\-side platforms.
* Build scalable, adaptable dashboards and data models to surface insights on DSP performance, targeting accuracy, informing both product optimization and monetization strategies for programmatic advertising.
* Partner deeply with cross\-functional teams—including Product, Engineering, Finance, Data Science, and Ad Operations—to align on business requirements, technical execution, and measurement standards for DSP integrations, signal taxonomy, and fraud prevention.
* Act as a subject matter expert on programmatic signals and DSP analytics, pioneering scalable approaches to targeting measurement, inventory quality assessment, and fraud detection—driving innovation, transparency, and long\-term business value for Netflix Ads.
**We Are Looking For**
* Extensive experience in programmatic adtech analytics, with a strong understanding of programmatic advertising and large\-scale streaming ecosystems.
* Communication superpower — the ability to communicate, influence, and connect the dots between insights and actions across a variety of stakeholders.
* Fluency in SQL, workflow orchestration tools like Apache Airflow, and at least one analytics and scripting language like Python.
* Mentors, brainstorms with, and enables others, especially within your functional area.
* Actively contributes and fosters technical communities internally (e.g., horizontal forums, seminars, and summits) and externally (e.g., conference participation).
* Exemplary stewardship of Netflix’s culture and values, particularly in terms of selflessness and ensuring open debate of ideas and encouraging inclusion of a variety of perspectives regardless of seniority.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$330,000\.00 \- $566,000\.00\.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8">
      <c r="A18" t="inlineStr">
        <is>
          <t>li-4343505620</t>
        </is>
      </c>
      <c r="B18" t="inlineStr">
        <is>
          <t>Lead Data Engineer</t>
        </is>
      </c>
      <c r="C18" t="inlineStr">
        <is>
          <t>Nuna Inc.</t>
        </is>
      </c>
      <c r="D18" t="inlineStr">
        <is>
          <t>linkedin</t>
        </is>
      </c>
      <c r="E18" t="inlineStr"/>
      <c r="F18" t="inlineStr"/>
      <c r="G18" t="inlineStr">
        <is>
          <t>San Francisco, CA</t>
        </is>
      </c>
      <c r="H18" t="inlineStr"/>
      <c r="I18" t="inlineStr">
        <is>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has established its brand in the B2B space over the last decade by shifting the US healthcare system towards an incentive model that rewards healthcare providers for positive outcomes. Marshalling our collective backgrounds and insights, we are now crafting an innovative, consumer app \- a clinically driven healthcare companion experience that leverages AI, gamification and social support techniques to improve outcomes for people with chronic conditions.*
***As a sign of the impact Nuna has already made in this space, Nuna was recently selected to join the Centers for Medicare \&amp; Medicaid Services (CMS) Health Tech Ecosystem, a landmark public\-private initiative designed to transform healthcare for Americans.***
**YOUR TEAM**
 The Data org at Nuna is an interdisciplinary group spanning data science, machine learning, data analytics, actuarial science, and research.
 The Data Engineer team is a core part of the broader Data organization, which is an interdisciplinary group spanning data science, machine learning, data analytics, actuarial science, and research. The Data Engineer team acts as the technical backbone for data architecture, platform development, and data operations, empowering the organization to deliver impactful data\-driven solutions in healthcare.
**YOUR OPPORTUNITIES**
 We are looking for someone who is excited to use their creativity and engineering skills to make a difference in healthcare. You will have a foundational role on a team building a consumer product that incentivizes healthy behavior. You will be responsible for the data architecture and direction of the data platform that powers our data operations and data science initiatives.
* Own the architecture and evolution of the data platform, based on business needs and considering trade\-offs in timelines, cost, and resources
* Define and enforce standards for code development, contribution, and deployment for data engineering workflows.
* Oversee integrations with external services, including data ingestion, distribution, and service\-to\-service data flows.
* Contribute hands\-on to data transformations and optimizations
* Establish security, governance, and operational best practices for the data platform in collaboration with security and enterprise data engineering teams.
* Curate and develop datasets needed to support Data org project deliverables
* Collaborate with cross\-functional partners in engineering, design, and product to develop solutions
* Generate and prioritize new opportunities for improvements
* Provide build vs buy assessments and recommendations as the platform expands
**Qualifications**
**Required Qualifications**
* Deep hands\-on expertise in designing, coding, developing, and maintaining data platforms that support data analytics and data science use cases
* Proven ability to design, develop and implement robust data ingestion pipelines (ETL) from external sources into a data platform.
* Experience establishing standards for code development, deployment, and contributions in a data engineering environment.
* Ability to solicit and translate customer and business needs into requirements and an evaluation framework
* Interest in improving healthcare and working with interdisciplinary project teams
* Clear communication and presentation skills
* Experience with Databricks
* Expertise in data platform languages such as python, pyspark and SQL
* \+ 5\-10 years of industry experience with technical lead experience of running a data platform for business operations
**Preferred Qualifications**
* MS in quantitative field (e.g. Data Science, Economics, Statistics, Engineering)
* Experience building a data platform from zero to one
* Experience working with healthcare data
* Experience with SDLC and management of machine learning models (MLOps)
+ Bonus points if experience with MLOps on LLM/GenAi features (evals, context building, …)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$208,000 \- $260,000\. The actual offer will be at the company’s sole discretion and determined by relevant business considerations, including the final candidate’s qualifications, years of experience, and skillset.
 Nuna is an Equal Employment Opportunity employer. All qualified applicants will receive consideration for employment without regard to race, color, religion, sex, national origin, age, disability, genetics and/or veteran status.</t>
        </is>
      </c>
    </row>
    <row r="19">
      <c r="A19" t="inlineStr">
        <is>
          <t>li-4373285083</t>
        </is>
      </c>
      <c r="B19" t="inlineStr">
        <is>
          <t>AI Engineer &amp; Data Engineer - Head of AI Engineering / Lead Data Engineering</t>
        </is>
      </c>
      <c r="C19" t="inlineStr">
        <is>
          <t>Aventis Solutions</t>
        </is>
      </c>
      <c r="D19" t="inlineStr">
        <is>
          <t>linkedin</t>
        </is>
      </c>
      <c r="E19" t="inlineStr"/>
      <c r="F19" t="inlineStr"/>
      <c r="G19" t="inlineStr">
        <is>
          <t>Miami, FL</t>
        </is>
      </c>
      <c r="H19" t="inlineStr"/>
      <c r="I19" t="inlineStr">
        <is>
          <t>We are exclusively partnering with a leading financial services firm to appoint a Head of AI Engineering \&amp; Data Engineering to lead the design and build of the firm’s AI knowledge platform and data intelligence architecture.
 This is a high\-impact, build\-first mandate. You will architect and scale enterprise AI systems that power underwriting, portfolio analytics, and investment decision\-making across the platform.
**Key Details:** 
* **Location:** 
 Miami, FL (Hybrid model)
* **Compensation:** 
 $170,000 – $240,000 base salary \+
 performance\-based annual bonus
* **Level:** 
 Lead / Head of Function
* **Future Outlook:** 
 This role is designed to evolve. You will become the technical authority for AI across the firm, shaping standards, governance, architecture, and long\-term AI strategy. As adoption scales, this position naturally progresses into leading AI transformation at the enterprise level, influencing how data and intelligence are embedded into every investment workflow.
**Key Technology Stack \&amp; Skills Required:** 
* **LLM \&amp; AI Engineering:** 
 Azure OpenAI, OpenAI, Anthropic Claude, production\-grade RAG architecture, embeddings, retrieval strategies
* **Orchestration Frameworks:** 
 LangChain, LlamaIndex, Semantic Kernel
* **Vector \&amp; Data Platforms:** 
 Pinecone, Cosmos DB (vector), Azure AI Search
* **Data Engineering:** 
 SQL / Azure SQL, graph data modeling, Microsoft Fabric (Lakehouse, pipelines, analytics)
* **Backend Engineering:** 
 Python (FastAPI), Node.js, secure API architecture, async processing, distributed systems
* **Cloud \&amp; DevOps:** 
 Azure\-first deployments, CI/CD pipelines, observability, governance frameworks
* **Domain Exposure:** 
 Financial services
**Role Overview** 
 As Lead/Head of AI \&amp; Data Engineering, you will own the architecture and implementation of Rialto’s AI knowledge platform and investment analytics ecosystem. Sitting at the intersection of AI engineering, data engineering, and backend systems design, you will build scalable middleware and AI\-ready data infrastructure that supports LLM\-driven applications, knowledge ingestion pipelines, vector search, graph intelligence, and analytical modelling.
 You will transform internal and third\-party financial datasets into secure, auditable, production\-grade AI systems that directly support underwriting, portfolio management, and investment decision\-making.
 This is a hands\-on technical leadership role across AI engineering, data engineering, backend development, or applied machine learning, with at least 2\-3 years in a leadership capacity.
**Interested?** 
 Please apply with your CV and/or message Billy Hall with further details.
 Aventis is working on behalf of its partner</t>
        </is>
      </c>
    </row>
    <row r="20">
      <c r="A20" t="inlineStr">
        <is>
          <t>li-4343475102</t>
        </is>
      </c>
      <c r="B20" t="inlineStr">
        <is>
          <t>Senior Python Data Engineer - (Remote)</t>
        </is>
      </c>
      <c r="C20" t="inlineStr">
        <is>
          <t>KBRA</t>
        </is>
      </c>
      <c r="D20" t="inlineStr">
        <is>
          <t>linkedin</t>
        </is>
      </c>
      <c r="E20" t="inlineStr"/>
      <c r="F20" t="inlineStr"/>
      <c r="G20" t="inlineStr"/>
      <c r="H20" t="inlineStr"/>
      <c r="I20" t="inlineStr">
        <is>
          <t>**Position Title: Senior Python Data Engineer \- (Remote)**
**Entity: KBRA Holdings LLC**
**Employment Type: Full\-Time**
**Location: Remote (Remote only in CA, CO, DC, FL, IL, MD, NJ, MA, NY, PA, SC, TX, VA)**
**Summary/Overview**
**KBRA** 
 (KBRA Holdings, LLC) is seeking an engaged and proactive Senior Python Data Engineer to work on our financial analytical system. We want someone who loves solving difficult problems, digs deeply to understand the domain in which they’re working, and excels at creating high\-quality software in a collaborative environment.
**About The Team**
 We believe that small, empowered teams can do amazing things. Across the engineering organization, we work hard to make the best systems for our customers using modern engineering practices. We are intentional in our investments in time and effort around creating a safe and successful workplace for our team members. We understand software engineering goes beyond the 1’s and 0’s and prioritize concrete value for our customers.
**About The Job**
 This role involves joining an existing team with a well\-defined product vision. This team operates collaboratively, and there is an expectation to get involved in all aspects of design, delivery, and support of our systems.
 This role emphasizes collaboration with our technical and non\-technical counterparts to learn our domain and its unique challenges, while delivering value to our customers. It also requires collaboration with our other engineering, design, product, and platform teams to develop, build, run, and support the system.
**About You**
**You will be successful in this role if you** 
 :
* Develop, test, and maintain scalable Python applications.
* Collaborate with product managers, designers, and other engineers to deliver high\-quality software.
* Write clean, efficient, and reusable code following best practices.
* Participate in code reviews to ensure code quality and share knowledge with the team.
* Troubleshoot and debug issues in a timely manner.
* Contribute to the design and architecture of new features and systems.
* Have a sense of ownership and craftsmanship around the code base and your work.
* Enjoy helping other developers grow and learn new technologies.
* Display a strong track record of mentorship with engineers at various levels.
* Are mindful of application security and performance.
* Take pride in learning, and want opportunities to learn throughout your day\-to\-day.
* Possess a pragmatic mindset.
* Familiarity with Generative AI tools such as ChatGPT for research, data insights, and general productivity is a plus.
**Must Have Skills**
* 3–6 years of professional software engineering experience, with a strong portfolio of full stack development work.
* Proficiency in Python, including experience with web frameworks such as Flask.
* Cloud experience, particularly with AWS (Amazon Web Services).
* Experience integrating frontend applications with RESTful APIs and backend services.
* Relational and non\-relational databases (SQL Server, Snowflake and MongoDB).
* Debugging, issue resolution, and troubleshooting.
**Nice To Have Skills**
* Familiarity with UX design tools (Figma) and solid understanding of the design\-engineering hand\-off process
* Containerized development and deployment (i.e. Docker, Docker swarm, Kubernetes)
* Infrastructure as Code (Terraform)
* Familiarity with deployment pipelines, CICD tools.
* Exposure to financial systems or credit modeling is strongly preferred.
**Salary Range**
 The anticipated annual base salary range for this full\-time position is $130,000 \- $160,000\. Offer amounts are determined by factors such as experience, skills, geography, and other job\-related factors.
**Benefits**
* Competitive benefits and paid time off
* Paid family and disability leave
* 401(k) plan, including employer match (100% vested)
* Educational and professional development financial assistance
* Employee referral bonus program
**About Us**
 KBRA is a full\-service credit rating agency registered in the U.S., the EU and the UK, and is designated to provide structured finance ratings in Canada. KBRA’s ratings can be used by investors for regulatory capital purposes in multiple jurisdictions.
**More Info**
 KBRA encourages applications from all qualified individuals without regard to race, color, religion, gender, sexual orientation, gender identity or expression, age, national origin, marital status, citizenship, disability, and veteran status or any other basis prohibited by federal, state or local law.
 \#REMOTE</t>
        </is>
      </c>
    </row>
    <row r="21">
      <c r="A21" t="inlineStr">
        <is>
          <t>li-4372339140</t>
        </is>
      </c>
      <c r="B21" t="inlineStr">
        <is>
          <t>Data Engineer</t>
        </is>
      </c>
      <c r="C21" t="inlineStr">
        <is>
          <t>Haystack</t>
        </is>
      </c>
      <c r="D21" t="inlineStr">
        <is>
          <t>linkedin</t>
        </is>
      </c>
      <c r="E21" t="inlineStr"/>
      <c r="F21" t="inlineStr"/>
      <c r="G21" t="inlineStr"/>
      <c r="H21" t="inlineStr"/>
      <c r="I21" t="inlineStr">
        <is>
          <t>**Senior Data Engineer \| Lisle, IL \| Hybrid \| $85,000 \- $150,000** 
 We're working with Covista on this exciting opportunity. A leader in healthcare education, Covista is seeking a Senior Data Engineer to scale their data platform, driving strategic insights and powering AI operations.
 This is a chance to make a real impact, developing high\-performance data pipelines and shaping the future of healthcare education through robust data solutions.
**The Role** 
 • Design, develop, and deploy high\-performance inbound and outbound data pipelines on Google Cloud Platform, utilizing services like BigQuery and Composer.
 • Optimize data pipelines for exceptional performance, scalability, and reliability, ensuring continuous delivery through robust CI/CD implementations.
 • Implement data governance policies and ensure the quality of critical data elements, collaborating to resolve data quality issues at their root.
 • Develop REST APIs to expose data to internal teams and mentor junior data engineers, fostering a culture of technical excellence and growth.
 • Work closely with business, IT, Analyst, and Data Science teams to gather requirements and model the data platform effectively.
**What You'll Need** 
 • 6\+ years of experience in data engineering solutions, covering data platforms, ingestion, management, and analytics.
 • 2\+ years of hands\-on experience with Google Cloud Platform services, including BigQuery, Composer, GCS, DataStream, and Dataflow.
 • Expert proficiency in SQL and Python programming, with a proven track record of tuning queries for performance and scalability.
 • Experience with Airflow for workflow management, including building custom operators for data extraction and ingestion.
 • Proven experience in real\-time data ingestion using technologies like GCP PubSub, Kafka, or Spark, operating within an agile environment.
**What's On Offer** 
 • Competitive salary range of $85,000\.00 \- $150,000\.00 with comprehensive health, dental, and vision insurance.
 • Robust 401(k) Retirement Program with a generous 6% employer match.
 • Flexible Time Off (FTO) Policy and 12 paid holidays, promoting work\-life balance.
 • Opportunity to participate in an annual incentive program based on individual and organizational performance.
**Apply via Haystack today!**</t>
        </is>
      </c>
    </row>
    <row r="22">
      <c r="A22" t="inlineStr">
        <is>
          <t>li-4372332045</t>
        </is>
      </c>
      <c r="B22" t="inlineStr">
        <is>
          <t>Senior Data Platform Engineer</t>
        </is>
      </c>
      <c r="C22" t="inlineStr">
        <is>
          <t>RemoteHunter</t>
        </is>
      </c>
      <c r="D22" t="inlineStr">
        <is>
          <t>linkedin</t>
        </is>
      </c>
      <c r="E22" t="inlineStr"/>
      <c r="F22" t="inlineStr"/>
      <c r="G22" t="inlineStr"/>
      <c r="H22" t="inlineStr"/>
      <c r="I22" t="inlineStr">
        <is>
          <t>About the Opportunity:
 Senior Data Platform Engineer to lead the evolution of a cloud\-based data ecosystem across multiple business units. This role combines hands\-on engineering with architectural guidance, governance leadership, and cross\-functional collaboration. The ideal candidate has deep experience with modern data engineering practices, including medallion architecture, and plays a key role in shaping the long\-term direction of the data platform.
 Responsibilities:
 • Lead design, development, and enhancement of a secure, high\-quality, analytics\-ready cloud data platform.
 • Champion medallion architecture (Bronze/Silver/Gold) for ingestion, refinement, and consumption layers.
 • Provide architectural guidance on data modeling, transformation patterns, and platform standards.
 • Define best practices for Bronze\-layer ingestion ensuring lineage, traceability, and auditability.
 • Establish Silver\-layer refinement standards for cleansing, harmonization, and schema consistency.
 • Oversee creation of Gold\-layer curated datasets optimized for reporting, analytics, and self\-service.
 • Develop and enforce data quality frameworks, validation rules, and monitoring processes across all layers.
 • Lead integration across diverse data sources including APIs, cloud applications, and on\-premise systems.
 • Mentor team members on data engineering patterns, performance optimization, and scalable design.
 • Troubleshoot complex issues across pipelines, cloud resources, and orchestration tools to minimize disruption.
 • Partner with Cyber Security, Compliance, and Legal teams to ensure adherence to data residency, privacy, and security requirements.
 • Define and maintain access control strategies including row\-level security and identity\-based permissions.
 • Promote governance practices supporting data stewardship, cataloging, and lifecycle management.
 • Manage platform updates, license renewals, and long\-term capacity planning.
 • Lead design and maintenance of CI/CD pipelines for consistent automated deployments.
 • Establish branching strategies, code review standards, and workflows promoting quality and collaboration.
 • Guide adoption of DevOps best practices to improve delivery speed, reliability, and observability.
 • Represent the data platform in change management forums and align platform strategy with organizational goals.
 • Partner with business analysts, product owners, and leadership to translate business needs into scalable data solutions.
 • Influence long\-term data strategy, platform roadmap, and technology adoption decisions.
 Requirements:
 • 10\+ years of hands\-on experience as a Data Engineer in Azure.
 • Expert knowledge of Microsoft 365 services and Azure.
 • Expert level proficiency in Dataverse.
 • Expert knowledge of data modeling and database concepts.
 • Expert proficiency in programming languages such as T\-SQL, Python, or R.
 • Expert understanding of cloud computing concepts.
 • Expert understanding of Application Lifecycle Management principles.
 • Expert experience designing and developing data warehouse solutions.
 • Experience with Microsoft Fabric Lakehouse and Data Warehouses.
 Benefits \&amp; Perks:
 • Employee Stock Ownership Plan (ESOP)
 • 401K plan
 • Medical, Dental, Vision, and Life Insurance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li-4372322011</t>
        </is>
      </c>
      <c r="B23" t="inlineStr">
        <is>
          <t>Senior Data Engineer - CETS</t>
        </is>
      </c>
      <c r="C23" t="inlineStr">
        <is>
          <t>hackajob</t>
        </is>
      </c>
      <c r="D23" t="inlineStr">
        <is>
          <t>linkedin</t>
        </is>
      </c>
      <c r="E23" t="inlineStr"/>
      <c r="F23" t="inlineStr"/>
      <c r="G23" t="inlineStr">
        <is>
          <t>Phoenix, AZ</t>
        </is>
      </c>
      <c r="H23" t="inlineStr"/>
      <c r="I23"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looking for a highly skilled Senior Data Engineer with a solid experience of building Bigdata, GCP Cloud based ETL Pipelines and Spark applications. The Senior Engineer will play a crucial role in designing, implementing, and optimizing data solutions to support our organization’s data\-driven initiatives. This role requires expertise in data engineering, strong problem\-solving abilities, and a collaborative mindset to work effectively with various stakeholders.
 Joining the CETS team, this role will be focused on the delivery of innovative solutions to satisfy the needs of our business. As an agile team we work closely with our business partners to understand what they require, and we strive to continuously improve as a team.
 We pride ourselves on a culture of kindness and positivity, and a continuous focus on supporting colleague development to help you achieve your career goals. We lead with integrity, and we emphasize work/life balance for all of our teammates.
 How will you make an impact in this role?
 There Are Hundreds Of Opportunities To Make Your Mark On Technology And Life At American Express. Here’s Just Some Of What You’ll Be Doing
* Develop modern, high quality, and robust operational engineering capabilities.
* Develop software in technology stack which is constantly evolving but currently includes Big data platforms like BigQuery, Airflow, DataProc.
* Work with Business partners and stakeholders to understand functional requirements, architecture dependencies, and business capability roadmaps.
* Create technical solution designs to meet business requirements.
* Define best practices to be followed by team.
* Taking your place as a core member of an Agile team driving the latest development practices
* Identify and drive reengineering opportunities, and opportunities for adopting new technologies and methods.
* Perform peer code review and participate in technical discussions with the team on the best solutions possible
**Minimum Qualifications**
* BS or MS degree in computer science, computer engineering, or other technical discipline, or equivalent work experience.
* 8\+ years of hands\-on software development experience with Big Data \&amp; Analytics solutions
+ Hadoop Hive, Spark, Python, shell scripting, GCP Cloud \- Big Query, Airflow, DataProc, PubSub
* Strong experience in designing, developing, and optimizing data pipelines for large\-scale data processing, transformation, and analysis using Big Data and GCP technologies.
* Proficiency in SQL and database systems, with experience in designing and optimizing data models for performance and scalability.
* Experience of building event processing pipelines with Kafka or GCP PubSub.
* Design and development experience with Airflow, PubSub Kafka, Git, Jenkins is desirable.
* Knowledge of distributed (multi\-tiered) systems, algorithms \&amp; relational databases.
* Strong Object\-Oriented Programming skills and design patterns.
* Experience with CICD pipelines, Automated test frameworks, and source code management tools (XLR, Jenkins, Git).
* Good knowledge and experience with configuration management tools like GitHub
* Ability to analyze complex data engineering problems, propose effective solutions, and implement them effectively.
* Ability and willingness to learn, adopt and build solutions using the Enterprise frameworks established for Big Data
* Looks proactively beyond the obvious for continuous improvement opportunities.
* Communicates effectively with product and cross functional team.
* Willingness to learn new technologies and leverage them to their optimal potential.
* Understanding of various SDLC methodologies, familiarity with Agile \&amp; scrum ceremonies.
* Certifications in cloud platform (GCP Professional Data Engineer) is a plus.
 Salary Range: $123,000\.00 to $215,250\.00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24">
      <c r="A24" t="inlineStr">
        <is>
          <t>li-4337243026</t>
        </is>
      </c>
      <c r="B24" t="inlineStr">
        <is>
          <t>Staff Data Engineer</t>
        </is>
      </c>
      <c r="C24" t="inlineStr">
        <is>
          <t>H1</t>
        </is>
      </c>
      <c r="D24" t="inlineStr">
        <is>
          <t>linkedin</t>
        </is>
      </c>
      <c r="E24" t="inlineStr"/>
      <c r="F24" t="inlineStr"/>
      <c r="G24" t="inlineStr">
        <is>
          <t>New York, United States</t>
        </is>
      </c>
      <c r="H24" t="inlineStr"/>
      <c r="I24" t="inlineStr">
        <is>
          <t>At H1, we believe access to the best healthcare information is a basic human right. Our mission is to provide a platform that can optimally inform every doctor interaction globally. This promotes health equity and builds needed trust in healthcare systems. To accomplish this our teams harness the power of data and AI\-technology to unlock groundbreaking medical insights and convert those insights into action that result in optimal patient outcomes and accelerates an equitable and inclusive drug development lifecycle. Visit h1\.co to learn more about us.
 Data Engineering is responsible for the development and delivery of our most important asset, our data. Across thousands of data sources globally, the team ensures that only accurate, normalized data flows to our customers, at the speed required to match real\-world changes. As we expand the markets we serve and increase the breadth and depth of data we capture, we need senior technical leaders who can drive execution, scalability, and architectural excellence.
**What You'll Do At H1**
 As a Staff Data Engineer on the Real World Evidence (RWE) team, you’ll be one of the most senior individual contributors and a key technical leader for our largest datasets and pipelines. You’ll drive some of H1’s most visible data initiatives and help reduce bottlenecks across teams, providing critical technical leadership support during US hours.
 You will:
* Act as a self\-starter who drives execution independently, taking ownership and initiative with minimal need for day\-to\-day direction.
* Lead high\-visibility RWE projects, starting with claims data, and keep multiple initiatives moving by proactively unblocking teams.
* Own the end\-to\-end architecture for critical data assets, ensuring solutions are scalable, reliable, and aligned with H1’s long\-term vision.
* Design, build, and optimize large\-scale data pipelines (hundreds of TBs) for performance, reliability, and cost efficiency.
* Partner with Product, Data Science, and downstream engineering teams to align priorities, manage dependencies, and deliver high\-value outcomes.
* Represent engineering in cross\-functional forums, shaping roadmaps and reducing reliance on senior leadership for day\-to\-day decisions.
* Develop deep domain expertise and mentor other engineers, helping raise the technical bar and influence the evolution of our data products.
**About You**
 You’re a hands\-on Staff IC and technical leader who thrives in complex data environments. You bring clarity to ambiguity, turn messy problems into reliable systems, and operate with a strong sense of ownership and impact. You collaborate effectively across functions, help others move faster, and are comfortable working across the full data and infrastructure stack.
* You have a proven track record of leading large, complex technical projects from concept to production.
* You bring deep experience building and evolving large\-scale data architectures, pipelines, or distributed systems.
* You operate well in high\-ambiguity environments, make pragmatic trade\-offs, and keep execution moving.
* You communicate clearly with both technical and non\-technical partners and influence direction without needing formal authority.
* You raise the bar for engineering excellence through thoughtful design, high\-quality code, and strong documentation.
* You invest in others through mentorship, pairing, and constructive feedback.
**Requirements**
* 8\+ years as a software, data, or backend engineer building and operating scalable, production\-grade systems.
* Experience with large\-scale data processing (e.g., Spark/PySpark on EMR or similar) or scalable distributed backend systems, with the ability to quickly deepen expertise in our data stack (PySpark, EMR, Hudi/Delta).
* Strong proficiency in SQL, including writing and optimizing complex queries over large datasets.
* Strong programming experience in Python (or a modern language with the ability to quickly ramp up in Python).
* Experience designing systems or large\-scale datasets/pipelines with attention to performance, reliability, and maintainability.
* Hands\-on experience with modern engineering workflows and tooling such as Git, JIRA, and CI/CD systems (e.g., CircleCI).
* Comfort deploying and troubleshooting distributed workloads in cloud environments such as AWS EMR or Kubernetes.
* Experience with workflow orchestration or job scheduling tools (e.g., Airflow, Argo).
* Demonstrated ability to independently drive complex, cross\-team technical initiatives and influence stakeholders without formal authority.
* Experience with streaming/messaging technologies (e.g., Kafka, Kinesis) nice to have
* Background in RWE, healthcare data, or other complex/regulated data domains is preferred
* Experience using AI\-assisted coding tools (e.g., GitHub Copilot, Claude Code) to accelerate development while maintaining quality is encouraged
**Compensation**
 This role pays $170,000 to $190,000 per year, based on experience, in addition to stock options.
 Anticipated role close date: 3/28/2026
**H1 OFFERS**
* Full suite of health insurance options, in addition to generous paid time off
* Pre\-planned company\-wide wellness holidays
* Retirement options
* Health \&amp; charitable donation stipends
* Impactful Business Resource Groups
* Flexible work hours \&amp; the opportunity to work from anywhere
* The opportunity to work with leading biotech and life sciences companies in an innovative industry with a mission to improve healthcare around the globe
*H1 is proud to be an equal opportunity employer that celebrates diversity and is committed to creating an inclusive workplace with equal opportunity for all applicants and teammates. Our goal is to recruit the most talented people from a diverse candidate pool regardless of race, color, ancestry, national origin, religion, disability, sex (including pregnancy), age, gender, gender identity, sexual orientation, marital status, veteran status, or any other characteristic protected by law.*
*H1 is committed to working with and providing access and reasonable accommodation to applicants with mental and/or physical disabilities. If you require an accommodation, please reach out to your recruiter once you've begun the interview process. All requests for accommodations are treated discreetly and confidentially, as practical and permitted by law.*</t>
        </is>
      </c>
    </row>
    <row r="25">
      <c r="A25" t="inlineStr">
        <is>
          <t>li-4370995448</t>
        </is>
      </c>
      <c r="B25" t="inlineStr">
        <is>
          <t>Senior Snowflake Data Engineer | Large New York City Hospital | Full Time Position!</t>
        </is>
      </c>
      <c r="C25" t="inlineStr">
        <is>
          <t>Integris Group</t>
        </is>
      </c>
      <c r="D25" t="inlineStr">
        <is>
          <t>linkedin</t>
        </is>
      </c>
      <c r="E25" t="inlineStr"/>
      <c r="F25" t="inlineStr"/>
      <c r="G25" t="inlineStr"/>
      <c r="H25" t="inlineStr"/>
      <c r="I25" t="inlineStr">
        <is>
          <t>Integris Group is partnering with a large New York City hospital who has an immediate need to hire
 **(2\) Senior Snowflake Data Engineers** 
 for a full time, permanent position (Salary \+ Bonus).
 This is a
 **Hybrid position
 *(4 days Onsite, 1 Day Remote – no exceptions)***
 offering a competitive salary, annual bonus, 401(k), PTO, and top\-tier medical, dental, and vision benefits, along with additional excellent company perks.
**Job Title:** 
**2\-Senior Data Engineer's** 
 (last two spots left on the team).
**Location:** 
 New York, NY
**Position Type:** 
***Full\-Time, Hybrid (4 day's Onsite \| 1 day Remote)***
**About the Role:** 
 Our client is seeking 2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26">
      <c r="A26" t="inlineStr">
        <is>
          <t>li-4372329048</t>
        </is>
      </c>
      <c r="B26" t="inlineStr">
        <is>
          <t>Staff Data Engineer</t>
        </is>
      </c>
      <c r="C26" t="inlineStr">
        <is>
          <t>RemoteHunter</t>
        </is>
      </c>
      <c r="D26" t="inlineStr">
        <is>
          <t>linkedin</t>
        </is>
      </c>
      <c r="E26" t="inlineStr"/>
      <c r="F26" t="inlineStr"/>
      <c r="G26" t="inlineStr"/>
      <c r="H26" t="inlineStr"/>
      <c r="I26" t="inlineStr">
        <is>
          <t>About the Opportunity:
 This role is for a Staff Data Platform Engineer responsible for designing, building, and owning core systems within a streaming data platform. The position involves hands\-on implementation of key platform capabilities and setting the technical direction for system evolution. The engineer will collaborate with product and engineering teams to translate needs into platform features and develop shared libraries, frameworks, and tooling for reliable data streaming.
 Responsibilities:
 • Design, build, and operate core platform systems including schema management, streaming frameworks, and event mesh systems
 • Define technical standards and patterns for the Streaming Data Platform team
 • Lead cross\-team design reviews for systems interacting with or dependent on the streaming platform
 • Drive platform reliability, performance, and cost strategy across streaming services
 • Design and implement shared libraries, frameworks, and tooling for stream consumers
 • Partner with product and engineering teams to translate requirements into platform capabilities
 • Produce technical proposals and documentation detailing design, trade\-offs, and long\-term implications
 • Serve as an escalation point for complex streaming issues and high\-impact incidents
 • Mentor and develop senior engineers through technical guidance and challenging assignments
 Requirements:
 • 8\+ years of experience in backend engineering, data engineering, or platform engineering
 • Deep expertise with Kafka including internals, operational tuning, and ecosystem tooling
 • Proven experience designing and operating multi\-service distributed systems
 • Experience setting technical direction for a team or domain
 • Strong written and verbal communication skills with the ability to present complex technical topics to diverse audiences
 • Experience with schema evolution, data contracts, or data governance patterns
 • Experience building self\-service platforms or developer\-facing tooling is a plus
 • Experience with infrastructure as code tools; Terraform experience is a plus
 • Experience developing in Go is a strong plus
 Compensation:
 • Salary range is $180,500 to $237,500, representing base pay only and excluding short\-term or long\-term incentive compensation
 • Base pay considers factors such as location, experience, qualifications, and training
 • Remote employees may be eligible for a home office setup stipend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li-4337168378</t>
        </is>
      </c>
      <c r="B27" t="inlineStr">
        <is>
          <t>Senior Analytics Engineer</t>
        </is>
      </c>
      <c r="C27" t="inlineStr">
        <is>
          <t>First Command Financial Services, Inc.</t>
        </is>
      </c>
      <c r="D27" t="inlineStr">
        <is>
          <t>linkedin</t>
        </is>
      </c>
      <c r="E27" t="inlineStr"/>
      <c r="F27" t="inlineStr"/>
      <c r="G27" t="inlineStr">
        <is>
          <t>Fort Worth, TX</t>
        </is>
      </c>
      <c r="H27" t="inlineStr"/>
      <c r="I27" t="inlineStr">
        <is>
          <t>**Job Description**
**How will this role impact First Command?**
 The Senior Analytics Engineer designs, builds, and supports high\-quality data products supported through data pipelines and data integrations, and/or data visualizations. It is critical to ensure reliability, performance, and cost efficiency while maintaining thorough documentation.
 The Senior Analytics Engineer will use new and established automation and integration tools, Information Architecture strategy, frameworks, critical thinking, and problem\-solving skills to build and support the ongoing development of data products.
 The ideal candidate is outcome\-focused and has a collaborative style that fosters teamwork. They will be required to work across multiple initiatives.
**What will you do in this role?**
* Design, create and support high\-quality data products
* Build and manage data warehouses and data lakes
* Design and build data pipelines, data flows, and/or data visualizations to support data products
* Develop and maintain semantic models
* Focus on DevOps processes, reliability, performance, and cost optimization
* Maintain thorough documentation for all processes and products
* Ensure adherence to Data Governance outcomes as part of the Enterprise Data \&amp; Analytics Team
* Implement data quality checks and validation processes to ensure data accuracy and reliability
* Collaborates with Data Services leadership to prioritize product roadmap
* Drive the adoption of new data technologies and tools to enhance data processing capabilities
* Lead cross\-functional groups in large\-scale data projects, ensuring alignment with business objectives
* Mentor junior engineers and provide technical guidance on best practices
**What skills \&amp; qualifications do you need?**
**Education**
* BA\\BS required; MBA or MS or equivalent a plus
* Certifications related to data and analytics engineering (e.g., Azure Data Factory, Microsoft Fabric, Power BI) preferred; Microsoft Fabric Analytics Engineer Associate will be required within 90 days if not already achieved
**Required Qualifications**
* 7\+ years of data/analytics engineering experience
* Proficiency in SQL with knowledge of T\-SQL and PL/SQL
* Proficient in data engineering techniques, data pipeline development and/or data visualization development
* Applied experience transforming manual processes to industry standards
* Requires excellent analytical ability, attention to detail, and proven ability to work independently and in a team
* Ability to quickly adapt to changing priorities and generate innovative solutions
* Proficient understanding of conceptual and logical data design
* Proficient understanding of data mapping and lineage strategies
* Proficient understanding of data modeling techniques such as 3rd normal form and star schema
**Preferred Qualifications**
* Financial services industry experience or other highly regulated industry experience
* Applied experience in Agile, SAFe, Scrum or Lean Six Sigma
* Familiarity data engineering development using Python and/or Scala
* Demonstrated understanding of data management practices and data governance process; familiarity with data governance tools such as Azure Purview
* Certifications related to Data Analytics and/or Data Engineering
* Familiar with building data pipeline / analytics solutions in a cloud data architecture, experience with Azure Data Solutions including Microsoft Fabric
* Familiarity with analytics process automation tools such as Alteryx
* Familiarity with object\-oriented programming and the software development process
* Familiarity with source control tools such as git</t>
        </is>
      </c>
    </row>
    <row r="28">
      <c r="A28" t="inlineStr">
        <is>
          <t>li-4335610665</t>
        </is>
      </c>
      <c r="B28" t="inlineStr">
        <is>
          <t>Senior Associate - AI Data Engineer</t>
        </is>
      </c>
      <c r="C28" t="inlineStr">
        <is>
          <t>Andersen</t>
        </is>
      </c>
      <c r="D28" t="inlineStr">
        <is>
          <t>linkedin</t>
        </is>
      </c>
      <c r="E28" t="inlineStr"/>
      <c r="F28" t="inlineStr"/>
      <c r="G28" t="inlineStr">
        <is>
          <t>New York, NY</t>
        </is>
      </c>
      <c r="H28" t="inlineStr"/>
      <c r="I28" t="inlineStr">
        <is>
          <t>Application Notice
 We encourage you to apply thoughtfully by selecting one position that best matches your qualifications and interests. You may submit up to two active applications at a time. Please consider your location choice carefully—we recommend applying where you envision building your future.
 The Firm
**A New Era of AI\-Driven, Multidimensional Consulting**
 Today’s businesses face complex global challenges that demand more than conventional consulting services. Andersen Consulting offers a seamless, multidimensional approach that combines expertise in business transformation, artificial intelligence, cybersecurity, sustainability, and digital strategy with Andersen Global’s established tax and legal capabilities. This integration of emerging technologies positions Andersen Consulting as the partner of choice in the $1 trillion consulting industry.
 The Role
 We're looking for a Data Engineer to build the data and feature engineering pipelines that power operational AI workloads on Palantir's Foundry and AIP platforms. Data Engineers at Andersen Consulting embed with client technical teams, engagement leaders, and product managers to understand client data landscapes and implement solutions. Your core responsibility is building modern data pipelines that solve real business problems and support production AI systems. This is an individual contributor role focused on technical delivery.
**In This Role, You Will**
* Build data pipelines and workflows to prepare data for machine learning and GenAI workloads on Palantir's Foundry and AIP platforms.
* Deploy modern tools to support machine learning and LLM operations for enterprise clients.
* Contribute meaningfully to client outcomes through hands\-on technical delivery.
 You'll work within the new Andersen Consulting Global AI practice, accountable for delivering measurable value to clients through operational AI. The team accomplishes this by using modern techniques, tooling, and pragmatic decision\-making to deliver value rapidly. Since the AI landscape evolves continuously, you'll learn new technologies quickly and accomplish a wide range of tasks all focused on delivering robust data and feature engineering pipelines with exceptional quality.
 You'll leverage your existing Foundry and AIP experience while deepening expertise across the platform. Andersen Consulting partners with Palantir to deploy solutions to enterprise clients. This means you'll work on client engagements while becoming expert in one of the most powerful AI platforms on the market. Longer term, you'll build bespoke data and feature engineering pipelines within client infrastructure including on\-premises software, cloud\-hosted platforms, and cloud\-native services.
**Responsibilities**
 We understand narrow, well\-defined job responsibilities work for some people. If you prefer highly structured roles, this position may not fit. We expect you to:
* Come ready to deliver your best work and influence your team to do the same
* Build data and feature engineering pipelines with exceptional quality and be held to that standard
* Embed with client technical teams to explore source data, gather requirements, and define required transformations
* Design ontology models and implement pipelines with complex transformations across 5\+ source systems
* Build applications that demonstrate capabilities and accelerate client decision\-making
* Implement security and permissions architecture to support enterprise governance requirements
* Set the standard for disciplined data engineering including automated testing, continuous integration and deployment, code reviews, and well\-documented code
 The Requirements
 To be successfully considered for this role, you will have:
* 6 years of technical experience delivering production data solutions
* 3 years of hands\-on experience building solutions on Palantir Foundry and AIP platforms
* Demonstrated track record designing and deploying large\-scale data engineering solutions that deliver tangible, ongoing value
* Strong coding experience writing production\-quality SQL and Python code with expert\-level knowledge of scientific computing libraries (PyTorch, NumPy, Polars, etc.)
* Professional experience with relational and non\-relational database technologies with expert\-level SQL knowledge
* Experience with full\-stack Foundry development including ontology modeling and design patterns
* Strong communication skills for client\-facing delivery, requirements gathering, and solution design
**It Would Also Be Beneficial If You Have**
* Experience building applications and leading technical demonstrations for clients
* Demonstrated ability to implement security and permissions architecture in enterprise environments
* Experience building applications and leading technical demonstrations for clients
* Demonstrated ability to implement security and permissions architecture in enterprise environments
* Industry domain expertise in finance, healthcare, or manufacturing
 We're looking for a passionate, team\-oriented, engineer who's self\-motivated and energized by technology. We expect you to deliver exceptional work and influence those around you to do the same. We value humility and intellectual honesty in our engineers. In return, you gain opportunity to build deep expertise working on large\-scale operational AI deployments that directly impact critical organizational missions.
**Compensation And Benefits**
 Our firm offers a competitive base salary and comprehensive benefits package designed to support the well\-being, growth, and long\-term success of our people. We are committed to recognizing individual contributions and providing resources that enable our employees to thrive both personally and professionally.
**Salary Range** 
 : For individuals hired to work in New York, the expected salary range for this role is $142,200 to $202,700\. Actual compensation will be determined based on the candidate’s qualifications, experience, and skill set.
**Benefits** 
 : Employees (and their families) are eligible for medical, dental, vision, and basic life insurance coverage. Employees may enroll in the firm’s 401(k) plan upon hire. We offer 160 hours of paid time off annually, along with twelve paid holidays each calendar year. For a full listing of benefit offerings, please visit https://www.andersen.com/careers.
*Applicants must be currently authorized to work in the United States on a full\-time basis upon hire. Andersen will not consider candidates for this position who require sponsorship for employment visa status now or in the future (e.g., H\-1B status).*
*Andersen Tax is an equal opportunity employer committed to fostering an inclusive workplace. We evaluate all applicants and employees without regard to race, color, religion, national origin, ancestry, sex (including pregnancy, childbirth, and related medical conditions), sexual orientation, gender identity or expression, age, disability, genetic information, marital status, military or veteran status, or any other characteristic protected under applicable federal, state, or local law. All qualified applicants, including those with criminal histories, will be considered in a manner consistent with applicable law. We provide reasonable accommodations to qualified individuals with disabilities as required by law.*
**ANDERSEN TAX LLC NOTICE FOR JOB** 
 APPLICANTS</t>
        </is>
      </c>
    </row>
    <row r="29">
      <c r="A29" t="inlineStr">
        <is>
          <t>li-4326892111</t>
        </is>
      </c>
      <c r="B29" t="inlineStr">
        <is>
          <t>Navy SEPASS Data Engineer</t>
        </is>
      </c>
      <c r="C29" t="inlineStr">
        <is>
          <t>Koniag Government Services</t>
        </is>
      </c>
      <c r="D29" t="inlineStr">
        <is>
          <t>linkedin</t>
        </is>
      </c>
      <c r="E29" t="inlineStr"/>
      <c r="F29" t="inlineStr"/>
      <c r="G29" t="inlineStr">
        <is>
          <t>Monterey, CA</t>
        </is>
      </c>
      <c r="H29" t="inlineStr"/>
      <c r="I29" t="inlineStr">
        <is>
          <t>Koniag IT Systems, LLC is seeking a Data Engineer to support enterprise\-level geospatial intelligence (GEOINT) systems engineering efforts for our federal customers. The ideal candidate will bring extensive experience in data architecture, ETL processes, and large\-scale geospatial systems integration. This role requires expertise in designing, implementing, and maintaining complex data pipelines and architectures that support mission\-critical GEOINT operations.
 **This position requires an active TS/SCI clearance.**
 We offer competitive compensation and an exceptional benefits package, including health, dental, and vision insurance, a 401 (k) with company matching, flexible spending accounts, paid holidays, three weeks of paid time off, and more.
**Education And Experience**
* Bachelor of Science degree: 5\-7 years of experience in a related field.
* Master of Science degree: 3\-5 years of experience in a related field.
* PhD: 0\-2 years of experience in a related field
**Essential Responsibilities, Functions, \&amp; Duties**
* The Data Engineer will provide advisory and assistance support by assessing enterprise geospatial technologies, workflows, processes, procedures, and products in use across the NSG community and providing systems analysis and recommendations to support the Surf Eagle Enterprise Geographic Information System (GIS) Strategy
* The Data Engineer will contribute to the Enterprise GIS Strategy, assist with implementing strategic initiatives, research future technologies, and provide documentation and recommendations to appropriately leverage technological advances and align program stakeholders to the Enterprise GIS Strategy.
* The Data Engineer will monitor resource allocation for SEP and provide resource tracking, resource leveling, and resource allocation assessments for the Surf Eagle development.
* The Data Engineer will perform the full spectrum of systems engineering activities to implement an efficient, cost\-effective architecture for the SEP.
* The Data Engineer will prepare and maintain NAVOCEANO and FNMOC\-specific architecture views to provide a foundational framework for representing Surf Eagle architecture across the program and determining interoperability within the organizations and across the NSG and DoD.
* The Data Engineer will document existing production processes to include performance metrics to ensure the architecture is adequately managing existing requirements.
* The Data Engineer will identify performance concerns and recommend solutions.
* The Data Engineer will propose infrastructure changes and review other proposed infrastructure changes to ensure the changes align with the approved architecture.
* The Data Engineer will provide support to and assist in COMNAVMETOCCOM’s transition to the Intelligence Community Information Technology Enterprise.
* The Data Engineer will provide support in life cycle management, configuration management and change management.
* The Data Engineer will advise the SEP PM on strategic needs for program evolution, including detailed roadmaps for Information Technology infrastructure based on requirements and resulting capabilities of national standards
* The Data Engineer will attend and participate in forums as required by the COR.
**Required Skills And Competencies**
* Work independently or as part of a team as needed.
* Strong analytical and problem\-solving skills
* Excellent communication abilities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30">
      <c r="A30" t="inlineStr">
        <is>
          <t>li-4349921290</t>
        </is>
      </c>
      <c r="B30" t="inlineStr">
        <is>
          <t>Multimodal Data Analytics Engineer</t>
        </is>
      </c>
      <c r="C30" t="inlineStr">
        <is>
          <t>Johns Hopkins Applied Physics Laboratory</t>
        </is>
      </c>
      <c r="D30" t="inlineStr">
        <is>
          <t>linkedin</t>
        </is>
      </c>
      <c r="E30" t="inlineStr"/>
      <c r="F30" t="inlineStr"/>
      <c r="G30" t="inlineStr">
        <is>
          <t>Laurel, MD</t>
        </is>
      </c>
      <c r="H30" t="inlineStr"/>
      <c r="I30" t="inlineStr">
        <is>
          <t>**Description**
 Are you curious how the cyber\-physical data produced by humans and devices reveal hidden stories about their activity?
 Are you excited by the challenge of turning massive, messy, and highly disparate real\-world data into actionable insights?
 Are you searching for meaningful work where your tools and ideas have a direct impact on national security?
**If so, we're looking for someone like you to join our team at APL.**
 The Cyber\-Physical Systems Development Group (QNN) at APL is seeking a Multimodal Data Analytics Engineer to develop and deploy novel data analytic capabilities to our sponsors in support of this mission. QNN is a multi\-disciplinary team of scientists and engineers seeking to empower U.S. defense and intelligence operators with unmatched access and situational awareness in any operational environment. We develop, analyze, and evaluate systems that employ a range of analytical techniques, including as machine learning and artificial intelligence (AI/ML), to extract insight from disparate data sets such as commercial telemetry data, video content, and computer network traffic.
**As a Multimodal Data Analytics Engineer**
* Conceive, design, and refine analytical approaches that transform complex, multimodal data into meaningful insights.
* Build robust, mission\-focused software tools that operationalize these analytical techniques for research, demonstration, and operational applications.
* Mentor and develop junior staff, providing guidance in both technical execution and professional growth.
* Identify emerging mission needs and propose innovative capabilities and concepts to sponsors.
* Clearly document methods and results, and effectively present findings to stakeholders within the lab and across the broader technical community.
**Qualifications**
**You meet our minimum qualifications for the job if you...**
* Possess a Bachelor’s Degree in Computer Science, Data Science/Engineering, Computer Engineering, Artificial Intelligence/Machine Learning, or another field relevant to the duties as described above.
* Have at least 7 years of relevant experience in analytical tool development using a variety of techniques including AI/ML methods.
* Have demonstrated ability to develop high\-quality software solutions that are accurate, efficient, reliable, maintainable, and scalable.
* Possess strong knowledge of data engineering fundamentals, including data ingestion, cleaning, transformation, storage, fusion, and visualization.
* Have experience with professional software development practices, including version control, testing, code review, and modular design.
* Have strong technical writing, presentation, and communication skills for reports, proposals, technical presentations, and interaction with sponsors.
* Are able to obtain an Interim Top Secret level security clearance by your start date and can ultimately obtain a TS/SCI level clearance. If selected, you will be subject to a government security clearance investigation and must meet the requirements for access to classified information. Eligibility requirements include U.S. citizenship.
**You'll go above and beyond our minimum requirements if you...**
* A Master’s or a PhD in a relevant technical field.
* Experience processing relevant data types such as: video, imagery, audio, mobility data, network data, financial transactions, text records/documents, etc.
* Experience with C, C\+\+, and/or Python and open data analysis packages such as Pandas, GeoPandas, OpenCV, Scapy, Zeek, TensorFlow, LangChain, etc.
* Experience with a variety of data storage and retrieval methods such as SQL, NoSQL, object storage, knowledge graphs, Parquet, etc.
* Experience with containerization tools (e.g., Docker, Kubernetes).
* Experience with cloud platforms (e.g., AWS, GCP, Azure) and cloud/distributed software architectures.
**About Us**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of perspectives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http://www.jhuapl.edu/careers.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providing reasonable accommodation to individuals of all abilities, including those with disabilities. If you require a reasonable accommodation to participate in any part of the hiring process, please contact Accommodations@jhuapl.edu.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$105,000 Annually
**Maximum Rate**
 $245,000 Annually</t>
        </is>
      </c>
    </row>
    <row r="31">
      <c r="A31" t="inlineStr">
        <is>
          <t>li-4280168780</t>
        </is>
      </c>
      <c r="B31" t="inlineStr">
        <is>
          <t>Principal Data Engineer</t>
        </is>
      </c>
      <c r="C31" t="inlineStr">
        <is>
          <t>SS&amp;C Technologies</t>
        </is>
      </c>
      <c r="D31" t="inlineStr">
        <is>
          <t>linkedin</t>
        </is>
      </c>
      <c r="E31" t="inlineStr"/>
      <c r="F31" t="inlineStr"/>
      <c r="G31" t="inlineStr"/>
      <c r="H31" t="inlineStr"/>
      <c r="I31"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**Title: Principal Data Engineer**
**Location: Melbourne/Sydney/Brisbane, Australia \|\| Hybrid**
**Role Type: Full Time**
****Job Description****
**Get To Know Us:**
 SS\&amp;C GIDS provides information processing and computer software services and products. The Company’s operating segments include financial markets, customer management, professional services, and output solutions. SS\&amp;C GIDS serves the alternative investments, asset and wealth management, banking and lending, insurance, and real estate industries.
**Why You Will Love It Here!**
* Flexibility: Hybrid Work Model
* Your Future: Income Protection Insurance \&amp; Salary Continuance
* Work/Life Balance: Generous Bereavement \&amp; Compassionate leave
* Your Wellbeing: Private Health Insurance discount, Primary \&amp; Secondary Paid Parental leave, Death \&amp; TPD Insurance
* Diversity \&amp; Inclusion: Committed to Welcoming, Celebrating and Thriving on Diversity
* Training: Hands\-On, Team\-Customized, including SS\&amp;C University
* Extra Perks: Discounts on fitness clubs, travel and more!
**What You Will Get to Do:**
 As part of the Global Investor and Distribution Solutions (GIDS) APAC Data Platform team, you will play a key role to lead the design, development, and optimisation of our enterprise data platform. This role is pivotal in shaping our data platform strategy, ensuring scalability, reliability, and performance across our data ecosystem.
* Architect and lead the development of scalable, secure, and high\-performance data platforms
* Own the design and implementation the Data platform using modern data stack technologies including but not limited to:
+ Event\-driven and batch data\-based data ingestion and pipelines (e.g., Debezium, Kafka, Flink, Spark, Data Lab)
+ Data visualisation \&amp; reporting (e.g. SSRS, Pentaho, Data Lens)
+ Data governance (e.g. DataHub)
* Collaborate with data architect, analysts, and engineers to deliver robust data solutions
* Champion automations by using tools like Terraform, CloudFormation, and CI/CD pipelines
* Ensure data quality, governance, and compliance across all data systems
* Mentor and guide junior engineers and contribute to a culture of technical excellence
* Evaluate and integrate emerging technologies to enhance platform capabilities
* Lead incident response and root cause analysis for data platform issues
**What You Will Bring:**
* Bachelor’s degree in computer engineering, Computer Science, Information Systems, or a related field
* 10\+ years of experience in a data engineering related role for senior\-level candidates
* Excellent English communication skills, both written and verbal
* Proficiency in modern data platform engineering
* Hands\-on experience with end\-to\-end data platform engineering design and implementation
* Experience with automation across engineering
* Familiarity with modern data platform technology stack with open source tools preferred
* Experience with GitHub, PR process, CI/CD pipeline, and code/release management
* Proficiency in public and private cloud, AWS, Kubernetes, Docker
* Expert in streaming technologies and ETL/ELT data pipelines (e.g. Debezium CDC, Kafka, Flink, Spark, NiFi, etc.)
* Expert database technologies and data lake storage (e.g. MSSQL, Postgres, Iceberg, etc.)
* Expert in Data analytics and reporting (e.g. SSRS, Pentaho, Data Lens, Trino, etc.)
* Expert in Data Governance by using tools like DataHub
* Proficiency in at least one programming language, preferably Python and Java
* Knowledge of AI/MCP is an advantage but optional
 We encourage applications from people of all backgrounds to enable us to bring diverse perspectives to our thinking and conversation. It's important to us that we strive to have a workforce that is diverse in the widest sense.
 Thank you for your interest in SS\&amp;C! If applicable, to further explore this opportunity, please apply directly with us through our Careers page on our corporate website @ www.ssctech.com/careers.
 Unless explicitly requested or approached by SS\&amp;C Technologies, Inc. or any of its affiliated companies, the company will not accept unsolicited resumes from headhunters, recruitment agencies, or fee\-based recruitment services.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32">
      <c r="A32" t="inlineStr">
        <is>
          <t>li-4372325442</t>
        </is>
      </c>
      <c r="B32" t="inlineStr">
        <is>
          <t>Data Engineer</t>
        </is>
      </c>
      <c r="C32" t="inlineStr">
        <is>
          <t>Bull Bear Defense Solutions, LLC</t>
        </is>
      </c>
      <c r="D32" t="inlineStr">
        <is>
          <t>linkedin</t>
        </is>
      </c>
      <c r="E32" t="inlineStr"/>
      <c r="F32" t="inlineStr"/>
      <c r="G32" t="inlineStr"/>
      <c r="H32" t="inlineStr"/>
      <c r="I32" t="inlineStr">
        <is>
          <t>**Company Description** 
 Bull Bear Defense Solutions, LLC specializes in delivering agile, customized, and efficient IT solutions to federal, defense, and commercial clients. We provide innovative and compliant IT cloud moderinization solutions. Established in 2020, Bull Bear Defense Solutions is an Alaskan tribally owned entity, SBA Certified Disadvantaged Small Business, and Indian Small Business Economic Enterprise (ISBEE). The organization proudly serves the Ketchikan Indian Community (KIC) in Ketchikan, Alaska.
**Role Description** 
 Remote role with travel required supporting the Bureau of Indian Affairs.
 This is a full\-time remote position for a Data Engineer. The Data Engineer will design, develop, and maintain scalable data pipelines and support the integration of data systems. Day\-to\-day responsibilities include implementing data models, designing Extract, Transform, Load (ETL) workflows, ensuring data quality, and optimizing data warehousing solutions. The role requires collaboration with cross\-functional teams to provide insights and enable data\-driven decision\-making.
**Qualifications** 
* Proficiency in Data Engineering, including database management, data pipeline development, and data integration
* Strong knowledge of Data Modeling techniques and standards
* Experience with Extract, Transform, Load (ETL) processes and tools
* Expertise in Data Warehousing systems and solutions
* Familiarity with Data Analytics tools and techniques
* Proficiency in programming languages such as Python, SQL, or similar
* Bachelor's degree in Computer Science, Data Science, Engineering, or a related field (or equivalent experience)
* Strong problem\-solving skills and ability to work autonomously in a remote environment
* Experience with cloud platforms like AWS, Azure are a must.
* Remote, willing to Travel.</t>
        </is>
      </c>
    </row>
    <row r="33">
      <c r="A33" t="inlineStr">
        <is>
          <t>li-4373288622</t>
        </is>
      </c>
      <c r="B33" t="inlineStr">
        <is>
          <t>Sr. Data Engineer | Up to $85/hr</t>
        </is>
      </c>
      <c r="C33" t="inlineStr">
        <is>
          <t>Mercor</t>
        </is>
      </c>
      <c r="D33" t="inlineStr">
        <is>
          <t>linkedin</t>
        </is>
      </c>
      <c r="E33" t="inlineStr"/>
      <c r="F33" t="inlineStr"/>
      <c r="G33" t="inlineStr"/>
      <c r="H33" t="inlineStr"/>
      <c r="I33" t="inlineStr">
        <is>
          <t>**About The Job**
**Mercor** 
 connects elite creative and technical talent with leading AI research labs. Headquartered in San Francisco, our investors include
 **Benchmark** 
 ,
 **General Catalyst** 
 ,
 **Peter Thiel** 
 ,
 **Adam D'Angelo** 
 ,
 **Larry Summers** 
 , and
 **Jack Dorsey** 
 .
**Position:** 
 Data Engineer
**Type:** 
**Contract**
**Compensation:** 
**$70–$85/hour**
**Location:** 
**Onsite**
**Commitment:** 
**Full\-time**
**Role Responsibilities**
* Manage data labeling workflows, including data enqueueing, UI for labeling, and extracting labels into datasets for the modeling team.
* Maintain large\-scale, efficient data processing pipelines for billions of images using machine learning models and LLMs.
* Ensure governance of datasets, focusing on access, retention, and privacy compliance.
* Collaborate with engineers to identify model gaps and prepare necessary data for model training iterations.
* Scale validated evaluation protocols with product development teams, including auditing and correcting human\-labeled data.
* Work independently and manage time effectively to improve AI model performance.
**Qualifications**
**Must\-Have**
* Basic knowledge of Python and SQL.
* Basic knowledge of computer vision and generative models.
* Basic knowledge with data ETL workflows \&amp; pipelines.
* Associate's degree or equivalent training in Computer Science, Electronic Engineering, Physics, Bioinformatics, or other STEM subjects.
* Verbal and written communication skills, problem\-solving skills, and interpersonal skills.
* Attention to detail and aptitude for experimental investigations.
**Preferred**
* Prior industrial experience in software development and testing.
* Research experience in human\-computer interaction.
* Previous experience at a major technology company.
**Compensation \&amp; Legal**
* Hourly contractor
* Pursuant to the California Fair Chance Act and related ordinances,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34">
      <c r="A34" t="inlineStr">
        <is>
          <t>li-4372328315</t>
        </is>
      </c>
      <c r="B34" t="inlineStr">
        <is>
          <t>Data Engineer</t>
        </is>
      </c>
      <c r="C34" t="inlineStr">
        <is>
          <t>VeriiPro</t>
        </is>
      </c>
      <c r="D34" t="inlineStr">
        <is>
          <t>linkedin</t>
        </is>
      </c>
      <c r="E34" t="inlineStr"/>
      <c r="F34" t="inlineStr"/>
      <c r="G34" t="inlineStr">
        <is>
          <t>New York, NY</t>
        </is>
      </c>
      <c r="H34" t="inlineStr"/>
      <c r="I34" t="inlineStr">
        <is>
          <t>**Job Description**
**Key Responsibilities** 
* Design, develop, and optimize scalable ETL/ELT pipelines using Databricks and Apache Spark (PySpark/Scala).
* Build robust data ingestion workflows from structured and semi\-structured sources.
* Develop reusable components and frameworks to streamline data processing and integration.
* Implement best practices for data quality, validation, and governance.
* Collaborate with data architects, analysts, and business stakeholders to understand requirements and translate them into data solutions.
* Tune Spark jobs for performance and scalability in cloud\-based environments.
* Maintain and optimize data lake or Lakehouse architecture for high availability, security, and integrity.
* Support troubleshooting, debugging, and performance optimization in production workloads.
* Migrate on\-premises applications to cloud service providers.
* Automate deployment and infrastructure using CI/CD pipelines (GitLab) and Terraform.
* Ensure adherence to coding standards and perform code reviews for quality and optimal execution.
* Partner with business and technical teams to implement best practices and achieve agile delivery goals
**Must\-Have Skills \&amp; Technical Expertise** 
* Databricks SaaS: Designing and building ETL/ELT pipelines.
* Apache Spark: PySpark and Scala programming.
* SQL \&amp; Python: Strong programming and querying skills.
* AWS Services: EC2, EMR, S3, EBS, RDS, DynamoDB, Glue, Identity \&amp; Access Management, Networking, Monitoring.
* Container Orchestration: Docker and Kubernetes.
* CI/CD \&amp; Deployment: GitLab pipelines, automation.
* Infrastructure as Code: Terraform.
* Data Architecture: Lakehouse, Starburst, Trino, federated queries.
* ETL / Data Pipelines: Development, optimization, and monitoring.</t>
        </is>
      </c>
    </row>
    <row r="35">
      <c r="A35" t="inlineStr">
        <is>
          <t>li-4303036004</t>
        </is>
      </c>
      <c r="B35" t="inlineStr">
        <is>
          <t>Data Engineer (Hybrid)</t>
        </is>
      </c>
      <c r="C35" t="inlineStr">
        <is>
          <t>Elder Research</t>
        </is>
      </c>
      <c r="D35" t="inlineStr">
        <is>
          <t>linkedin</t>
        </is>
      </c>
      <c r="E35" t="inlineStr"/>
      <c r="F35" t="inlineStr"/>
      <c r="G35" t="inlineStr">
        <is>
          <t>Tampa, FL</t>
        </is>
      </c>
      <c r="H35" t="inlineStr"/>
      <c r="I35" t="inlineStr">
        <is>
          <t>**Job Title:** 
 Data Engineer
**Location:** 
 Tampa, FL \- MacDill AFB
**Workplace:** 
 Hybrid, 2\-3 days per week onsite at MacDill AFB, FL
**Clearance:** 
 Top Secret (TS)
**Position Overview**
 Elder Research is seeking Data Engineers to support a U.S. national security client at MacDill AFB in Tampa, FL. In this mission\-focused role, you will apply advanced data engineering techniques to enable intelligence analysts to uncover hidden patterns, enhance decision\-making, and drive intelligence innovation in support of national security.
 This hybrid role offers the opportunity to work at the cutting edge of analytics and defense, directly impacting military operations across the U.S. Intelligence and Defense community. Our team integrates expertise in data science, AI/ML, and intelligence operations to deliver data\-driven solutions for the U.S. National Security enterprise. The work directly contributes to decision\-making, mission readiness, and the ability of operators to succeed in a complex global battlespace.
**Position Requirements** 
* Education: Bachelor’s degree in a technical field (e.g., Engineering, Mathematics, Statistics, Physics, Computer Science, IT, or related discipline).
* Clearance: active Top Secret (TS)
* Years of Experience: 3\+ years
* Experience with:
+ Python, SQL, noSQL, Cypher, POSTGRES
+ SQLAlchemy, Swagger, Spark, Hadoop, Kafka, Hive, R,
+ Apache Storm, Neo4J, MongoDB
+ Cloud platforms (AWS, Azure, GCP, or similar)
* Ability to work independently as well as within cross\-functional teams.
* Strong communication, problem\-solving, and critical\-thinking skills.
**Preferred Skills And Qualifications**
* Active TS/SCI clearance.
* Experience supporting the intelligence domain, particularly Intelligence, Surveillance, and Reconnaissance (ISR).
* Previous work supporting Special Operations Forces (SOF) missions or U.S. national security customers.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36">
      <c r="A36" t="inlineStr">
        <is>
          <t>li-4312781120</t>
        </is>
      </c>
      <c r="B36" t="inlineStr">
        <is>
          <t>Data Engineer (No Sponsorship Available)</t>
        </is>
      </c>
      <c r="C36" t="inlineStr">
        <is>
          <t>Heritage Construction + Materials</t>
        </is>
      </c>
      <c r="D36" t="inlineStr">
        <is>
          <t>linkedin</t>
        </is>
      </c>
      <c r="E36" t="inlineStr"/>
      <c r="F36" t="inlineStr"/>
      <c r="G36" t="inlineStr">
        <is>
          <t>Indianapolis, IN</t>
        </is>
      </c>
      <c r="H36" t="inlineStr"/>
      <c r="I36" t="inlineStr">
        <is>
          <t>**Build Your Career at Heritage Construction \+ Materials!**
 We are looking for a highly motivated, strategic\-thinking, and data\-driven technical expert to join our team as a HC\+M Data Engineer. This individual will help develop and implement strategic data initiatives. They will be responsible for collecting and analyzing data, implementing technical solutions/algorithms, and developing and maintaining data pipelines.
**This position requires U.S. work authorization**
**Essential Functions**
* Develop and support data pipelines within our Cloud Data Platform Databricks
* Monitor and optimize Databricks cluster performance, ensuring cost\-effective scaling and resource utilization
* Design, implement, and maintain Delta Lake tables and pipelines to ensure optimized storage, data reliability, performance, and versioning
* Python application development
* Automate CI/CD pipelines for data workflows using Azure DevOps
* Integrate Databricks with other Azure services, such as Azure Data Factory and ADLS
* Design and implement monitoring solutions, leveraging Databricks monitoring tools, Azure Log Analytics, or custom dashboards for cluster and job performance
* Collaborate with cross\-functional teams to support data governance using Databricks Unity Catalog
* Additional duties and responsibilities as assigned, including but not limited to continuously growing in alignment with the Company’s core values, competencies, and skills.
**Education Qualifications**
* Bachelor’s or Master’s degree in Computer Science, Engineering, Data Science, or a related field required
**Experience Qualifications**
* Expertise with programming languages such as Python and/or SQL
* Experience with Python Data Science Libraries (PySpark, Pandas, etc.)
* Experience with Test Drive Development (TDD)
* Automated CI/CD Pipelines
* Linux / Bash / Docker
* Database Schema Design and Optimization
* Experience working in a cloud environment (Azure preferred) with strong understanding of cloud data architecture
* Hands\-on experience with Databricks or Snowflake Cloud Data Platforms
* Experience with workflow orchestration (e.g., Databricks Jobs, or Azure Data Factory pipelines)
**Skills And Abilities**
* Strong analytical and problem\-solving skills
* Experience with programming languages such as Python, Java, R, or SQL
* Experience with Databricks or Snowflake Cloud Data Platforms
* Knowledge of statistical analysis and data visualization tools, such as PowerBI or Tableau
* Proficient in Microsoft Office
**About Heritage Construction \+ Materials**
 Heritage Construction \+ Materials (HC\+M) is part of The Heritage Group, a privately held, family\-owned business headquartered in Indianapolis. HC\+M has core capabilities in infrastructure building. Its collection of companies provides innovative road construction and materials services across the Midwest. HC\+M companies, including Asphalt Materials, Inc., Evergreen Roadworks, Milestone Contractors and US Aggregates, proudly employ 3,000 people at 68 locations across seven states. Learn more at www.heritagebuilds.com.
 All qualified applicants will receive consideration for employment without regard to race, color, religion, sex, sexual orientation, gender identity, national origin, disability, or status as a protected veteran.
 \#HeritageConstruction\+Materials</t>
        </is>
      </c>
    </row>
    <row r="37">
      <c r="A37" t="inlineStr">
        <is>
          <t>li-4372332034</t>
        </is>
      </c>
      <c r="B37" t="inlineStr">
        <is>
          <t>Data Engineer III</t>
        </is>
      </c>
      <c r="C37" t="inlineStr">
        <is>
          <t>RemoteHunter</t>
        </is>
      </c>
      <c r="D37" t="inlineStr">
        <is>
          <t>linkedin</t>
        </is>
      </c>
      <c r="E37" t="inlineStr"/>
      <c r="F37" t="inlineStr"/>
      <c r="G37" t="inlineStr"/>
      <c r="H37" t="inlineStr"/>
      <c r="I37"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li-4372325079</t>
        </is>
      </c>
      <c r="B38" t="inlineStr">
        <is>
          <t>Data Engineer, Support</t>
        </is>
      </c>
      <c r="C38" t="inlineStr">
        <is>
          <t>RemoteHunter</t>
        </is>
      </c>
      <c r="D38" t="inlineStr">
        <is>
          <t>linkedin</t>
        </is>
      </c>
      <c r="E38" t="inlineStr"/>
      <c r="F38" t="inlineStr"/>
      <c r="G38" t="inlineStr"/>
      <c r="H38" t="inlineStr"/>
      <c r="I38" t="inlineStr">
        <is>
          <t>About the Opportunity:
 The organization provides an end\-to\-end ecosystem designed to support Programs of All\-Inclusive Care for the Elderly (PACE) in delivering care, improving financial performance, and ensuring compliance. It replaces outdated technology with solutions for care coordination, risk adjustment, population health, and utilization management. The role focuses on supporting operations and improving outcomes for dual\-eligible seniors with complex healthcare needs.
 Responsibilities:
 • Own and maintain a legacy population health analytics product, focusing on backend data pipelines and the full\-stack application
 • Operate the production analytics product, managing data ingestion, transformation, orchestration, and the user interface
 • Build, maintain, and debug backend data pipelines using Airflow, Python (Pandas, Selenium), Snowflake, dbt, and Airbyte, emphasizing data quality and performance
 • Manage full\-stack analytics application, including backend services (Node.js) and frontend components (React)
 • Address bug fixes, operational issues, and production incidents, understanding system behavior and failure modes
 • Investigate and resolve data quality issues, pipeline failures, and application defects with durable fixes
 • Improve legacy codebases balancing speed, correctness, and maintainability
 • Communicate clearly about system health, root causes, and technical tradeoffs with teams and stakeholders
 Requirements:
 • Bachelor’s degree in Computer Science, Information Systems, or related field, or equivalent experience
 • 1 to 4 years of experience as a Software Engineer or Data Engineer
 • Proficiency in Python and experience with production data pipelines or ETL/ELT workflows
 • Working knowledge of SQL and relational or analytical databases
 • Exposure to backend or full\-stack development, including JavaScript and Node.js
 • Familiarity with frontend technologies like React or willingness to learn and maintain existing frontend code
 • Basic knowledge of modern data tools such as Airflow, dbt, Snowflake, and Airbyte
 • Ability to debug legacy systems and handle complex technical issues
 • Strong ownership and accountability for production systems
 • Clear written and verbal communication skills
 Preferred:
 • Experience maintaining legacy systems in production
 • Exposure to healthcare data, analytics platforms, or regulated environments
 • Experience working in small teams or fast\-paced environments
 Benefits \&amp; Perks:
 • Competitive salary and benefits package including uncapped PTO and health insurance
 • Professional development and growth opportunities
 • Flexible remote work environment
 Compensation:
 • Salary range for this role is $95,000 to $120,000 annually
 • Ideal candidate expected near midpoint of range; final pay based on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li-4332819161</t>
        </is>
      </c>
      <c r="B39" t="inlineStr">
        <is>
          <t>Data Engineer - Archimedes</t>
        </is>
      </c>
      <c r="C39" t="inlineStr">
        <is>
          <t>Navitus Health Solutions</t>
        </is>
      </c>
      <c r="D39" t="inlineStr">
        <is>
          <t>linkedin</t>
        </is>
      </c>
      <c r="E39" t="inlineStr"/>
      <c r="F39" t="inlineStr"/>
      <c r="G39" t="inlineStr">
        <is>
          <t>Earth City, MO</t>
        </is>
      </c>
      <c r="H39" t="inlineStr"/>
      <c r="I39" t="inlineStr">
        <is>
          <t>Archimedes
**About Us**
 Archimedes \- Transforming the Specialty Drug Benefit \- Archimedes is the industry leader in specialty drug management solutions. Founded with the goal of transforming the PBM industry to provide the necessary ingredients for the sustainability of the prescription drug benefit – alignment, value and transparency – Archimedes achieves superior results for clients by eliminating tightly held PBM conflicts of interest including drug spread, rebate retention and pharmacy ownership and delivering the most rigorous clinical management at the lowest net cost. .\_\_\_\_\_\_\_\_\_\_\_\_\_\_\_\_\_\_\_\_\_\_\_\_\_\_\_\_\_\_\_\_\_\_\_\_\_\_\_\_\_\_\_\_\_\_\_\_\_\_\_\_\_\_\_\_\_\_\_\_\_\_\_\_\_\_\_\_\_\_\_\_\_\_\_\_\_\_\_\_\_\_\_\_\_\_\_\_\_\_\_\_\_\_\_\_\_\_\_\_\_\_\_\_\_\_\_\_\_\_\_\_\_\_\_\_\_\_\_\_\_\_\_\_\_\_\_\_\_\_\_\_\_\_\_\_\_\_\_\_\_\_\_\_\_\_\_\_\_\_\_\_\_\_\_\_\_\_\_\_\_\_\_\_\_\_\_\_\_\_\_\_\_\_\_\_\_\_\_\_\_\_\_\_\_\_\_\_\_\_\_\_\_\_\_\_\_\_. Current associates must use SSO login option at https://employees\-navitus.icims.com/ to be considered for internal opportunities.
**Pay Range**
 USD $0\.00 \- USD $0\.00 /Yr.
**STAR Bonus % (At Risk Maximum)**
 10\.00 \- Manager, Clinical Mgr, Pharm Supvr, CAE, Sr CAE I
**Work Schedule Description (e.g. M\-F 8am To 5pm)**
 Core Business Hours
**Overview**
 The Data Engineer is responsible for designing, building, and maintaining scalable data pipelines and infrastructure that support enterprise analytics, reporting, and operational data flows. This role plays a critical part in enabling data\-driven decision\-making across Centene and SPM by ensuring the availability, integrity, and performance of data systems. The Data Engineer collaborates with data scientists, analysts, software developers, and business stakeholders to deliver robust ETL solutions, optimize data storage and retrieval, and implement secure, compliant data architectures in cloud and hybrid environments.
 Operating within a healthcare\-focused, compliance\-heavy landscape, the Data Engineer ensures that data platforms align with regulatory standards such as HIPAA and SOC 2, while embedding automation and CI/CD practices into daily workflows. The role supports both AWS and Azure environments, leveraging cloud\-native services and modern tooling to streamline data ingestion, transformation, and delivery.
**Responsibilities**
**Job Responsibilities:**
* Design, develop, and maintain ETL pipelines for structured and unstructured data across cloud and on\-prem environments.
* Build and optimize data models, schemas, and storage solutions in SQL Server, PostgreSQL, and cloud\-native databases.
* Implement CI/CD workflows for data pipeline deployment and monitoring using tools such as GitHub Actions, Azure DevOps, or Jenkins.
* Develop and maintain data integrations using AWS Glue, Azure Data Factory, Lambda, EventBridge, and other cloud\-native services.
* Ensure data quality, lineage, and governance through automated validation, logging, and monitoring frameworks.
* Collaborate with cross\-functional teams to gather requirements, design scalable solutions, and support analytics and reporting needs.
* Monitor and troubleshoot data pipeline performance, latency, and failures; implement proactive alerting and remediation strategies.
* Support data security and compliance by enforcing access controls, encryption standards, and audit logging aligned with HIPAA and SOC 2\.
* Maintain documentation for data flows, architecture diagrams, and operational procedures.
* Participate in sprint planning, code reviews, and agile ceremonies to support iterative development and continuous improvement.
* Evaluate and integrate new data tools, frameworks, and cloud services to enhance platform capabilities.
* Partner with DevOps and Security teams to ensure infrastructure\-as\-code and secure deployment practices are followed.
* Participate in, adhere to, and support compliance, people and culture, and learning programs.
* Perform other duties as assigned.
**Qualifications**
**Essential Background Requirements:**
* Education: Bachelor’s degree in Computer Science, Information Systems, Data Engineering, or related field required. Master’s degree preferred.
* Certification/Licenses: AWS Certified Data Analytics or Solutions Architect required. Microsoft Certified: Azure Data Engineer Associate required. Certified Data Management Professional (CDMP) required.
* Experience:
+ 5\+ years of experience in data engineering, ETL development, or cloud data architecture required.
+ Proven experience with SQL, ETL tools, and CI/CD pipelines required.
+ Hands\-on experience with AWS and Azure data services and infrastructure required.
+ Familiarity with data governance, compliance frameworks (HIPAA, SOC 2\), and secure data handling practices required.
+ Familiarity with CI/CD pipelines, automated testing, and version control systems required.
+ Skills \&amp; Technologies:
- Languages \&amp; Tools: SQL, Python, Bash, Git, Terraform, PowerShell
- ETL \&amp; Orchestration: AWS Glue, Azure Data Factory, Apache Airflow
- CI/CD: GitHub Actions, Azure DevOps, Jenkins
- Cloud Platforms: AWS (S3, Lambda, RDS, Redshift), Azure (Blob Storage, Synapse, Functions)
- Monitoring \&amp; Logging: CloudWatch, Azure Monitor, ELK Stack
- Data Governance: Data cataloging, lineage tracking, encryption, and access control.
**Location : Address**
 502 Earth City Expy STE 300
**Location : City**
 Earth City
**Location : State/Province**
 MO
**Location : Postal Code**
 63045
**Location : Country**
 US</t>
        </is>
      </c>
    </row>
    <row r="40">
      <c r="A40" t="inlineStr">
        <is>
          <t>li-4335620620</t>
        </is>
      </c>
      <c r="B40" t="inlineStr">
        <is>
          <t>Senior Associate - AI Data Engineer</t>
        </is>
      </c>
      <c r="C40" t="inlineStr">
        <is>
          <t>Andersen</t>
        </is>
      </c>
      <c r="D40" t="inlineStr">
        <is>
          <t>linkedin</t>
        </is>
      </c>
      <c r="E40" t="inlineStr"/>
      <c r="F40" t="inlineStr"/>
      <c r="G40" t="inlineStr">
        <is>
          <t>Chicago, IL</t>
        </is>
      </c>
      <c r="H40" t="inlineStr"/>
      <c r="I40" t="inlineStr">
        <is>
          <t>Application Notice
 We encourage you to apply thoughtfully by selecting one position that best matches your qualifications and interests. You may submit up to two active applications at a time. Please consider your location choice carefully—we recommend applying where you envision building your future.
 The Firm
**A New Era of AI\-Driven, Multidimensional Consulting**
 Today’s businesses face complex global challenges that demand more than conventional consulting services. Andersen Consulting offers a seamless, multidimensional approach that combines expertise in business transformation, artificial intelligence, cybersecurity, sustainability, and digital strategy with Andersen Global’s established tax and legal capabilities. This integration of emerging technologies positions Andersen Consulting as the partner of choice in the $1 trillion consulting industry.
 The Role
 We're looking for a Data Engineer to build the data and feature engineering pipelines that power operational AI workloads on Palantir's Foundry and AIP platforms. Data Engineers at Andersen Consulting embed with client technical teams, engagement leaders, and product managers to understand client data landscapes and implement solutions. Your core responsibility is building modern data pipelines that solve real business problems and support production AI systems. This is an individual contributor role focused on technical delivery.
**In This Role, You Will**
* Build data pipelines and workflows to prepare data for machine learning and GenAI workloads on Palantir's Foundry and AIP platforms.
* Deploy modern tools to support machine learning and LLM operations for enterprise clients.
* Contribute meaningfully to client outcomes through hands\-on technical delivery.
 You'll work within the new Andersen Consulting Global AI practice, accountable for delivering measurable value to clients through operational AI. The team accomplishes this by using modern techniques, tooling, and pragmatic decision\-making to deliver value rapidly. Since the AI landscape evolves continuously, you'll learn new technologies quickly and accomplish a wide range of tasks all focused on delivering robust data and feature engineering pipelines with exceptional quality.
 You'll leverage your existing Foundry and AIP experience while deepening expertise across the platform. Andersen Consulting partners with Palantir to deploy solutions to enterprise clients. This means you'll work on client engagements while becoming expert in one of the most powerful AI platforms on the market. Longer term, you'll build bespoke data and feature engineering pipelines within client infrastructure including on\-premises software, cloud\-hosted platforms, and cloud\-native services.
**Responsibilities**
 We understand narrow, well\-defined job responsibilities work for some people. If you prefer highly structured roles, this position may not fit. We expect you to:
* Come ready to deliver your best work and influence your team to do the same
* Build data and feature engineering pipelines with exceptional quality and be held to that standard
* Embed with client technical teams to explore source data, gather requirements, and define required transformations
* Design ontology models and implement pipelines with complex transformations across 5\+ source systems
* Build applications that demonstrate capabilities and accelerate client decision\-making
* Implement security and permissions architecture to support enterprise governance requirements
* Set the standard for disciplined data engineering including automated testing, continuous integration and deployment, code reviews, and well\-documented code
 The Requirements
 To be successfully considered for this role, you will have:
* 6 years of technical experience delivering production data solutions
* 3 years of hands\-on experience building solutions on Palantir Foundry and AIP platforms
* Demonstrated track record designing and deploying large\-scale data engineering solutions that deliver tangible, ongoing value
* Strong coding experience writing production\-quality SQL and Python code with expert\-level knowledge of scientific computing libraries (PyTorch, NumPy, Polars, etc.)
* Professional experience with relational and non\-relational database technologies with expert\-level SQL knowledge
* Experience with full\-stack Foundry development including ontology modeling and design patterns
* Strong communication skills for client\-facing delivery, requirements gathering, and solution design
**It Would Also Be Beneficial If You Have**
* Experience building applications and leading technical demonstrations for clients
* Demonstrated ability to implement security and permissions architecture in enterprise environments
* Experience building applications and leading technical demonstrations for clients
* Demonstrated ability to implement security and permissions architecture in enterprise environments
* Industry domain expertise in finance, healthcare, or manufacturing
 We're looking for a passionate, team\-oriented, engineer who's self\-motivated and energized by technology. We expect you to deliver exceptional work and influence those around you to do the same. We value humility and intellectual honesty in our engineers. In return, you gain opportunity to build deep expertise working on large\-scale operational AI deployments that directly impact critical organizational missions.
**Compensation And Benefits**
 Our firm offers a competitive base salary and comprehensive benefits package designed to support the well\-being, growth, and long\-term success of our people. We are committed to recognizing individual contributions and providing resources that enable our employees to thrive both personally and professionally.
**Salary Range** 
 : For individuals hired to work in Chicago, the expected salary range for this role is $142,200 to $202,700\. Actual compensation will be determined based on the candidate’s qualifications, experience, and skill set.
**Benefits** 
 : Employees (and their families) are eligible for medical, dental, vision, and basic life insurance coverage. Employees may enroll in the firm’s 401(k) plan upon hire. We offer 160 hours of paid time off annually, along with twelve paid holidays each calendar year. For a full listing of benefit offerings, please visit https://www.andersen.com/careers.
*Applicants must be currently authorized to work in the United States on a full\-time basis upon hire. Andersen will not consider candidates for this position who require sponsorship for employment visa status now or in the future (e.g., H\-1B status).*
*Andersen Tax is an equal opportunity employer committed to fostering an inclusive workplace. We evaluate all applicants and employees without regard to race, color, religion, national origin, ancestry, sex (including pregnancy, childbirth, and related medical conditions), sexual orientation, gender identity or expression, age, disability, genetic information, marital status, military or veteran status, or any other characteristic protected under applicable federal, state, or local law. All qualified applicants, including those with criminal histories, will be considered in a manner consistent with applicable law. We provide reasonable accommodations to qualified individuals with disabilities as required by law.*
**ANDERSEN TAX LLC NOTICE FOR JOB** 
 APPLICANTS</t>
        </is>
      </c>
    </row>
    <row r="41">
      <c r="A41" t="inlineStr">
        <is>
          <t>li-4372322787</t>
        </is>
      </c>
      <c r="B41" t="inlineStr">
        <is>
          <t>Data Engineer II</t>
        </is>
      </c>
      <c r="C41" t="inlineStr">
        <is>
          <t>Garner Health, LLC</t>
        </is>
      </c>
      <c r="D41" t="inlineStr">
        <is>
          <t>linkedin</t>
        </is>
      </c>
      <c r="E41" t="inlineStr"/>
      <c r="F41" t="inlineStr"/>
      <c r="G41" t="inlineStr">
        <is>
          <t>New York, NY</t>
        </is>
      </c>
      <c r="H41" t="inlineStr"/>
      <c r="I41"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Data Engineer II to join our Engineering team, with a high sense of ownership who is excited about our mission, eager to learn and teach others, and can deliver across the tech stack. The ideal candidate should have experience with a modern data stack and implementations of data pipelines using Python and SQL in AWS.
**Where You Will Work**
 This role will be based in our New York City office. You must be willing to work in the office 3 days per week on Tuesday, Wednesday and Thursday.
**What You Will Do**
* Build, optimize, and maintain data pipelines that power our business
* Define and build out abstracted reusable data sets to be used for Business Intelligence, Marketing, and Data Science Research
* Design, build, and evangelize a federated data validation framework to be used to monitor potential data inconsistencies
* Protect our users’ privacy and security through best practices
**The Ideal Candidate Has**
* 2\+ years of software/data engineering experience (distributed data processing, data warehousing, data governance, Big Data, data variance, data privacy, and data quality).
* Expertise in SQL and Python
* Expertise in building scalable data pipelines, query optimization, data modeling, and defining reusable datasets
* Experience working with orchestration tools (especially Airflow), databases (especially PostgreSQL), data warehouses (especially Snowflake)
* Familiarity with SQL tuning, medallion/event\-driven architectures, and telemetry.
* Familiarity with healthcare or insurance
* Familiarity with data security and HIPPA compliance
* A desire to be a part of a high\-performing, mission\-driven team that operates with intense urgency, a strong sense of individual accountability, and a commitment to authentic feedback
**Technologies We Use**
 Postgres/SQL, Snowflake, Python, AWS, Terraform, Argo, Airflow, Spark, DuckDB, Iceberg, Airbyte, DBT, ElasticSearch (aka OpenSearch), OpenTelemetry, Looker
 This is a unique opportunity to join a fast\-growing company in a transformative role, helping shape the future of healthcare.
**Please note: we are unable to sponsor or take over sponsorship of an employment visa at this time.**
**Compensation Transparency**
 The target salary range for this position is $125,000\-$165,000\.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42">
      <c r="A42" t="inlineStr">
        <is>
          <t>li-4373289892</t>
        </is>
      </c>
      <c r="B42" t="inlineStr">
        <is>
          <t>Data Engineer</t>
        </is>
      </c>
      <c r="C42" t="inlineStr">
        <is>
          <t>Hirenza</t>
        </is>
      </c>
      <c r="D42" t="inlineStr">
        <is>
          <t>linkedin</t>
        </is>
      </c>
      <c r="E42" t="inlineStr"/>
      <c r="F42" t="inlineStr"/>
      <c r="G42" t="inlineStr"/>
      <c r="H42" t="inlineStr"/>
      <c r="I42" t="inlineStr">
        <is>
          <t>**About The Company**
 Fynetra is a forward\-thinking organization dedicated to delivering innovative solutions across various industries. Committed to excellence and sustainability, Fynetra leverages cutting\-edge technology and a talented team to drive growth and create value for its clients and stakeholders. Our company culture emphasizes collaboration, integrity, and continuous improvement, fostering an environment where employees can thrive and contribute meaningfully to our mission.
**About The Role**
 We are seeking a highly motivated and skilled professional to join our team in the role of \[Job Title]. This position offers an exciting opportunity to work within a dynamic environment, contributing to strategic projects and initiatives that align with Fynetra's vision. The successful candidate will play a vital role in supporting operational excellence, driving innovation, and ensuring the delivery of high\-quality solutions to our clients. This role requires a proactive mindset, excellent problem\-solving abilities, and a commitment to continuous learning and development.
**Qualifications**
 The ideal candidate should possess a bachelor's degree in a relevant field such as Business Administration, Information Technology, Engineering, or a related discipline. Relevant professional certifications and prior experience in a similar role are highly desirable. Strong analytical skills, proficiency in industry\-standard tools and software, and excellent communication abilities are essential. Candidates should demonstrate a proven track record of managing multiple projects, working collaboratively across teams, and adapting to evolving business needs.
**Responsibilities**
 In this role, you will be responsible for a variety of key tasks, including but not limited to:
* Developing and implementing strategic plans to achieve organizational goals.
* Collaborating with cross\-functional teams to ensure project deliverables are met on time and within scope.
* Conducting research and analysis to inform decision\-making processes.
* Managing stakeholder relationships and communicating project progress effectively.
* Identifying opportunities for process improvements and operational efficiencies.
* Ensuring compliance with industry standards and regulatory requirements.
* Providing leadership and guidance to junior team members to foster professional growth.
* Monitoring project performance and preparing detailed reports for senior management.
**Benefits**
 Fynetra offers a comprehensive benefits package designed to support our employees' health, well\-being, and professional development. Employees enjoy competitive salary packages, health insurance coverage, and retirement plan options. We promote work\-life balance through flexible working arrangements and encourage continuous learning through training programs and development opportunities. Additionally, Fynetra fosters a collaborative and inclusive workplace culture where innovation and diversity are celebrated.
 Equal Opportunity
 Fynetra is an equal opportunity employer. We are committed to creating an inclusive environment where all employees and applicants are treated with fairness and respect. We do not discriminate based on race, color, religion, gender, sexual orientation, gender identity, national origin, age, disability, or any other protected characteristic. Our goal is to build a diverse team that reflects the communities we serve and to provide equal opportunities for growth and advancement for all.</t>
        </is>
      </c>
    </row>
    <row r="43">
      <c r="A43" t="inlineStr">
        <is>
          <t>li-4364734287</t>
        </is>
      </c>
      <c r="B43" t="inlineStr">
        <is>
          <t>Data Engineer - Hybrid, OH</t>
        </is>
      </c>
      <c r="C43" t="inlineStr">
        <is>
          <t>Ocean Blue Solutions Inc</t>
        </is>
      </c>
      <c r="D43" t="inlineStr">
        <is>
          <t>linkedin</t>
        </is>
      </c>
      <c r="E43" t="inlineStr"/>
      <c r="F43" t="inlineStr"/>
      <c r="G43" t="inlineStr">
        <is>
          <t>Columbus, OH</t>
        </is>
      </c>
      <c r="H43" t="inlineStr"/>
      <c r="I43" t="inlineStr">
        <is>
          <t>**Submission Due Date:** 
 07/14/2025
**Client** 
 \- State of Ohio
**Hybrid**
 The candidate must have senior data engineer experience in the following:
* Experience collecting and managing Public Health data from public sources, including US Census, Center for Disease Control and Prevention using APIs.
* Experience collecting and managing Public Health data from State of Ohio agencies via the Innovation Ohio Platform (IOP)
* Experience using git\-based projects in the IOP Cloudera Machine Learning Environment (CML) to manage Public Health data
* Experience building data collection, ingestion, and curation processes using CML based services and libraries
* Experience developing data automation jobs with Python\-based Jupiter Notebooks to collect data from remote sources and curate it into Apache HIVE tables</t>
        </is>
      </c>
    </row>
    <row r="44">
      <c r="A44" t="inlineStr">
        <is>
          <t>li-4373287695</t>
        </is>
      </c>
      <c r="B44" t="inlineStr">
        <is>
          <t>Data Engineer</t>
        </is>
      </c>
      <c r="C44" t="inlineStr">
        <is>
          <t>Wiraa</t>
        </is>
      </c>
      <c r="D44" t="inlineStr">
        <is>
          <t>linkedin</t>
        </is>
      </c>
      <c r="E44" t="inlineStr"/>
      <c r="F44" t="inlineStr"/>
      <c r="G44" t="inlineStr"/>
      <c r="H44" t="inlineStr"/>
      <c r="I44" t="inlineStr">
        <is>
          <t>**About The Company**
 First Citizens Bank is a leading financial services provider committed to delivering exceptional banking solutions to its clients. With a strong focus on innovation, security, and customer satisfaction, the bank strives to create a seamless banking experience through advanced technology and dedicated service. Recognized for its stability and growth, First Citizens Bank offers a collaborative work environment that fosters professional development and career advancement. The organization values integrity, inclusivity, and excellence, making it an ideal place for professionals seeking to make a meaningful impact in the financial industry.
**About The Role**
 We are seeking a highly skilled Data Engineer to join our remote team, primarily based in North Carolina, Texas, or Arizona. In this role, you will be responsible for designing, building, and maintaining secure, efficient, and compliant data pipelines on the Snowflake platform. Your expertise will enable the organization to transform raw data into meaningful insights through robust data modeling, orchestration, and governance practices. You will work closely with cross\-functional teams to develop scalable data ingestion frameworks, optimize Snowflake objects, and implement data security and governance policies that meet regulatory standards. This position offers an exciting opportunity to influence the company's data architecture, enhance operational efficiency, and ensure data quality and compliance across enterprise systems.
**Qualifications**
* Bachelor’s Degree in Computer Science, Data Engineering, or related field with a minimum of 6 years of relevant experience, or
* High School Diploma or GED with at least 10 years of extensive experience in advanced data engineering, enterprise architecture, or project leadership.
* Hands\-on experience with Snowflake platform, including database/schema design, security, networking, and governance.
* Proficiency in data ingestion frameworks and ETL/ELT tools such as Qlik, Glue, and Snowpipe.
* Expertise in data modeling techniques including Data Vault 2\.0, dimensional modeling, and implementing consumption layers.
* Strong knowledge of orchestration tools like Airflow (MWAA) and dbt Cloud for scheduling and workflow management.
* Experience with infrastructure\-as\-code practices using Terraform and HashiCorp tools.
* Familiarity with data security policies, role\-based access control, network security, and compliance standards such as SOX, GLBA, and PCI.
* Proficiency in SQL, Python, and AWS services including S3, IAM, and CloudWatch.
* Understanding of data observability, quality testing, anomaly detection, and monitoring tools.
* Excellent problem\-solving skills, attention to detail, and ability to work independently in a remote setting.
**Responsibilities**
* Design and implement scalable, reliable data ingestion frameworks to support enterprise analytics needs.
* Develop and maintain Snowflake objects such as tables, streams, tasks, and materialized views, optimizing for performance and cost\-efficiency.
* Create and test Data Vault 2\.0 models, ensuring robust lineage, relationships, and data freshness.
* Build and operate orchestration workflows using Airflow and dbt Cloud, ensuring idempotency, rerunnability, and lineage tracking.
* Enforce security policies including RBAC, ABAC, network rules, data masking, and row\-level security to safeguard sensitive information.
* Operationalize audit\-ready controls, including change management, approvals, and evidence documentation to meet compliance standards.
* Implement infrastructure\-as\-code using Terraform, managing code promotion through CI/CD pipelines with Git.
* Monitor data pipelines and Snowflake usage with tools like Snowflake ACCOUNT\_USAGE and INFORMATION\_SCHEMA, generating alerts for anomalies.
* Optimize resource allocation, warehouse sizing, and query performance to balance cost and operational efficiency.
* Build and maintain data quality and observability frameworks, incorporating tests, contract checks, and anomaly detection.
* Ensure compliance with internal and external audit requirements, maintaining detailed runbooks, change logs, and control documentation.
* Collaborate with cross\-functional teams to improve data architecture, security, and operational processes continuously.
**Benefits**
* Competitive salary packages aligned with industry standards.
* Comprehensive health, dental, and vision insurance plans.
* Retirement savings options including 401(k) plans with company matching.
* Paid time off, holidays, and flexible work arrangements to promote work\-life balance.
* Professional development opportunities and ongoing training programs.
* Access to cutting\-edge technology and tools to support your work.
* Inclusive and diverse work environment fostering collaboration and innovation.
 Equal Opportunity
 First Citizens Bank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45">
      <c r="A45" t="inlineStr">
        <is>
          <t>li-4373287912</t>
        </is>
      </c>
      <c r="B45" t="inlineStr">
        <is>
          <t>Data Engineer</t>
        </is>
      </c>
      <c r="C45" t="inlineStr">
        <is>
          <t>Best Job Tool</t>
        </is>
      </c>
      <c r="D45" t="inlineStr">
        <is>
          <t>linkedin</t>
        </is>
      </c>
      <c r="E45" t="inlineStr"/>
      <c r="F45" t="inlineStr"/>
      <c r="G45" t="inlineStr"/>
      <c r="H45" t="inlineStr"/>
      <c r="I45" t="inlineStr">
        <is>
          <t>**About The Company**
 Ernst \&amp; Young Oman is a leading professional services organization committed to delivering exceptional advisory, assurance, tax, and transaction advisory services to a diverse range of clients across various industries. As part of the global Ernst \&amp; Young network, we uphold the highest standards of integrity, quality, and professionalism. Our focus is on fostering innovation, driving growth, and creating sustainable value for our clients, employees, and communities. With a strong local presence and a deep understanding of the regional market, Ernst \&amp; Young Oman is dedicated to empowering organizations to navigate complex business challenges and seize new opportunities.
**About The Role**
 We are seeking a highly motivated and detail\-oriented professional to join our team in the role of \[Job Title]. This position offers an exciting opportunity to work within a dynamic environment, providing strategic insights and practical solutions to our clients. The ideal candidate will be responsible for managing client engagements, delivering high\-quality services, and contributing to the growth and reputation of Ernst \&amp; Young Oman. The role requires excellent communication skills, a strong analytical mindset, and the ability to work collaboratively within a multidisciplinary team. This position is pivotal in supporting our clients' business objectives while fostering your professional development in a globally recognized organization.
**Qualifications**
 The successful candidate should possess a bachelor’s degree in relevant disciplines such as Business Administration, Finance, Accounting, or related fields. A professional certification such as CPA, ACCA, CFA, or equivalent is preferred. Candidates should have a minimum of \[X] years of experience in a similar role, preferably within a professional services or consultancy environment. Strong analytical skills, proficiency in MS Office applications, and familiarity with relevant industry software are essential. Excellent interpersonal, communication, and presentation skills are required to effectively interact with clients and team members. A proactive attitude, problem\-solving capabilities, and the ability to work under pressure are also key attributes for this role.
**Responsibilities**
 In this role, you will be responsible for managing and executing client engagements from inception to completion, ensuring deliverables meet quality standards and deadlines. You will analyze client data, identify business challenges, and develop strategic recommendations aligned with their objectives. Collaborating with cross\-functional teams, you will assist in preparing reports, presentations, and proposals that clearly communicate insights and solutions. Building and maintaining strong client relationships is crucial, as is providing mentorship and guidance to junior team members. Additionally, you will stay updated on industry trends, regulatory changes, and best practices to continuously enhance service delivery. Your role will also involve contributing to business development efforts by identifying new opportunities and participating in proposal development.
**Benefits**
 Ernst \&amp; Young Oman offers a comprehensive benefits package designed to support our employees' well\-being and professional growth. This includes competitive salary packages, health insurance, and retirement plans. We promote a healthy work\-life balance through flexible working arrangements and paid time off policies. Employees have access to ongoing training and development programs, including certifications, workshops, and seminars, to enhance their skills and career progression. Our organization fosters a collaborative and inclusive culture, encouraging diversity and innovation. Additionally, employees can benefit from various wellness initiatives, employee assistance programs, and networking opportunities within our global EY community.
 Equal Opportunity
 Ernst \&amp; Young Oman is an equal opportunity employer. We are committed to creating an inclusive environment where all employees are valued and respected regardless of race, gender, age, religion, nationality, sexual orientation, or disability. We believe that diverse teams drive innovation and better serve our clients. We encourage applications from all qualified candidates and are dedicated to providing a fair and equitable hiring process. Our commitment extends beyond recruitment to fostering a workplace culture that promotes growth, development, and equal opportunity for everyone.</t>
        </is>
      </c>
    </row>
    <row r="46">
      <c r="A46" t="inlineStr">
        <is>
          <t>li-4373509168</t>
        </is>
      </c>
      <c r="B46" t="inlineStr">
        <is>
          <t>Sr. Data Engineer</t>
        </is>
      </c>
      <c r="C46" t="inlineStr">
        <is>
          <t>KMM Technologies, Inc.</t>
        </is>
      </c>
      <c r="D46" t="inlineStr">
        <is>
          <t>linkedin</t>
        </is>
      </c>
      <c r="E46" t="inlineStr"/>
      <c r="F46" t="inlineStr"/>
      <c r="G46" t="inlineStr">
        <is>
          <t>Reston, VA</t>
        </is>
      </c>
      <c r="H46" t="inlineStr"/>
      <c r="I46" t="inlineStr">
        <is>
          <t>**Position: Sr. Data Engineer**
**Location: Reston, VA \#HYBRID**
**Duration: 12 months \#Contract to Hire**
**Rate: $70/hr**
**Job Description**
* The Senior Data Engineer is responsible for orchestrating, deploying, maintaining and scaling cloud OR on\-premise infrastructure targeting big data and platform data management (Relational and NoSQL, distributed and converged) with emphasis on reliability, automation and performance.
* This role will focus on developing solutions and helping transform the company's platforms deliver data\-driven, meaningful insights and value to company.
**Essential Functions**
* Work with Business Analysts and Product team to gather data requirements
* Design and Build AbInitio data graphs and data pipelines to extract the data various databases/flat files/message queues
* Transform the data to create a consumable data layer for various application uses
* Support Data pipeline with bug fixes, and additional enhancements
* Document Technical design , Operational Runbook etc
**Qualifications**
* Bachelor's Degree (Computer Science, Information Technology or Engineering or related field)
* 10\+ Years of IT Experience predominantly in Data Integration/ Data Warehouse area
* Must have at least 5 years of ETL Design and Development experience using Ab Initio
* 1\-2 years of Data Integration project experience on Hadoop Platform, preferably Cloudera
* AbInitio CDC (Change Data Capture) experience in a Data Integration/ETL project setting is great to have
* Working knowledge of HDFS, Hive, Impala and other related Hadoop technologies
* AbInitio integration with AWS S3 and Redshift and/or other AWS database services
* Sound understanding of SQL and ability to write well performing SQL queries
* Good knowledge of OLTP and OLAP data models and other data warehouse fundamentals
* Rigor in high code quality, automated testing, and other engineering best practices, ability to write reusable code components
* Ability to unit test the code thoroughly and to troubleshoot issues in production environments
* Must have some working experience with Unix/Linux shell scripting
* Must be able to work independently and support other junior developers as needed
* Some Java development experience is nice to have
* Knowledge of Agile Development practices is required
**Thanks \&amp; Regards,**
 \-\-
**LAXMAN**
 Team Lead \- Talent Acquisition
**KMM Technologies, Inc.**
 CMMI Level 2 \| ISO 9001 \| ISO 20000 \| ISO 27000 Certified
 WOSB, SBA 8(A), MDOT MBE \&amp; NMSDC MBE
 Contract Vehicles: 8(a) STARS III \&amp; Schedule 70
 Tel:
 **(240\) 800\-0039** 
 \|Email:
 **lax@kmmtechnologies.com**</t>
        </is>
      </c>
    </row>
    <row r="47">
      <c r="A47" t="inlineStr">
        <is>
          <t>li-4373506353</t>
        </is>
      </c>
      <c r="B47" t="inlineStr">
        <is>
          <t>Lead Data Engineer Remote</t>
        </is>
      </c>
      <c r="C47" t="inlineStr">
        <is>
          <t>Jobgether</t>
        </is>
      </c>
      <c r="D47" t="inlineStr">
        <is>
          <t>linkedin</t>
        </is>
      </c>
      <c r="E47" t="inlineStr"/>
      <c r="F47" t="inlineStr"/>
      <c r="G47" t="inlineStr">
        <is>
          <t>Alabama, United States</t>
        </is>
      </c>
      <c r="H47" t="inlineStr"/>
      <c r="I47"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8">
      <c r="A48" t="inlineStr">
        <is>
          <t>li-4372325652</t>
        </is>
      </c>
      <c r="B48" t="inlineStr">
        <is>
          <t>Analytics Engineer</t>
        </is>
      </c>
      <c r="C48" t="inlineStr">
        <is>
          <t>RemoteHunter</t>
        </is>
      </c>
      <c r="D48" t="inlineStr">
        <is>
          <t>linkedin</t>
        </is>
      </c>
      <c r="E48" t="inlineStr"/>
      <c r="F48" t="inlineStr"/>
      <c r="G48" t="inlineStr"/>
      <c r="H48" t="inlineStr"/>
      <c r="I48"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9">
      <c r="A49" t="inlineStr">
        <is>
          <t>li-4338437566</t>
        </is>
      </c>
      <c r="B49" t="inlineStr">
        <is>
          <t>Data Engineer - DataBricks</t>
        </is>
      </c>
      <c r="C49" t="inlineStr">
        <is>
          <t>SMBC Group</t>
        </is>
      </c>
      <c r="D49" t="inlineStr">
        <is>
          <t>linkedin</t>
        </is>
      </c>
      <c r="E49" t="inlineStr"/>
      <c r="F49" t="inlineStr"/>
      <c r="G49" t="inlineStr">
        <is>
          <t>Charlotte, NC</t>
        </is>
      </c>
      <c r="H49" t="inlineStr"/>
      <c r="I4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**Summary**
 Join SMBC’s Compliance Technology team as a Data Engineer specializing in Azure and Databricks. You will architect and build secure, scalable data pipelines and a cloud\-native data platform that powers real\-time compliance analytics and regulatory reporting across global markets. Work collaboratively as a team player on mission\-critical projects involving complex financial datasets, leveraging Azure Data Factory, Databricks, Delta Lake, and Python to transform raw data into trusted, governed insights. This is a high\-impact role where a motivated self\-starter owns, end\-to\-end data engineering initiatives, collaborates with governance teams, and influence the architecture of SMBC’s next\-generation compliance systems.
**Principal Duties \&amp; Responsibilities**
* Own the design and implementation of ETL workflows using Azure Data Factory and Databricks for compliance\-related data ingestion and transformation.
* Integrate and normalize data from multiple structured and unstructured sources, ensuring adherence to strict data quality governance framework.
* Develop secure, auditable, and optimized pipelines for performance and reliability across sensitive financial datasets.
* Automate ingestion and transformation processes to enable real\-time compliance analytics and reporting.
* Implement efficient storage formats and partitioning strategies for fast loading and retrieval.
* Utilize Databricks and Delta Lake for distributed processing and versioned data storage.
* Enforce data retention, archiving, and purging policies aligned with global regulatory requirements.
* Migrate legacy application logic into modern Azure Databricks/Data Lake and SQL environments.
* Maintain comprehensive data lineage, metadata, and audit trails using Azure Purview or custom frameworks.
* Collaborate with governance teams and compliance analysts to define requirements and manage access controls.
* Participate in Agile development cycles, sprint planning, and compliance reviews.
* Review code changes and support production deployments.
**Job Specifications**
* 3\+ years of experience in data engineering within financial services, preferably compliance/regulatory.
* Advanced proficiency in SQL, Python, and Azure Databricks.
* Hands\-on experience with Azure Data Factory, Databricks notebooks, and ADLS.
* Expertise in data wrangling, modeling, and analytics enablement for compliance use cases.
* Experience integrating Microsoft ADF and Databricks for complex ETL development.
* Familiarity with data governance, quality frameworks, and audit processes.
* Strong communication and collaboration skills.
* Experience with Git/GitLab and CI/CD tools such as Azure DevOps.
* Preferred: Certifications in Azure Data Engineering, Databricks, or Financial Compliance Technology.
* Preferred: Bachelor’s or Master’s in Computer Science, Data Engineering, or related field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50">
      <c r="A50" t="inlineStr">
        <is>
          <t>li-4333400338</t>
        </is>
      </c>
      <c r="B50" t="inlineStr">
        <is>
          <t>Senior Data Engineer</t>
        </is>
      </c>
      <c r="C50" t="inlineStr">
        <is>
          <t>ICE</t>
        </is>
      </c>
      <c r="D50" t="inlineStr">
        <is>
          <t>linkedin</t>
        </is>
      </c>
      <c r="E50" t="inlineStr"/>
      <c r="F50" t="inlineStr"/>
      <c r="G50" t="inlineStr">
        <is>
          <t>Atlanta, GA</t>
        </is>
      </c>
      <c r="H50" t="inlineStr"/>
      <c r="I50" t="inlineStr">
        <is>
          <t>**Overview**
**Job Purpose**
 We're seeking a talented Senior Data Engineer to join our Enterprise Architecture team in a cross\-cutting role that will help define and implement our next\-generation data platform. In this pivotal position, you'll lead the design and implementation of scalable, self\-service data pipelines with a strong emphasis on data quality and governance. This is an opportunity to shape our data engineering practice from the ground up, working directly with key stakeholders to build mission\-critical ML and AI data workflows.
 We emphasize building systems that are maintainable, scalable, and focused on enabling self\-service data access while maintaining high standards for data quality and governance. The ideal candidate is a problem\-solver who enjoys working on complex data systems and is passionate about data quality. You thrive in collaborative environments but can also work independently to deliver solutions. You're comfortable working directly with technical and non\-technical stakeholders and can communicate complex technical concepts clearly. Most importantly, you're excited about creating systems that empower others to work with data efficiently and confidently.
**Responsibilities**
* Design, build, and maintain our on\-premises data orchestration platform using the best\-in\-breed open\-source tools
* Create self\-service capabilities that empower teams across the organization to build and deploy data pipelines without extensive engineering support
* Implement robust data quality testing frameworks that ensure data integrity throughout the entire data lifecycle
* Establish data engineering best practices, including version control, CI/CD for data pipelines, and automated testing
* Collaborate with ML/AI teams to build scalable feature engineering pipelines that support both batch and real\-time data processing
* Develop reusable patterns for common data integration scenarios that can be leveraged across the organization
* Work closely with infrastructure teams to optimize our Kubernetes\-based data platform for performance and reliability
* Mentor junior engineers and advocate for engineering excellence in data practices
**Knowledge And Experience**
* 5\+ years of professional experience in data engineering, with at least 2 years working on enterprise\-scale data platforms
* Demonstrated experience with orchestrating workflows, performance optimization, and operational management
* Strong understanding of data transformation techniques, including experience with testing frameworks and deployment strategies
* Experience with stream processing frameworks and technologies
* Proficiency with SQL and Python for data transformation and pipeline development
* Familiarity with containerized application deployment
* Experience implementing data quality frameworks and automated testing for data pipelines
* Ability to work cross\-functionally with data scientists, ML engineers, and business stakeholders
**Preferred Knowledge And Experience**
* Experience with self\-hosted data orchestration platforms (rather than managed services)
* Background in implementing data contracts or schema governance
* Knowledge of ML/AI data pipeline requirements and feature engineering
* Experience leveraging AI tools (e.g., GitHub Copilot, Cursor, Claude Code) to debug, develop unit tests and generate test cases from requirements documents
* Experience with real\-time data processing and streaming architectures
* Familiarity with data modeling and warehouse design principles
* Prior experience in a technical leadership role
 Intercontinental Exchange, Inc. is an Equal Opportunity Employer. All qualified applicants will receive consideration for employment without regard to legally protected characteristics.</t>
        </is>
      </c>
    </row>
    <row r="51">
      <c r="A51" t="inlineStr">
        <is>
          <t>li-4372336592</t>
        </is>
      </c>
      <c r="B51" t="inlineStr">
        <is>
          <t>Data Engineer, Support</t>
        </is>
      </c>
      <c r="C51" t="inlineStr">
        <is>
          <t>RemoteHunter</t>
        </is>
      </c>
      <c r="D51" t="inlineStr">
        <is>
          <t>linkedin</t>
        </is>
      </c>
      <c r="E51" t="inlineStr"/>
      <c r="F51" t="inlineStr"/>
      <c r="G51" t="inlineStr"/>
      <c r="H51" t="inlineStr"/>
      <c r="I51" t="inlineStr">
        <is>
          <t>About the Opportunity:
 The organization provides an end\-to\-end ecosystem designed to support Programs of All\-Inclusive Care for the Elderly (PACE) in delivering care, improving financial performance, and ensuring compliance. It replaces outdated technology with solutions for care coordination, risk adjustment, population health, and utilization management. The role focuses on supporting operations and improving outcomes for dual\-eligible seniors with complex healthcare needs.
 Responsibilities:
 • Own and maintain a legacy population health analytics product, focusing on backend data pipelines and the full\-stack application
 • Operate the production analytics product, managing data ingestion, transformation, orchestration, and the user interface
 • Build, maintain, and debug backend data pipelines using Airflow, Python (Pandas, Selenium), Snowflake, dbt, and Airbyte, emphasizing data quality and performance
 • Manage full\-stack analytics application, including backend services (Node.js) and frontend components (React)
 • Address bug fixes, operational issues, and production incidents, understanding system behavior and failure modes
 • Investigate and resolve data quality issues, pipeline failures, and application defects with durable fixes
 • Improve legacy codebases balancing speed, correctness, and maintainability
 • Communicate clearly about system health, root causes, and technical tradeoffs with teams and stakeholders
 Requirements:
 • Bachelor’s degree in Computer Science, Information Systems, or related field, or equivalent experience
 • 1 to 4 years of experience as a Software Engineer or Data Engineer
 • Proficiency in Python and experience with production data pipelines or ETL/ELT workflows
 • Working knowledge of SQL and relational or analytical databases
 • Exposure to backend or full\-stack development, including JavaScript and Node.js
 • Familiarity with frontend technologies like React or willingness to learn and maintain existing frontend code
 • Basic knowledge of modern data tools such as Airflow, dbt, Snowflake, and Airbyte
 • Ability to debug legacy systems and handle complex technical issues
 • Strong ownership and accountability for production systems
 • Clear written and verbal communication skills
 Preferred:
 • Experience maintaining legacy systems in production
 • Exposure to healthcare data, analytics platforms, or regulated environments
 • Experience working in small teams or fast\-paced environments
 Benefits \&amp; Perks:
 • Competitive salary and benefits package including uncapped PTO and health insurance
 • Professional development and growth opportunities
 • Flexible remote work environment
 Compensation:
 • Salary range for this role is $95,000 to $120,000 annually
 • Ideal candidate expected near midpoint of range; final pay based on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2">
      <c r="A52" t="inlineStr">
        <is>
          <t>li-4372323646</t>
        </is>
      </c>
      <c r="B52" t="inlineStr">
        <is>
          <t>Data Engineer III</t>
        </is>
      </c>
      <c r="C52" t="inlineStr">
        <is>
          <t>RemoteHunter</t>
        </is>
      </c>
      <c r="D52" t="inlineStr">
        <is>
          <t>linkedin</t>
        </is>
      </c>
      <c r="E52" t="inlineStr"/>
      <c r="F52" t="inlineStr"/>
      <c r="G52" t="inlineStr"/>
      <c r="H52" t="inlineStr"/>
      <c r="I52"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3">
      <c r="A53" t="inlineStr">
        <is>
          <t>li-4253954225</t>
        </is>
      </c>
      <c r="B53" t="inlineStr">
        <is>
          <t>Principal Data Engineer</t>
        </is>
      </c>
      <c r="C53" t="inlineStr">
        <is>
          <t>Horizon Media</t>
        </is>
      </c>
      <c r="D53" t="inlineStr">
        <is>
          <t>linkedin</t>
        </is>
      </c>
      <c r="E53" t="inlineStr"/>
      <c r="F53" t="inlineStr"/>
      <c r="G53" t="inlineStr">
        <is>
          <t>New York, NY</t>
        </is>
      </c>
      <c r="H53" t="inlineStr"/>
      <c r="I53" t="inlineStr">
        <is>
          <t>**Job Description**
**Horizon Media** 
 , founded in 1989 by Bill Koenigsberg, is recognized as one of the most innovative marketing and advertising firms. We are headquartered in New York City, with offices in Los Angeles and Toronto. A leader in driving business solutions for marketers, Horizon is known for its highly personal approach to client service. Renowned for its incredible culture, Horizon is consistently named to all the prestigious annual Best Places to Work lists published by Fortune, AdAge, Crain’s New York Business and Los Angeles Business Journal. Together we are building a place of belonging.
 At Horizon, we understand the value that different perspectives can bring to our clients and culture, so we strive for an environment where our employees feel welcomed, safe and empowered. We value YOU and believe that your authentic voice and unique perspective allows us to create a more rewarding culture, and experience, together.
 Our simple recipe for success? We hire talented people (thinkers, doers, dreamers, makers), challenge them and give them every opportunity to grow.
**Overview**
 Horizon Media is seeking a hands\-on Principal Data Engineer to join our growing data engineering team. Reporting to the VP of Architecture \&amp; Data Engineering, you will play a critical role in building and maintaining robust, scalable, and efficient data pipelines that power analytics, reporting, and data\-driven decision\-making across the organization.
 This role is deeply embedded in our modern data stack—leveraging tools like Snowflake, dbt Cloud, Fivetran, and Python. You will work closely with analysts, data scientists, and engineering peers to ensure our data systems are fast, reliable, and ready to meet business demands.
**Key Responsibilities**
* Build and maintain end\-to\-end data pipelines using dbt, Snowflake, and Python
* Develop modular, testable, and well\-documented SQL\-based data models in dbt
* Integrate data from multiple sources using Fivetran and custom ingestion scripts
* Write and optimize complex SQL queries for performance and scalability
* Implement data quality checks, monitoring, and alerting to ensure pipeline reliability
* Collaborate with cross\-functional teams to understand data needs and deliver clean, well\-structured datasets
* Support production workflows through CI/CD pipelines and version control (Git)
* Troubleshoot pipeline failures and performance issues quickly and effectively
* Contribute to documentation and improve internal standards and tooling
**Qualifications**
* 6–10 years of hands\-on experience in data engineering or a similar role
* Strong experience working with Snowflake and dbt in production environments
* Proficient in SQL (advanced level) and Python for data transformation and automation
* Experience working with Fivetran or similar data ingestion platforms
* Familiarity with CI/CD tools and Git\-based development workflows
* Understanding of data modeling principles (e.g., dimensional models, star/snowflake schemas)
* Experience working in cloud environments, preferably AWS
* Strong attention to detail, with a passion for clean, maintainable data systems
* Excellent problem\-solving skills and a collaborative mindset
**Nice to Have**
* Experience with orchestration tools like Airflow or Dagster
* Familiarity with data testing frameworks (e.g., dbt tests, Great Expectations)
* Exposure to media, advertising, or marketing data
**Technical Skills**
* dbt Cloud, Snowflake, Fivetran
* SQL, Python
* Git, CI/CD workflows
* AWS (S3, Lambda, etc.)
 \#HM
*Horizon Media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**Salary Range**
 $180,000\.00 \- $230,000\.00
*A successful applicant’s actual base salary may vary based on factors such as individual’s skill sets, experience, training, education, licensure/certifications, and qualifications for the role.* 
*As an organization, we take an aptitude and competency\-based hiring approach.* 
*We provide a competitive total rewards package including a discretionary bonus and a variety of benefits including health insurance coverage, life and disability insurance, retirement savings plans, company paid holidays and unlimited paid time off (PTO), mental health and wellness resources, pet insurance, childcare resources, identity theft insurance, fertility assistance programs, and fitness reimbursement.*</t>
        </is>
      </c>
    </row>
    <row r="54">
      <c r="A54" t="inlineStr">
        <is>
          <t>li-4306147909</t>
        </is>
      </c>
      <c r="B54" t="inlineStr">
        <is>
          <t>Data Engineer</t>
        </is>
      </c>
      <c r="C54" t="inlineStr">
        <is>
          <t>EMW Staffing Solutions LLC</t>
        </is>
      </c>
      <c r="D54" t="inlineStr">
        <is>
          <t>linkedin</t>
        </is>
      </c>
      <c r="E54" t="inlineStr"/>
      <c r="F54" t="inlineStr"/>
      <c r="G54" t="inlineStr"/>
      <c r="H54" t="inlineStr"/>
      <c r="I54" t="inlineStr">
        <is>
          <t>Thank you for your response and possible interest. Please apply for further information:
 Term: Full Time
 Location: Around the Denver CO area\-\-Mainly but not a 100% remote role.
 $: 90\-140k/year, Neg.
 Vertical: Services
 Role: Data Engineer
 Level: Mid or Mid to Senior
 Dashboard: Data engineers with data visualization experience or a BI analyst that shows a strong understanding of data engineering are the ideal candidate. This position is for a consulting practice specializing in big data/cloud solutions. This is a technical role, not just a reporting one.
 Please note this group is unable to sponsor or take over sponsorship of an employment Visa at this time
 Customer is looking for an experienced Data Engineer Consultant to join the team. The ideal candidate will possess strong SQL development skills, expertise in data visualization, and solid knowledge of dimensional modeling. As a Data Engineer Consultant, you will work closely with their clients to design, develop, and optimize their data infrastructure, ensuring the delivery of high\-quality data solutions that meet business requirements.
 This role is a mainly remote one for candidates who are relatively close to the Metro Denver area. Intermittent/occasional onsite work in Denver should be expected.
 Please also note that the group is somewhat stack agnostic, so those with classically defined data engineering skills (ETL Modeling and Design, Data Pipelines, Relevant Builds, etc.) are encouraged to apply regardless of tech stack.
**Key Responsibilities:** 
 Data Infrastructure Development (ETL, SQL):
 Design, build, and maintain scalable data pipelines and ETL processes tailored to client needs.
 Develop and optimize complex SQL queries for data extraction, transformation, and loading.
 Diagnose and troubleshoot data\-related issues, providing quick and effective resolutions.
 Analyze data workflows and identify areas for improvement, recommending and implementing solutions to optimize performance.
 Utilize a proactive approach to foresee potential problems and address them before they impact clients' operations.
 Dimensional Modeling and Data Modeling:
 Design and implement dimensional models to support data warehousing and business intelligence initiatives.
 Design and implement different data modeling techniques to meet business’ data demands that align with data architecture design.
 Develop and maintain data schemas, ensuring data integrity and consistency for clients.
 Data Visualization:
 Create and maintain dashboards and reports using data visualization tools to provide actionable insights.
 Train clients on best practices for using data visualization tools to maximize value.
 Client Consultation:
 Engage with clients to understand their data needs and business objectives.
 Conduct detailed requirements analysis and provide recommendations for data infrastructure improvements.
 Work closely with client teams, data scientists, analysts, and other stakeholders to understand data needs and provide technical support.
 Communicate complex technical concepts to non\-technical stakeholders in a clear and concise manner.
**Qualifications:** 
 Bachelor’s degree in computer science, Information Technology, or a related field.
 3\+ years of experience in data engineering, data warehousing, or a similar role.
 Strong proficiency in SQL
 Proven experience with data visualization tools and theory.
 In\-depth knowledge of dimensional modeling concepts and techniques.
 Familiarity with ETL tools and processes.
 Strong problem\-solving skills and attention to detail
 Experience with cloud\-based data platforms
 Excellent communication and collaboration skills, with the ability to work effectively with clients.
 The desired salary range for this position is $80,000 \- $125,000 per year. This is a full time role with the practice.
 The customer works with their clients to transform their enterprise through the use of modern compute technologies and proven deployment processes providing cost effective durable solutions for the competitive world.
 If you are seeking new challenges, interested in staying up to date with the latest releases and can deliver uncompromised service to our customers, then we’d like to hear from you. If you are interested and meet the above qualifications, please submit your resume and cover letter indicating your interest to join our team.</t>
        </is>
      </c>
    </row>
    <row r="55">
      <c r="A55" t="inlineStr">
        <is>
          <t>li-4373513115</t>
        </is>
      </c>
      <c r="B55" t="inlineStr">
        <is>
          <t>Senior Data Engineer - REMOTE</t>
        </is>
      </c>
      <c r="C55" t="inlineStr">
        <is>
          <t>Jobgether</t>
        </is>
      </c>
      <c r="D55" t="inlineStr">
        <is>
          <t>linkedin</t>
        </is>
      </c>
      <c r="E55" t="inlineStr"/>
      <c r="F55" t="inlineStr"/>
      <c r="G55" t="inlineStr">
        <is>
          <t>Arkansas, United States</t>
        </is>
      </c>
      <c r="H55" t="inlineStr"/>
      <c r="I55"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6">
      <c r="A56" t="inlineStr">
        <is>
          <t>li-4373515111</t>
        </is>
      </c>
      <c r="B56" t="inlineStr">
        <is>
          <t>Senior Data Engineer - Remote</t>
        </is>
      </c>
      <c r="C56" t="inlineStr">
        <is>
          <t>Jobgether</t>
        </is>
      </c>
      <c r="D56" t="inlineStr">
        <is>
          <t>linkedin</t>
        </is>
      </c>
      <c r="E56" t="inlineStr"/>
      <c r="F56" t="inlineStr"/>
      <c r="G56" t="inlineStr">
        <is>
          <t>North Carolina, United States</t>
        </is>
      </c>
      <c r="H56" t="inlineStr"/>
      <c r="I56"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li-4372342122</t>
        </is>
      </c>
      <c r="B57" t="inlineStr">
        <is>
          <t>Senior Data Platform Engineer</t>
        </is>
      </c>
      <c r="C57" t="inlineStr">
        <is>
          <t>RemoteHunter</t>
        </is>
      </c>
      <c r="D57" t="inlineStr">
        <is>
          <t>linkedin</t>
        </is>
      </c>
      <c r="E57" t="inlineStr"/>
      <c r="F57" t="inlineStr"/>
      <c r="G57" t="inlineStr"/>
      <c r="H57" t="inlineStr"/>
      <c r="I57" t="inlineStr">
        <is>
          <t>About the Opportunity:
 Senior Data Platform Engineer to lead the evolution of a cloud\-based data ecosystem across multiple business units. This role combines hands\-on engineering with architectural guidance, governance leadership, and cross\-functional collaboration. The ideal candidate has deep experience with modern data engineering practices, including medallion architecture, and plays a key role in shaping the long\-term direction of the data platform.
 Responsibilities:
 • Lead design, development, and enhancement of a secure, high\-quality, analytics\-ready cloud data platform.
 • Champion medallion architecture (Bronze/Silver/Gold) for ingestion, refinement, and consumption layers.
 • Provide architectural guidance on data modeling, transformation patterns, and platform standards.
 • Define best practices for Bronze\-layer ingestion ensuring lineage, traceability, and auditability.
 • Establish Silver\-layer refinement standards for cleansing, harmonization, and schema consistency.
 • Oversee creation of Gold\-layer curated datasets optimized for reporting, analytics, and self\-service.
 • Develop and enforce data quality frameworks, validation rules, and monitoring processes across all layers.
 • Lead integration across diverse data sources including APIs, cloud applications, and on\-premise systems.
 • Mentor team members on data engineering patterns, performance optimization, and scalable design.
 • Troubleshoot complex issues across pipelines, cloud resources, and orchestration tools to minimize disruption.
 • Partner with Cyber Security, Compliance, and Legal teams to ensure adherence to data residency, privacy, and security requirements.
 • Define and maintain access control strategies including row\-level security and identity\-based permissions.
 • Promote governance practices supporting data stewardship, cataloging, and lifecycle management.
 • Manage platform updates, license renewals, and long\-term capacity planning.
 • Lead design and maintenance of CI/CD pipelines for consistent automated deployments.
 • Establish branching strategies, code review standards, and workflows promoting quality and collaboration.
 • Guide adoption of DevOps best practices to improve delivery speed, reliability, and observability.
 • Represent the data platform in change management forums and align platform strategy with organizational goals.
 • Partner with business analysts, product owners, and leadership to translate business needs into scalable data solutions.
 • Influence long\-term data strategy, platform roadmap, and technology adoption decisions.
 Requirements:
 • 10\+ years of hands\-on experience as a Data Engineer in Azure.
 • Expert knowledge of Microsoft 365 services and Azure.
 • Expert level proficiency in Dataverse.
 • Expert knowledge of data modeling and database concepts.
 • Expert proficiency in programming languages such as T\-SQL, Python, or R.
 • Expert understanding of cloud computing concepts.
 • Expert understanding of Application Lifecycle Management principles.
 • Expert experience designing and developing data warehouse solutions.
 • Experience with Microsoft Fabric Lakehouse and Data Warehouses.
 Benefits \&amp; Perks:
 • Employee Stock Ownership Plan (ESOP)
 • 401K plan
 • Medical, Dental, Vision, and Life Insurance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8">
      <c r="A58" t="inlineStr">
        <is>
          <t>li-4373509262</t>
        </is>
      </c>
      <c r="B58" t="inlineStr">
        <is>
          <t>Lead Cyber Data Engineer Remote</t>
        </is>
      </c>
      <c r="C58" t="inlineStr">
        <is>
          <t>Jobgether</t>
        </is>
      </c>
      <c r="D58" t="inlineStr">
        <is>
          <t>linkedin</t>
        </is>
      </c>
      <c r="E58" t="inlineStr"/>
      <c r="F58" t="inlineStr"/>
      <c r="G58" t="inlineStr">
        <is>
          <t>Illinois, United States</t>
        </is>
      </c>
      <c r="H58" t="inlineStr"/>
      <c r="I58"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9">
      <c r="A59" t="inlineStr">
        <is>
          <t>li-4372322694</t>
        </is>
      </c>
      <c r="B59" t="inlineStr">
        <is>
          <t>Staff Data Engineer</t>
        </is>
      </c>
      <c r="C59" t="inlineStr">
        <is>
          <t>RemoteHunter</t>
        </is>
      </c>
      <c r="D59" t="inlineStr">
        <is>
          <t>linkedin</t>
        </is>
      </c>
      <c r="E59" t="inlineStr"/>
      <c r="F59" t="inlineStr"/>
      <c r="G59" t="inlineStr"/>
      <c r="H59" t="inlineStr"/>
      <c r="I59" t="inlineStr">
        <is>
          <t>About the Opportunity:
 This role is for a Staff Data Platform Engineer responsible for designing, building, and owning core systems within a streaming data platform. The position involves hands\-on implementation of key platform capabilities and setting the technical direction for system evolution. The engineer will collaborate with product and engineering teams to translate needs into platform features and develop shared libraries, frameworks, and tooling for reliable data streaming.
 Responsibilities:
 • Design, build, and operate core platform systems including schema management, streaming frameworks, and event mesh systems
 • Define technical standards and patterns for the Streaming Data Platform team
 • Lead cross\-team design reviews for systems interacting with or dependent on the streaming platform
 • Drive platform reliability, performance, and cost strategy across streaming services
 • Design and implement shared libraries, frameworks, and tooling for stream consumers
 • Partner with product and engineering teams to translate requirements into platform capabilities
 • Produce technical proposals and documentation detailing design, trade\-offs, and long\-term implications
 • Serve as an escalation point for complex streaming issues and high\-impact incidents
 • Mentor and develop senior engineers through technical guidance and challenging assignments
 Requirements:
 • 8\+ years of experience in backend engineering, data engineering, or platform engineering
 • Deep expertise with Kafka including internals, operational tuning, and ecosystem tooling
 • Proven experience designing and operating multi\-service distributed systems
 • Experience setting technical direction for a team or domain
 • Strong written and verbal communication skills with the ability to present complex technical topics to diverse audiences
 • Experience with schema evolution, data contracts, or data governance patterns
 • Experience building self\-service platforms or developer\-facing tooling is a plus
 • Experience with infrastructure as code tools; Terraform experience is a plus
 • Experience developing in Go is a strong plus
 Compensation:
 • Salary range is $180,500 to $237,500, representing base pay only and excluding short\-term or long\-term incentive compensation
 • Base pay considers factors such as location, experience, qualifications, and training
 • Remote employees may be eligible for a home office setup stipend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0">
      <c r="A60" t="inlineStr">
        <is>
          <t>li-4373505416</t>
        </is>
      </c>
      <c r="B60" t="inlineStr">
        <is>
          <t>Senior Manager of Data Engineering - REMOTE</t>
        </is>
      </c>
      <c r="C60" t="inlineStr">
        <is>
          <t>Jobgether</t>
        </is>
      </c>
      <c r="D60" t="inlineStr">
        <is>
          <t>linkedin</t>
        </is>
      </c>
      <c r="E60" t="inlineStr"/>
      <c r="F60" t="inlineStr"/>
      <c r="G60" t="inlineStr">
        <is>
          <t>Kentucky, United States</t>
        </is>
      </c>
      <c r="H60" t="inlineStr"/>
      <c r="I60"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li-4373298832</t>
        </is>
      </c>
      <c r="B61" t="inlineStr">
        <is>
          <t>Senior Compliance Data Engineer - REMOTE</t>
        </is>
      </c>
      <c r="C61" t="inlineStr">
        <is>
          <t>Jobgether</t>
        </is>
      </c>
      <c r="D61" t="inlineStr">
        <is>
          <t>linkedin</t>
        </is>
      </c>
      <c r="E61" t="inlineStr"/>
      <c r="F61" t="inlineStr"/>
      <c r="G61" t="inlineStr">
        <is>
          <t>Delaware, United States</t>
        </is>
      </c>
      <c r="H61" t="inlineStr"/>
      <c r="I61" t="inlineStr">
        <is>
          <t>This position is posted by Jobgether on behalf of a partner company. We are currently looking for a Senior Data Engineer \- REMOTE. In this role, you will play a crucial part in supporting the Continuous Controls Monitoring (CCM) team through effective data management and quality oversight. Your expertise will ensure compliance\-related data is accurate, secure, and aligned with internal policies. You will leverage enterprise big data platforms to enhance compliance reporting and audits. The opportunity to innovate and contribute to cutting\-edge solutions is at the core of this role, allowing you to make a meaningful impact on data governance and compliance initiatives.
**Accountabilities**
* Support management of compliance\-related data assets, ensuring accuracy and consistency.
* Perform basic data access, validation, and analysis using Snowflake and Databricks.
* Assist in enforcing data governance and compliance\-related policies.
* Conduct data validation and quality checks to identify compliance issues.
* Prepare data for compliance audits and internal assessments.
* Maintain comprehensive data documentation.
* Support ingestion and validation of data from various sources.
* Utilize SQL to query and validate compliance\-related datasets.
* Collaborate with various teams to enhance compliance reporting.
* Escalate data quality or compliance risks and recommend actions.
* Keep updated on developments in data governance and compliance regulations.
**Requirements**
* 3\-5\+ years of experience in cybersecurity and data management.
* Working knowledge of Data Governance and Compliance Support.
* Proficient in Snowflake, Databricks, SQL, and API Data Integration.
* Excellent communication skills for technical and non\-technical stakeholders.
* Big 4 or audit background preferred.
* Executive\-level presentation abilities.
* Experience leading global and distributed teams.
* Demonstrated people leadership experience.
* High level of autonomy with the ability to lead initiatives.
* Ability to perform under high\-pressure environments.
* Strong attention to detail and decision\-making skills.
**Benefits**
* Opportunities for professional development and growth.
* Flexible remote work arrangements.
* Comprehensive health and wellness benefits.
* Collaborative and inclusive team culture.
* Access to modern data tools and platforms.
* Support for continued education and certifications.
* Competitive compensation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2">
      <c r="A62" t="inlineStr">
        <is>
          <t>li-4373527331</t>
        </is>
      </c>
      <c r="B62" t="inlineStr">
        <is>
          <t>Remote Junior Data Engineer</t>
        </is>
      </c>
      <c r="C62" t="inlineStr">
        <is>
          <t>Lensa</t>
        </is>
      </c>
      <c r="D62" t="inlineStr">
        <is>
          <t>linkedin</t>
        </is>
      </c>
      <c r="E62">
        <f>HYPERLINK("https://www.linkedin.com/jobs/view/4373527331", "https://www.linkedin.com/jobs/view/4373527331")</f>
        <v/>
      </c>
      <c r="F62">
        <f>HYPERLINK("https://lensa.com/cgw/48210246bbc24e238b94abccd5bdd66ftjo1?jpsi=directemployers&amp;publisher_preference=easier_apply&amp;utm_campaign=Computer%20Occupations&amp;utm_medium=slot&amp;utm_source=linkedin&amp;utm_term=jse&amp;urlHash=tFmM", "https://lensa.com/cgw/48210246bbc24e238b94abccd5bdd66ftjo1?jpsi=directemployers&amp;publisher_preference=easier_apply&amp;utm_campaign=Computer%20Occupations&amp;utm_medium=slot&amp;utm_source=linkedin&amp;utm_term=jse&amp;urlHash=tFmM")</f>
        <v/>
      </c>
      <c r="G62" t="inlineStr">
        <is>
          <t>Woonsocket, RI</t>
        </is>
      </c>
      <c r="H62" t="inlineStr"/>
      <c r="I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hiring a Data Engineer to contribute to ongoing operational data workflows for a major healthcare partner. The position focuses on day‑to‑day processing and transformation of client data, with most tasks being consistent and routine. Occasional data issues may arise that require analytical troubleshooting. Candidates should bring 2\+ years of data engineering experience and strong SQL expertise (SSIS, SQL Server), along with exceptional attention to detail and the ability to follow structured processes.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 years of data engineering experience
* Hands\-on experience with SQL technologies, including SSIS and SQL Server
* Strong understanding of SQL concepts and best practices
* Demonstrates strong diligence and attention to detail
* Follows instructions accurately and consistently
* Experience working with client data ingestion processes and handling healthcare PHI
 If you have questions about this posting, please contact support@lensa.com</t>
        </is>
      </c>
    </row>
    <row r="63">
      <c r="A63" t="inlineStr">
        <is>
          <t>li-4373512776</t>
        </is>
      </c>
      <c r="B63" t="inlineStr">
        <is>
          <t>Junior Data Engineer</t>
        </is>
      </c>
      <c r="C63" t="inlineStr">
        <is>
          <t>Lensa</t>
        </is>
      </c>
      <c r="D63" t="inlineStr">
        <is>
          <t>linkedin</t>
        </is>
      </c>
      <c r="E63">
        <f>HYPERLINK("https://www.linkedin.com/jobs/view/4373512776", "https://www.linkedin.com/jobs/view/4373512776")</f>
        <v/>
      </c>
      <c r="F63" t="inlineStr"/>
      <c r="G63" t="inlineStr">
        <is>
          <t>Chicago, IL</t>
        </is>
      </c>
      <c r="H63" t="inlineStr"/>
      <c r="I6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This specialty Insurance company is looking for a Junior Data Engineer to join their Enterprise Data Hub (EDH) team. The role is highly hands\-on, focusing on coding in PySpark, building and optimizing Databricks\-based frameworks, and developing scalable data pipelines. You will work with the data engineering team, participate in daily status calls, and collaborate with cross\-functional teams to ingest, transform, and expose data across all systems within the organization.
 Key responsibilities include optimizing Databricks, implementing job orchestration and automation using Azure tools, and building reusable frameworks for ingestion and transformation. You will also create notebooks, contribute to governance models, and ensure best practices in coding and deployment.
 An excellent candidate will have deep technical expertise in Databricks and Azure, thrive in a hands\-on coding environment, and bring a strong engineering mindset with leadership capabilities. Experience with Unity Catalog, Delta Lake, and MLflow will set you apart.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3\-5\+ years of experience designing \&amp; developing data pipelines with Databricks \&amp; Apache Spark
   ○ Hands\-on coding with PySpark/Spark SQL
* Job orchestration \&amp; automation using Azure Data Factory, Azure Functions, and Azure DevOps
   ○ End\-to\-end workflow: scheduling, triggers, monitoring, error handling, CI/CD deployment
* Experience with Unity Catalog
* Strong Azure ecosystem experience: Data Lake, Data Factory, Synapse, Functions
 Excellent problem\-solving and communication skills
* Familiarity with data governance and security best practices
 Exposure to Agile methodologies and DevOps practices
 If you have questions about this posting, please contact support@lensa.com</t>
        </is>
      </c>
    </row>
    <row r="64">
      <c r="A64" t="inlineStr">
        <is>
          <t>li-4373524377</t>
        </is>
      </c>
      <c r="B64" t="inlineStr">
        <is>
          <t>Junior Data Engineer (India)</t>
        </is>
      </c>
      <c r="C64" t="inlineStr">
        <is>
          <t>Lensa</t>
        </is>
      </c>
      <c r="D64" t="inlineStr">
        <is>
          <t>linkedin</t>
        </is>
      </c>
      <c r="E64">
        <f>HYPERLINK("https://www.linkedin.com/jobs/view/4373524377", "https://www.linkedin.com/jobs/view/4373524377")</f>
        <v/>
      </c>
      <c r="F64" t="inlineStr"/>
      <c r="G64" t="inlineStr">
        <is>
          <t>Irvine, CA</t>
        </is>
      </c>
      <c r="H64" t="inlineStr"/>
      <c r="I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We are looking for a Junior Data Engineer with 1\-3 years of experience who is eager to learn and grow in cloudbased data engineering. The candidate should have basic exposure to GCP services, data workflows, or Airflow\-based orchestration. A strong willingness to take responsibility, learn new tools, and adapt quickly is essential.
 Key Responsibilities
* Support in building and maintaining data pipelines and workflow processes.
* Work with data related GCP services such as Cloud Run, Cloud Functions, and Composer.
* Take responsibility for assigned tasks and ensure timely completion.
* Learn and adopt best practices for performance, reliability, and code quality.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1\-3 years of experience in data engineering.
* Good understanding of Python and SQL (mandatory).
* Basic exposure to cloud platforms (GCP preferred).
* Strong willingness to learn new tools and cloud technologies.
* Good problem solving and communication skills.
* Understanding of ETL/ELT concepts or workflow tools like Airflow.
 Good to have any transactional database /DWH such as BigQuery or other cloud\-based data services.
 If you have questions about this posting, please contact support@lensa.com</t>
        </is>
      </c>
    </row>
    <row r="65">
      <c r="A65" t="inlineStr">
        <is>
          <t>li-4373514415</t>
        </is>
      </c>
      <c r="B65" t="inlineStr">
        <is>
          <t>Databricks Data Engineer Lead</t>
        </is>
      </c>
      <c r="C65" t="inlineStr">
        <is>
          <t>Paves Technologies</t>
        </is>
      </c>
      <c r="D65" t="inlineStr">
        <is>
          <t>linkedin</t>
        </is>
      </c>
      <c r="E65">
        <f>HYPERLINK("https://www.linkedin.com/jobs/view/4373514415", "https://www.linkedin.com/jobs/view/4373514415")</f>
        <v/>
      </c>
      <c r="F65" t="inlineStr"/>
      <c r="G65" t="inlineStr">
        <is>
          <t>Atlanta, GA</t>
        </is>
      </c>
      <c r="H65" t="inlineStr"/>
      <c r="I65" t="inlineStr">
        <is>
          <t>**We Are Hiring: Databricks Data Engineer – Lead Level (Director Equivalent Role)** 
**Location:** 
 Atlanta, USA
**Work Model:** 
 Hybrid –
 **3 to 4 days in office per week (mandatory)** 
**Eligibility:** 
**US Citizens and Green Card (GC) holders only** 
 Paves Technologies is seeking a highly experienced
 **Databricks Data Engineer – Lead Level (Director Equivalent Role)** 
 to drive enterprise\-scale data architecture, governance, and advanced analytics initiatives on Azure Cloud. This is a senior leadership role requiring deep Databricks expertise, strong data modeling capabilities, and hands\-on architectural ownership across PySpark based distributed systems.
**Role Overview** 
 The ideal candidate will bring
 **10\-12 \+ years of overall data engineering experience** 
 , including strong hands\-on expertise with
 **Azure Databricks, PySpark, Python, and Azure Cloud data services** 
 . You will define architecture standards, lead modernization initiatives, and implement scalable
 **Medallion Architecture (Bronze, Silver, Gold layers)** 
 to support enterprise analytics and business intelligence.
**Key Responsibilities** 
* Lead end\-to\-end architecture and implementation of enterprise\-scale data platforms using
 **Azure Databricks on Azure Cloud** 
 .
* Design and implement
 **Medallion Architecture (Bronze, Silver, Gold layers)** 
 using Delta Lake best practices.
* Build scalable
 **PySpark\-based ETL/ELT pipelines** 
 across ingestion (Bronze), transformation (Silver), and curated analytics (Gold) layers.
* Develop advanced data transformations using
 **Python, PySpark, Spark SQL, and advanced SQL constructs** 
 .
* Architect robust
 **data models (dimensional, star schema, normalized models)** 
 aligned to analytics and reporting needs.
* Drive adoption of advanced Databricks capabilities including
 **Unity Catalog, Declarative Pipelines, Delta Lake optimization, and governance frameworks** 
 .
* Establish best practices for
 **partitioning strategies, file compaction, Z\-ordering, caching, broadcast joins, and query optimization** 
 .
* Define and standardize reusable
 **Azure Cloud data platform tools, templates, CI/CD frameworks, and infrastructure automation** 
 .
* Work across Azure ecosystem components such as
 **Azure Data Factory (ADF), Azure Data Lake Storage (ADLS), Azure DevOps, networking, and security services** 
 .
* Ensure high standards for
 **data quality, RBAC, lineage tracking, governance, and production stability** 
 .
* Provide architectural leadership and mentorship to data engineering teams.
**Required Experience \&amp; Skills** 
* **10–12\+ years of overall experience** 
 in Data Engineering.
* Minimum
 **3\+ years of strong hands\-on Databricks experience** 
 .
* Mandatory Certifications:
* **Databricks Certified Data Engineer Associate**
* **Databricks Certified Data Engineer Professional**
* Deep hands\-on expertise in
 **PySpark, Python programming, and distributed Spark processing** 
 .
* Strong experience designing and implementing
 **Medallion Architecture (Bronze/Silver/Gold layers)** 
 .
* Advanced knowledge of
 **Data Modeling, Data Analysis, and complex SQL (window functions, CTEs, execution plan tuning)** 
 .
* Strong understanding of
 **Delta Lake architecture, schema evolution, partition strategies, performance optimization, and data governance** 
 .
* Well\-versed in enterprise
 **Azure Cloud data platforms, reusable accelerators, CI/CD templates, and governance standards** 
 .
* Proven experience architecting scalable, secure, cloud\-native data solutions.
* Strong leadership, stakeholder management, and executive communication skills.
**How to Apply** 
 If you are interested in this position and have the required skills, please send across your resume at:
**contact@pavestechnologies.com** 
 ;
 **hr@pavestechnologies.com** 
**;** 
**Rakesh.k@pavestechnologies.com**</t>
        </is>
      </c>
    </row>
    <row r="66">
      <c r="A66" t="inlineStr">
        <is>
          <t>li-4373512837</t>
        </is>
      </c>
      <c r="B66" t="inlineStr">
        <is>
          <t>Jr. Data Engineer</t>
        </is>
      </c>
      <c r="C66" t="inlineStr">
        <is>
          <t>Lensa</t>
        </is>
      </c>
      <c r="D66" t="inlineStr">
        <is>
          <t>linkedin</t>
        </is>
      </c>
      <c r="E66">
        <f>HYPERLINK("https://www.linkedin.com/jobs/view/4373512837", "https://www.linkedin.com/jobs/view/4373512837")</f>
        <v/>
      </c>
      <c r="F66" t="inlineStr"/>
      <c r="G66" t="inlineStr">
        <is>
          <t>Washington, DC</t>
        </is>
      </c>
      <c r="H66" t="inlineStr"/>
      <c r="I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We are looking for a Jr. Data Engineer. The focus of this role is supporting the modernization of legacy Informatica\-based ETL pipelines into Databricks using PySpark and Spark SQL.
 This position supports data migration and modernization efforts within a data\-heavy, potentially regulated environment. Candidates will work closely with senior engineers, data architects, and QA teams during iterative migration cycles.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2\-3 years of experience in data engineering, ETL development, or data integration.
**Working Knowledge Of Informatica PowerCenter, Including**
 Mappings, workflows, and sessions
 Common transformations (Source Qualifier, Expression, Lookup, Joiner, Aggregator, Router, Filter)
**Basic To Intermediate Experience With Databricks, Including**
 PySpark
 Spark SQL
 Notebooks and jobs
 Strong SQL fundamentals, including joins, aggregations, and window functions.
 Solid understanding of ETL / ELT concepts, data warehousing principles, and batch processing. Prior experience in regulated or data\-heavy environments (finance, government, healthcare).
 Exposure to Informatica\-to\-Databricks migrations or similar data modernization efforts.
 Familiarity with Delta Lake and medallion architecture (Bronze / Silver / Gold).
 Basic understanding of AWS, including S3 and IAM concepts.
 If you have questions about this posting, please contact support@lensa.com</t>
        </is>
      </c>
    </row>
    <row r="67">
      <c r="A67" t="inlineStr">
        <is>
          <t>li-4373510533</t>
        </is>
      </c>
      <c r="B67" t="inlineStr">
        <is>
          <t>Sr. Data Engineer | Up to $85/hr</t>
        </is>
      </c>
      <c r="C67" t="inlineStr">
        <is>
          <t>Mercor</t>
        </is>
      </c>
      <c r="D67" t="inlineStr">
        <is>
          <t>linkedin</t>
        </is>
      </c>
      <c r="E67">
        <f>HYPERLINK("https://www.linkedin.com/jobs/view/4373510533", "https://www.linkedin.com/jobs/view/4373510533")</f>
        <v/>
      </c>
      <c r="F67">
        <f>HYPERLINK("https://work.mercor.com/jobs/list_AAABnDPXiAg8zQlf-qNJr4yp?utm_source=linkedin&amp;utm_medium=job_slot&amp;utm_campaign=auto&amp;utm_content=list_AAABnDPXiAg8zQlf-qNJr4yp&amp;utm_term=sr-data-engineer-up-to-85hr-us-f08cd5&amp;urlHash=QD7l", "https://work.mercor.com/jobs/list_AAABnDPXiAg8zQlf-qNJr4yp?utm_source=linkedin&amp;utm_medium=job_slot&amp;utm_campaign=auto&amp;utm_content=list_AAABnDPXiAg8zQlf-qNJr4yp&amp;utm_term=sr-data-engineer-up-to-85hr-us-f08cd5&amp;urlHash=QD7l")</f>
        <v/>
      </c>
      <c r="G67" t="inlineStr"/>
      <c r="H67" t="inlineStr"/>
      <c r="I67" t="inlineStr">
        <is>
          <t>**About The Job**
**Mercor** 
 connects elite creative and technical talent with leading AI research labs. Headquartered in San Francisco, our investors include
 **Benchmark** 
 ,
 **General Catalyst** 
 ,
 **Peter Thiel** 
 ,
 **Adam D'Angelo** 
 ,
 **Larry Summers** 
 , and
 **Jack Dorsey** 
 .
**Position:** 
 Data Engineer
**Type:** 
**Contract**
**Compensation:** 
**$70–$85/hour**
**Location:** 
**Onsite**
**Commitment:** 
**Full\-time**
**Role Responsibilities**
* Manage data labeling workflows, including data enqueueing, UI for labeling, and extracting labels into datasets for the modeling team.
* Maintain large\-scale, efficient data processing pipelines for billions of images using machine learning models and LLMs.
* Ensure governance of datasets, focusing on access, retention, and privacy compliance.
* Collaborate with engineers to identify model gaps and prepare necessary data for model training iterations.
* Scale validated evaluation protocols with product development teams, including auditing and correcting human\-labeled data.
* Work independently and manage time effectively to improve AI model performance.
**Qualifications**
**Must\-Have**
* Basic knowledge of Python and SQL.
* Basic knowledge of computer vision and generative models.
* Basic knowledge with data ETL workflows \&amp; pipelines.
* Associate's degree or equivalent training in Computer Science, Electronic Engineering, Physics, Bioinformatics, or other STEM subjects.
* Verbal and written communication skills, problem\-solving skills, and interpersonal skills.
* Attention to detail and aptitude for experimental investigations.
**Preferred**
* Prior industrial experience in software development and testing.
* Research experience in human\-computer interaction.
* Previous experience at a major technology company.
**Compensation \&amp; Legal**
* Hourly contractor
* Pursuant to the California Fair Chance Act and related ordinances,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68">
      <c r="A68" t="inlineStr">
        <is>
          <t>li-4373287695</t>
        </is>
      </c>
      <c r="B68" t="inlineStr">
        <is>
          <t>Data Engineer</t>
        </is>
      </c>
      <c r="C68" t="inlineStr">
        <is>
          <t>Wiraa</t>
        </is>
      </c>
      <c r="D68" t="inlineStr">
        <is>
          <t>linkedin</t>
        </is>
      </c>
      <c r="E68">
        <f>HYPERLINK("https://www.linkedin.com/jobs/view/4373287695", "https://www.linkedin.com/jobs/view/4373287695")</f>
        <v/>
      </c>
      <c r="F68" t="inlineStr"/>
      <c r="G68" t="inlineStr"/>
      <c r="H68" t="inlineStr"/>
      <c r="I68" t="inlineStr">
        <is>
          <t>**About The Company**
 First Citizens Bank is a leading financial services provider committed to delivering exceptional banking solutions to its clients. With a strong focus on innovation, security, and customer satisfaction, the bank strives to create a seamless banking experience through advanced technology and dedicated service. Recognized for its stability and growth, First Citizens Bank offers a collaborative work environment that fosters professional development and career advancement. The organization values integrity, inclusivity, and excellence, making it an ideal place for professionals seeking to make a meaningful impact in the financial industry.
**About The Role**
 We are seeking a highly skilled Data Engineer to join our remote team, primarily based in North Carolina, Texas, or Arizona. In this role, you will be responsible for designing, building, and maintaining secure, efficient, and compliant data pipelines on the Snowflake platform. Your expertise will enable the organization to transform raw data into meaningful insights through robust data modeling, orchestration, and governance practices. You will work closely with cross\-functional teams to develop scalable data ingestion frameworks, optimize Snowflake objects, and implement data security and governance policies that meet regulatory standards. This position offers an exciting opportunity to influence the company's data architecture, enhance operational efficiency, and ensure data quality and compliance across enterprise systems.
**Qualifications**
* Bachelor’s Degree in Computer Science, Data Engineering, or related field with a minimum of 6 years of relevant experience, or
* High School Diploma or GED with at least 10 years of extensive experience in advanced data engineering, enterprise architecture, or project leadership.
* Hands\-on experience with Snowflake platform, including database/schema design, security, networking, and governance.
* Proficiency in data ingestion frameworks and ETL/ELT tools such as Qlik, Glue, and Snowpipe.
* Expertise in data modeling techniques including Data Vault 2\.0, dimensional modeling, and implementing consumption layers.
* Strong knowledge of orchestration tools like Airflow (MWAA) and dbt Cloud for scheduling and workflow management.
* Experience with infrastructure\-as\-code practices using Terraform and HashiCorp tools.
* Familiarity with data security policies, role\-based access control, network security, and compliance standards such as SOX, GLBA, and PCI.
* Proficiency in SQL, Python, and AWS services including S3, IAM, and CloudWatch.
* Understanding of data observability, quality testing, anomaly detection, and monitoring tools.
* Excellent problem\-solving skills, attention to detail, and ability to work independently in a remote setting.
**Responsibilities**
* Design and implement scalable, reliable data ingestion frameworks to support enterprise analytics needs.
* Develop and maintain Snowflake objects such as tables, streams, tasks, and materialized views, optimizing for performance and cost\-efficiency.
* Create and test Data Vault 2\.0 models, ensuring robust lineage, relationships, and data freshness.
* Build and operate orchestration workflows using Airflow and dbt Cloud, ensuring idempotency, rerunnability, and lineage tracking.
* Enforce security policies including RBAC, ABAC, network rules, data masking, and row\-level security to safeguard sensitive information.
* Operationalize audit\-ready controls, including change management, approvals, and evidence documentation to meet compliance standards.
* Implement infrastructure\-as\-code using Terraform, managing code promotion through CI/CD pipelines with Git.
* Monitor data pipelines and Snowflake usage with tools like Snowflake ACCOUNT\_USAGE and INFORMATION\_SCHEMA, generating alerts for anomalies.
* Optimize resource allocation, warehouse sizing, and query performance to balance cost and operational efficiency.
* Build and maintain data quality and observability frameworks, incorporating tests, contract checks, and anomaly detection.
* Ensure compliance with internal and external audit requirements, maintaining detailed runbooks, change logs, and control documentation.
* Collaborate with cross\-functional teams to improve data architecture, security, and operational processes continuously.
**Benefits**
* Competitive salary packages aligned with industry standards.
* Comprehensive health, dental, and vision insurance plans.
* Retirement savings options including 401(k) plans with company matching.
* Paid time off, holidays, and flexible work arrangements to promote work\-life balance.
* Professional development opportunities and ongoing training programs.
* Access to cutting\-edge technology and tools to support your work.
* Inclusive and diverse work environment fostering collaboration and innovation.
 Equal Opportunity
 First Citizens Bank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69">
      <c r="A69" t="inlineStr">
        <is>
          <t>li-4373507527</t>
        </is>
      </c>
      <c r="B69" t="inlineStr">
        <is>
          <t>Data Engineer</t>
        </is>
      </c>
      <c r="C69" t="inlineStr">
        <is>
          <t>Medical Mutual</t>
        </is>
      </c>
      <c r="D69" t="inlineStr">
        <is>
          <t>linkedin</t>
        </is>
      </c>
      <c r="E69">
        <f>HYPERLINK("https://www.linkedin.com/jobs/view/4373507527", "https://www.linkedin.com/jobs/view/4373507527")</f>
        <v/>
      </c>
      <c r="F69">
        <f>HYPERLINK("https://medmutual.rec.pro.ukg.net/MED1500MMOO/JobBoard/ef821115-21e9-4a27-9b98-50f8e2f05f30/OpportunityDetail?opportunityId=57d3c887-8a58-4f6d-a11e-383627f990e1&amp;source=LinkedIn&amp;urlHash=Fvsm", "https://medmutual.rec.pro.ukg.net/MED1500MMOO/JobBoard/ef821115-21e9-4a27-9b98-50f8e2f05f30/OpportunityDetail?opportunityId=57d3c887-8a58-4f6d-a11e-383627f990e1&amp;source=LinkedIn&amp;urlHash=Fvsm")</f>
        <v/>
      </c>
      <c r="G69" t="inlineStr">
        <is>
          <t>Cleveland, OH</t>
        </is>
      </c>
      <c r="H69" t="inlineStr"/>
      <c r="I69" t="inlineStr">
        <is>
          <t>Founded in 1934, Medical Mutual is the oldest and one of the largest health insurance companies based in Ohio. We provide peace of mind to more than 1\.2 million members through our high\-quality health, life, disability, dental, vision and indemnity plans. We offer fully insured and self\-funded group coverage, including stop loss, as well as Medicare Advantage, Medicare Supplement, and individual plans.
****Job Summary:****
**Data Engineer I**
 Software developer for the design and development of the company’s data lake, data warehouse, and data marts, and development of related business intelligence dashboards and visualizations. Job duties involve profiling data, developing data transformation jobs and processes, measuring data quality, and designing data warehouse data models, evaluating usability and testing data models, and developing business intelligence visualizations .
****Responsibilities:****
* Develop data pipelines to integrate and transform data for analysis.
* Support other data users and enable applied use of data to solve business problems.
* Business meetings to understand data and business needs, socialize knowledge of data products and insights, and generate consensus.
* Data profiling, data documentation, measuring and enforcing data quality.
* Developing data models to represent information.
* Performs other duties as assigned.
* Learns new technical concepts and software languages as needed.
****Qualifications:****
**Education and Experience:**
* Bachelors degree in Computer Science, Computer Information Systems, business degree with focus on data transformation or analysis, or equivalent work experience.
****Professional Certification(s):****
* N/A
****Technical Skills And Knowledge:****
* Basic understanding of programming design and coding techniques.
* Familiarity with systems development life cycle.
* Understanding of database technologies and query semantics.
* Experience with public cloud database technology (e.g. RedShift, SnowFlake, DataBricks, Azure Synapse, BigQuery).
* Experience programming in ETL or ELT technology.
* Understanding of data warehouse data model theory and techniques.
* Experience with Python programming language.
**Data Engineer II**
****Job Summary:****
 Software developer for the design and development of the company’s data lake, data warehouse, and data marts, and support for applied use of data for business insights. Job duties involve profiling data, developing data transformation jobs and processes, measuring data quality, and designing data warehouse data models, evaluating usability and testing data models, and developing processes for applied use of enterprise data (data analysis, business intelligence, reporting).
* Responsibilities:
+ Developing and sequencing jobs and processes to transform data into data lake and data warehouse
+ Support analytic projects, data extracts, and other work to apply data in the warehouse, test and prove capabilities, evaluate usability, and perform demonstrations to other analysts for how to use data to meet objectives
+ Business meetings to understand data, capture agreement on business rules, understand analyst and stakeholder objectives, and support usage of data to solve business problems.
+ Data profiling, data documentation, and measuring data quality with manual verification and development of automated data quality tests
+ Developing data models to represent data
+ Performs other duties as assigned
+ Learns new technical concepts and software languages as needed
****Technical Skills And Knowledge:****
* Two or more years professional experience developing software to solve business problems
* Experience with data engineering system design and software implementation
* Experience with all parts of the systems development life cycle
* Experience with database technologies and query semantics
* Experience with public cloud database technology (e.g. RedShift, SnowFlake, DataBricks, Azure Synapse, BigQuery)
* Experience programming in ETL or ELT technology
* Understanding of data warehouse data model theory and techniques
* Experience with Python programming language
**Data Engineer III**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****Responsibilities:****
* Develop data pipelines to integrate and transform data for analysis
* Support other data users and enable applied use of data to solve business problems
* Business meetings to understand data and business needs, socialize knowledge of data products and insights, and generate consensus
* Data profiling, data documentation, measuring and enforcing data quality
* Developing data models to represent information
* Performs other duties as assigned.
* Learns new technical concepts and software languages as needed.
****Education And Experience:****
* Bachelors degree in Computer Science, Computer Information Systems, business degree with focus on data transformation or analysis, or equivalent work experience
****Technical Skills And Knowledge:****
* Four or more years professional experience developing software to solve business problems
* Three or more years experience with data engineering system design and software implementation
* Experience with all parts of the systems development life cycle
* Experience with database technologies and query semantics
* Experience with public cloud database technology (e.g. RedShift, SnowFlake, DataBricks, Azure Synapse, BigQuery)
* Experience programming in ETL or ELT technology
* Understanding of data warehouse data model theory and techniques
* Experience with Python programming language
**Data Engineer IV**
****Job Summary:****
 Data engineer responsible for the design and development of data integration pipelines. Build data solutions for business problems and support the applied use of data to enable business insights and action. Job duties involve profiling data, developing data transformation pipelines, measuring data quality, designing data models, and supporting applied use of data to solve problems (exploratory analysis, business intelligence/dashboards, reporting, alerts).
****Technical Skills And Knowledge:****
* Seven or more years professional experience developing software to solve business problems
* Five or more years experience with data engineering system design and software implementation
* Proficient with all parts of the systems development life cycle
* Experience with database technologies and query semantics
* Experience leading and coordinating technical initiatives
* Experience with public cloud database technology (e.g. RedShift, SnowFlake, DataBricks, Azure Synapse, BigQuery)
* Experience programming in ETL or ELT technology
* Understanding of data warehouse data model theory and techniques
* Experience with Python programming language</t>
        </is>
      </c>
    </row>
    <row r="70">
      <c r="A70" t="inlineStr">
        <is>
          <t>li-4373509897</t>
        </is>
      </c>
      <c r="B70" t="inlineStr">
        <is>
          <t>Remote Healthcare Cloud/Data Engineer</t>
        </is>
      </c>
      <c r="C70" t="inlineStr">
        <is>
          <t>Lensa</t>
        </is>
      </c>
      <c r="D70" t="inlineStr">
        <is>
          <t>linkedin</t>
        </is>
      </c>
      <c r="E70">
        <f>HYPERLINK("https://www.linkedin.com/jobs/view/4373509897", "https://www.linkedin.com/jobs/view/4373509897")</f>
        <v/>
      </c>
      <c r="F70" t="inlineStr"/>
      <c r="G70" t="inlineStr">
        <is>
          <t>Hartford, CT</t>
        </is>
      </c>
      <c r="H70" t="inlineStr"/>
      <c r="I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Support and lead data migration from Oracle to GCP of EPIC Clarity production healthcare data
 Host ETL operations within cloud database while simultaneously moving Clarity data to the cloud
 Overcome challenges and articulate best practices to migration operations, partnering with architects to create roadmap
 Maintain connectivity across databases and into cloud environments
 Raise thoughtful discussion around prioritization and protection of data throughout migration
 Work with clinical leadership to migrate data in timely and efficiency\-based manner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5\-7\+ years of cloud data migration experience, ideally from Oracle to GCP/Azure, as a Cloud Engineer or Data Engineer
 EPIC Clarity production data migration experience
 Extensive public cloud experience, Azure or GCP
 Legacy Oracle experience, familiar with on\-premise to cloud migrations Oracle DBA background
 EPIC Clarity certifications
 If you have questions about this posting, please contact support@lensa.com</t>
        </is>
      </c>
    </row>
    <row r="71">
      <c r="A71" t="inlineStr">
        <is>
          <t>li-4372360145</t>
        </is>
      </c>
      <c r="B71" t="inlineStr">
        <is>
          <t>Data Engineer</t>
        </is>
      </c>
      <c r="C71" t="inlineStr">
        <is>
          <t>Jobs via Dice</t>
        </is>
      </c>
      <c r="D71" t="inlineStr">
        <is>
          <t>linkedin</t>
        </is>
      </c>
      <c r="E71">
        <f>HYPERLINK("https://www.linkedin.com/jobs/view/4372360145", "https://www.linkedin.com/jobs/view/4372360145")</f>
        <v/>
      </c>
      <c r="F71">
        <f>HYPERLINK("https://click.appcast.io/t/EtTzDMxAH3wpMmod1CpG_QW904Bze2w2hO5M7uO_w1I=&amp;urlHash=TB0l", "https://click.appcast.io/t/EtTzDMxAH3wpMmod1CpG_QW904Bze2w2hO5M7uO_w1I=&amp;urlHash=TB0l")</f>
        <v/>
      </c>
      <c r="G71" t="inlineStr"/>
      <c r="H71" t="inlineStr"/>
      <c r="I71" t="inlineStr">
        <is>
          <t>**Job Family:**
 Data Science \&amp; Analysis
**Travel Required:**
 None
**Clearance Required:**
 Ability to Obtain Secret
**What You Will Do:**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scalable data pipelines and interactive dashboards than enable federal clients to achieve mission outcomes, operational efficiency, and digital transformation. This is an exciting opportunity for someone who thrives at the intersection of data engineering, cloud platforms, and public sector modernization. The Data Engineer will collaborate with cross\-functional teams and client stakeholders to modernize legacy environments, implement scalable data pipelines, and support advanced analytics initiatives for our federal client.
**Client Leadership \&amp; Delivery**
* Collaborate with military clients to understand data architecture, data pipeline and reporting requirements.
* Lead the development of ETL pipelines and dashboard integrations using Databricks and Microsoft Power Platform tools (i.e. Power BI).
* Ensure delivery excellence and measurable outcomes across data migration and visualization efforts.
* Ensure solutions support auditability, internal controls, and statutory compliance requirements. This includes strict financial data controls.
**Solution Development \&amp; Innovation**
* Design and implement scalable ETL/ELT pipelines using Databricks, SQL, and Python.
* Develop and optimize dashboards aligned with federal reporting standards, as needed.
* Apply AI/ML tools to automate metadata extraction, clustering, and dashboard scripting.
* Optimize data pipelines for performance with large data sets for both analytics and transactional load use cases (e.g., OLAP, OLTP). Enable downstream BI via clean data.
* Ensure compliance with federal data governance, security, and performance standards.
* Design and document enterprise data models, metadata strategies, data lineage frameworks, and other relevant documentation, as needed.
* Align data from multiple discrete data sets into a cohesive, interoperable architecture, identifying opportunities for linkages between datasets, normalization, field standardization, etc.
* Assist with cleanup of existing data and models, including use of ETL.
**Practice \&amp; Team Leadership**
* Work closely with data architects, analysts, and cloud engineers to deliver integrated solutions.
* Support documentation, testing, and deployment of data products.
* Mentor junior team members and contribute to reusable frameworks and accelerators.
* Contribute to thought leadership and best practice development across the AI \&amp; Data team.
**What You Will Need** 
**:**
* Must be able to OBTAIN and MAINTAIN a Federal or DoD "SECRET" security clearance; candidates must obtain approved adjudication of clearance prior to onboarding with Guidehouse. Candidates with an ACTIVE "SECRET" or higher\-level clearance are preferred.
* Bachelor's degree is required
* TWO (2\) or more years of experience in data engineering and dashboard development.
**What Would Be Nice To Have:**
* Experience with ADVANA.
* Proven experience with Databricks, business intelligence tools, and cloud platforms (AWS, Azure.)
* Strong proficiency in SQL, Python, and Spark.
* Experience building ETL pipelines and integrating data sources into reporting platforms.
* Familiarity with data governance, metadata, and compliance frameworks.
* Excellent communication, facilitation, and stakeholder engagement skills.
* Databricks Data Engineer Associate or Professional certification
* Experience working with military clients.
* Experience working with financial management data.
* Familiarity with federal contracting and procurement processes.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2">
      <c r="A72" t="inlineStr">
        <is>
          <t>li-4364754091</t>
        </is>
      </c>
      <c r="B72" t="inlineStr">
        <is>
          <t>Data Engineer - Tribus</t>
        </is>
      </c>
      <c r="C72" t="inlineStr">
        <is>
          <t>Jobs via eFinancialCareers</t>
        </is>
      </c>
      <c r="D72" t="inlineStr">
        <is>
          <t>linkedin</t>
        </is>
      </c>
      <c r="E72">
        <f>HYPERLINK("https://www.linkedin.com/jobs/view/4364754091", "https://www.linkedin.com/jobs/view/4364754091")</f>
        <v/>
      </c>
      <c r="F72">
        <f>HYPERLINK("https://click.appcast.io/t/1N5_t82DwTkSCYoBSswzHLchMDqQTrLuCh_cYVEEOBQ=&amp;urlHash=o95a", "https://click.appcast.io/t/1N5_t82DwTkSCYoBSswzHLchMDqQTrLuCh_cYVEEOBQ=&amp;urlHash=o95a")</f>
        <v/>
      </c>
      <c r="G72" t="inlineStr">
        <is>
          <t>Chicago, IL</t>
        </is>
      </c>
      <c r="H72" t="inlineStr"/>
      <c r="I72" t="inlineStr">
        <is>
          <t>**Hong Kong \| Senior Data Engineer \| Cloud \&amp; Python \| Quant\-Driven Environment (Reloaction)**
**(This role is based Hong Kong, relocation packages are available)**
 Join a world\-class technology\-first investment firm building cutting\-edge systems that power global trading. We are looking for a Senior Data Engineer to help shape a scalable data platform that fuels decision\-making for quants and traders worldwide.
**What You’ll Do**
* Lead development of a centralised data lakehouse architecture across regions
* Build scalable data ingestion pipelines using Python and cloud\-native tooling
* Model high\-volume datasets for analytical and real\-time use cases (OLAP \&amp; Lake)
* Drive performance and resilience of cloud data systems on AWS
* Work closely with research and trading teams to deliver insights at scale
**What You Bring**
* At least 5 years’ experience working on complex data platform builds
* Deep expertise in Python and SQL; familiarity with C\+\+ is a plus
* Experience designing cloud infrastructure (AWS preferred)
* Strong grounding in distributed data systems and performance optimisation
* Comfortable working autonomously and as part of a collaborative team
* Interest or experience in financial markets and data
***Tribus is a specilaist recruitment financial services recruitment firm working with clients focused in APAC and Globally. If you have industry expereince please get in touch!***</t>
        </is>
      </c>
    </row>
    <row r="73">
      <c r="A73" t="inlineStr">
        <is>
          <t>li-4364714672</t>
        </is>
      </c>
      <c r="B73" t="inlineStr">
        <is>
          <t>Data Engineer - Tribus</t>
        </is>
      </c>
      <c r="C73" t="inlineStr">
        <is>
          <t>Jobs via eFinancialCareers</t>
        </is>
      </c>
      <c r="D73" t="inlineStr">
        <is>
          <t>linkedin</t>
        </is>
      </c>
      <c r="E73">
        <f>HYPERLINK("https://www.linkedin.com/jobs/view/4364714672", "https://www.linkedin.com/jobs/view/4364714672")</f>
        <v/>
      </c>
      <c r="F73">
        <f>HYPERLINK("https://click.appcast.io/t/vGMdWC5V9_nP8zLxGYHxVnVCNRxpb8v9Xl0cRZHcPkM=&amp;urlHash=I44g", "https://click.appcast.io/t/vGMdWC5V9_nP8zLxGYHxVnVCNRxpb8v9Xl0cRZHcPkM=&amp;urlHash=I44g")</f>
        <v/>
      </c>
      <c r="G73" t="inlineStr">
        <is>
          <t>Chicago, IL</t>
        </is>
      </c>
      <c r="H73" t="inlineStr"/>
      <c r="I73" t="inlineStr">
        <is>
          <t>**Relocation Opportunities \- Singapore, Hong Kong, Sydney**
 We're partnered with several leading funds that are offering relocation packages for candidates with Industry experience.
**Data Engineer \- Quantitative Research Environment**
**Overview**
 An elite trading and research firm is seeking a skilled technologist to join a collaborative team supporting the data\-driven backbone of a world\-class quantitative investment strategy.
 This is a unique opportunity to design, build, and maintain critical research and data infrastructure that empowers traders, data scientists, and quantitative researchers across the business.
**What You’ll Do**
* Own and manage large\-scale, high\-value datasets from acquisition through to integration in quantitative pipelines.
* Architect and automate robust data workflows, including extraction, cleaning, validation, and transformation.
* Collaborate closely with quant researchers to translate analytical needs into efficient, scalable data systems.
* Build monitoring tools to detect anomalies and maintain data integrity across petabyte\-scale systems.
* Contribute to a cutting\-edge research platform that enables backtesting, simulation, and strategy development.
* Improve data storage and retention efficiency using distributed systems and performance\-optimised formats.
* Troubleshoot complex technical issues across multiple layers, including low\-level market data handling and high\-level research tooling.
**What We’re Looking For**
* Strong programming capabilities in Python and/or C\+\+ (familiarity with Java is a bonus)
* Experience handling large datasets, structured and unstructured, ideally within financial markets or other high\-throughput environments.
* Hands\-on exposure to data engineering tools (e.g. ETL frameworks, schedulers, CI/CD pipelines, DBT).
* Working knowledge of distributed storage and compute systems.
* Understanding of time\-series data and techniques used in quantitative modelling or forecasting.
* Ability to work in Linux/Unix environments with solid command\-line proficiency.
* Analytical thinker with strong communication skills and the drive to work across teams.
* Degree in Computer Science, Engineering, Mathematics, or related field.
**Why Join?**
* Work in a high\-performance environment where your contributions directly influence trading outcomes.
* Collaborate with talented engineers and researchers solving real\-time and large\-scale data challenges.
* Leverage the latest in cloud computing, automation, and software development practices.
* Be part of a lean, impactful team trusted with building core systems from the ground up.</t>
        </is>
      </c>
    </row>
    <row r="74">
      <c r="A74" t="inlineStr">
        <is>
          <t>li-4372353443</t>
        </is>
      </c>
      <c r="B74" t="inlineStr">
        <is>
          <t>Staff Data Engineer - AIOps</t>
        </is>
      </c>
      <c r="C74" t="inlineStr">
        <is>
          <t>hackajob</t>
        </is>
      </c>
      <c r="D74" t="inlineStr">
        <is>
          <t>linkedin</t>
        </is>
      </c>
      <c r="E74">
        <f>HYPERLINK("https://www.linkedin.com/jobs/view/4372353443", "https://www.linkedin.com/jobs/view/4372353443")</f>
        <v/>
      </c>
      <c r="F74">
        <f>HYPERLINK("https://www.hackajob.com/job/5635e67f-09a6-11f1-b544-0a05e249917d-staff-data-engineer-aiops?utm_source=LinkedIn&amp;utm_medium=JobAds&amp;utm_term=Automated&amp;utm_campaign=american-express-staff-data-engineer-aiops&amp;job_name=staff-data-engineer-aiops&amp;company=american-express&amp;workplace_type=hybrid&amp;city=phoenix&amp;country=united-states&amp;urlHash=3cTY", "https://www.hackajob.com/job/5635e67f-09a6-11f1-b544-0a05e249917d-staff-data-engineer-aiops?utm_source=LinkedIn&amp;utm_medium=JobAds&amp;utm_term=Automated&amp;utm_campaign=american-express-staff-data-engineer-aiops&amp;job_name=staff-data-engineer-aiops&amp;company=american-express&amp;workplace_type=hybrid&amp;city=phoenix&amp;country=united-states&amp;urlHash=3cTY")</f>
        <v/>
      </c>
      <c r="G74" t="inlineStr">
        <is>
          <t>Phoenix, AZ</t>
        </is>
      </c>
      <c r="H74" t="inlineStr"/>
      <c r="I74"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**Key Responsibilities**
* Leads and mentors engineers across Data Engineering, ML Engineering, and AI Ops, fostering a culture of technical excellence, experimentation, and production\-grade AI delivery at scale
* Designs, builds, and operates end\-to\-end AI Ops platforms supporting machine learning, generative AI, and agentic workflows, from data ingestion and feature engineering through model training, deployment, monitoring, and lifecycle management
* Hands\-on development of AI\-enabled systems, including ML pipelines, LLM\-based applications, retrieval\-augmented generation (RAG), prompt pipelines, agent orchestration, and model inference services
* Defines and implements scalable data and feature pipelines optimized for AI/ML workloads, ensuring high data quality, lineage, reproducibility, and compliance with enterprise governance standards
* Leads MLOps and LLMOps practices, including CI/CD for models, automated testing and validation, model versioning, experiment tracking, drift detection, performance monitoring, and rollback strategies
* Oversees integration of diverse structured and unstructured data sources (batch and streaming) to support analytics, ML, and GenAI use cases across global infrastructure operations
* Partners closely with infrastructure, platform, security, and product teams to embed AI capabilities into operational systems, observability platforms, reliability engineering, and automation workflows
* Conducts architecture and design reviews for AI platforms, data systems, and ML pipelines, ensuring solutions meet scalability, reliability, security, and cost\-efficiency requirements
* Drives AI Ops automation initiatives, leveraging ML and GenAI to improve incident detection, root cause analysis, capacity forecasting, anomaly detection, and self\-healing infrastructure
* Monitors and optimizes AI and data workflows, ensuring adherence to delivery timelines, sprint commitments, and best practices in DevOps, DataOps, and AI Ops
* Influences enterprise AI strategy by evaluating emerging AI/ML technologies, frameworks, and platforms, and guiding their adoption in a regulated, production environment
**Education and Knowledge**
* Bachelor’s degree in Computer Science, Engineering, Data Science, or equivalent practical experience; advanced degree preferred
* Strong knowledge of machine learning fundamentals, including supervised/unsupervised learning, time\-series, NLP, and model evaluation techniques
* Hands\-on knowledge of Generative AI and LLM ecosystems, including transformers, embeddings, vector databases, prompt engineering, RAG patterns, and agentic frameworks
* Deep understanding of data platform and storage technologies, including relational, NoSQL, columnar, graph, and vector stores
* Knowledge of distributed systems and cloud\-native architectures, including containerization, orchestration, and service\-based design
* Familiarity with model governance, explainability, bias detection, and AI risk management in enterprise environments
* Strong understanding of data formats and APIs (JSON, Parquet, Avro, XML), schema management, and metadata systems
**Work Experience**
* Significant experience in data engineering, ML engineering, or AI platform engineering roles
* Strong hands\-on programming experience in Python (required); experience with Java, Scala, or similar languages is a plus
* Experience building and operating ML pipelines and AI platforms using tools such as Airflow, Kubeflow, MLflow, SageMaker, Vertex AI, or equivalent
* Experience with GenAI frameworks and tooling (e.g., LangChain, LlamaIndex, OpenAI/Vertex APIs, vector databases like Pinecone, FAISS, or similar)
* Experience designing and scaling large\-scale data systems across technologies such as BigQuery, Spanner, Hive, HBase, NoSQL stores, relational databases, and streaming platforms
* Experience with cloud\-based data and AI platforms (AWS, GCP, Azure), including cost optimization and performance tuning for AI workloads
* Proven experience leading, mentoring, and influencing senior engineers and cross\-functional teams
* Experience integrating AI solutions into infrastructure, observability, reliability engineering, or operational platforms is strongly preferred
* Experience with production\-grade CI/CD, monitoring, and automation for data and AI systems
 Salary Range: $144,250\.00 to $256,250\.00 annually \+ bonus \+ equity (if applicable)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75">
      <c r="A75" t="inlineStr">
        <is>
          <t>li-4372360139</t>
        </is>
      </c>
      <c r="B75" t="inlineStr">
        <is>
          <t>Principle Data Platform Engineer</t>
        </is>
      </c>
      <c r="C75" t="inlineStr">
        <is>
          <t>Jobs via Dice</t>
        </is>
      </c>
      <c r="D75" t="inlineStr">
        <is>
          <t>linkedin</t>
        </is>
      </c>
      <c r="E75">
        <f>HYPERLINK("https://www.linkedin.com/jobs/view/4372360139", "https://www.linkedin.com/jobs/view/4372360139")</f>
        <v/>
      </c>
      <c r="F75">
        <f>HYPERLINK("https://click.appcast.io/t/5nTd50vEnM4iE4_sWdnKfsb0lBz3DXhnCM1bokiwb3Y=&amp;urlHash=IztV", "https://click.appcast.io/t/5nTd50vEnM4iE4_sWdnKfsb0lBz3DXhnCM1bokiwb3Y=&amp;urlHash=IztV")</f>
        <v/>
      </c>
      <c r="G75" t="inlineStr">
        <is>
          <t>Redmond, WA</t>
        </is>
      </c>
      <c r="H75" t="inlineStr"/>
      <c r="I75" t="inlineStr">
        <is>
          <t>**Overview**
 Imagine being at the forefront of a revolution powered by Data and AI (Artificial intelligence), transforming Marketing at Microsoft into a true "Frontier Organization" that drives impact at an unprecedented scale. As a
 **Principle Data Platform Engineer** 
 on the
 **Global Marketing Data Engineering team** 
 , you will have the opportunity to build cutting\-edge data platforms that process and synthesize billions of demand signals, enabling personalized customer journeys, media innovation, and high impact campaigns that redefine customer engagement. By crafting data products that integrate, enrich, and serve deep insights across an infinite number of scenarios, you are not only shaping the future but experiencing it firsthand as we directly contribute to the evolution of our most advanced technologies like Purview and Fabric. Join us to unleash your potential and play a pivotal role as a data innovator with world\-changing impact \- your journey starts here!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Develop and implement a federated infrastructure strategy for marketing data focused on cost optimization and scalability.
* Develop monitoring systems and processes for Data Platform infrastructure, pipelines, usage, and access patterns.
* Build capabilities for data discovery, access management, policy enforcement, and lineage tracking, aligned with the DE data platform vision.
* Create and deploy frameworks and tools for data quality measurement and monitoring to deliver secure, sustainable, high\-performing, and reliable marketing data for consumer needs.
* Design and roll out data storage framework and solution in line with medallion architecture and automated role\-based access controls across all access layers.
* Establish engineering excellence through best practices, coding standards, and robust code management tooling.
* Collaborate with Data Product Engineering, Data Ops, and Partner Engineering teams to deliver end\-to\-end platform solutions.
* Partner with Fabric, Purview, Azure ML teams to influence product roadmaps and address feature gaps.
* Implement shared tools for cross\-tenant Azure data intake and publishing.
* Deploy capabilities for data classification, tagging, retention, archival, and deletion to meet privacy policy requirements.
* Identify and prioritize platform improvements using incident and feedback data.
* Embody our culture and values.
**Qualifications**
**Required/minimum qualifications**
* Bachelor's Degree in Computer Science or related technical field AND 6\+ years technical engineering experience with coding in languages including, but not limited to, C, C\+\+, C\#, Java, JavaScript, or Python
+ OR equivalent experience.
**Additional Or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6\+ years of software development lifecycle experience, including 2\+ years in a lead role managing big data platforms.
* 2\+ years of Infrastructure\-as\-Code (Terraform, Bicep, ARM)
* 2\+ years of CI/CD pipelines and DevOps automationIdentity \&amp; access management (RBAC, PIM, conditional access)
* 2\+ years of Governance frameworks (data classification, policy enforcement, compliance controls)
* Observability (OpenTelemetry, monitoring, logging, SLOs)
* Incident management and reliability engineering practices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2026-02-16T03:04:07Z</dcterms:created>
  <dcterms:modified xsi:type="dcterms:W3CDTF">2026-02-16T03:04:07Z</dcterms:modified>
</cp:coreProperties>
</file>